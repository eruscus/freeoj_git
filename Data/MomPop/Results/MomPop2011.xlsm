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MomPop\Results\"/>
    </mc:Choice>
  </mc:AlternateContent>
  <bookViews>
    <workbookView xWindow="0" yWindow="45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37" i="20" l="1"/>
  <c r="S16" i="20"/>
  <c r="S15" i="20"/>
  <c r="S14" i="20"/>
  <c r="H40" i="20"/>
  <c r="H39" i="20"/>
  <c r="H38" i="20"/>
  <c r="H35" i="20"/>
  <c r="H34" i="20"/>
  <c r="S39" i="20" s="1"/>
  <c r="H33" i="20"/>
  <c r="S36" i="20" s="1"/>
  <c r="H30" i="20"/>
  <c r="H29" i="20"/>
  <c r="H28" i="20"/>
  <c r="S40" i="20" s="1"/>
  <c r="H2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T19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N116" i="12" s="1"/>
  <c r="O115" i="12"/>
  <c r="D116" i="12"/>
  <c r="E116" i="12"/>
  <c r="F116" i="12"/>
  <c r="G116" i="12"/>
  <c r="H116" i="12"/>
  <c r="I116" i="12"/>
  <c r="J116" i="12"/>
  <c r="K116" i="12"/>
  <c r="L116" i="12"/>
  <c r="M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N138" i="13" s="1"/>
  <c r="O137" i="13"/>
  <c r="D138" i="13"/>
  <c r="E138" i="13"/>
  <c r="F138" i="13"/>
  <c r="G138" i="13"/>
  <c r="H138" i="13"/>
  <c r="I138" i="13"/>
  <c r="J138" i="13"/>
  <c r="K138" i="13"/>
  <c r="L138" i="13"/>
  <c r="M138" i="13"/>
  <c r="O138" i="13"/>
  <c r="AZ14" i="14"/>
  <c r="AY259" i="14" s="1"/>
  <c r="AY181" i="14"/>
  <c r="AY179" i="14"/>
  <c r="AY260" i="14" s="1"/>
  <c r="AY177" i="14"/>
  <c r="AY175" i="14"/>
  <c r="AX259" i="14"/>
  <c r="AY14" i="14"/>
  <c r="AX181" i="14"/>
  <c r="AX179" i="14"/>
  <c r="AX260" i="14" s="1"/>
  <c r="AX177" i="14"/>
  <c r="AX175" i="14"/>
  <c r="AX14" i="14"/>
  <c r="AW259" i="14" s="1"/>
  <c r="AW181" i="14"/>
  <c r="AW179" i="14"/>
  <c r="AW177" i="14"/>
  <c r="AW175" i="14"/>
  <c r="AW260" i="14" s="1"/>
  <c r="AV259" i="14"/>
  <c r="AW14" i="14"/>
  <c r="AV181" i="14"/>
  <c r="AV179" i="14"/>
  <c r="AV177" i="14"/>
  <c r="AV175" i="14"/>
  <c r="AV14" i="14"/>
  <c r="AU259" i="14" s="1"/>
  <c r="AU181" i="14"/>
  <c r="AU179" i="14"/>
  <c r="AU177" i="14"/>
  <c r="AU175" i="14"/>
  <c r="AT259" i="14"/>
  <c r="AU14" i="14"/>
  <c r="AT181" i="14"/>
  <c r="AT179" i="14"/>
  <c r="AT260" i="14" s="1"/>
  <c r="AT177" i="14"/>
  <c r="AT175" i="14"/>
  <c r="AS259" i="14"/>
  <c r="AT14" i="14"/>
  <c r="AS181" i="14"/>
  <c r="AS179" i="14"/>
  <c r="AS177" i="14"/>
  <c r="AS260" i="14" s="1"/>
  <c r="AS175" i="14"/>
  <c r="AS14" i="14"/>
  <c r="AR259" i="14" s="1"/>
  <c r="AR181" i="14"/>
  <c r="AR179" i="14"/>
  <c r="AR177" i="14"/>
  <c r="AR175" i="14"/>
  <c r="AR260" i="14" s="1"/>
  <c r="AR14" i="14"/>
  <c r="AQ259" i="14" s="1"/>
  <c r="AQ181" i="14"/>
  <c r="AQ179" i="14"/>
  <c r="AQ260" i="14" s="1"/>
  <c r="AQ177" i="14"/>
  <c r="AQ175" i="14"/>
  <c r="AP259" i="14"/>
  <c r="AQ14" i="14"/>
  <c r="AP181" i="14"/>
  <c r="AP179" i="14"/>
  <c r="AP177" i="14"/>
  <c r="AP260" i="14" s="1"/>
  <c r="AP175" i="14"/>
  <c r="AO259" i="14"/>
  <c r="AP14" i="14"/>
  <c r="AO181" i="14"/>
  <c r="AO179" i="14"/>
  <c r="AO177" i="14"/>
  <c r="AO175" i="14"/>
  <c r="AN259" i="14"/>
  <c r="AO14" i="14"/>
  <c r="AN181" i="14"/>
  <c r="AN179" i="14"/>
  <c r="AN177" i="14"/>
  <c r="AN175" i="14"/>
  <c r="AN14" i="14"/>
  <c r="AM259" i="14" s="1"/>
  <c r="AM181" i="14"/>
  <c r="AM260" i="14" s="1"/>
  <c r="AM179" i="14"/>
  <c r="AM177" i="14"/>
  <c r="AM175" i="14"/>
  <c r="AL259" i="14"/>
  <c r="AM14" i="14"/>
  <c r="AL181" i="14"/>
  <c r="AL179" i="14"/>
  <c r="AL260" i="14" s="1"/>
  <c r="AL177" i="14"/>
  <c r="AL175" i="14"/>
  <c r="AK259" i="14"/>
  <c r="AL14" i="14"/>
  <c r="AK181" i="14"/>
  <c r="AK179" i="14"/>
  <c r="AK177" i="14"/>
  <c r="AK260" i="14" s="1"/>
  <c r="AK175" i="14"/>
  <c r="AJ259" i="14"/>
  <c r="AK14" i="14"/>
  <c r="AJ181" i="14"/>
  <c r="AJ179" i="14"/>
  <c r="AJ177" i="14"/>
  <c r="AJ175" i="14"/>
  <c r="AI260" i="14"/>
  <c r="AJ14" i="14"/>
  <c r="AI259" i="14" s="1"/>
  <c r="AI181" i="14"/>
  <c r="AI179" i="14"/>
  <c r="AI177" i="14"/>
  <c r="AI175" i="14"/>
  <c r="AH259" i="14"/>
  <c r="AI14" i="14"/>
  <c r="AH181" i="14"/>
  <c r="AH179" i="14"/>
  <c r="AH260" i="14" s="1"/>
  <c r="AH177" i="14"/>
  <c r="AH175" i="14"/>
  <c r="AG259" i="14"/>
  <c r="AH14" i="14"/>
  <c r="AG181" i="14"/>
  <c r="AG179" i="14"/>
  <c r="AG177" i="14"/>
  <c r="AG175" i="14"/>
  <c r="AF259" i="14"/>
  <c r="AG14" i="14"/>
  <c r="AF181" i="14"/>
  <c r="AF179" i="14"/>
  <c r="AF177" i="14"/>
  <c r="AF175" i="14"/>
  <c r="AE260" i="14"/>
  <c r="AF14" i="14"/>
  <c r="AE259" i="14" s="1"/>
  <c r="AE181" i="14"/>
  <c r="AE179" i="14"/>
  <c r="AE177" i="14"/>
  <c r="AE175" i="14"/>
  <c r="AD259" i="14"/>
  <c r="AE14" i="14"/>
  <c r="AD181" i="14"/>
  <c r="AD179" i="14"/>
  <c r="AD177" i="14"/>
  <c r="AD175" i="14"/>
  <c r="AC259" i="14"/>
  <c r="AD14" i="14"/>
  <c r="AC181" i="14"/>
  <c r="AC179" i="14"/>
  <c r="AC260" i="14" s="1"/>
  <c r="AC177" i="14"/>
  <c r="AC175" i="14"/>
  <c r="AB259" i="14"/>
  <c r="AC14" i="14"/>
  <c r="AB181" i="14"/>
  <c r="AB179" i="14"/>
  <c r="AB177" i="14"/>
  <c r="AB175" i="14"/>
  <c r="AB14" i="14"/>
  <c r="AA259" i="14" s="1"/>
  <c r="AA181" i="14"/>
  <c r="AA179" i="14"/>
  <c r="AA260" i="14" s="1"/>
  <c r="AA177" i="14"/>
  <c r="AA175" i="14"/>
  <c r="Z259" i="14"/>
  <c r="AA14" i="14"/>
  <c r="Z181" i="14"/>
  <c r="Z179" i="14"/>
  <c r="Z177" i="14"/>
  <c r="Z260" i="14" s="1"/>
  <c r="Z175" i="14"/>
  <c r="Y259" i="14"/>
  <c r="Z14" i="14"/>
  <c r="Y181" i="14"/>
  <c r="Y179" i="14"/>
  <c r="Y177" i="14"/>
  <c r="Y175" i="14"/>
  <c r="X259" i="14"/>
  <c r="Y14" i="14"/>
  <c r="X181" i="14"/>
  <c r="X179" i="14"/>
  <c r="X177" i="14"/>
  <c r="X175" i="14"/>
  <c r="X14" i="14"/>
  <c r="W259" i="14" s="1"/>
  <c r="W181" i="14"/>
  <c r="W260" i="14" s="1"/>
  <c r="W179" i="14"/>
  <c r="W177" i="14"/>
  <c r="W175" i="14"/>
  <c r="V259" i="14"/>
  <c r="W14" i="14"/>
  <c r="V181" i="14"/>
  <c r="V179" i="14"/>
  <c r="V260" i="14" s="1"/>
  <c r="V177" i="14"/>
  <c r="V175" i="14"/>
  <c r="U259" i="14"/>
  <c r="V14" i="14"/>
  <c r="U181" i="14"/>
  <c r="U179" i="14"/>
  <c r="U177" i="14"/>
  <c r="U260" i="14" s="1"/>
  <c r="U175" i="14"/>
  <c r="T259" i="14"/>
  <c r="U14" i="14"/>
  <c r="T181" i="14"/>
  <c r="T179" i="14"/>
  <c r="T177" i="14"/>
  <c r="T175" i="14"/>
  <c r="S260" i="14"/>
  <c r="T14" i="14"/>
  <c r="S259" i="14" s="1"/>
  <c r="S181" i="14"/>
  <c r="S179" i="14"/>
  <c r="S177" i="14"/>
  <c r="S175" i="14"/>
  <c r="R259" i="14"/>
  <c r="S14" i="14"/>
  <c r="R181" i="14"/>
  <c r="R179" i="14"/>
  <c r="R260" i="14" s="1"/>
  <c r="R177" i="14"/>
  <c r="R175" i="14"/>
  <c r="R14" i="14"/>
  <c r="Q259" i="14" s="1"/>
  <c r="Q181" i="14"/>
  <c r="Q179" i="14"/>
  <c r="Q177" i="14"/>
  <c r="Q175" i="14"/>
  <c r="Q260" i="14" s="1"/>
  <c r="P259" i="14"/>
  <c r="Q14" i="14"/>
  <c r="P181" i="14"/>
  <c r="P179" i="14"/>
  <c r="P177" i="14"/>
  <c r="P175" i="14"/>
  <c r="P14" i="14"/>
  <c r="O259" i="14" s="1"/>
  <c r="O181" i="14"/>
  <c r="O179" i="14"/>
  <c r="O177" i="14"/>
  <c r="O175" i="14"/>
  <c r="O260" i="14" s="1"/>
  <c r="N259" i="14"/>
  <c r="O14" i="14"/>
  <c r="N181" i="14"/>
  <c r="N179" i="14"/>
  <c r="N177" i="14"/>
  <c r="N175" i="14"/>
  <c r="M259" i="14"/>
  <c r="N14" i="14"/>
  <c r="M181" i="14"/>
  <c r="M179" i="14"/>
  <c r="M260" i="14" s="1"/>
  <c r="M177" i="14"/>
  <c r="M175" i="14"/>
  <c r="M14" i="14"/>
  <c r="L259" i="14" s="1"/>
  <c r="L181" i="14"/>
  <c r="L179" i="14"/>
  <c r="L177" i="14"/>
  <c r="L175" i="14"/>
  <c r="K260" i="14"/>
  <c r="L14" i="14"/>
  <c r="K259" i="14" s="1"/>
  <c r="K181" i="14"/>
  <c r="K179" i="14"/>
  <c r="K177" i="14"/>
  <c r="K175" i="14"/>
  <c r="J259" i="14"/>
  <c r="K14" i="14"/>
  <c r="J181" i="14"/>
  <c r="J179" i="14"/>
  <c r="J177" i="14"/>
  <c r="J260" i="14" s="1"/>
  <c r="J175" i="14"/>
  <c r="I259" i="14"/>
  <c r="J14" i="14"/>
  <c r="I181" i="14"/>
  <c r="I179" i="14"/>
  <c r="I177" i="14"/>
  <c r="I175" i="14"/>
  <c r="H259" i="14"/>
  <c r="I14" i="14"/>
  <c r="H181" i="14"/>
  <c r="H179" i="14"/>
  <c r="H177" i="14"/>
  <c r="H175" i="14"/>
  <c r="G260" i="14"/>
  <c r="H14" i="14"/>
  <c r="G259" i="14" s="1"/>
  <c r="G181" i="14"/>
  <c r="G179" i="14"/>
  <c r="G177" i="14"/>
  <c r="G175" i="14"/>
  <c r="F259" i="14"/>
  <c r="G14" i="14"/>
  <c r="F181" i="14"/>
  <c r="F179" i="14"/>
  <c r="F260" i="14" s="1"/>
  <c r="F177" i="14"/>
  <c r="F175" i="14"/>
  <c r="E259" i="14"/>
  <c r="F14" i="14"/>
  <c r="E181" i="14"/>
  <c r="E179" i="14"/>
  <c r="E177" i="14"/>
  <c r="E260" i="14" s="1"/>
  <c r="E175" i="14"/>
  <c r="D259" i="14"/>
  <c r="E14" i="14"/>
  <c r="D181" i="14"/>
  <c r="D179" i="14"/>
  <c r="D177" i="14"/>
  <c r="D175" i="14"/>
  <c r="AY260" i="15"/>
  <c r="AZ14" i="15"/>
  <c r="AY259" i="15" s="1"/>
  <c r="AY181" i="15"/>
  <c r="AY179" i="15"/>
  <c r="AY177" i="15"/>
  <c r="AY175" i="15"/>
  <c r="AX259" i="15"/>
  <c r="AY14" i="15"/>
  <c r="AX181" i="15"/>
  <c r="AX179" i="15"/>
  <c r="AX260" i="15" s="1"/>
  <c r="AX177" i="15"/>
  <c r="AX175" i="15"/>
  <c r="AW259" i="15"/>
  <c r="AX14" i="15"/>
  <c r="AW181" i="15"/>
  <c r="AW179" i="15"/>
  <c r="AW177" i="15"/>
  <c r="AW175" i="15"/>
  <c r="AV259" i="15"/>
  <c r="AW14" i="15"/>
  <c r="AV181" i="15"/>
  <c r="AV179" i="15"/>
  <c r="AV177" i="15"/>
  <c r="AV175" i="15"/>
  <c r="AU260" i="15"/>
  <c r="AV14" i="15"/>
  <c r="AU259" i="15" s="1"/>
  <c r="AU181" i="15"/>
  <c r="AU179" i="15"/>
  <c r="AU177" i="15"/>
  <c r="AU175" i="15"/>
  <c r="AT259" i="15"/>
  <c r="AU14" i="15"/>
  <c r="AT181" i="15"/>
  <c r="AT179" i="15"/>
  <c r="AT177" i="15"/>
  <c r="AT175" i="15"/>
  <c r="AS259" i="15"/>
  <c r="AT14" i="15"/>
  <c r="AS181" i="15"/>
  <c r="AS179" i="15"/>
  <c r="AS260" i="15" s="1"/>
  <c r="AS177" i="15"/>
  <c r="AS175" i="15"/>
  <c r="AR259" i="15"/>
  <c r="AS14" i="15"/>
  <c r="AR181" i="15"/>
  <c r="AR179" i="15"/>
  <c r="AR177" i="15"/>
  <c r="AR175" i="15"/>
  <c r="AR14" i="15"/>
  <c r="AQ259" i="15" s="1"/>
  <c r="AQ181" i="15"/>
  <c r="AQ179" i="15"/>
  <c r="AQ260" i="15" s="1"/>
  <c r="AQ177" i="15"/>
  <c r="AQ175" i="15"/>
  <c r="AP259" i="15"/>
  <c r="AQ14" i="15"/>
  <c r="AP181" i="15"/>
  <c r="AP179" i="15"/>
  <c r="AP177" i="15"/>
  <c r="AP260" i="15" s="1"/>
  <c r="AP175" i="15"/>
  <c r="AP14" i="15"/>
  <c r="AO259" i="15" s="1"/>
  <c r="AO181" i="15"/>
  <c r="AO179" i="15"/>
  <c r="AO177" i="15"/>
  <c r="AO175" i="15"/>
  <c r="AO260" i="15" s="1"/>
  <c r="AN259" i="15"/>
  <c r="AO14" i="15"/>
  <c r="AN181" i="15"/>
  <c r="AN179" i="15"/>
  <c r="AN177" i="15"/>
  <c r="AN175" i="15"/>
  <c r="AN14" i="15"/>
  <c r="AM259" i="15" s="1"/>
  <c r="AM181" i="15"/>
  <c r="AM179" i="15"/>
  <c r="AM177" i="15"/>
  <c r="AM175" i="15"/>
  <c r="AL259" i="15"/>
  <c r="AM14" i="15"/>
  <c r="AL181" i="15"/>
  <c r="AL179" i="15"/>
  <c r="AL260" i="15" s="1"/>
  <c r="AL177" i="15"/>
  <c r="AL175" i="15"/>
  <c r="AK259" i="15"/>
  <c r="AL14" i="15"/>
  <c r="AK181" i="15"/>
  <c r="AK179" i="15"/>
  <c r="AK177" i="15"/>
  <c r="AK260" i="15" s="1"/>
  <c r="AK175" i="15"/>
  <c r="AK14" i="15"/>
  <c r="AJ259" i="15" s="1"/>
  <c r="AJ181" i="15"/>
  <c r="AJ179" i="15"/>
  <c r="AJ177" i="15"/>
  <c r="AJ175" i="15"/>
  <c r="AJ260" i="15" s="1"/>
  <c r="AJ14" i="15"/>
  <c r="AI259" i="15" s="1"/>
  <c r="AI181" i="15"/>
  <c r="AI179" i="15"/>
  <c r="AI260" i="15" s="1"/>
  <c r="AI177" i="15"/>
  <c r="AI175" i="15"/>
  <c r="AH259" i="15"/>
  <c r="AI14" i="15"/>
  <c r="AH181" i="15"/>
  <c r="AH179" i="15"/>
  <c r="AH177" i="15"/>
  <c r="AH260" i="15" s="1"/>
  <c r="AH175" i="15"/>
  <c r="AH14" i="15"/>
  <c r="AG259" i="15" s="1"/>
  <c r="AG181" i="15"/>
  <c r="AG179" i="15"/>
  <c r="AG177" i="15"/>
  <c r="AG175" i="15"/>
  <c r="AG260" i="15" s="1"/>
  <c r="AF259" i="15"/>
  <c r="AG14" i="15"/>
  <c r="AF181" i="15"/>
  <c r="AF179" i="15"/>
  <c r="AF177" i="15"/>
  <c r="AF175" i="15"/>
  <c r="AF14" i="15"/>
  <c r="AE259" i="15" s="1"/>
  <c r="AE181" i="15"/>
  <c r="AE179" i="15"/>
  <c r="AE177" i="15"/>
  <c r="AE175" i="15"/>
  <c r="AE260" i="15" s="1"/>
  <c r="AD259" i="15"/>
  <c r="AE14" i="15"/>
  <c r="AD181" i="15"/>
  <c r="AD179" i="15"/>
  <c r="AD260" i="15" s="1"/>
  <c r="AD177" i="15"/>
  <c r="AD175" i="15"/>
  <c r="AC259" i="15"/>
  <c r="AD14" i="15"/>
  <c r="AC181" i="15"/>
  <c r="AC179" i="15"/>
  <c r="AC260" i="15" s="1"/>
  <c r="AC177" i="15"/>
  <c r="AC175" i="15"/>
  <c r="AC14" i="15"/>
  <c r="AB259" i="15" s="1"/>
  <c r="AB181" i="15"/>
  <c r="AB179" i="15"/>
  <c r="AB177" i="15"/>
  <c r="AB175" i="15"/>
  <c r="AB260" i="15" s="1"/>
  <c r="AB14" i="15"/>
  <c r="AA259" i="15" s="1"/>
  <c r="AA181" i="15"/>
  <c r="AA179" i="15"/>
  <c r="AA260" i="15" s="1"/>
  <c r="AA177" i="15"/>
  <c r="AA175" i="15"/>
  <c r="Z259" i="15"/>
  <c r="AA14" i="15"/>
  <c r="Z181" i="15"/>
  <c r="Z179" i="15"/>
  <c r="Z177" i="15"/>
  <c r="Z260" i="15" s="1"/>
  <c r="Z175" i="15"/>
  <c r="Y259" i="15"/>
  <c r="Z14" i="15"/>
  <c r="Y181" i="15"/>
  <c r="Y179" i="15"/>
  <c r="Y177" i="15"/>
  <c r="Y175" i="15"/>
  <c r="X259" i="15"/>
  <c r="Y14" i="15"/>
  <c r="X181" i="15"/>
  <c r="X179" i="15"/>
  <c r="X177" i="15"/>
  <c r="X175" i="15"/>
  <c r="W260" i="15"/>
  <c r="X14" i="15"/>
  <c r="W259" i="15" s="1"/>
  <c r="W181" i="15"/>
  <c r="W179" i="15"/>
  <c r="W177" i="15"/>
  <c r="W175" i="15"/>
  <c r="V259" i="15"/>
  <c r="W14" i="15"/>
  <c r="V181" i="15"/>
  <c r="V179" i="15"/>
  <c r="V260" i="15" s="1"/>
  <c r="V177" i="15"/>
  <c r="V175" i="15"/>
  <c r="U259" i="15"/>
  <c r="V14" i="15"/>
  <c r="U181" i="15"/>
  <c r="U179" i="15"/>
  <c r="U177" i="15"/>
  <c r="U260" i="15" s="1"/>
  <c r="U175" i="15"/>
  <c r="T259" i="15"/>
  <c r="U14" i="15"/>
  <c r="T181" i="15"/>
  <c r="T179" i="15"/>
  <c r="T177" i="15"/>
  <c r="T175" i="15"/>
  <c r="T14" i="15"/>
  <c r="S259" i="15" s="1"/>
  <c r="S181" i="15"/>
  <c r="S260" i="15" s="1"/>
  <c r="S179" i="15"/>
  <c r="S177" i="15"/>
  <c r="S175" i="15"/>
  <c r="R259" i="15"/>
  <c r="S14" i="15"/>
  <c r="R181" i="15"/>
  <c r="R179" i="15"/>
  <c r="R260" i="15" s="1"/>
  <c r="R177" i="15"/>
  <c r="R175" i="15"/>
  <c r="R14" i="15"/>
  <c r="Q259" i="15" s="1"/>
  <c r="Q181" i="15"/>
  <c r="Q179" i="15"/>
  <c r="Q177" i="15"/>
  <c r="Q175" i="15"/>
  <c r="Q260" i="15" s="1"/>
  <c r="P259" i="15"/>
  <c r="Q14" i="15"/>
  <c r="P181" i="15"/>
  <c r="P179" i="15"/>
  <c r="P177" i="15"/>
  <c r="P175" i="15"/>
  <c r="P14" i="15"/>
  <c r="O259" i="15" s="1"/>
  <c r="O181" i="15"/>
  <c r="O179" i="15"/>
  <c r="O177" i="15"/>
  <c r="O175" i="15"/>
  <c r="O260" i="15" s="1"/>
  <c r="N259" i="15"/>
  <c r="O14" i="15"/>
  <c r="N181" i="15"/>
  <c r="N179" i="15"/>
  <c r="N260" i="15" s="1"/>
  <c r="N177" i="15"/>
  <c r="N175" i="15"/>
  <c r="M259" i="15"/>
  <c r="N14" i="15"/>
  <c r="M181" i="15"/>
  <c r="M179" i="15"/>
  <c r="M260" i="15" s="1"/>
  <c r="M177" i="15"/>
  <c r="M175" i="15"/>
  <c r="L259" i="15"/>
  <c r="M14" i="15"/>
  <c r="L181" i="15"/>
  <c r="L179" i="15"/>
  <c r="L177" i="15"/>
  <c r="L175" i="15"/>
  <c r="L14" i="15"/>
  <c r="K259" i="15" s="1"/>
  <c r="K181" i="15"/>
  <c r="K179" i="15"/>
  <c r="K177" i="15"/>
  <c r="K175" i="15"/>
  <c r="J259" i="15"/>
  <c r="K14" i="15"/>
  <c r="J181" i="15"/>
  <c r="J179" i="15"/>
  <c r="J260" i="15" s="1"/>
  <c r="J177" i="15"/>
  <c r="J175" i="15"/>
  <c r="I259" i="15"/>
  <c r="J14" i="15"/>
  <c r="I181" i="15"/>
  <c r="I179" i="15"/>
  <c r="I177" i="15"/>
  <c r="I175" i="15"/>
  <c r="H259" i="15"/>
  <c r="I14" i="15"/>
  <c r="H181" i="15"/>
  <c r="H179" i="15"/>
  <c r="H177" i="15"/>
  <c r="H175" i="15"/>
  <c r="G260" i="15"/>
  <c r="H14" i="15"/>
  <c r="G259" i="15" s="1"/>
  <c r="G181" i="15"/>
  <c r="G179" i="15"/>
  <c r="G177" i="15"/>
  <c r="G175" i="15"/>
  <c r="F259" i="15"/>
  <c r="G14" i="15"/>
  <c r="F181" i="15"/>
  <c r="F179" i="15"/>
  <c r="F177" i="15"/>
  <c r="F175" i="15"/>
  <c r="E259" i="15"/>
  <c r="F14" i="15"/>
  <c r="E181" i="15"/>
  <c r="E179" i="15"/>
  <c r="E260" i="15" s="1"/>
  <c r="E177" i="15"/>
  <c r="E175" i="15"/>
  <c r="E14" i="15"/>
  <c r="D181" i="15"/>
  <c r="D179" i="15"/>
  <c r="D177" i="15"/>
  <c r="D175" i="15"/>
  <c r="D260" i="15" s="1"/>
  <c r="AY14" i="16"/>
  <c r="AY15" i="16"/>
  <c r="AY16" i="16"/>
  <c r="AY10" i="16"/>
  <c r="AY13" i="16" s="1"/>
  <c r="AY17" i="16"/>
  <c r="AY29" i="16"/>
  <c r="AX14" i="16"/>
  <c r="AX15" i="16"/>
  <c r="AX16" i="16"/>
  <c r="AX10" i="16"/>
  <c r="AX13" i="16" s="1"/>
  <c r="AX17" i="16"/>
  <c r="AX29" i="16"/>
  <c r="AW14" i="16"/>
  <c r="AW15" i="16"/>
  <c r="AW16" i="16"/>
  <c r="AW17" i="16"/>
  <c r="AW29" i="16"/>
  <c r="AV14" i="16"/>
  <c r="AV15" i="16"/>
  <c r="AV16" i="16"/>
  <c r="AV10" i="16"/>
  <c r="AV13" i="16" s="1"/>
  <c r="AV17" i="16"/>
  <c r="AV29" i="16"/>
  <c r="AU14" i="16"/>
  <c r="AU15" i="16"/>
  <c r="AU16" i="16"/>
  <c r="AU17" i="16"/>
  <c r="AU29" i="16"/>
  <c r="AT14" i="16"/>
  <c r="AT15" i="16"/>
  <c r="AT10" i="16" s="1"/>
  <c r="AT13" i="16" s="1"/>
  <c r="AT16" i="16"/>
  <c r="AT17" i="16"/>
  <c r="AT29" i="16"/>
  <c r="AS14" i="16"/>
  <c r="AS15" i="16"/>
  <c r="AS16" i="16"/>
  <c r="AS10" i="16"/>
  <c r="AS13" i="16" s="1"/>
  <c r="AS17" i="16"/>
  <c r="AS29" i="16"/>
  <c r="AR14" i="16"/>
  <c r="AR10" i="16" s="1"/>
  <c r="AR13" i="16" s="1"/>
  <c r="AR15" i="16"/>
  <c r="AR16" i="16"/>
  <c r="AR17" i="16"/>
  <c r="AR29" i="16"/>
  <c r="AQ14" i="16"/>
  <c r="AQ10" i="16" s="1"/>
  <c r="AQ13" i="16" s="1"/>
  <c r="AQ15" i="16"/>
  <c r="AQ16" i="16"/>
  <c r="AQ17" i="16"/>
  <c r="AQ29" i="16"/>
  <c r="AP14" i="16"/>
  <c r="AP15" i="16"/>
  <c r="AP16" i="16"/>
  <c r="AP17" i="16"/>
  <c r="AP29" i="16"/>
  <c r="AO14" i="16"/>
  <c r="AO15" i="16"/>
  <c r="AO16" i="16"/>
  <c r="AO10" i="16"/>
  <c r="AO13" i="16" s="1"/>
  <c r="AO17" i="16"/>
  <c r="AO29" i="16"/>
  <c r="AN14" i="16"/>
  <c r="AN15" i="16"/>
  <c r="AN16" i="16"/>
  <c r="AN10" i="16"/>
  <c r="AN13" i="16" s="1"/>
  <c r="AN17" i="16"/>
  <c r="AN29" i="16"/>
  <c r="AM14" i="16"/>
  <c r="AM10" i="16" s="1"/>
  <c r="AM13" i="16" s="1"/>
  <c r="AM15" i="16"/>
  <c r="AM16" i="16"/>
  <c r="AM17" i="16"/>
  <c r="AM29" i="16"/>
  <c r="AL14" i="16"/>
  <c r="AL15" i="16"/>
  <c r="AL16" i="16"/>
  <c r="AL17" i="16"/>
  <c r="AL29" i="16"/>
  <c r="AK14" i="16"/>
  <c r="AK15" i="16"/>
  <c r="AK16" i="16"/>
  <c r="AK17" i="16"/>
  <c r="AK29" i="16"/>
  <c r="AJ14" i="16"/>
  <c r="AJ15" i="16"/>
  <c r="AJ16" i="16"/>
  <c r="AJ10" i="16"/>
  <c r="AJ13" i="16" s="1"/>
  <c r="AJ17" i="16"/>
  <c r="AJ29" i="16"/>
  <c r="AI14" i="16"/>
  <c r="AI10" i="16" s="1"/>
  <c r="AI15" i="16"/>
  <c r="AI16" i="16"/>
  <c r="AI13" i="16"/>
  <c r="AI17" i="16"/>
  <c r="AI29" i="16"/>
  <c r="AH14" i="16"/>
  <c r="AH10" i="16" s="1"/>
  <c r="AH13" i="16" s="1"/>
  <c r="AH15" i="16"/>
  <c r="AH16" i="16"/>
  <c r="AH17" i="16"/>
  <c r="AH29" i="16"/>
  <c r="AG14" i="16"/>
  <c r="AG15" i="16"/>
  <c r="AG10" i="16" s="1"/>
  <c r="AG13" i="16" s="1"/>
  <c r="AG16" i="16"/>
  <c r="AG17" i="16"/>
  <c r="AG29" i="16"/>
  <c r="AF14" i="16"/>
  <c r="AF15" i="16"/>
  <c r="AF16" i="16"/>
  <c r="AF10" i="16" s="1"/>
  <c r="AF13" i="16" s="1"/>
  <c r="AF17" i="16"/>
  <c r="AF29" i="16"/>
  <c r="AE14" i="16"/>
  <c r="AE15" i="16"/>
  <c r="AE16" i="16"/>
  <c r="AE10" i="16"/>
  <c r="AE13" i="16" s="1"/>
  <c r="AE17" i="16"/>
  <c r="AE29" i="16"/>
  <c r="AD14" i="16"/>
  <c r="AD15" i="16"/>
  <c r="AD16" i="16"/>
  <c r="AD17" i="16"/>
  <c r="AD29" i="16"/>
  <c r="AC14" i="16"/>
  <c r="AC15" i="16"/>
  <c r="AC16" i="16"/>
  <c r="AC10" i="16"/>
  <c r="AC13" i="16" s="1"/>
  <c r="AC17" i="16"/>
  <c r="AC29" i="16"/>
  <c r="AB14" i="16"/>
  <c r="AB10" i="16" s="1"/>
  <c r="AB15" i="16"/>
  <c r="AB16" i="16"/>
  <c r="AB13" i="16"/>
  <c r="AB17" i="16"/>
  <c r="AB29" i="16"/>
  <c r="AA14" i="16"/>
  <c r="AA10" i="16" s="1"/>
  <c r="AA13" i="16" s="1"/>
  <c r="AA15" i="16"/>
  <c r="AA16" i="16"/>
  <c r="AA17" i="16"/>
  <c r="AA29" i="16"/>
  <c r="Z14" i="16"/>
  <c r="Z15" i="16"/>
  <c r="Z16" i="16"/>
  <c r="Z17" i="16"/>
  <c r="Z29" i="16"/>
  <c r="Y14" i="16"/>
  <c r="Y15" i="16"/>
  <c r="Y16" i="16"/>
  <c r="Y10" i="16"/>
  <c r="Y13" i="16" s="1"/>
  <c r="Y17" i="16"/>
  <c r="Y29" i="16"/>
  <c r="X14" i="16"/>
  <c r="X15" i="16"/>
  <c r="X16" i="16"/>
  <c r="X10" i="16"/>
  <c r="X13" i="16" s="1"/>
  <c r="X17" i="16"/>
  <c r="X29" i="16"/>
  <c r="W14" i="16"/>
  <c r="W10" i="16" s="1"/>
  <c r="W15" i="16"/>
  <c r="W16" i="16"/>
  <c r="W13" i="16"/>
  <c r="W17" i="16"/>
  <c r="W29" i="16"/>
  <c r="V14" i="16"/>
  <c r="V15" i="16"/>
  <c r="V16" i="16"/>
  <c r="V17" i="16"/>
  <c r="V29" i="16"/>
  <c r="U14" i="16"/>
  <c r="U15" i="16"/>
  <c r="U10" i="16" s="1"/>
  <c r="U13" i="16" s="1"/>
  <c r="U16" i="16"/>
  <c r="U17" i="16"/>
  <c r="U29" i="16"/>
  <c r="T14" i="16"/>
  <c r="T10" i="16" s="1"/>
  <c r="T13" i="16" s="1"/>
  <c r="T15" i="16"/>
  <c r="T16" i="16"/>
  <c r="T17" i="16"/>
  <c r="T29" i="16"/>
  <c r="S14" i="16"/>
  <c r="S10" i="16" s="1"/>
  <c r="S13" i="16" s="1"/>
  <c r="S15" i="16"/>
  <c r="S16" i="16"/>
  <c r="S17" i="16"/>
  <c r="S29" i="16"/>
  <c r="R14" i="16"/>
  <c r="R15" i="16"/>
  <c r="R16" i="16"/>
  <c r="R10" i="16"/>
  <c r="R13" i="16" s="1"/>
  <c r="R17" i="16"/>
  <c r="R29" i="16"/>
  <c r="Q14" i="16"/>
  <c r="Q10" i="16" s="1"/>
  <c r="Q15" i="16"/>
  <c r="Q16" i="16"/>
  <c r="Q13" i="16"/>
  <c r="R21" i="16" s="1"/>
  <c r="Q17" i="16"/>
  <c r="Q29" i="16"/>
  <c r="P14" i="16"/>
  <c r="P10" i="16" s="1"/>
  <c r="P13" i="16" s="1"/>
  <c r="P15" i="16"/>
  <c r="P16" i="16"/>
  <c r="P17" i="16"/>
  <c r="P29" i="16"/>
  <c r="O14" i="16"/>
  <c r="O15" i="16"/>
  <c r="O16" i="16"/>
  <c r="O17" i="16"/>
  <c r="O29" i="16"/>
  <c r="N14" i="16"/>
  <c r="N15" i="16"/>
  <c r="N16" i="16"/>
  <c r="N10" i="16"/>
  <c r="N13" i="16" s="1"/>
  <c r="N17" i="16"/>
  <c r="N29" i="16"/>
  <c r="M14" i="16"/>
  <c r="M15" i="16"/>
  <c r="M16" i="16"/>
  <c r="M17" i="16"/>
  <c r="M29" i="16"/>
  <c r="L14" i="16"/>
  <c r="L10" i="16" s="1"/>
  <c r="L15" i="16"/>
  <c r="L16" i="16"/>
  <c r="L13" i="16"/>
  <c r="L17" i="16"/>
  <c r="L29" i="16"/>
  <c r="K14" i="16"/>
  <c r="K15" i="16"/>
  <c r="K10" i="16" s="1"/>
  <c r="K13" i="16" s="1"/>
  <c r="K16" i="16"/>
  <c r="K17" i="16"/>
  <c r="K29" i="16"/>
  <c r="J14" i="16"/>
  <c r="J15" i="16"/>
  <c r="J16" i="16"/>
  <c r="J10" i="16" s="1"/>
  <c r="J13" i="16" s="1"/>
  <c r="J17" i="16"/>
  <c r="J29" i="16"/>
  <c r="I14" i="16"/>
  <c r="I15" i="16"/>
  <c r="I16" i="16"/>
  <c r="I10" i="16"/>
  <c r="I13" i="16" s="1"/>
  <c r="I17" i="16"/>
  <c r="I29" i="16"/>
  <c r="H14" i="16"/>
  <c r="H15" i="16"/>
  <c r="H16" i="16"/>
  <c r="H17" i="16"/>
  <c r="H29" i="16"/>
  <c r="G14" i="16"/>
  <c r="G15" i="16"/>
  <c r="G16" i="16"/>
  <c r="G10" i="16"/>
  <c r="G13" i="16" s="1"/>
  <c r="G17" i="16"/>
  <c r="G29" i="16"/>
  <c r="F14" i="16"/>
  <c r="F10" i="16" s="1"/>
  <c r="F13" i="16" s="1"/>
  <c r="F15" i="16"/>
  <c r="F16" i="16"/>
  <c r="F17" i="16"/>
  <c r="F29" i="16"/>
  <c r="E14" i="16"/>
  <c r="E10" i="16" s="1"/>
  <c r="E13" i="16" s="1"/>
  <c r="E15" i="16"/>
  <c r="E16" i="16"/>
  <c r="E17" i="16"/>
  <c r="E29" i="16"/>
  <c r="D14" i="16"/>
  <c r="D15" i="16"/>
  <c r="D16" i="16"/>
  <c r="D17" i="16"/>
  <c r="D27" i="16"/>
  <c r="D29" i="16"/>
  <c r="AY14" i="17"/>
  <c r="AY15" i="17"/>
  <c r="AY10" i="17" s="1"/>
  <c r="AY13" i="17" s="1"/>
  <c r="AY16" i="17"/>
  <c r="AY17" i="17"/>
  <c r="AY29" i="17"/>
  <c r="AX14" i="17"/>
  <c r="AX15" i="17"/>
  <c r="AX16" i="17"/>
  <c r="AX10" i="17" s="1"/>
  <c r="AX13" i="17" s="1"/>
  <c r="AX17" i="17"/>
  <c r="AX29" i="17"/>
  <c r="AW14" i="17"/>
  <c r="AW15" i="17"/>
  <c r="AW16" i="17"/>
  <c r="AW10" i="17"/>
  <c r="AW13" i="17" s="1"/>
  <c r="AW17" i="17"/>
  <c r="AW29" i="17"/>
  <c r="AV14" i="17"/>
  <c r="AV15" i="17"/>
  <c r="AV16" i="17"/>
  <c r="AV17" i="17"/>
  <c r="AV29" i="17"/>
  <c r="AU14" i="17"/>
  <c r="AU15" i="17"/>
  <c r="AU16" i="17"/>
  <c r="AU17" i="17"/>
  <c r="AU29" i="17"/>
  <c r="AT14" i="17"/>
  <c r="AT15" i="17"/>
  <c r="AT16" i="17"/>
  <c r="AT10" i="17"/>
  <c r="AT13" i="17" s="1"/>
  <c r="AT17" i="17"/>
  <c r="AT29" i="17"/>
  <c r="AS14" i="17"/>
  <c r="AS15" i="17"/>
  <c r="AS16" i="17"/>
  <c r="AS17" i="17"/>
  <c r="AS29" i="17"/>
  <c r="AR14" i="17"/>
  <c r="AR10" i="17" s="1"/>
  <c r="AR13" i="17" s="1"/>
  <c r="AS21" i="17" s="1"/>
  <c r="AR15" i="17"/>
  <c r="AR16" i="17"/>
  <c r="AR17" i="17"/>
  <c r="AR29" i="17"/>
  <c r="AQ14" i="17"/>
  <c r="AQ15" i="17"/>
  <c r="AQ16" i="17"/>
  <c r="AQ10" i="17"/>
  <c r="AQ13" i="17" s="1"/>
  <c r="AQ17" i="17"/>
  <c r="AQ29" i="17"/>
  <c r="AP14" i="17"/>
  <c r="AP15" i="17"/>
  <c r="AP16" i="17"/>
  <c r="AP10" i="17" s="1"/>
  <c r="AP13" i="17" s="1"/>
  <c r="AP17" i="17"/>
  <c r="AP29" i="17"/>
  <c r="AO14" i="17"/>
  <c r="AO15" i="17"/>
  <c r="AO16" i="17"/>
  <c r="AO10" i="17"/>
  <c r="AO13" i="17" s="1"/>
  <c r="AP22" i="17" s="1"/>
  <c r="AO17" i="17"/>
  <c r="AO29" i="17"/>
  <c r="AN14" i="17"/>
  <c r="AN15" i="17"/>
  <c r="AN16" i="17"/>
  <c r="AN17" i="17"/>
  <c r="AN29" i="17"/>
  <c r="AM14" i="17"/>
  <c r="AM15" i="17"/>
  <c r="AM16" i="17"/>
  <c r="AM10" i="17" s="1"/>
  <c r="AM13" i="17" s="1"/>
  <c r="AM17" i="17"/>
  <c r="AM29" i="17"/>
  <c r="AL14" i="17"/>
  <c r="AL15" i="17"/>
  <c r="AL16" i="17"/>
  <c r="AL10" i="17"/>
  <c r="AL13" i="17" s="1"/>
  <c r="AL17" i="17"/>
  <c r="AL29" i="17"/>
  <c r="AK14" i="17"/>
  <c r="AK15" i="17"/>
  <c r="AK16" i="17"/>
  <c r="AK17" i="17"/>
  <c r="AK29" i="17"/>
  <c r="AJ14" i="17"/>
  <c r="AJ15" i="17"/>
  <c r="AJ16" i="17"/>
  <c r="AJ17" i="17"/>
  <c r="AJ29" i="17"/>
  <c r="AI14" i="17"/>
  <c r="AI15" i="17"/>
  <c r="AI16" i="17"/>
  <c r="AI10" i="17"/>
  <c r="AI13" i="17" s="1"/>
  <c r="AI17" i="17"/>
  <c r="AI29" i="17"/>
  <c r="AH14" i="17"/>
  <c r="AH15" i="17"/>
  <c r="AH16" i="17"/>
  <c r="AH10" i="17"/>
  <c r="AH13" i="17" s="1"/>
  <c r="AH17" i="17"/>
  <c r="AH29" i="17"/>
  <c r="AG14" i="17"/>
  <c r="AG10" i="17" s="1"/>
  <c r="AG13" i="17" s="1"/>
  <c r="AG15" i="17"/>
  <c r="AG16" i="17"/>
  <c r="AG17" i="17"/>
  <c r="AG29" i="17"/>
  <c r="AF14" i="17"/>
  <c r="AF10" i="17" s="1"/>
  <c r="AF13" i="17" s="1"/>
  <c r="AF15" i="17"/>
  <c r="AF16" i="17"/>
  <c r="AF17" i="17"/>
  <c r="AF29" i="17"/>
  <c r="AE14" i="17"/>
  <c r="AE15" i="17"/>
  <c r="AE16" i="17"/>
  <c r="AE17" i="17"/>
  <c r="AE29" i="17"/>
  <c r="AD14" i="17"/>
  <c r="AD15" i="17"/>
  <c r="AD16" i="17"/>
  <c r="AD10" i="17"/>
  <c r="AD13" i="17" s="1"/>
  <c r="AE22" i="17" s="1"/>
  <c r="AD17" i="17"/>
  <c r="AD29" i="17"/>
  <c r="AC14" i="17"/>
  <c r="AC15" i="17"/>
  <c r="AC16" i="17"/>
  <c r="AC17" i="17"/>
  <c r="AC29" i="17"/>
  <c r="AB14" i="17"/>
  <c r="AB10" i="17" s="1"/>
  <c r="AB15" i="17"/>
  <c r="AB16" i="17"/>
  <c r="AB13" i="17"/>
  <c r="AB17" i="17"/>
  <c r="AB29" i="17"/>
  <c r="AA14" i="17"/>
  <c r="AA15" i="17"/>
  <c r="AA10" i="17" s="1"/>
  <c r="AA13" i="17" s="1"/>
  <c r="AA16" i="17"/>
  <c r="AA17" i="17"/>
  <c r="AA21" i="17"/>
  <c r="AA29" i="17"/>
  <c r="AA45" i="17"/>
  <c r="AA51" i="17" s="1"/>
  <c r="Z14" i="17"/>
  <c r="Z15" i="17"/>
  <c r="Z16" i="17"/>
  <c r="Z10" i="17" s="1"/>
  <c r="Z13" i="17" s="1"/>
  <c r="AA22" i="17" s="1"/>
  <c r="Z17" i="17"/>
  <c r="Z29" i="17"/>
  <c r="Y14" i="17"/>
  <c r="Y15" i="17"/>
  <c r="Y16" i="17"/>
  <c r="Y10" i="17"/>
  <c r="Y13" i="17" s="1"/>
  <c r="Y17" i="17"/>
  <c r="Y29" i="17"/>
  <c r="X14" i="17"/>
  <c r="X15" i="17"/>
  <c r="X16" i="17"/>
  <c r="X17" i="17"/>
  <c r="X29" i="17"/>
  <c r="W14" i="17"/>
  <c r="W15" i="17"/>
  <c r="W16" i="17"/>
  <c r="W10" i="17"/>
  <c r="W13" i="17" s="1"/>
  <c r="W17" i="17"/>
  <c r="W29" i="17"/>
  <c r="V14" i="17"/>
  <c r="V10" i="17" s="1"/>
  <c r="V13" i="17" s="1"/>
  <c r="V15" i="17"/>
  <c r="V16" i="17"/>
  <c r="V17" i="17"/>
  <c r="V29" i="17"/>
  <c r="U14" i="17"/>
  <c r="U10" i="17" s="1"/>
  <c r="U13" i="17" s="1"/>
  <c r="U15" i="17"/>
  <c r="U16" i="17"/>
  <c r="U17" i="17"/>
  <c r="U29" i="17"/>
  <c r="T14" i="17"/>
  <c r="T15" i="17"/>
  <c r="T16" i="17"/>
  <c r="T10" i="17" s="1"/>
  <c r="T13" i="17" s="1"/>
  <c r="T17" i="17"/>
  <c r="T29" i="17"/>
  <c r="S14" i="17"/>
  <c r="S15" i="17"/>
  <c r="S16" i="17"/>
  <c r="S10" i="17"/>
  <c r="S13" i="17" s="1"/>
  <c r="S17" i="17"/>
  <c r="S29" i="17"/>
  <c r="R14" i="17"/>
  <c r="R15" i="17"/>
  <c r="R16" i="17"/>
  <c r="R17" i="17"/>
  <c r="R29" i="17"/>
  <c r="Q14" i="17"/>
  <c r="Q15" i="17"/>
  <c r="Q16" i="17"/>
  <c r="Q10" i="17" s="1"/>
  <c r="Q13" i="17" s="1"/>
  <c r="Q17" i="17"/>
  <c r="Q29" i="17"/>
  <c r="P14" i="17"/>
  <c r="P10" i="17" s="1"/>
  <c r="P13" i="17" s="1"/>
  <c r="P15" i="17"/>
  <c r="P16" i="17"/>
  <c r="P17" i="17"/>
  <c r="P29" i="17"/>
  <c r="O14" i="17"/>
  <c r="O15" i="17"/>
  <c r="O16" i="17"/>
  <c r="O17" i="17"/>
  <c r="O29" i="17"/>
  <c r="N14" i="17"/>
  <c r="N10" i="17" s="1"/>
  <c r="N15" i="17"/>
  <c r="N16" i="17"/>
  <c r="N13" i="17"/>
  <c r="O21" i="17" s="1"/>
  <c r="N17" i="17"/>
  <c r="N29" i="17"/>
  <c r="M14" i="17"/>
  <c r="M15" i="17"/>
  <c r="M10" i="17" s="1"/>
  <c r="M13" i="17" s="1"/>
  <c r="M16" i="17"/>
  <c r="M17" i="17"/>
  <c r="M29" i="17"/>
  <c r="L14" i="17"/>
  <c r="L15" i="17"/>
  <c r="L16" i="17"/>
  <c r="L10" i="17"/>
  <c r="L13" i="17" s="1"/>
  <c r="M22" i="17" s="1"/>
  <c r="L17" i="17"/>
  <c r="L29" i="17"/>
  <c r="K14" i="17"/>
  <c r="K10" i="17" s="1"/>
  <c r="K13" i="17" s="1"/>
  <c r="K15" i="17"/>
  <c r="K16" i="17"/>
  <c r="K17" i="17"/>
  <c r="K29" i="17"/>
  <c r="J14" i="17"/>
  <c r="J15" i="17"/>
  <c r="J16" i="17"/>
  <c r="J17" i="17"/>
  <c r="J29" i="17"/>
  <c r="I14" i="17"/>
  <c r="I15" i="17"/>
  <c r="I16" i="17"/>
  <c r="I10" i="17"/>
  <c r="I13" i="17" s="1"/>
  <c r="J22" i="17" s="1"/>
  <c r="I17" i="17"/>
  <c r="I29" i="17"/>
  <c r="H14" i="17"/>
  <c r="H10" i="17" s="1"/>
  <c r="H15" i="17"/>
  <c r="H16" i="17"/>
  <c r="H13" i="17"/>
  <c r="I21" i="17" s="1"/>
  <c r="I23" i="17" s="1"/>
  <c r="H17" i="17"/>
  <c r="H29" i="17"/>
  <c r="G14" i="17"/>
  <c r="G10" i="17" s="1"/>
  <c r="G13" i="17" s="1"/>
  <c r="G15" i="17"/>
  <c r="G16" i="17"/>
  <c r="G17" i="17"/>
  <c r="G29" i="17"/>
  <c r="F14" i="17"/>
  <c r="F10" i="17" s="1"/>
  <c r="F13" i="17" s="1"/>
  <c r="F15" i="17"/>
  <c r="F16" i="17"/>
  <c r="F17" i="17"/>
  <c r="F29" i="17"/>
  <c r="E14" i="17"/>
  <c r="E15" i="17"/>
  <c r="E10" i="17" s="1"/>
  <c r="E13" i="17" s="1"/>
  <c r="E16" i="17"/>
  <c r="E17" i="17"/>
  <c r="E27" i="17"/>
  <c r="E30" i="17" s="1"/>
  <c r="E29" i="17"/>
  <c r="D14" i="17"/>
  <c r="D15" i="17"/>
  <c r="D16" i="17"/>
  <c r="D10" i="17" s="1"/>
  <c r="D17" i="17"/>
  <c r="D21" i="17"/>
  <c r="D44" i="17" s="1"/>
  <c r="D22" i="17"/>
  <c r="D27" i="17"/>
  <c r="D29" i="17"/>
  <c r="D30" i="17"/>
  <c r="AY14" i="18"/>
  <c r="AY10" i="18" s="1"/>
  <c r="AY13" i="18" s="1"/>
  <c r="AY15" i="18"/>
  <c r="AY16" i="18"/>
  <c r="AY17" i="18"/>
  <c r="AY29" i="18"/>
  <c r="AX14" i="18"/>
  <c r="AX15" i="18"/>
  <c r="AX16" i="18"/>
  <c r="AX17" i="18"/>
  <c r="AX29" i="18"/>
  <c r="AW14" i="18"/>
  <c r="AW10" i="18" s="1"/>
  <c r="AW13" i="18" s="1"/>
  <c r="AW15" i="18"/>
  <c r="AW16" i="18"/>
  <c r="AW17" i="18"/>
  <c r="AW29" i="18"/>
  <c r="AV14" i="18"/>
  <c r="AV15" i="18"/>
  <c r="AV16" i="18"/>
  <c r="AV17" i="18"/>
  <c r="AV29" i="18"/>
  <c r="AU14" i="18"/>
  <c r="AU15" i="18"/>
  <c r="AU16" i="18"/>
  <c r="AU10" i="18"/>
  <c r="AU13" i="18" s="1"/>
  <c r="AU17" i="18"/>
  <c r="AU29" i="18"/>
  <c r="AT14" i="18"/>
  <c r="AT15" i="18"/>
  <c r="AT16" i="18"/>
  <c r="AT10" i="18"/>
  <c r="AT13" i="18" s="1"/>
  <c r="AT17" i="18"/>
  <c r="AT29" i="18"/>
  <c r="AS14" i="18"/>
  <c r="AS10" i="18" s="1"/>
  <c r="AS13" i="18" s="1"/>
  <c r="AS15" i="18"/>
  <c r="AS16" i="18"/>
  <c r="AS17" i="18"/>
  <c r="AS29" i="18"/>
  <c r="AR14" i="18"/>
  <c r="AR15" i="18"/>
  <c r="AR16" i="18"/>
  <c r="AR17" i="18"/>
  <c r="AR29" i="18"/>
  <c r="AQ14" i="18"/>
  <c r="AQ15" i="18"/>
  <c r="AQ16" i="18"/>
  <c r="AQ10" i="18"/>
  <c r="AQ13" i="18" s="1"/>
  <c r="AQ17" i="18"/>
  <c r="AQ29" i="18"/>
  <c r="AP14" i="18"/>
  <c r="AP15" i="18"/>
  <c r="AP16" i="18"/>
  <c r="AP10" i="18"/>
  <c r="AP13" i="18" s="1"/>
  <c r="AP17" i="18"/>
  <c r="AP29" i="18"/>
  <c r="AO14" i="18"/>
  <c r="AO10" i="18" s="1"/>
  <c r="AO13" i="18" s="1"/>
  <c r="AO15" i="18"/>
  <c r="AO16" i="18"/>
  <c r="AO17" i="18"/>
  <c r="AO29" i="18"/>
  <c r="AN14" i="18"/>
  <c r="AN15" i="18"/>
  <c r="AN16" i="18"/>
  <c r="AN17" i="18"/>
  <c r="AN29" i="18"/>
  <c r="AM14" i="18"/>
  <c r="AM15" i="18"/>
  <c r="AM16" i="18"/>
  <c r="AM10" i="18"/>
  <c r="AM13" i="18" s="1"/>
  <c r="AM17" i="18"/>
  <c r="AM29" i="18"/>
  <c r="AL14" i="18"/>
  <c r="AL15" i="18"/>
  <c r="AL16" i="18"/>
  <c r="AL10" i="18"/>
  <c r="AL13" i="18" s="1"/>
  <c r="AL17" i="18"/>
  <c r="AL29" i="18"/>
  <c r="AK14" i="18"/>
  <c r="AK10" i="18" s="1"/>
  <c r="AK13" i="18" s="1"/>
  <c r="AK15" i="18"/>
  <c r="AK16" i="18"/>
  <c r="AK17" i="18"/>
  <c r="AK29" i="18"/>
  <c r="AJ14" i="18"/>
  <c r="AJ15" i="18"/>
  <c r="AJ16" i="18"/>
  <c r="AJ17" i="18"/>
  <c r="AJ29" i="18"/>
  <c r="AI14" i="18"/>
  <c r="AI15" i="18"/>
  <c r="AI16" i="18"/>
  <c r="AI10" i="18"/>
  <c r="AI13" i="18" s="1"/>
  <c r="AI17" i="18"/>
  <c r="AI29" i="18"/>
  <c r="AH14" i="18"/>
  <c r="AH15" i="18"/>
  <c r="AH16" i="18"/>
  <c r="AH10" i="18"/>
  <c r="AH13" i="18" s="1"/>
  <c r="AH17" i="18"/>
  <c r="AH29" i="18"/>
  <c r="AG14" i="18"/>
  <c r="AG10" i="18" s="1"/>
  <c r="AG13" i="18" s="1"/>
  <c r="AG15" i="18"/>
  <c r="AG16" i="18"/>
  <c r="AG17" i="18"/>
  <c r="AG29" i="18"/>
  <c r="AF14" i="18"/>
  <c r="AF15" i="18"/>
  <c r="AF16" i="18"/>
  <c r="AF17" i="18"/>
  <c r="AF29" i="18"/>
  <c r="AE14" i="18"/>
  <c r="AE15" i="18"/>
  <c r="AE16" i="18"/>
  <c r="AE10" i="18"/>
  <c r="AE13" i="18" s="1"/>
  <c r="AF21" i="18" s="1"/>
  <c r="AE17" i="18"/>
  <c r="AE29" i="18"/>
  <c r="AD14" i="18"/>
  <c r="AD10" i="18" s="1"/>
  <c r="AD13" i="18" s="1"/>
  <c r="AD15" i="18"/>
  <c r="AD16" i="18"/>
  <c r="AD17" i="18"/>
  <c r="AD29" i="18"/>
  <c r="AC14" i="18"/>
  <c r="AC15" i="18"/>
  <c r="AC10" i="18" s="1"/>
  <c r="AC13" i="18" s="1"/>
  <c r="AC16" i="18"/>
  <c r="AC17" i="18"/>
  <c r="AC29" i="18"/>
  <c r="AB14" i="18"/>
  <c r="AB10" i="18" s="1"/>
  <c r="AB13" i="18" s="1"/>
  <c r="AB15" i="18"/>
  <c r="AB16" i="18"/>
  <c r="AB17" i="18"/>
  <c r="AB29" i="18"/>
  <c r="AA14" i="18"/>
  <c r="AA15" i="18"/>
  <c r="AA10" i="18" s="1"/>
  <c r="AA13" i="18" s="1"/>
  <c r="AA16" i="18"/>
  <c r="AA17" i="18"/>
  <c r="AA29" i="18"/>
  <c r="Z14" i="18"/>
  <c r="Z15" i="18"/>
  <c r="Z16" i="18"/>
  <c r="Z10" i="18"/>
  <c r="Z13" i="18" s="1"/>
  <c r="Z17" i="18"/>
  <c r="Z29" i="18"/>
  <c r="Y14" i="18"/>
  <c r="Y10" i="18" s="1"/>
  <c r="Y13" i="18" s="1"/>
  <c r="Y15" i="18"/>
  <c r="Y16" i="18"/>
  <c r="Y17" i="18"/>
  <c r="Y29" i="18"/>
  <c r="X14" i="18"/>
  <c r="X15" i="18"/>
  <c r="X16" i="18"/>
  <c r="X17" i="18"/>
  <c r="X29" i="18"/>
  <c r="W14" i="18"/>
  <c r="W15" i="18"/>
  <c r="W16" i="18"/>
  <c r="W10" i="18"/>
  <c r="W13" i="18" s="1"/>
  <c r="W17" i="18"/>
  <c r="W29" i="18"/>
  <c r="V14" i="18"/>
  <c r="V10" i="18" s="1"/>
  <c r="V13" i="18" s="1"/>
  <c r="V15" i="18"/>
  <c r="V16" i="18"/>
  <c r="V17" i="18"/>
  <c r="V29" i="18"/>
  <c r="U14" i="18"/>
  <c r="U15" i="18"/>
  <c r="U10" i="18" s="1"/>
  <c r="U13" i="18" s="1"/>
  <c r="U16" i="18"/>
  <c r="U17" i="18"/>
  <c r="U29" i="18"/>
  <c r="T14" i="18"/>
  <c r="T10" i="18" s="1"/>
  <c r="T13" i="18" s="1"/>
  <c r="T15" i="18"/>
  <c r="T16" i="18"/>
  <c r="T17" i="18"/>
  <c r="T29" i="18"/>
  <c r="S14" i="18"/>
  <c r="S15" i="18"/>
  <c r="S10" i="18" s="1"/>
  <c r="S13" i="18" s="1"/>
  <c r="S16" i="18"/>
  <c r="S17" i="18"/>
  <c r="S29" i="18"/>
  <c r="R14" i="18"/>
  <c r="R15" i="18"/>
  <c r="R16" i="18"/>
  <c r="R10" i="18"/>
  <c r="R13" i="18" s="1"/>
  <c r="R17" i="18"/>
  <c r="R29" i="18"/>
  <c r="Q14" i="18"/>
  <c r="Q10" i="18" s="1"/>
  <c r="Q13" i="18" s="1"/>
  <c r="Q15" i="18"/>
  <c r="Q16" i="18"/>
  <c r="Q17" i="18"/>
  <c r="Q29" i="18"/>
  <c r="P14" i="18"/>
  <c r="P15" i="18"/>
  <c r="P10" i="18" s="1"/>
  <c r="P13" i="18" s="1"/>
  <c r="P16" i="18"/>
  <c r="P17" i="18"/>
  <c r="P29" i="18"/>
  <c r="O14" i="18"/>
  <c r="O15" i="18"/>
  <c r="O16" i="18"/>
  <c r="O10" i="18"/>
  <c r="O13" i="18" s="1"/>
  <c r="O17" i="18"/>
  <c r="O29" i="18"/>
  <c r="N14" i="18"/>
  <c r="N10" i="18" s="1"/>
  <c r="N13" i="18" s="1"/>
  <c r="N15" i="18"/>
  <c r="N16" i="18"/>
  <c r="N17" i="18"/>
  <c r="N29" i="18"/>
  <c r="M14" i="18"/>
  <c r="M10" i="18" s="1"/>
  <c r="M13" i="18" s="1"/>
  <c r="M15" i="18"/>
  <c r="M16" i="18"/>
  <c r="M17" i="18"/>
  <c r="M29" i="18"/>
  <c r="L14" i="18"/>
  <c r="L15" i="18"/>
  <c r="L10" i="18" s="1"/>
  <c r="L13" i="18" s="1"/>
  <c r="L16" i="18"/>
  <c r="L17" i="18"/>
  <c r="L29" i="18"/>
  <c r="K14" i="18"/>
  <c r="K15" i="18"/>
  <c r="K16" i="18"/>
  <c r="K10" i="18"/>
  <c r="K13" i="18" s="1"/>
  <c r="K17" i="18"/>
  <c r="K29" i="18"/>
  <c r="J14" i="18"/>
  <c r="J10" i="18" s="1"/>
  <c r="J13" i="18" s="1"/>
  <c r="J15" i="18"/>
  <c r="J16" i="18"/>
  <c r="J17" i="18"/>
  <c r="J29" i="18"/>
  <c r="I14" i="18"/>
  <c r="I10" i="18" s="1"/>
  <c r="I13" i="18" s="1"/>
  <c r="I15" i="18"/>
  <c r="I16" i="18"/>
  <c r="I17" i="18"/>
  <c r="I29" i="18"/>
  <c r="H14" i="18"/>
  <c r="H15" i="18"/>
  <c r="H10" i="18" s="1"/>
  <c r="H13" i="18" s="1"/>
  <c r="H16" i="18"/>
  <c r="H17" i="18"/>
  <c r="H29" i="18"/>
  <c r="G14" i="18"/>
  <c r="G15" i="18"/>
  <c r="G16" i="18"/>
  <c r="G10" i="18"/>
  <c r="G13" i="18" s="1"/>
  <c r="G17" i="18"/>
  <c r="G29" i="18"/>
  <c r="F14" i="18"/>
  <c r="F10" i="18" s="1"/>
  <c r="F13" i="18" s="1"/>
  <c r="F15" i="18"/>
  <c r="F16" i="18"/>
  <c r="F17" i="18"/>
  <c r="F29" i="18"/>
  <c r="E14" i="18"/>
  <c r="E10" i="18" s="1"/>
  <c r="E13" i="18" s="1"/>
  <c r="E15" i="18"/>
  <c r="E16" i="18"/>
  <c r="E17" i="18"/>
  <c r="E29" i="18"/>
  <c r="D14" i="18"/>
  <c r="D15" i="18"/>
  <c r="D10" i="18" s="1"/>
  <c r="D16" i="18"/>
  <c r="D17" i="18"/>
  <c r="D21" i="18"/>
  <c r="D27" i="18"/>
  <c r="D30" i="18" s="1"/>
  <c r="D29" i="18"/>
  <c r="D44" i="18"/>
  <c r="B21" i="16"/>
  <c r="B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8"/>
  <c r="D22" i="18" s="1"/>
  <c r="B22" i="17"/>
  <c r="AU22" i="17" s="1"/>
  <c r="AU24" i="17" l="1"/>
  <c r="AU34" i="17"/>
  <c r="AU40" i="17" s="1"/>
  <c r="AU45" i="17"/>
  <c r="AU51" i="17" s="1"/>
  <c r="I22" i="18"/>
  <c r="I21" i="18"/>
  <c r="R22" i="18"/>
  <c r="R21" i="18"/>
  <c r="V22" i="18"/>
  <c r="V21" i="18"/>
  <c r="AB22" i="18"/>
  <c r="AB21" i="18"/>
  <c r="AH21" i="18"/>
  <c r="AH22" i="18"/>
  <c r="AP21" i="18"/>
  <c r="AP22" i="18"/>
  <c r="AX22" i="18"/>
  <c r="AX21" i="18"/>
  <c r="AH21" i="17"/>
  <c r="AH22" i="17"/>
  <c r="F21" i="16"/>
  <c r="D24" i="18"/>
  <c r="D34" i="18"/>
  <c r="D40" i="18" s="1"/>
  <c r="D45" i="18"/>
  <c r="D51" i="18" s="1"/>
  <c r="F21" i="18"/>
  <c r="F22" i="18"/>
  <c r="M22" i="18"/>
  <c r="M21" i="18"/>
  <c r="AA22" i="18"/>
  <c r="AA21" i="18"/>
  <c r="AM22" i="18"/>
  <c r="AM21" i="18"/>
  <c r="AU22" i="18"/>
  <c r="AU21" i="18"/>
  <c r="D13" i="17"/>
  <c r="T21" i="17"/>
  <c r="T22" i="17"/>
  <c r="G21" i="16"/>
  <c r="U21" i="16"/>
  <c r="U22" i="16"/>
  <c r="G21" i="18"/>
  <c r="G22" i="18"/>
  <c r="J21" i="18"/>
  <c r="J22" i="18"/>
  <c r="L22" i="18"/>
  <c r="L21" i="18"/>
  <c r="T22" i="18"/>
  <c r="T21" i="18"/>
  <c r="W21" i="18"/>
  <c r="W22" i="18"/>
  <c r="Z21" i="18"/>
  <c r="Z22" i="18"/>
  <c r="AD22" i="18"/>
  <c r="AD21" i="18"/>
  <c r="AL21" i="18"/>
  <c r="AL22" i="18"/>
  <c r="D13" i="18"/>
  <c r="K21" i="18"/>
  <c r="K22" i="18"/>
  <c r="N21" i="18"/>
  <c r="N22" i="18"/>
  <c r="P21" i="18"/>
  <c r="P22" i="18"/>
  <c r="S22" i="18"/>
  <c r="S21" i="18"/>
  <c r="AF33" i="18"/>
  <c r="AF44" i="18"/>
  <c r="AF23" i="18"/>
  <c r="AI22" i="18"/>
  <c r="AI21" i="18"/>
  <c r="AQ22" i="18"/>
  <c r="AQ21" i="18"/>
  <c r="D50" i="17"/>
  <c r="D46" i="17"/>
  <c r="R22" i="17"/>
  <c r="R21" i="17"/>
  <c r="U21" i="17"/>
  <c r="U22" i="17"/>
  <c r="W22" i="17"/>
  <c r="W21" i="17"/>
  <c r="AN22" i="17"/>
  <c r="AN21" i="17"/>
  <c r="AS21" i="16"/>
  <c r="O21" i="18"/>
  <c r="O22" i="18"/>
  <c r="U21" i="18"/>
  <c r="U22" i="18"/>
  <c r="AE21" i="18"/>
  <c r="AE22" i="18"/>
  <c r="Q21" i="17"/>
  <c r="Q22" i="17"/>
  <c r="D46" i="18"/>
  <c r="H22" i="18"/>
  <c r="H21" i="18"/>
  <c r="L22" i="17"/>
  <c r="L21" i="17"/>
  <c r="Q21" i="18"/>
  <c r="Q22" i="18"/>
  <c r="AC21" i="18"/>
  <c r="AC22" i="18"/>
  <c r="AT21" i="18"/>
  <c r="AT22" i="18"/>
  <c r="G21" i="17"/>
  <c r="G22" i="17"/>
  <c r="AY22" i="17"/>
  <c r="AY21" i="17"/>
  <c r="X22" i="18"/>
  <c r="M21" i="16"/>
  <c r="AC21" i="16"/>
  <c r="AK22" i="16"/>
  <c r="D50" i="18"/>
  <c r="AZ17" i="18"/>
  <c r="X21" i="18"/>
  <c r="I44" i="17"/>
  <c r="D21" i="16"/>
  <c r="J21" i="16"/>
  <c r="E27" i="18"/>
  <c r="F27" i="17"/>
  <c r="H22" i="17"/>
  <c r="H21" i="17"/>
  <c r="I33" i="17"/>
  <c r="J21" i="17"/>
  <c r="M21" i="17"/>
  <c r="X22" i="17"/>
  <c r="X21" i="17"/>
  <c r="Z22" i="17"/>
  <c r="AB22" i="17"/>
  <c r="AB21" i="17"/>
  <c r="E27" i="16"/>
  <c r="D30" i="16"/>
  <c r="Q21" i="16"/>
  <c r="AD21" i="16"/>
  <c r="AK21" i="16"/>
  <c r="AF22" i="18"/>
  <c r="D24" i="17"/>
  <c r="D34" i="17"/>
  <c r="D40" i="17" s="1"/>
  <c r="D45" i="17"/>
  <c r="D51" i="17" s="1"/>
  <c r="F22" i="17"/>
  <c r="F21" i="17"/>
  <c r="J45" i="17"/>
  <c r="J51" i="17" s="1"/>
  <c r="J34" i="17"/>
  <c r="J40" i="17" s="1"/>
  <c r="J24" i="17"/>
  <c r="O44" i="17"/>
  <c r="O23" i="17"/>
  <c r="O33" i="17"/>
  <c r="V21" i="17"/>
  <c r="V22" i="17"/>
  <c r="AA23" i="17"/>
  <c r="AA33" i="17"/>
  <c r="AA44" i="17"/>
  <c r="AE24" i="17"/>
  <c r="AE45" i="17"/>
  <c r="AE51" i="17" s="1"/>
  <c r="AE21" i="17"/>
  <c r="AP24" i="17"/>
  <c r="AP34" i="17"/>
  <c r="AP40" i="17" s="1"/>
  <c r="AP45" i="17"/>
  <c r="AP51" i="17" s="1"/>
  <c r="AP21" i="17"/>
  <c r="R33" i="16"/>
  <c r="R23" i="16"/>
  <c r="R44" i="16"/>
  <c r="V21" i="16"/>
  <c r="AB21" i="16"/>
  <c r="AN21" i="16"/>
  <c r="AY21" i="16"/>
  <c r="BA14" i="15"/>
  <c r="D259" i="15"/>
  <c r="AZ259" i="15" s="1"/>
  <c r="S8" i="20"/>
  <c r="H8" i="20"/>
  <c r="H9" i="20"/>
  <c r="D33" i="18"/>
  <c r="AJ22" i="18"/>
  <c r="AN22" i="18"/>
  <c r="AR22" i="18"/>
  <c r="AV22" i="18"/>
  <c r="D33" i="17"/>
  <c r="D23" i="17"/>
  <c r="M24" i="17"/>
  <c r="M34" i="17"/>
  <c r="M40" i="17" s="1"/>
  <c r="M45" i="17"/>
  <c r="M51" i="17" s="1"/>
  <c r="O22" i="17"/>
  <c r="O10" i="17"/>
  <c r="O13" i="17" s="1"/>
  <c r="AA24" i="17"/>
  <c r="AA34" i="17"/>
  <c r="AA40" i="17" s="1"/>
  <c r="AE34" i="17"/>
  <c r="AE40" i="17" s="1"/>
  <c r="AG21" i="17"/>
  <c r="AG22" i="17"/>
  <c r="AJ22" i="17"/>
  <c r="AJ21" i="17"/>
  <c r="AR22" i="17"/>
  <c r="AR21" i="17"/>
  <c r="AS44" i="17"/>
  <c r="AS23" i="17"/>
  <c r="AS33" i="17"/>
  <c r="AS22" i="17"/>
  <c r="L21" i="16"/>
  <c r="T21" i="16"/>
  <c r="T22" i="16"/>
  <c r="AU21" i="17"/>
  <c r="Z21" i="17"/>
  <c r="D23" i="18"/>
  <c r="X10" i="18"/>
  <c r="X13" i="18" s="1"/>
  <c r="AF10" i="18"/>
  <c r="AF13" i="18" s="1"/>
  <c r="AJ21" i="18"/>
  <c r="AJ10" i="18"/>
  <c r="AJ13" i="18" s="1"/>
  <c r="AN21" i="18"/>
  <c r="AN10" i="18"/>
  <c r="AN13" i="18" s="1"/>
  <c r="AR21" i="18"/>
  <c r="AR10" i="18"/>
  <c r="AR13" i="18" s="1"/>
  <c r="AV21" i="18"/>
  <c r="AV10" i="18"/>
  <c r="AV13" i="18" s="1"/>
  <c r="I22" i="17"/>
  <c r="N22" i="17"/>
  <c r="N21" i="17"/>
  <c r="AC21" i="17"/>
  <c r="AC22" i="17"/>
  <c r="AM21" i="17"/>
  <c r="AM22" i="17"/>
  <c r="AQ21" i="17"/>
  <c r="AU10" i="17"/>
  <c r="AU13" i="17" s="1"/>
  <c r="AX21" i="17"/>
  <c r="AX22" i="17"/>
  <c r="K21" i="16"/>
  <c r="O21" i="16"/>
  <c r="X22" i="16"/>
  <c r="X21" i="16"/>
  <c r="Y21" i="16"/>
  <c r="AG22" i="16"/>
  <c r="AG21" i="16"/>
  <c r="AJ21" i="16"/>
  <c r="F260" i="15"/>
  <c r="AZ260" i="15" s="1"/>
  <c r="I260" i="15"/>
  <c r="N260" i="14"/>
  <c r="X10" i="17"/>
  <c r="X13" i="17" s="1"/>
  <c r="AE10" i="17"/>
  <c r="AE13" i="17" s="1"/>
  <c r="O10" i="16"/>
  <c r="O13" i="16" s="1"/>
  <c r="AF21" i="16"/>
  <c r="AI21" i="16"/>
  <c r="AK10" i="16"/>
  <c r="AK13" i="16" s="1"/>
  <c r="AR21" i="16"/>
  <c r="AR22" i="16"/>
  <c r="AM260" i="15"/>
  <c r="AX10" i="18"/>
  <c r="AX13" i="18" s="1"/>
  <c r="J10" i="17"/>
  <c r="J13" i="17" s="1"/>
  <c r="R10" i="17"/>
  <c r="R13" i="17" s="1"/>
  <c r="AI22" i="17"/>
  <c r="AI21" i="17"/>
  <c r="AK10" i="17"/>
  <c r="AK13" i="17" s="1"/>
  <c r="AQ22" i="17"/>
  <c r="AV10" i="17"/>
  <c r="AV13" i="17" s="1"/>
  <c r="H21" i="16"/>
  <c r="S21" i="16"/>
  <c r="V10" i="16"/>
  <c r="V13" i="16" s="1"/>
  <c r="Z21" i="16"/>
  <c r="AH21" i="16"/>
  <c r="AL10" i="16"/>
  <c r="AL13" i="16" s="1"/>
  <c r="AO22" i="16"/>
  <c r="AO21" i="16"/>
  <c r="BA14" i="14"/>
  <c r="AC10" i="17"/>
  <c r="AC13" i="17" s="1"/>
  <c r="AJ10" i="17"/>
  <c r="AJ13" i="17" s="1"/>
  <c r="AN10" i="17"/>
  <c r="AN13" i="17" s="1"/>
  <c r="AS10" i="17"/>
  <c r="AS13" i="17" s="1"/>
  <c r="AZ17" i="16"/>
  <c r="D10" i="16"/>
  <c r="H10" i="16"/>
  <c r="H13" i="16" s="1"/>
  <c r="M10" i="16"/>
  <c r="M13" i="16" s="1"/>
  <c r="AP21" i="16"/>
  <c r="AT21" i="16"/>
  <c r="AU21" i="16"/>
  <c r="AB260" i="14"/>
  <c r="Z10" i="16"/>
  <c r="Z13" i="16" s="1"/>
  <c r="AD10" i="16"/>
  <c r="AD13" i="16" s="1"/>
  <c r="AP10" i="16"/>
  <c r="AP13" i="16" s="1"/>
  <c r="AW22" i="16"/>
  <c r="K260" i="15"/>
  <c r="AR260" i="15"/>
  <c r="AD260" i="14"/>
  <c r="AG260" i="14"/>
  <c r="AZ17" i="17"/>
  <c r="AU10" i="16"/>
  <c r="AU13" i="16" s="1"/>
  <c r="AW21" i="16"/>
  <c r="L260" i="15"/>
  <c r="AT260" i="15"/>
  <c r="AW260" i="15"/>
  <c r="AZ259" i="14"/>
  <c r="L260" i="14"/>
  <c r="T260" i="14"/>
  <c r="Y260" i="14"/>
  <c r="AU260" i="14"/>
  <c r="S31" i="20"/>
  <c r="T32" i="20" s="1"/>
  <c r="S7" i="20"/>
  <c r="H7" i="20"/>
  <c r="S42" i="20"/>
  <c r="T43" i="20"/>
  <c r="S9" i="20"/>
  <c r="S10" i="20"/>
  <c r="T260" i="15"/>
  <c r="Y260" i="15"/>
  <c r="D260" i="14"/>
  <c r="I260" i="14"/>
  <c r="AJ260" i="14"/>
  <c r="AO260" i="14"/>
  <c r="H10" i="20"/>
  <c r="AW10" i="16"/>
  <c r="AW13" i="16" s="1"/>
  <c r="H260" i="15"/>
  <c r="P260" i="15"/>
  <c r="X260" i="15"/>
  <c r="AF260" i="15"/>
  <c r="AN260" i="15"/>
  <c r="AV260" i="15"/>
  <c r="H260" i="14"/>
  <c r="P260" i="14"/>
  <c r="X260" i="14"/>
  <c r="AF260" i="14"/>
  <c r="AN260" i="14"/>
  <c r="AV260" i="14"/>
  <c r="B22" i="16"/>
  <c r="AP23" i="16" l="1"/>
  <c r="AP44" i="16"/>
  <c r="AP33" i="16"/>
  <c r="AK21" i="17"/>
  <c r="AK22" i="17"/>
  <c r="Z23" i="16"/>
  <c r="Z44" i="16"/>
  <c r="Z33" i="16"/>
  <c r="AQ24" i="17"/>
  <c r="AQ45" i="17"/>
  <c r="AQ51" i="17" s="1"/>
  <c r="AQ34" i="17"/>
  <c r="AQ40" i="17" s="1"/>
  <c r="S21" i="17"/>
  <c r="S22" i="17"/>
  <c r="AI44" i="16"/>
  <c r="AI23" i="16"/>
  <c r="AI33" i="16"/>
  <c r="AF22" i="17"/>
  <c r="AF21" i="17"/>
  <c r="AG24" i="16"/>
  <c r="AG34" i="16"/>
  <c r="AG40" i="16" s="1"/>
  <c r="AG45" i="16"/>
  <c r="AG51" i="16" s="1"/>
  <c r="X24" i="16"/>
  <c r="X34" i="16"/>
  <c r="X40" i="16" s="1"/>
  <c r="X45" i="16"/>
  <c r="X51" i="16" s="1"/>
  <c r="AM45" i="17"/>
  <c r="AM51" i="17" s="1"/>
  <c r="AM34" i="17"/>
  <c r="AM40" i="17" s="1"/>
  <c r="AM24" i="17"/>
  <c r="AV23" i="18"/>
  <c r="AV33" i="18"/>
  <c r="AV44" i="18"/>
  <c r="Y21" i="18"/>
  <c r="Y22" i="18"/>
  <c r="T24" i="16"/>
  <c r="T45" i="16"/>
  <c r="T51" i="16" s="1"/>
  <c r="T34" i="16"/>
  <c r="T40" i="16" s="1"/>
  <c r="AR33" i="17"/>
  <c r="AR44" i="17"/>
  <c r="AR23" i="17"/>
  <c r="AG34" i="17"/>
  <c r="AG40" i="17" s="1"/>
  <c r="AG45" i="17"/>
  <c r="AG51" i="17" s="1"/>
  <c r="AG24" i="17"/>
  <c r="AY33" i="16"/>
  <c r="AY44" i="16"/>
  <c r="AY23" i="16"/>
  <c r="V24" i="17"/>
  <c r="V34" i="17"/>
  <c r="V40" i="17" s="1"/>
  <c r="V45" i="17"/>
  <c r="V51" i="17" s="1"/>
  <c r="F23" i="17"/>
  <c r="F33" i="17"/>
  <c r="F44" i="17"/>
  <c r="Q44" i="16"/>
  <c r="Q23" i="16"/>
  <c r="Q33" i="16"/>
  <c r="AB33" i="17"/>
  <c r="AB23" i="17"/>
  <c r="AB44" i="17"/>
  <c r="H33" i="17"/>
  <c r="H44" i="17"/>
  <c r="H23" i="17"/>
  <c r="J33" i="16"/>
  <c r="J23" i="16"/>
  <c r="J44" i="16"/>
  <c r="AK24" i="16"/>
  <c r="AK34" i="16"/>
  <c r="AK40" i="16" s="1"/>
  <c r="AK45" i="16"/>
  <c r="AK51" i="16" s="1"/>
  <c r="M44" i="16"/>
  <c r="M23" i="16"/>
  <c r="M33" i="16"/>
  <c r="AT44" i="18"/>
  <c r="AT33" i="18"/>
  <c r="AT23" i="18"/>
  <c r="Q23" i="18"/>
  <c r="Q33" i="18"/>
  <c r="Q44" i="18"/>
  <c r="AE24" i="18"/>
  <c r="AE34" i="18"/>
  <c r="AE40" i="18" s="1"/>
  <c r="AE45" i="18"/>
  <c r="AE51" i="18" s="1"/>
  <c r="O24" i="18"/>
  <c r="O34" i="18"/>
  <c r="O40" i="18" s="1"/>
  <c r="O45" i="18"/>
  <c r="O51" i="18" s="1"/>
  <c r="U34" i="17"/>
  <c r="U40" i="17" s="1"/>
  <c r="U45" i="17"/>
  <c r="U51" i="17" s="1"/>
  <c r="U24" i="17"/>
  <c r="AF39" i="18"/>
  <c r="P23" i="18"/>
  <c r="P33" i="18"/>
  <c r="P44" i="18"/>
  <c r="K33" i="18"/>
  <c r="K23" i="18"/>
  <c r="K44" i="18"/>
  <c r="Z24" i="18"/>
  <c r="Z34" i="18"/>
  <c r="Z40" i="18" s="1"/>
  <c r="Z45" i="18"/>
  <c r="Z51" i="18" s="1"/>
  <c r="T23" i="18"/>
  <c r="T33" i="18"/>
  <c r="T44" i="18"/>
  <c r="J34" i="18"/>
  <c r="J40" i="18" s="1"/>
  <c r="J24" i="18"/>
  <c r="J45" i="18"/>
  <c r="J51" i="18" s="1"/>
  <c r="T24" i="17"/>
  <c r="T34" i="17"/>
  <c r="T40" i="17" s="1"/>
  <c r="T45" i="17"/>
  <c r="T51" i="17" s="1"/>
  <c r="AU33" i="18"/>
  <c r="AU23" i="18"/>
  <c r="AU44" i="18"/>
  <c r="AA23" i="18"/>
  <c r="AA33" i="18"/>
  <c r="AA44" i="18"/>
  <c r="F34" i="18"/>
  <c r="F40" i="18" s="1"/>
  <c r="F45" i="18"/>
  <c r="F51" i="18" s="1"/>
  <c r="F24" i="18"/>
  <c r="AH24" i="17"/>
  <c r="AH34" i="17"/>
  <c r="AH40" i="17" s="1"/>
  <c r="AH45" i="17"/>
  <c r="AH51" i="17" s="1"/>
  <c r="AP34" i="18"/>
  <c r="AP40" i="18" s="1"/>
  <c r="AP24" i="18"/>
  <c r="AP45" i="18"/>
  <c r="AP51" i="18" s="1"/>
  <c r="AB23" i="18"/>
  <c r="AB33" i="18"/>
  <c r="AB44" i="18"/>
  <c r="D22" i="16"/>
  <c r="AT22" i="16"/>
  <c r="J22" i="16"/>
  <c r="AW23" i="16"/>
  <c r="AW33" i="16"/>
  <c r="AW44" i="16"/>
  <c r="AQ21" i="16"/>
  <c r="AQ22" i="16"/>
  <c r="AU33" i="16"/>
  <c r="AU44" i="16"/>
  <c r="AU23" i="16"/>
  <c r="AM21" i="16"/>
  <c r="AM22" i="16"/>
  <c r="H33" i="16"/>
  <c r="H44" i="16"/>
  <c r="H23" i="16"/>
  <c r="AL21" i="17"/>
  <c r="AL22" i="17"/>
  <c r="AR33" i="16"/>
  <c r="AR23" i="16"/>
  <c r="AR44" i="16"/>
  <c r="Y21" i="17"/>
  <c r="Y22" i="17"/>
  <c r="AJ22" i="16"/>
  <c r="O23" i="16"/>
  <c r="O44" i="16"/>
  <c r="O33" i="16"/>
  <c r="AX33" i="17"/>
  <c r="AX23" i="17"/>
  <c r="AX44" i="17"/>
  <c r="AM23" i="17"/>
  <c r="AM33" i="17"/>
  <c r="AM44" i="17"/>
  <c r="N45" i="17"/>
  <c r="N51" i="17" s="1"/>
  <c r="N24" i="17"/>
  <c r="N34" i="17"/>
  <c r="N40" i="17" s="1"/>
  <c r="AK22" i="18"/>
  <c r="AK21" i="18"/>
  <c r="T33" i="16"/>
  <c r="T44" i="16"/>
  <c r="T23" i="16"/>
  <c r="AS39" i="17"/>
  <c r="P22" i="17"/>
  <c r="P21" i="17"/>
  <c r="AN33" i="16"/>
  <c r="AN23" i="16"/>
  <c r="AN44" i="16"/>
  <c r="R39" i="16"/>
  <c r="V33" i="17"/>
  <c r="V23" i="17"/>
  <c r="V44" i="17"/>
  <c r="F45" i="17"/>
  <c r="F51" i="17" s="1"/>
  <c r="F24" i="17"/>
  <c r="F34" i="17"/>
  <c r="F40" i="17" s="1"/>
  <c r="K22" i="16"/>
  <c r="AB45" i="17"/>
  <c r="AB51" i="17" s="1"/>
  <c r="AB24" i="17"/>
  <c r="AB34" i="17"/>
  <c r="AB40" i="17" s="1"/>
  <c r="H24" i="17"/>
  <c r="H45" i="17"/>
  <c r="H51" i="17" s="1"/>
  <c r="H34" i="17"/>
  <c r="H40" i="17" s="1"/>
  <c r="AC23" i="16"/>
  <c r="AC33" i="16"/>
  <c r="AC44" i="16"/>
  <c r="G34" i="17"/>
  <c r="G40" i="17" s="1"/>
  <c r="G24" i="17"/>
  <c r="G45" i="17"/>
  <c r="G51" i="17" s="1"/>
  <c r="AC34" i="18"/>
  <c r="AC40" i="18" s="1"/>
  <c r="AC24" i="18"/>
  <c r="AC45" i="18"/>
  <c r="AC51" i="18" s="1"/>
  <c r="AE23" i="18"/>
  <c r="AE33" i="18"/>
  <c r="AE44" i="18"/>
  <c r="AN45" i="17"/>
  <c r="AN51" i="17" s="1"/>
  <c r="AN24" i="17"/>
  <c r="AN34" i="17"/>
  <c r="AN40" i="17" s="1"/>
  <c r="U44" i="17"/>
  <c r="U23" i="17"/>
  <c r="U33" i="17"/>
  <c r="AI24" i="18"/>
  <c r="AI34" i="18"/>
  <c r="AI40" i="18" s="1"/>
  <c r="AI45" i="18"/>
  <c r="AI51" i="18" s="1"/>
  <c r="N34" i="18"/>
  <c r="N40" i="18" s="1"/>
  <c r="N24" i="18"/>
  <c r="N45" i="18"/>
  <c r="N51" i="18" s="1"/>
  <c r="E22" i="18"/>
  <c r="E21" i="18"/>
  <c r="AL44" i="18"/>
  <c r="AL33" i="18"/>
  <c r="AL23" i="18"/>
  <c r="T45" i="18"/>
  <c r="T51" i="18" s="1"/>
  <c r="T34" i="18"/>
  <c r="T40" i="18" s="1"/>
  <c r="T24" i="18"/>
  <c r="J44" i="18"/>
  <c r="J33" i="18"/>
  <c r="J23" i="18"/>
  <c r="T33" i="17"/>
  <c r="T23" i="17"/>
  <c r="T44" i="17"/>
  <c r="AU24" i="18"/>
  <c r="AU34" i="18"/>
  <c r="AU40" i="18" s="1"/>
  <c r="AU45" i="18"/>
  <c r="AU51" i="18" s="1"/>
  <c r="F44" i="18"/>
  <c r="F23" i="18"/>
  <c r="F33" i="18"/>
  <c r="AH33" i="17"/>
  <c r="AH23" i="17"/>
  <c r="AH44" i="17"/>
  <c r="AP44" i="18"/>
  <c r="AP33" i="18"/>
  <c r="AP23" i="18"/>
  <c r="AB45" i="18"/>
  <c r="AB51" i="18" s="1"/>
  <c r="AB24" i="18"/>
  <c r="AB34" i="18"/>
  <c r="AB40" i="18" s="1"/>
  <c r="AZ260" i="14"/>
  <c r="T11" i="20"/>
  <c r="T45" i="20" s="1"/>
  <c r="AA21" i="16"/>
  <c r="AA22" i="16"/>
  <c r="AT44" i="16"/>
  <c r="AT33" i="16"/>
  <c r="AT23" i="16"/>
  <c r="I21" i="16"/>
  <c r="I22" i="16"/>
  <c r="AO21" i="17"/>
  <c r="AO22" i="17"/>
  <c r="AO23" i="16"/>
  <c r="AO33" i="16"/>
  <c r="AO44" i="16"/>
  <c r="AH22" i="16"/>
  <c r="S22" i="16"/>
  <c r="AW21" i="17"/>
  <c r="AW22" i="17"/>
  <c r="AI45" i="17"/>
  <c r="AI51" i="17" s="1"/>
  <c r="AI34" i="17"/>
  <c r="AI40" i="17" s="1"/>
  <c r="AI24" i="17"/>
  <c r="AI22" i="16"/>
  <c r="P22" i="16"/>
  <c r="P21" i="16"/>
  <c r="AG23" i="16"/>
  <c r="AG33" i="16"/>
  <c r="AG44" i="16"/>
  <c r="X33" i="16"/>
  <c r="X23" i="16"/>
  <c r="X44" i="16"/>
  <c r="K23" i="16"/>
  <c r="K33" i="16"/>
  <c r="K44" i="16"/>
  <c r="AQ23" i="17"/>
  <c r="AQ33" i="17"/>
  <c r="AQ44" i="17"/>
  <c r="AC44" i="17"/>
  <c r="AC23" i="17"/>
  <c r="AC33" i="17"/>
  <c r="AW22" i="18"/>
  <c r="AW21" i="18"/>
  <c r="AO22" i="18"/>
  <c r="AO21" i="18"/>
  <c r="AG21" i="18"/>
  <c r="AG22" i="18"/>
  <c r="AU23" i="17"/>
  <c r="AU33" i="17"/>
  <c r="AU44" i="17"/>
  <c r="L22" i="16"/>
  <c r="AS50" i="17"/>
  <c r="AJ45" i="17"/>
  <c r="AJ51" i="17" s="1"/>
  <c r="AJ34" i="17"/>
  <c r="AJ40" i="17" s="1"/>
  <c r="AJ24" i="17"/>
  <c r="D35" i="17"/>
  <c r="D39" i="17"/>
  <c r="AN45" i="18"/>
  <c r="AN51" i="18" s="1"/>
  <c r="AN34" i="18"/>
  <c r="AN40" i="18" s="1"/>
  <c r="AN24" i="18"/>
  <c r="AY22" i="16"/>
  <c r="AB22" i="16"/>
  <c r="R50" i="16"/>
  <c r="AK23" i="16"/>
  <c r="AK44" i="16"/>
  <c r="AK33" i="16"/>
  <c r="Q22" i="16"/>
  <c r="F27" i="16"/>
  <c r="E30" i="16"/>
  <c r="X33" i="17"/>
  <c r="X44" i="17"/>
  <c r="X23" i="17"/>
  <c r="I39" i="17"/>
  <c r="F27" i="18"/>
  <c r="E30" i="18"/>
  <c r="M22" i="16"/>
  <c r="AY23" i="17"/>
  <c r="AY33" i="17"/>
  <c r="AY44" i="17"/>
  <c r="AT34" i="18"/>
  <c r="AT40" i="18" s="1"/>
  <c r="AT24" i="18"/>
  <c r="AT45" i="18"/>
  <c r="AT51" i="18" s="1"/>
  <c r="Q45" i="18"/>
  <c r="Q51" i="18" s="1"/>
  <c r="Q34" i="18"/>
  <c r="Q40" i="18" s="1"/>
  <c r="Q24" i="18"/>
  <c r="H23" i="18"/>
  <c r="H33" i="18"/>
  <c r="H44" i="18"/>
  <c r="Q23" i="17"/>
  <c r="Q33" i="17"/>
  <c r="Q44" i="17"/>
  <c r="U44" i="18"/>
  <c r="U23" i="18"/>
  <c r="U33" i="18"/>
  <c r="AS22" i="16"/>
  <c r="W34" i="17"/>
  <c r="W40" i="17" s="1"/>
  <c r="W45" i="17"/>
  <c r="W51" i="17" s="1"/>
  <c r="W24" i="17"/>
  <c r="R45" i="17"/>
  <c r="R51" i="17" s="1"/>
  <c r="R34" i="17"/>
  <c r="R40" i="17" s="1"/>
  <c r="R24" i="17"/>
  <c r="AQ24" i="18"/>
  <c r="AQ45" i="18"/>
  <c r="AQ51" i="18" s="1"/>
  <c r="AQ34" i="18"/>
  <c r="AQ40" i="18" s="1"/>
  <c r="AF50" i="18"/>
  <c r="P24" i="18"/>
  <c r="P34" i="18"/>
  <c r="P40" i="18" s="1"/>
  <c r="P45" i="18"/>
  <c r="P51" i="18" s="1"/>
  <c r="K24" i="18"/>
  <c r="K34" i="18"/>
  <c r="K40" i="18" s="1"/>
  <c r="K45" i="18"/>
  <c r="K51" i="18" s="1"/>
  <c r="AD24" i="18"/>
  <c r="AD45" i="18"/>
  <c r="AD51" i="18" s="1"/>
  <c r="AD34" i="18"/>
  <c r="AD40" i="18" s="1"/>
  <c r="W23" i="18"/>
  <c r="W33" i="18"/>
  <c r="W44" i="18"/>
  <c r="L34" i="18"/>
  <c r="L40" i="18" s="1"/>
  <c r="L45" i="18"/>
  <c r="L51" i="18" s="1"/>
  <c r="L24" i="18"/>
  <c r="G33" i="18"/>
  <c r="G23" i="18"/>
  <c r="G44" i="18"/>
  <c r="G23" i="16"/>
  <c r="G33" i="16"/>
  <c r="G44" i="16"/>
  <c r="AZ10" i="17"/>
  <c r="AM24" i="18"/>
  <c r="AM45" i="18"/>
  <c r="AM51" i="18" s="1"/>
  <c r="AM34" i="18"/>
  <c r="AM40" i="18" s="1"/>
  <c r="M45" i="18"/>
  <c r="M51" i="18" s="1"/>
  <c r="M24" i="18"/>
  <c r="M34" i="18"/>
  <c r="M40" i="18" s="1"/>
  <c r="F33" i="16"/>
  <c r="F44" i="16"/>
  <c r="F23" i="16"/>
  <c r="AX34" i="18"/>
  <c r="AX40" i="18" s="1"/>
  <c r="AX24" i="18"/>
  <c r="AX45" i="18"/>
  <c r="AX51" i="18" s="1"/>
  <c r="AH33" i="18"/>
  <c r="AH44" i="18"/>
  <c r="AH23" i="18"/>
  <c r="V24" i="18"/>
  <c r="V45" i="18"/>
  <c r="V51" i="18" s="1"/>
  <c r="V34" i="18"/>
  <c r="V40" i="18" s="1"/>
  <c r="I45" i="18"/>
  <c r="I51" i="18" s="1"/>
  <c r="I24" i="18"/>
  <c r="I34" i="18"/>
  <c r="I40" i="18" s="1"/>
  <c r="AW45" i="16"/>
  <c r="AW51" i="16" s="1"/>
  <c r="AW34" i="16"/>
  <c r="AW40" i="16" s="1"/>
  <c r="AW24" i="16"/>
  <c r="AZ10" i="16"/>
  <c r="D13" i="16"/>
  <c r="AO34" i="16"/>
  <c r="AO40" i="16" s="1"/>
  <c r="AO45" i="16"/>
  <c r="AO51" i="16" s="1"/>
  <c r="AO24" i="16"/>
  <c r="S23" i="16"/>
  <c r="S33" i="16"/>
  <c r="S44" i="16"/>
  <c r="AR24" i="16"/>
  <c r="AR34" i="16"/>
  <c r="AR40" i="16" s="1"/>
  <c r="AR45" i="16"/>
  <c r="AR51" i="16" s="1"/>
  <c r="AX24" i="17"/>
  <c r="AX34" i="17"/>
  <c r="AX40" i="17" s="1"/>
  <c r="AX45" i="17"/>
  <c r="AX51" i="17" s="1"/>
  <c r="N23" i="17"/>
  <c r="N44" i="17"/>
  <c r="N33" i="17"/>
  <c r="AN23" i="18"/>
  <c r="AN33" i="18"/>
  <c r="AN44" i="18"/>
  <c r="AS34" i="17"/>
  <c r="AS40" i="17" s="1"/>
  <c r="AS45" i="17"/>
  <c r="AS51" i="17" s="1"/>
  <c r="AS24" i="17"/>
  <c r="AJ45" i="18"/>
  <c r="AJ51" i="18" s="1"/>
  <c r="AJ34" i="18"/>
  <c r="AJ40" i="18" s="1"/>
  <c r="AJ24" i="18"/>
  <c r="AB33" i="16"/>
  <c r="AB23" i="16"/>
  <c r="AB44" i="16"/>
  <c r="O46" i="17"/>
  <c r="O50" i="17"/>
  <c r="AD33" i="16"/>
  <c r="AD44" i="16"/>
  <c r="AD23" i="16"/>
  <c r="X45" i="17"/>
  <c r="X51" i="17" s="1"/>
  <c r="X24" i="17"/>
  <c r="X34" i="17"/>
  <c r="X40" i="17" s="1"/>
  <c r="X23" i="18"/>
  <c r="X33" i="18"/>
  <c r="X44" i="18"/>
  <c r="AY45" i="17"/>
  <c r="AY51" i="17" s="1"/>
  <c r="AY24" i="17"/>
  <c r="AY34" i="17"/>
  <c r="AY40" i="17" s="1"/>
  <c r="H34" i="18"/>
  <c r="H40" i="18" s="1"/>
  <c r="H45" i="18"/>
  <c r="H51" i="18" s="1"/>
  <c r="H24" i="18"/>
  <c r="AN33" i="17"/>
  <c r="AN44" i="17"/>
  <c r="AN23" i="17"/>
  <c r="AI33" i="18"/>
  <c r="AI23" i="18"/>
  <c r="AI44" i="18"/>
  <c r="AL34" i="18"/>
  <c r="AL40" i="18" s="1"/>
  <c r="AL24" i="18"/>
  <c r="AL45" i="18"/>
  <c r="AL51" i="18" s="1"/>
  <c r="U45" i="16"/>
  <c r="U51" i="16" s="1"/>
  <c r="U24" i="16"/>
  <c r="U34" i="16"/>
  <c r="U40" i="16" s="1"/>
  <c r="R33" i="18"/>
  <c r="R44" i="18"/>
  <c r="R23" i="18"/>
  <c r="AP22" i="16"/>
  <c r="AD21" i="17"/>
  <c r="AD22" i="17"/>
  <c r="Z22" i="16"/>
  <c r="K21" i="17"/>
  <c r="K22" i="17"/>
  <c r="AF33" i="16"/>
  <c r="AF23" i="16"/>
  <c r="AF44" i="16"/>
  <c r="Y23" i="16"/>
  <c r="Y33" i="16"/>
  <c r="Y44" i="16"/>
  <c r="AS22" i="18"/>
  <c r="AS21" i="18"/>
  <c r="AR45" i="17"/>
  <c r="AR51" i="17" s="1"/>
  <c r="AR24" i="17"/>
  <c r="AR34" i="17"/>
  <c r="AR40" i="17" s="1"/>
  <c r="AG44" i="17"/>
  <c r="AG23" i="17"/>
  <c r="AG33" i="17"/>
  <c r="AV45" i="18"/>
  <c r="AV51" i="18" s="1"/>
  <c r="AV34" i="18"/>
  <c r="AV40" i="18" s="1"/>
  <c r="AV24" i="18"/>
  <c r="D39" i="18"/>
  <c r="D35" i="18"/>
  <c r="V33" i="16"/>
  <c r="V44" i="16"/>
  <c r="V23" i="16"/>
  <c r="AA46" i="17"/>
  <c r="AA50" i="17"/>
  <c r="AD22" i="16"/>
  <c r="M23" i="17"/>
  <c r="M33" i="17"/>
  <c r="M44" i="17"/>
  <c r="D33" i="16"/>
  <c r="D23" i="16"/>
  <c r="D44" i="16"/>
  <c r="X45" i="18"/>
  <c r="X51" i="18" s="1"/>
  <c r="X34" i="18"/>
  <c r="X40" i="18" s="1"/>
  <c r="X24" i="18"/>
  <c r="L33" i="17"/>
  <c r="L23" i="17"/>
  <c r="L44" i="17"/>
  <c r="O33" i="18"/>
  <c r="O23" i="18"/>
  <c r="O44" i="18"/>
  <c r="S23" i="18"/>
  <c r="S33" i="18"/>
  <c r="S44" i="18"/>
  <c r="Z33" i="18"/>
  <c r="Z44" i="18"/>
  <c r="Z23" i="18"/>
  <c r="U23" i="16"/>
  <c r="U44" i="16"/>
  <c r="U33" i="16"/>
  <c r="AA24" i="18"/>
  <c r="AA34" i="18"/>
  <c r="AA40" i="18" s="1"/>
  <c r="AA45" i="18"/>
  <c r="AA51" i="18" s="1"/>
  <c r="R24" i="18"/>
  <c r="R34" i="18"/>
  <c r="R40" i="18" s="1"/>
  <c r="R45" i="18"/>
  <c r="R51" i="18" s="1"/>
  <c r="AX21" i="16"/>
  <c r="AX22" i="16"/>
  <c r="AV21" i="16"/>
  <c r="AV22" i="16"/>
  <c r="AE21" i="16"/>
  <c r="AE22" i="16"/>
  <c r="AU22" i="16"/>
  <c r="N21" i="16"/>
  <c r="N22" i="16"/>
  <c r="AT21" i="17"/>
  <c r="AT22" i="17"/>
  <c r="AH33" i="16"/>
  <c r="AH23" i="16"/>
  <c r="AH44" i="16"/>
  <c r="W21" i="16"/>
  <c r="W22" i="16"/>
  <c r="H22" i="16"/>
  <c r="AI23" i="17"/>
  <c r="AI33" i="17"/>
  <c r="AI44" i="17"/>
  <c r="AY21" i="18"/>
  <c r="AY22" i="18"/>
  <c r="AL22" i="16"/>
  <c r="AL21" i="16"/>
  <c r="AF22" i="16"/>
  <c r="AJ33" i="16"/>
  <c r="AJ44" i="16"/>
  <c r="AJ23" i="16"/>
  <c r="Y22" i="16"/>
  <c r="O22" i="16"/>
  <c r="AV22" i="17"/>
  <c r="AV21" i="17"/>
  <c r="AC34" i="17"/>
  <c r="AC40" i="17" s="1"/>
  <c r="AC45" i="17"/>
  <c r="AC51" i="17" s="1"/>
  <c r="AC24" i="17"/>
  <c r="I34" i="17"/>
  <c r="I40" i="17" s="1"/>
  <c r="I24" i="17"/>
  <c r="I45" i="17"/>
  <c r="I51" i="17" s="1"/>
  <c r="AR23" i="18"/>
  <c r="AR33" i="18"/>
  <c r="AR44" i="18"/>
  <c r="AJ23" i="18"/>
  <c r="AJ33" i="18"/>
  <c r="AJ44" i="18"/>
  <c r="Z33" i="17"/>
  <c r="Z23" i="17"/>
  <c r="Z44" i="17"/>
  <c r="L33" i="16"/>
  <c r="L23" i="16"/>
  <c r="L44" i="16"/>
  <c r="AJ44" i="17"/>
  <c r="AJ23" i="17"/>
  <c r="AJ33" i="17"/>
  <c r="O34" i="17"/>
  <c r="O40" i="17" s="1"/>
  <c r="O24" i="17"/>
  <c r="O45" i="17"/>
  <c r="O51" i="17" s="1"/>
  <c r="AR45" i="18"/>
  <c r="AR51" i="18" s="1"/>
  <c r="AR34" i="18"/>
  <c r="AR40" i="18" s="1"/>
  <c r="AR24" i="18"/>
  <c r="AN22" i="16"/>
  <c r="V22" i="16"/>
  <c r="AP33" i="17"/>
  <c r="AP23" i="17"/>
  <c r="AP44" i="17"/>
  <c r="AE23" i="17"/>
  <c r="AE44" i="17"/>
  <c r="AE33" i="17"/>
  <c r="AA39" i="17"/>
  <c r="AA35" i="17"/>
  <c r="O35" i="17"/>
  <c r="O39" i="17"/>
  <c r="AF45" i="18"/>
  <c r="AF51" i="18" s="1"/>
  <c r="AF34" i="18"/>
  <c r="AF40" i="18" s="1"/>
  <c r="AF24" i="18"/>
  <c r="R22" i="16"/>
  <c r="Z24" i="17"/>
  <c r="Z34" i="17"/>
  <c r="Z40" i="17" s="1"/>
  <c r="Z45" i="17"/>
  <c r="Z51" i="17" s="1"/>
  <c r="J33" i="17"/>
  <c r="J44" i="17"/>
  <c r="J23" i="17"/>
  <c r="G27" i="17"/>
  <c r="F30" i="17"/>
  <c r="I46" i="17"/>
  <c r="I50" i="17"/>
  <c r="AC22" i="16"/>
  <c r="G44" i="17"/>
  <c r="G23" i="17"/>
  <c r="G33" i="17"/>
  <c r="AC44" i="18"/>
  <c r="AC23" i="18"/>
  <c r="AC33" i="18"/>
  <c r="L24" i="17"/>
  <c r="L34" i="17"/>
  <c r="L40" i="17" s="1"/>
  <c r="L45" i="17"/>
  <c r="L51" i="17" s="1"/>
  <c r="Q45" i="17"/>
  <c r="Q51" i="17" s="1"/>
  <c r="Q24" i="17"/>
  <c r="Q34" i="17"/>
  <c r="Q40" i="17" s="1"/>
  <c r="U34" i="18"/>
  <c r="U40" i="18" s="1"/>
  <c r="U24" i="18"/>
  <c r="U45" i="18"/>
  <c r="U51" i="18" s="1"/>
  <c r="AS23" i="16"/>
  <c r="AS33" i="16"/>
  <c r="AS44" i="16"/>
  <c r="W23" i="17"/>
  <c r="W33" i="17"/>
  <c r="W44" i="17"/>
  <c r="R33" i="17"/>
  <c r="R44" i="17"/>
  <c r="R23" i="17"/>
  <c r="AQ33" i="18"/>
  <c r="AQ23" i="18"/>
  <c r="AQ44" i="18"/>
  <c r="S24" i="18"/>
  <c r="S34" i="18"/>
  <c r="S40" i="18" s="1"/>
  <c r="S45" i="18"/>
  <c r="S51" i="18" s="1"/>
  <c r="N44" i="18"/>
  <c r="N23" i="18"/>
  <c r="N33" i="18"/>
  <c r="AZ10" i="18"/>
  <c r="AD33" i="18"/>
  <c r="AD44" i="18"/>
  <c r="AD23" i="18"/>
  <c r="W24" i="18"/>
  <c r="W34" i="18"/>
  <c r="W40" i="18" s="1"/>
  <c r="W45" i="18"/>
  <c r="W51" i="18" s="1"/>
  <c r="L23" i="18"/>
  <c r="L33" i="18"/>
  <c r="L44" i="18"/>
  <c r="G24" i="18"/>
  <c r="G34" i="18"/>
  <c r="G40" i="18" s="1"/>
  <c r="G45" i="18"/>
  <c r="G51" i="18" s="1"/>
  <c r="G22" i="16"/>
  <c r="E22" i="17"/>
  <c r="E21" i="17"/>
  <c r="AM33" i="18"/>
  <c r="AM23" i="18"/>
  <c r="AM44" i="18"/>
  <c r="M23" i="18"/>
  <c r="M33" i="18"/>
  <c r="M44" i="18"/>
  <c r="F22" i="16"/>
  <c r="AX44" i="18"/>
  <c r="AX33" i="18"/>
  <c r="AX23" i="18"/>
  <c r="AH24" i="18"/>
  <c r="AH34" i="18"/>
  <c r="AH40" i="18" s="1"/>
  <c r="AH45" i="18"/>
  <c r="AH51" i="18" s="1"/>
  <c r="V33" i="18"/>
  <c r="V44" i="18"/>
  <c r="V23" i="18"/>
  <c r="I33" i="18"/>
  <c r="I44" i="18"/>
  <c r="I23" i="18"/>
  <c r="I46" i="18" l="1"/>
  <c r="I50" i="18"/>
  <c r="M50" i="18"/>
  <c r="M46" i="18"/>
  <c r="G45" i="16"/>
  <c r="G51" i="16" s="1"/>
  <c r="G24" i="16"/>
  <c r="G34" i="16"/>
  <c r="G40" i="16" s="1"/>
  <c r="AD39" i="18"/>
  <c r="AD35" i="18"/>
  <c r="AQ50" i="18"/>
  <c r="AQ46" i="18"/>
  <c r="R46" i="17"/>
  <c r="R50" i="17"/>
  <c r="AE46" i="17"/>
  <c r="AE50" i="17"/>
  <c r="AJ50" i="17"/>
  <c r="AJ46" i="17"/>
  <c r="Z50" i="17"/>
  <c r="Z46" i="17"/>
  <c r="AV45" i="17"/>
  <c r="AV51" i="17" s="1"/>
  <c r="AV24" i="17"/>
  <c r="AV34" i="17"/>
  <c r="AV40" i="17" s="1"/>
  <c r="AL45" i="16"/>
  <c r="AL51" i="16" s="1"/>
  <c r="AL24" i="16"/>
  <c r="AL34" i="16"/>
  <c r="AL40" i="16" s="1"/>
  <c r="AI39" i="17"/>
  <c r="AI35" i="17"/>
  <c r="W44" i="16"/>
  <c r="W23" i="16"/>
  <c r="W33" i="16"/>
  <c r="AU24" i="16"/>
  <c r="AU34" i="16"/>
  <c r="AU40" i="16" s="1"/>
  <c r="AU45" i="16"/>
  <c r="AU51" i="16" s="1"/>
  <c r="AV23" i="16"/>
  <c r="AV33" i="16"/>
  <c r="AV44" i="16"/>
  <c r="O35" i="18"/>
  <c r="O39" i="18"/>
  <c r="AS44" i="18"/>
  <c r="AS23" i="18"/>
  <c r="AS33" i="18"/>
  <c r="AD33" i="17"/>
  <c r="AD23" i="17"/>
  <c r="AD44" i="17"/>
  <c r="X35" i="18"/>
  <c r="X39" i="18"/>
  <c r="AB39" i="16"/>
  <c r="F39" i="16"/>
  <c r="F35" i="16"/>
  <c r="G46" i="16"/>
  <c r="G50" i="16"/>
  <c r="AS34" i="16"/>
  <c r="AS40" i="16" s="1"/>
  <c r="AS45" i="16"/>
  <c r="AS51" i="16" s="1"/>
  <c r="AS24" i="16"/>
  <c r="H39" i="18"/>
  <c r="H35" i="18"/>
  <c r="AY46" i="17"/>
  <c r="AY50" i="17"/>
  <c r="G27" i="16"/>
  <c r="F30" i="16"/>
  <c r="AU46" i="17"/>
  <c r="AU50" i="17"/>
  <c r="AW45" i="18"/>
  <c r="AW51" i="18" s="1"/>
  <c r="AW34" i="18"/>
  <c r="AW40" i="18" s="1"/>
  <c r="AW24" i="18"/>
  <c r="AQ46" i="17"/>
  <c r="AQ50" i="17"/>
  <c r="X35" i="16"/>
  <c r="X39" i="16"/>
  <c r="P33" i="16"/>
  <c r="P44" i="16"/>
  <c r="P23" i="16"/>
  <c r="S45" i="16"/>
  <c r="S51" i="16" s="1"/>
  <c r="S34" i="16"/>
  <c r="S40" i="16" s="1"/>
  <c r="S24" i="16"/>
  <c r="I44" i="16"/>
  <c r="I33" i="16"/>
  <c r="I23" i="16"/>
  <c r="AP39" i="18"/>
  <c r="AP35" i="18"/>
  <c r="AH39" i="17"/>
  <c r="AH35" i="17"/>
  <c r="J50" i="18"/>
  <c r="J46" i="18"/>
  <c r="V50" i="17"/>
  <c r="V46" i="17"/>
  <c r="AK45" i="18"/>
  <c r="AK51" i="18" s="1"/>
  <c r="AK34" i="18"/>
  <c r="AK40" i="18" s="1"/>
  <c r="AK24" i="18"/>
  <c r="AR50" i="16"/>
  <c r="AR46" i="16"/>
  <c r="AM34" i="16"/>
  <c r="AM40" i="16" s="1"/>
  <c r="AM45" i="16"/>
  <c r="AM51" i="16" s="1"/>
  <c r="AM24" i="16"/>
  <c r="AU39" i="16"/>
  <c r="AU35" i="16"/>
  <c r="AW35" i="16"/>
  <c r="AW39" i="16"/>
  <c r="K50" i="18"/>
  <c r="K46" i="18"/>
  <c r="P39" i="18"/>
  <c r="P35" i="18"/>
  <c r="Q50" i="16"/>
  <c r="Q46" i="16"/>
  <c r="AP35" i="16"/>
  <c r="AP39" i="16"/>
  <c r="I35" i="18"/>
  <c r="I39" i="18"/>
  <c r="M35" i="18"/>
  <c r="M39" i="18"/>
  <c r="AM39" i="18"/>
  <c r="AM35" i="18"/>
  <c r="L39" i="18"/>
  <c r="L35" i="18"/>
  <c r="R35" i="17"/>
  <c r="R39" i="17"/>
  <c r="AS46" i="16"/>
  <c r="AS50" i="16"/>
  <c r="AC35" i="18"/>
  <c r="AC39" i="18"/>
  <c r="J46" i="17"/>
  <c r="J50" i="17"/>
  <c r="V45" i="16"/>
  <c r="V51" i="16" s="1"/>
  <c r="V24" i="16"/>
  <c r="V34" i="16"/>
  <c r="V40" i="16" s="1"/>
  <c r="L50" i="16"/>
  <c r="O24" i="16"/>
  <c r="O45" i="16"/>
  <c r="O51" i="16" s="1"/>
  <c r="O34" i="16"/>
  <c r="O40" i="16" s="1"/>
  <c r="AY34" i="18"/>
  <c r="AY40" i="18" s="1"/>
  <c r="AY24" i="18"/>
  <c r="AY45" i="18"/>
  <c r="AY51" i="18" s="1"/>
  <c r="AT33" i="17"/>
  <c r="AT44" i="17"/>
  <c r="AT23" i="17"/>
  <c r="AX34" i="16"/>
  <c r="AX40" i="16" s="1"/>
  <c r="AX24" i="16"/>
  <c r="AX45" i="16"/>
  <c r="AX51" i="16" s="1"/>
  <c r="Z50" i="18"/>
  <c r="Z46" i="18"/>
  <c r="L50" i="17"/>
  <c r="L46" i="17"/>
  <c r="D39" i="16"/>
  <c r="AG39" i="17"/>
  <c r="AG35" i="17"/>
  <c r="AS45" i="18"/>
  <c r="AS51" i="18" s="1"/>
  <c r="AS34" i="18"/>
  <c r="AS40" i="18" s="1"/>
  <c r="AS24" i="18"/>
  <c r="K44" i="17"/>
  <c r="K23" i="17"/>
  <c r="K33" i="17"/>
  <c r="AI39" i="18"/>
  <c r="AI35" i="18"/>
  <c r="E21" i="16"/>
  <c r="E22" i="16"/>
  <c r="G39" i="16"/>
  <c r="G39" i="18"/>
  <c r="G35" i="18"/>
  <c r="U35" i="18"/>
  <c r="U39" i="18"/>
  <c r="Q39" i="17"/>
  <c r="Q35" i="17"/>
  <c r="AY39" i="17"/>
  <c r="AY35" i="17"/>
  <c r="X50" i="17"/>
  <c r="X46" i="17"/>
  <c r="Q34" i="16"/>
  <c r="Q40" i="16" s="1"/>
  <c r="Q45" i="16"/>
  <c r="Q51" i="16" s="1"/>
  <c r="Q24" i="16"/>
  <c r="AO44" i="18"/>
  <c r="AO23" i="18"/>
  <c r="AO33" i="18"/>
  <c r="AQ39" i="17"/>
  <c r="AQ35" i="17"/>
  <c r="AG46" i="16"/>
  <c r="AG50" i="16"/>
  <c r="AH45" i="16"/>
  <c r="AH51" i="16" s="1"/>
  <c r="AH34" i="16"/>
  <c r="AH40" i="16" s="1"/>
  <c r="AH24" i="16"/>
  <c r="AA44" i="16"/>
  <c r="AA23" i="16"/>
  <c r="AA33" i="16"/>
  <c r="F35" i="18"/>
  <c r="F39" i="18"/>
  <c r="AL39" i="18"/>
  <c r="AL35" i="18"/>
  <c r="U46" i="17"/>
  <c r="U50" i="17"/>
  <c r="AE46" i="18"/>
  <c r="AE50" i="18"/>
  <c r="P24" i="17"/>
  <c r="P34" i="17"/>
  <c r="P40" i="17" s="1"/>
  <c r="P45" i="17"/>
  <c r="P51" i="17" s="1"/>
  <c r="AM39" i="17"/>
  <c r="AM35" i="17"/>
  <c r="AJ24" i="16"/>
  <c r="AJ34" i="16"/>
  <c r="AJ40" i="16" s="1"/>
  <c r="AJ45" i="16"/>
  <c r="AJ51" i="16" s="1"/>
  <c r="AQ34" i="16"/>
  <c r="AQ40" i="16" s="1"/>
  <c r="AQ45" i="16"/>
  <c r="AQ51" i="16" s="1"/>
  <c r="AQ24" i="16"/>
  <c r="Q46" i="18"/>
  <c r="Q50" i="18"/>
  <c r="AT39" i="18"/>
  <c r="AT35" i="18"/>
  <c r="J50" i="16"/>
  <c r="AB35" i="17"/>
  <c r="AB39" i="17"/>
  <c r="AY35" i="16"/>
  <c r="AY39" i="16"/>
  <c r="AV46" i="18"/>
  <c r="AV50" i="18"/>
  <c r="AF33" i="17"/>
  <c r="AF44" i="17"/>
  <c r="AF23" i="17"/>
  <c r="AI50" i="16"/>
  <c r="AP50" i="16"/>
  <c r="AX50" i="18"/>
  <c r="AX46" i="18"/>
  <c r="N35" i="18"/>
  <c r="N39" i="18"/>
  <c r="AQ39" i="18"/>
  <c r="AQ35" i="18"/>
  <c r="W46" i="17"/>
  <c r="W50" i="17"/>
  <c r="AS39" i="16"/>
  <c r="AS35" i="16"/>
  <c r="G46" i="17"/>
  <c r="G50" i="17"/>
  <c r="AP50" i="17"/>
  <c r="AP46" i="17"/>
  <c r="AN24" i="16"/>
  <c r="AN34" i="16"/>
  <c r="AN40" i="16" s="1"/>
  <c r="AN45" i="16"/>
  <c r="AN51" i="16" s="1"/>
  <c r="AJ35" i="17"/>
  <c r="AJ39" i="17"/>
  <c r="AR46" i="18"/>
  <c r="AR50" i="18"/>
  <c r="Y34" i="16"/>
  <c r="Y40" i="16" s="1"/>
  <c r="Y45" i="16"/>
  <c r="Y51" i="16" s="1"/>
  <c r="Y24" i="16"/>
  <c r="AY44" i="18"/>
  <c r="AY23" i="18"/>
  <c r="AY33" i="18"/>
  <c r="H45" i="16"/>
  <c r="H51" i="16" s="1"/>
  <c r="H24" i="16"/>
  <c r="H34" i="16"/>
  <c r="H40" i="16" s="1"/>
  <c r="AE44" i="16"/>
  <c r="AE23" i="16"/>
  <c r="AE33" i="16"/>
  <c r="V50" i="18"/>
  <c r="V46" i="18"/>
  <c r="F24" i="16"/>
  <c r="F45" i="16"/>
  <c r="F51" i="16" s="1"/>
  <c r="F34" i="16"/>
  <c r="F40" i="16" s="1"/>
  <c r="AM50" i="18"/>
  <c r="AM46" i="18"/>
  <c r="E24" i="17"/>
  <c r="E34" i="17"/>
  <c r="E40" i="17" s="1"/>
  <c r="E45" i="17"/>
  <c r="E51" i="17" s="1"/>
  <c r="AZ22" i="17"/>
  <c r="AD50" i="18"/>
  <c r="AD46" i="18"/>
  <c r="W39" i="17"/>
  <c r="W35" i="17"/>
  <c r="AC46" i="18"/>
  <c r="AC50" i="18"/>
  <c r="AC34" i="16"/>
  <c r="AC40" i="16" s="1"/>
  <c r="AC45" i="16"/>
  <c r="AC51" i="16" s="1"/>
  <c r="AC24" i="16"/>
  <c r="H27" i="17"/>
  <c r="G30" i="17"/>
  <c r="R24" i="16"/>
  <c r="R34" i="16"/>
  <c r="R45" i="16"/>
  <c r="AE39" i="17"/>
  <c r="AE35" i="17"/>
  <c r="L35" i="16"/>
  <c r="L39" i="16"/>
  <c r="AJ46" i="18"/>
  <c r="AJ50" i="18"/>
  <c r="AR39" i="18"/>
  <c r="AR35" i="18"/>
  <c r="AV33" i="17"/>
  <c r="AV44" i="17"/>
  <c r="AV23" i="17"/>
  <c r="AL33" i="16"/>
  <c r="AL44" i="16"/>
  <c r="AL23" i="16"/>
  <c r="AI46" i="17"/>
  <c r="AI50" i="17"/>
  <c r="W34" i="16"/>
  <c r="W40" i="16" s="1"/>
  <c r="W24" i="16"/>
  <c r="W45" i="16"/>
  <c r="W51" i="16" s="1"/>
  <c r="AH39" i="16"/>
  <c r="N33" i="16"/>
  <c r="N23" i="16"/>
  <c r="N44" i="16"/>
  <c r="AV24" i="16"/>
  <c r="AV34" i="16"/>
  <c r="AV40" i="16" s="1"/>
  <c r="AV45" i="16"/>
  <c r="AV51" i="16" s="1"/>
  <c r="S46" i="18"/>
  <c r="S50" i="18"/>
  <c r="L35" i="17"/>
  <c r="L39" i="17"/>
  <c r="D50" i="16"/>
  <c r="D46" i="16"/>
  <c r="M46" i="17"/>
  <c r="M50" i="17"/>
  <c r="V39" i="16"/>
  <c r="AG50" i="17"/>
  <c r="AG46" i="17"/>
  <c r="Y39" i="16"/>
  <c r="Y35" i="16"/>
  <c r="AF39" i="16"/>
  <c r="AF35" i="16"/>
  <c r="AD24" i="17"/>
  <c r="AD34" i="17"/>
  <c r="AD40" i="17" s="1"/>
  <c r="AD45" i="17"/>
  <c r="AD51" i="17" s="1"/>
  <c r="R50" i="18"/>
  <c r="R46" i="18"/>
  <c r="AI50" i="18"/>
  <c r="AI46" i="18"/>
  <c r="AN46" i="17"/>
  <c r="AN50" i="17"/>
  <c r="X46" i="18"/>
  <c r="X50" i="18"/>
  <c r="AD35" i="16"/>
  <c r="AD39" i="16"/>
  <c r="AN46" i="18"/>
  <c r="AN50" i="18"/>
  <c r="N50" i="17"/>
  <c r="N46" i="17"/>
  <c r="S50" i="16"/>
  <c r="F50" i="16"/>
  <c r="G50" i="18"/>
  <c r="G46" i="18"/>
  <c r="U46" i="18"/>
  <c r="U50" i="18"/>
  <c r="H46" i="18"/>
  <c r="H50" i="18"/>
  <c r="M34" i="16"/>
  <c r="M40" i="16" s="1"/>
  <c r="M45" i="16"/>
  <c r="M51" i="16" s="1"/>
  <c r="M24" i="16"/>
  <c r="AK46" i="16"/>
  <c r="AK50" i="16"/>
  <c r="AB24" i="16"/>
  <c r="AB34" i="16"/>
  <c r="AB40" i="16" s="1"/>
  <c r="AB45" i="16"/>
  <c r="AB51" i="16" s="1"/>
  <c r="L45" i="16"/>
  <c r="L51" i="16" s="1"/>
  <c r="L24" i="16"/>
  <c r="L34" i="16"/>
  <c r="L40" i="16" s="1"/>
  <c r="AG34" i="18"/>
  <c r="AG40" i="18" s="1"/>
  <c r="AG45" i="18"/>
  <c r="AG51" i="18" s="1"/>
  <c r="AG24" i="18"/>
  <c r="AW44" i="18"/>
  <c r="AW23" i="18"/>
  <c r="AW33" i="18"/>
  <c r="AC46" i="17"/>
  <c r="AC50" i="17"/>
  <c r="K50" i="16"/>
  <c r="AW44" i="17"/>
  <c r="AW33" i="17"/>
  <c r="AW23" i="17"/>
  <c r="AO39" i="16"/>
  <c r="AO35" i="16"/>
  <c r="I34" i="16"/>
  <c r="I40" i="16" s="1"/>
  <c r="I24" i="16"/>
  <c r="I45" i="16"/>
  <c r="I51" i="16" s="1"/>
  <c r="AT50" i="16"/>
  <c r="F46" i="18"/>
  <c r="F50" i="18"/>
  <c r="T50" i="17"/>
  <c r="T46" i="17"/>
  <c r="J35" i="18"/>
  <c r="J39" i="18"/>
  <c r="E44" i="18"/>
  <c r="E23" i="18"/>
  <c r="E33" i="18"/>
  <c r="AZ21" i="18"/>
  <c r="U39" i="17"/>
  <c r="U35" i="17"/>
  <c r="AC39" i="16"/>
  <c r="AC35" i="16"/>
  <c r="K24" i="16"/>
  <c r="K34" i="16"/>
  <c r="K40" i="16" s="1"/>
  <c r="K45" i="16"/>
  <c r="K51" i="16" s="1"/>
  <c r="AN35" i="16"/>
  <c r="AN39" i="16"/>
  <c r="AK44" i="18"/>
  <c r="AK23" i="18"/>
  <c r="AK33" i="18"/>
  <c r="AX50" i="17"/>
  <c r="AX46" i="17"/>
  <c r="O50" i="16"/>
  <c r="Y44" i="17"/>
  <c r="Y33" i="17"/>
  <c r="Y23" i="17"/>
  <c r="AL24" i="17"/>
  <c r="AL45" i="17"/>
  <c r="AL51" i="17" s="1"/>
  <c r="AL34" i="17"/>
  <c r="AL40" i="17" s="1"/>
  <c r="H35" i="16"/>
  <c r="H39" i="16"/>
  <c r="AU50" i="16"/>
  <c r="AU46" i="16"/>
  <c r="AW46" i="16"/>
  <c r="AW50" i="16"/>
  <c r="AT34" i="16"/>
  <c r="AT40" i="16" s="1"/>
  <c r="AT24" i="16"/>
  <c r="AT45" i="16"/>
  <c r="AT51" i="16" s="1"/>
  <c r="AA39" i="18"/>
  <c r="AA35" i="18"/>
  <c r="AU39" i="18"/>
  <c r="AU35" i="18"/>
  <c r="T35" i="18"/>
  <c r="T39" i="18"/>
  <c r="P46" i="18"/>
  <c r="P50" i="18"/>
  <c r="AF35" i="18"/>
  <c r="M39" i="16"/>
  <c r="J39" i="16"/>
  <c r="J35" i="16"/>
  <c r="AB50" i="17"/>
  <c r="AB46" i="17"/>
  <c r="AR35" i="17"/>
  <c r="AR39" i="17"/>
  <c r="Y34" i="18"/>
  <c r="Y40" i="18" s="1"/>
  <c r="Y24" i="18"/>
  <c r="Y45" i="18"/>
  <c r="Y51" i="18" s="1"/>
  <c r="AI35" i="16"/>
  <c r="AI39" i="16"/>
  <c r="S44" i="17"/>
  <c r="S33" i="17"/>
  <c r="S23" i="17"/>
  <c r="Z39" i="16"/>
  <c r="AK44" i="17"/>
  <c r="AK23" i="17"/>
  <c r="AK33" i="17"/>
  <c r="V35" i="18"/>
  <c r="V39" i="18"/>
  <c r="L46" i="18"/>
  <c r="L50" i="18"/>
  <c r="N46" i="18"/>
  <c r="N50" i="18"/>
  <c r="G35" i="17"/>
  <c r="G39" i="17"/>
  <c r="AP39" i="17"/>
  <c r="AP35" i="17"/>
  <c r="AJ39" i="18"/>
  <c r="AJ35" i="18"/>
  <c r="AJ50" i="16"/>
  <c r="AT24" i="17"/>
  <c r="AT45" i="17"/>
  <c r="AT51" i="17" s="1"/>
  <c r="AT34" i="17"/>
  <c r="AT40" i="17" s="1"/>
  <c r="S39" i="18"/>
  <c r="S35" i="18"/>
  <c r="M39" i="17"/>
  <c r="M35" i="17"/>
  <c r="K34" i="17"/>
  <c r="K40" i="17" s="1"/>
  <c r="K24" i="17"/>
  <c r="K45" i="17"/>
  <c r="K51" i="17" s="1"/>
  <c r="R35" i="18"/>
  <c r="R39" i="18"/>
  <c r="AN35" i="17"/>
  <c r="AN39" i="17"/>
  <c r="AN39" i="18"/>
  <c r="AN35" i="18"/>
  <c r="S39" i="16"/>
  <c r="S35" i="16"/>
  <c r="Q46" i="17"/>
  <c r="Q50" i="17"/>
  <c r="AY24" i="16"/>
  <c r="AY45" i="16"/>
  <c r="AY51" i="16" s="1"/>
  <c r="AY34" i="16"/>
  <c r="AY40" i="16" s="1"/>
  <c r="AG44" i="18"/>
  <c r="AG33" i="18"/>
  <c r="AG23" i="18"/>
  <c r="K39" i="16"/>
  <c r="K35" i="16"/>
  <c r="AA34" i="16"/>
  <c r="AA40" i="16" s="1"/>
  <c r="AA45" i="16"/>
  <c r="AA51" i="16" s="1"/>
  <c r="AA24" i="16"/>
  <c r="E45" i="18"/>
  <c r="E51" i="18" s="1"/>
  <c r="E24" i="18"/>
  <c r="E34" i="18"/>
  <c r="E40" i="18" s="1"/>
  <c r="AZ22" i="18"/>
  <c r="P33" i="17"/>
  <c r="P44" i="17"/>
  <c r="P23" i="17"/>
  <c r="AM46" i="17"/>
  <c r="AM50" i="17"/>
  <c r="AL33" i="17"/>
  <c r="AL23" i="17"/>
  <c r="AL44" i="17"/>
  <c r="AZ22" i="16"/>
  <c r="D45" i="16"/>
  <c r="D51" i="16" s="1"/>
  <c r="D24" i="16"/>
  <c r="D34" i="16"/>
  <c r="D40" i="16" s="1"/>
  <c r="AY50" i="16"/>
  <c r="Y44" i="18"/>
  <c r="Y33" i="18"/>
  <c r="Y23" i="18"/>
  <c r="Z50" i="16"/>
  <c r="AX39" i="18"/>
  <c r="AX35" i="18"/>
  <c r="AJ39" i="16"/>
  <c r="AH50" i="16"/>
  <c r="AH46" i="16"/>
  <c r="AE34" i="16"/>
  <c r="AE40" i="16" s="1"/>
  <c r="AE24" i="16"/>
  <c r="AE45" i="16"/>
  <c r="AE51" i="16" s="1"/>
  <c r="U39" i="16"/>
  <c r="U35" i="16"/>
  <c r="AF50" i="16"/>
  <c r="AP45" i="16"/>
  <c r="AP51" i="16" s="1"/>
  <c r="AP24" i="16"/>
  <c r="AP34" i="16"/>
  <c r="AP40" i="16" s="1"/>
  <c r="AH50" i="18"/>
  <c r="AH46" i="18"/>
  <c r="W46" i="18"/>
  <c r="W50" i="18"/>
  <c r="G27" i="18"/>
  <c r="F30" i="18"/>
  <c r="AU39" i="17"/>
  <c r="AU35" i="17"/>
  <c r="AC39" i="17"/>
  <c r="AC35" i="17"/>
  <c r="P45" i="16"/>
  <c r="P51" i="16" s="1"/>
  <c r="P24" i="16"/>
  <c r="P34" i="16"/>
  <c r="P40" i="16" s="1"/>
  <c r="AO34" i="17"/>
  <c r="AO40" i="17" s="1"/>
  <c r="AO24" i="17"/>
  <c r="AO45" i="17"/>
  <c r="AO51" i="17" s="1"/>
  <c r="AP50" i="18"/>
  <c r="AP46" i="18"/>
  <c r="T35" i="17"/>
  <c r="T39" i="17"/>
  <c r="AN50" i="16"/>
  <c r="AN46" i="16"/>
  <c r="T50" i="16"/>
  <c r="T46" i="16"/>
  <c r="AX39" i="17"/>
  <c r="AX35" i="17"/>
  <c r="AM44" i="16"/>
  <c r="AM23" i="16"/>
  <c r="AM33" i="16"/>
  <c r="AB46" i="18"/>
  <c r="AB50" i="18"/>
  <c r="AU50" i="18"/>
  <c r="AU46" i="18"/>
  <c r="M46" i="16"/>
  <c r="M50" i="16"/>
  <c r="H50" i="17"/>
  <c r="H46" i="17"/>
  <c r="F50" i="17"/>
  <c r="F46" i="17"/>
  <c r="E23" i="17"/>
  <c r="E33" i="17"/>
  <c r="E44" i="17"/>
  <c r="AZ21" i="17"/>
  <c r="J35" i="17"/>
  <c r="J39" i="17"/>
  <c r="Z39" i="17"/>
  <c r="Z35" i="17"/>
  <c r="AF24" i="16"/>
  <c r="AF34" i="16"/>
  <c r="AF40" i="16" s="1"/>
  <c r="AF45" i="16"/>
  <c r="AF51" i="16" s="1"/>
  <c r="N24" i="16"/>
  <c r="N34" i="16"/>
  <c r="N40" i="16" s="1"/>
  <c r="N45" i="16"/>
  <c r="N51" i="16" s="1"/>
  <c r="AX44" i="16"/>
  <c r="AX33" i="16"/>
  <c r="AX23" i="16"/>
  <c r="U46" i="16"/>
  <c r="U50" i="16"/>
  <c r="Z35" i="18"/>
  <c r="Z39" i="18"/>
  <c r="O50" i="18"/>
  <c r="O46" i="18"/>
  <c r="AD45" i="16"/>
  <c r="AD51" i="16" s="1"/>
  <c r="AD24" i="16"/>
  <c r="AD34" i="16"/>
  <c r="AD40" i="16" s="1"/>
  <c r="V50" i="16"/>
  <c r="V46" i="16"/>
  <c r="Y46" i="16"/>
  <c r="Y50" i="16"/>
  <c r="Z45" i="16"/>
  <c r="Z51" i="16" s="1"/>
  <c r="Z24" i="16"/>
  <c r="Z34" i="16"/>
  <c r="Z40" i="16" s="1"/>
  <c r="AD50" i="16"/>
  <c r="AD46" i="16"/>
  <c r="AB50" i="16"/>
  <c r="N35" i="17"/>
  <c r="N39" i="17"/>
  <c r="AH35" i="18"/>
  <c r="AH39" i="18"/>
  <c r="W39" i="18"/>
  <c r="W35" i="18"/>
  <c r="AF46" i="18"/>
  <c r="I35" i="17"/>
  <c r="X35" i="17"/>
  <c r="X39" i="17"/>
  <c r="AK39" i="16"/>
  <c r="AK35" i="16"/>
  <c r="AS46" i="17"/>
  <c r="AO45" i="18"/>
  <c r="AO51" i="18" s="1"/>
  <c r="AO34" i="18"/>
  <c r="AO40" i="18" s="1"/>
  <c r="AO24" i="18"/>
  <c r="X50" i="16"/>
  <c r="X46" i="16"/>
  <c r="AG39" i="16"/>
  <c r="AG35" i="16"/>
  <c r="AI34" i="16"/>
  <c r="AI40" i="16" s="1"/>
  <c r="AI45" i="16"/>
  <c r="AI51" i="16" s="1"/>
  <c r="AI24" i="16"/>
  <c r="AW34" i="17"/>
  <c r="AW40" i="17" s="1"/>
  <c r="AW45" i="17"/>
  <c r="AW51" i="17" s="1"/>
  <c r="AW24" i="17"/>
  <c r="AO46" i="16"/>
  <c r="AO50" i="16"/>
  <c r="AO44" i="17"/>
  <c r="AO23" i="17"/>
  <c r="AO33" i="17"/>
  <c r="AT35" i="16"/>
  <c r="AT39" i="16"/>
  <c r="AH50" i="17"/>
  <c r="AH46" i="17"/>
  <c r="AL50" i="18"/>
  <c r="AL46" i="18"/>
  <c r="AE39" i="18"/>
  <c r="AE35" i="18"/>
  <c r="AC50" i="16"/>
  <c r="V39" i="17"/>
  <c r="V35" i="17"/>
  <c r="AS35" i="17"/>
  <c r="T39" i="16"/>
  <c r="T35" i="16"/>
  <c r="O39" i="16"/>
  <c r="O35" i="16"/>
  <c r="Y34" i="17"/>
  <c r="Y40" i="17" s="1"/>
  <c r="Y24" i="17"/>
  <c r="Y45" i="17"/>
  <c r="Y51" i="17" s="1"/>
  <c r="AR39" i="16"/>
  <c r="AR35" i="16"/>
  <c r="H46" i="16"/>
  <c r="H50" i="16"/>
  <c r="AQ44" i="16"/>
  <c r="AQ23" i="16"/>
  <c r="AQ33" i="16"/>
  <c r="J24" i="16"/>
  <c r="J34" i="16"/>
  <c r="J40" i="16" s="1"/>
  <c r="J45" i="16"/>
  <c r="J51" i="16" s="1"/>
  <c r="AB35" i="18"/>
  <c r="AB39" i="18"/>
  <c r="AA46" i="18"/>
  <c r="AA50" i="18"/>
  <c r="T50" i="18"/>
  <c r="T46" i="18"/>
  <c r="K35" i="18"/>
  <c r="K39" i="18"/>
  <c r="Q35" i="18"/>
  <c r="Q39" i="18"/>
  <c r="AT50" i="18"/>
  <c r="AT46" i="18"/>
  <c r="H39" i="17"/>
  <c r="H35" i="17"/>
  <c r="Q39" i="16"/>
  <c r="Q35" i="16"/>
  <c r="F35" i="17"/>
  <c r="F39" i="17"/>
  <c r="AR50" i="17"/>
  <c r="AR46" i="17"/>
  <c r="AV39" i="18"/>
  <c r="AV35" i="18"/>
  <c r="AF45" i="17"/>
  <c r="AF51" i="17" s="1"/>
  <c r="AF24" i="17"/>
  <c r="AF34" i="17"/>
  <c r="AF40" i="17" s="1"/>
  <c r="S34" i="17"/>
  <c r="S40" i="17" s="1"/>
  <c r="S24" i="17"/>
  <c r="S45" i="17"/>
  <c r="S51" i="17" s="1"/>
  <c r="AK34" i="17"/>
  <c r="AK40" i="17" s="1"/>
  <c r="AK45" i="17"/>
  <c r="AK51" i="17" s="1"/>
  <c r="AK24" i="17"/>
  <c r="AW35" i="18" l="1"/>
  <c r="AW39" i="18"/>
  <c r="AZ24" i="17"/>
  <c r="AY50" i="18"/>
  <c r="AY46" i="18"/>
  <c r="AI46" i="16"/>
  <c r="AO46" i="18"/>
  <c r="AO50" i="18"/>
  <c r="E34" i="16"/>
  <c r="E40" i="16" s="1"/>
  <c r="E45" i="16"/>
  <c r="E51" i="16" s="1"/>
  <c r="E24" i="16"/>
  <c r="AD39" i="17"/>
  <c r="AD35" i="17"/>
  <c r="AV39" i="16"/>
  <c r="AV35" i="16"/>
  <c r="AO50" i="17"/>
  <c r="AO46" i="17"/>
  <c r="H27" i="18"/>
  <c r="G30" i="18"/>
  <c r="Y35" i="18"/>
  <c r="Y39" i="18"/>
  <c r="AL50" i="17"/>
  <c r="AL46" i="17"/>
  <c r="AK50" i="17"/>
  <c r="AK46" i="17"/>
  <c r="O46" i="16"/>
  <c r="E35" i="18"/>
  <c r="E39" i="18"/>
  <c r="N39" i="16"/>
  <c r="N35" i="16"/>
  <c r="E44" i="16"/>
  <c r="E23" i="16"/>
  <c r="AZ23" i="16" s="1"/>
  <c r="E33" i="16"/>
  <c r="AZ21" i="16"/>
  <c r="D35" i="16"/>
  <c r="I50" i="16"/>
  <c r="I46" i="16"/>
  <c r="AS35" i="18"/>
  <c r="AS39" i="18"/>
  <c r="W39" i="16"/>
  <c r="W35" i="16"/>
  <c r="AO39" i="17"/>
  <c r="AO35" i="17"/>
  <c r="AX39" i="16"/>
  <c r="AX35" i="16"/>
  <c r="AM50" i="16"/>
  <c r="AM46" i="16"/>
  <c r="AY46" i="16"/>
  <c r="AL39" i="17"/>
  <c r="AL35" i="17"/>
  <c r="P50" i="17"/>
  <c r="P46" i="17"/>
  <c r="AZ24" i="18"/>
  <c r="AG35" i="18"/>
  <c r="AG39" i="18"/>
  <c r="AK39" i="17"/>
  <c r="AK35" i="17"/>
  <c r="Z35" i="16"/>
  <c r="Y50" i="17"/>
  <c r="Y46" i="17"/>
  <c r="E50" i="18"/>
  <c r="E46" i="18"/>
  <c r="AW50" i="17"/>
  <c r="AW46" i="17"/>
  <c r="F46" i="16"/>
  <c r="V35" i="16"/>
  <c r="N50" i="16"/>
  <c r="N46" i="16"/>
  <c r="AH35" i="16"/>
  <c r="AL35" i="16"/>
  <c r="AL39" i="16"/>
  <c r="R51" i="16"/>
  <c r="R46" i="16"/>
  <c r="H30" i="17"/>
  <c r="I27" i="17"/>
  <c r="AF46" i="17"/>
  <c r="AF50" i="17"/>
  <c r="J46" i="16"/>
  <c r="AT39" i="17"/>
  <c r="AT35" i="17"/>
  <c r="P35" i="16"/>
  <c r="P39" i="16"/>
  <c r="AS50" i="18"/>
  <c r="AS46" i="18"/>
  <c r="AV46" i="16"/>
  <c r="AV50" i="16"/>
  <c r="W50" i="16"/>
  <c r="W46" i="16"/>
  <c r="AQ39" i="16"/>
  <c r="AQ35" i="16"/>
  <c r="AX46" i="16"/>
  <c r="AX50" i="16"/>
  <c r="E46" i="17"/>
  <c r="E50" i="17"/>
  <c r="P39" i="17"/>
  <c r="P35" i="17"/>
  <c r="AG50" i="18"/>
  <c r="AG46" i="18"/>
  <c r="AK35" i="18"/>
  <c r="AK39" i="18"/>
  <c r="R40" i="16"/>
  <c r="R35" i="16"/>
  <c r="AE39" i="16"/>
  <c r="AE35" i="16"/>
  <c r="AF35" i="17"/>
  <c r="AF39" i="17"/>
  <c r="AA39" i="16"/>
  <c r="AA35" i="16"/>
  <c r="K39" i="17"/>
  <c r="K35" i="17"/>
  <c r="I39" i="16"/>
  <c r="I35" i="16"/>
  <c r="E39" i="17"/>
  <c r="E35" i="17"/>
  <c r="AM39" i="16"/>
  <c r="AM35" i="16"/>
  <c r="AF46" i="16"/>
  <c r="AJ46" i="16"/>
  <c r="S39" i="17"/>
  <c r="S35" i="17"/>
  <c r="K46" i="16"/>
  <c r="AV50" i="17"/>
  <c r="AV46" i="17"/>
  <c r="AQ50" i="16"/>
  <c r="AQ46" i="16"/>
  <c r="AC46" i="16"/>
  <c r="AB46" i="16"/>
  <c r="AZ23" i="17"/>
  <c r="AJ35" i="16"/>
  <c r="Z46" i="16"/>
  <c r="Y50" i="18"/>
  <c r="Y46" i="18"/>
  <c r="AZ24" i="16"/>
  <c r="S50" i="17"/>
  <c r="S46" i="17"/>
  <c r="M35" i="16"/>
  <c r="Y39" i="17"/>
  <c r="Y35" i="17"/>
  <c r="AK46" i="18"/>
  <c r="AK50" i="18"/>
  <c r="AZ23" i="18"/>
  <c r="AT46" i="16"/>
  <c r="AW39" i="17"/>
  <c r="AW35" i="17"/>
  <c r="AW50" i="18"/>
  <c r="AW46" i="18"/>
  <c r="S46" i="16"/>
  <c r="AL50" i="16"/>
  <c r="AL46" i="16"/>
  <c r="AV35" i="17"/>
  <c r="AV39" i="17"/>
  <c r="AE50" i="16"/>
  <c r="AE46" i="16"/>
  <c r="AY39" i="18"/>
  <c r="AY35" i="18"/>
  <c r="AP46" i="16"/>
  <c r="AA46" i="16"/>
  <c r="AA50" i="16"/>
  <c r="AO35" i="18"/>
  <c r="AO39" i="18"/>
  <c r="G35" i="16"/>
  <c r="K50" i="17"/>
  <c r="K46" i="17"/>
  <c r="AT50" i="17"/>
  <c r="AT46" i="17"/>
  <c r="L46" i="16"/>
  <c r="P46" i="16"/>
  <c r="P50" i="16"/>
  <c r="G30" i="16"/>
  <c r="H27" i="16"/>
  <c r="AB35" i="16"/>
  <c r="AD50" i="17"/>
  <c r="AD46" i="17"/>
  <c r="H30" i="18" l="1"/>
  <c r="I27" i="18"/>
  <c r="I27" i="16"/>
  <c r="H30" i="16"/>
  <c r="E46" i="16"/>
  <c r="E50" i="16"/>
  <c r="E39" i="16"/>
  <c r="E35" i="16"/>
  <c r="I30" i="17"/>
  <c r="J27" i="17"/>
  <c r="J27" i="18" l="1"/>
  <c r="I30" i="18"/>
  <c r="K27" i="17"/>
  <c r="J30" i="17"/>
  <c r="J27" i="16"/>
  <c r="I30" i="16"/>
  <c r="L27" i="17" l="1"/>
  <c r="K30" i="17"/>
  <c r="J30" i="16"/>
  <c r="K27" i="16"/>
  <c r="K27" i="18"/>
  <c r="J30" i="18"/>
  <c r="K30" i="16" l="1"/>
  <c r="L27" i="16"/>
  <c r="L27" i="18"/>
  <c r="K30" i="18"/>
  <c r="M27" i="17"/>
  <c r="L30" i="17"/>
  <c r="L30" i="18" l="1"/>
  <c r="M27" i="18"/>
  <c r="M27" i="16"/>
  <c r="L30" i="16"/>
  <c r="M30" i="17"/>
  <c r="N27" i="17"/>
  <c r="N27" i="16" l="1"/>
  <c r="M30" i="16"/>
  <c r="N27" i="18"/>
  <c r="M30" i="18"/>
  <c r="O27" i="17"/>
  <c r="N30" i="17"/>
  <c r="N30" i="18" l="1"/>
  <c r="O27" i="18"/>
  <c r="P27" i="17"/>
  <c r="O30" i="17"/>
  <c r="O27" i="16"/>
  <c r="N30" i="16"/>
  <c r="P30" i="17" l="1"/>
  <c r="Q27" i="17"/>
  <c r="O30" i="18"/>
  <c r="P27" i="18"/>
  <c r="O30" i="16"/>
  <c r="P27" i="16"/>
  <c r="Q30" i="17" l="1"/>
  <c r="R27" i="17"/>
  <c r="P30" i="18"/>
  <c r="Q27" i="18"/>
  <c r="Q27" i="16"/>
  <c r="P30" i="16"/>
  <c r="S27" i="17" l="1"/>
  <c r="R30" i="17"/>
  <c r="Q30" i="16"/>
  <c r="R27" i="16"/>
  <c r="R27" i="18"/>
  <c r="Q30" i="18"/>
  <c r="R30" i="16" l="1"/>
  <c r="S27" i="16"/>
  <c r="R30" i="18"/>
  <c r="S27" i="18"/>
  <c r="T27" i="17"/>
  <c r="S30" i="17"/>
  <c r="S30" i="16" l="1"/>
  <c r="T27" i="16"/>
  <c r="S30" i="18"/>
  <c r="T27" i="18"/>
  <c r="U27" i="17"/>
  <c r="T30" i="17"/>
  <c r="U27" i="16" l="1"/>
  <c r="T30" i="16"/>
  <c r="U27" i="18"/>
  <c r="T30" i="18"/>
  <c r="U30" i="17"/>
  <c r="V27" i="17"/>
  <c r="V27" i="18" l="1"/>
  <c r="U30" i="18"/>
  <c r="W27" i="17"/>
  <c r="V30" i="17"/>
  <c r="U30" i="16"/>
  <c r="V27" i="16"/>
  <c r="W27" i="16" l="1"/>
  <c r="V30" i="16"/>
  <c r="W30" i="17"/>
  <c r="X27" i="17"/>
  <c r="V30" i="18"/>
  <c r="W27" i="18"/>
  <c r="Y27" i="17" l="1"/>
  <c r="X30" i="17"/>
  <c r="W30" i="18"/>
  <c r="X27" i="18"/>
  <c r="X27" i="16"/>
  <c r="W30" i="16"/>
  <c r="Y27" i="18" l="1"/>
  <c r="X30" i="18"/>
  <c r="X30" i="16"/>
  <c r="Y27" i="16"/>
  <c r="Z27" i="17"/>
  <c r="Y30" i="17"/>
  <c r="Z30" i="17" l="1"/>
  <c r="AA27" i="17"/>
  <c r="Y30" i="16"/>
  <c r="Z27" i="16"/>
  <c r="Z27" i="18"/>
  <c r="Y30" i="18"/>
  <c r="AA30" i="17" l="1"/>
  <c r="AB27" i="17"/>
  <c r="AA27" i="16"/>
  <c r="Z30" i="16"/>
  <c r="Z30" i="18"/>
  <c r="AA27" i="18"/>
  <c r="AA30" i="16" l="1"/>
  <c r="AB27" i="16"/>
  <c r="AC27" i="17"/>
  <c r="AB30" i="17"/>
  <c r="AA30" i="18"/>
  <c r="AB27" i="18"/>
  <c r="AD27" i="17" l="1"/>
  <c r="AC30" i="17"/>
  <c r="AC27" i="16"/>
  <c r="AB30" i="16"/>
  <c r="AC27" i="18"/>
  <c r="AB30" i="18"/>
  <c r="AC30" i="16" l="1"/>
  <c r="AD27" i="16"/>
  <c r="AD27" i="18"/>
  <c r="AC30" i="18"/>
  <c r="AE27" i="17"/>
  <c r="AD30" i="17"/>
  <c r="AD30" i="18" l="1"/>
  <c r="AE27" i="18"/>
  <c r="AE27" i="16"/>
  <c r="AD30" i="16"/>
  <c r="AE30" i="17"/>
  <c r="AF27" i="17"/>
  <c r="AG27" i="17" l="1"/>
  <c r="AF30" i="17"/>
  <c r="AE30" i="18"/>
  <c r="AF27" i="18"/>
  <c r="AF27" i="16"/>
  <c r="AE30" i="16"/>
  <c r="AG27" i="18" l="1"/>
  <c r="AF30" i="18"/>
  <c r="AG27" i="16"/>
  <c r="AF30" i="16"/>
  <c r="AG30" i="17"/>
  <c r="AH27" i="17"/>
  <c r="AH30" i="17" l="1"/>
  <c r="AI27" i="17"/>
  <c r="AG30" i="16"/>
  <c r="AH27" i="16"/>
  <c r="AH27" i="18"/>
  <c r="AG30" i="18"/>
  <c r="AI30" i="17" l="1"/>
  <c r="AJ27" i="17"/>
  <c r="AI27" i="16"/>
  <c r="AH30" i="16"/>
  <c r="AI27" i="18"/>
  <c r="AH30" i="18"/>
  <c r="AJ27" i="16" l="1"/>
  <c r="AI30" i="16"/>
  <c r="AK27" i="17"/>
  <c r="AJ30" i="17"/>
  <c r="AI30" i="18"/>
  <c r="AJ27" i="18"/>
  <c r="AJ30" i="18" l="1"/>
  <c r="AK27" i="18"/>
  <c r="AK30" i="17"/>
  <c r="AL27" i="17"/>
  <c r="AK27" i="16"/>
  <c r="AJ30" i="16"/>
  <c r="AL27" i="18" l="1"/>
  <c r="AK30" i="18"/>
  <c r="AM27" i="17"/>
  <c r="AL30" i="17"/>
  <c r="AK30" i="16"/>
  <c r="AL27" i="16"/>
  <c r="AM30" i="17" l="1"/>
  <c r="AN27" i="17"/>
  <c r="AM27" i="16"/>
  <c r="AL30" i="16"/>
  <c r="AM27" i="18"/>
  <c r="AL30" i="18"/>
  <c r="AO27" i="17" l="1"/>
  <c r="AN30" i="17"/>
  <c r="AM30" i="16"/>
  <c r="AN27" i="16"/>
  <c r="AM30" i="18"/>
  <c r="AN27" i="18"/>
  <c r="AN30" i="16" l="1"/>
  <c r="AO27" i="16"/>
  <c r="AN30" i="18"/>
  <c r="AO27" i="18"/>
  <c r="AP27" i="17"/>
  <c r="AO30" i="17"/>
  <c r="AO30" i="16" l="1"/>
  <c r="AP27" i="16"/>
  <c r="AP27" i="18"/>
  <c r="AO30" i="18"/>
  <c r="AQ27" i="17"/>
  <c r="AP30" i="17"/>
  <c r="AQ27" i="18" l="1"/>
  <c r="AP30" i="18"/>
  <c r="AQ27" i="16"/>
  <c r="AP30" i="16"/>
  <c r="AQ30" i="17"/>
  <c r="AR27" i="17"/>
  <c r="AR27" i="16" l="1"/>
  <c r="AQ30" i="16"/>
  <c r="AS27" i="17"/>
  <c r="AR30" i="17"/>
  <c r="AQ30" i="18"/>
  <c r="AR27" i="18"/>
  <c r="AT27" i="17" l="1"/>
  <c r="AS30" i="17"/>
  <c r="AR30" i="18"/>
  <c r="AS27" i="18"/>
  <c r="AS27" i="16"/>
  <c r="AR30" i="16"/>
  <c r="AT27" i="16" l="1"/>
  <c r="AS30" i="16"/>
  <c r="AT27" i="18"/>
  <c r="AS30" i="18"/>
  <c r="AU27" i="17"/>
  <c r="AT30" i="17"/>
  <c r="AU27" i="18" l="1"/>
  <c r="AT30" i="18"/>
  <c r="AU30" i="17"/>
  <c r="AV27" i="17"/>
  <c r="AU27" i="16"/>
  <c r="AT30" i="16"/>
  <c r="AW27" i="17" l="1"/>
  <c r="AV30" i="17"/>
  <c r="AU30" i="16"/>
  <c r="AV27" i="16"/>
  <c r="AU30" i="18"/>
  <c r="AV27" i="18"/>
  <c r="AV30" i="18" l="1"/>
  <c r="AW27" i="18"/>
  <c r="AV30" i="16"/>
  <c r="AW27" i="16"/>
  <c r="AW30" i="17"/>
  <c r="AX27" i="17"/>
  <c r="AX30" i="17" l="1"/>
  <c r="AY27" i="17"/>
  <c r="AY30" i="17" s="1"/>
  <c r="AZ30" i="17" s="1"/>
  <c r="AX27" i="18"/>
  <c r="AW30" i="18"/>
  <c r="AX27" i="16"/>
  <c r="AW30" i="16"/>
  <c r="AY27" i="18" l="1"/>
  <c r="AY30" i="18" s="1"/>
  <c r="AZ30" i="18" s="1"/>
  <c r="AX30" i="18"/>
  <c r="AY27" i="16"/>
  <c r="AY30" i="16" s="1"/>
  <c r="AZ30" i="16" s="1"/>
  <c r="AX30" i="16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<sst xmlns="http://schemas.openxmlformats.org/spreadsheetml/2006/main" count="2523" uniqueCount="413">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</sst>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2011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337</v>
      </c>
      <c r="D8">
        <v>2</v>
      </c>
      <c r="E8" t="s">
        <v>338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>
      <selection activeCell="C29" sqref="C29"/>
    </sheetView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5">
        <v>-10</v>
      </c>
      <c r="D6" s="15">
        <v>21</v>
      </c>
      <c r="E6" s="15" t="s">
        <v>166</v>
      </c>
      <c r="F6" s="15" t="s">
        <v>6</v>
      </c>
      <c r="G6" s="15">
        <f t="shared" ref="G6:G15" si="0">$D6+$C6</f>
        <v>11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5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5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5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5">
        <v>-3</v>
      </c>
      <c r="D10" s="15">
        <v>6</v>
      </c>
      <c r="E10" s="15" t="s">
        <v>166</v>
      </c>
      <c r="F10" s="15" t="s">
        <v>6</v>
      </c>
      <c r="G10" s="15">
        <f t="shared" si="0"/>
        <v>3</v>
      </c>
      <c r="H10" s="17" t="str">
        <f t="shared" si="1"/>
        <v/>
      </c>
    </row>
    <row r="11" spans="2:8" x14ac:dyDescent="0.2">
      <c r="B11" s="14" t="s">
        <v>11</v>
      </c>
      <c r="C11" s="85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5">
        <v>-13</v>
      </c>
      <c r="D12" s="15">
        <v>3813</v>
      </c>
      <c r="E12" s="15" t="s">
        <v>166</v>
      </c>
      <c r="F12" s="15" t="s">
        <v>6</v>
      </c>
      <c r="G12" s="15">
        <f t="shared" si="0"/>
        <v>3800</v>
      </c>
      <c r="H12" s="17" t="str">
        <f t="shared" si="1"/>
        <v/>
      </c>
    </row>
    <row r="13" spans="2:8" x14ac:dyDescent="0.2">
      <c r="B13" s="14" t="s">
        <v>13</v>
      </c>
      <c r="C13" s="85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0</v>
      </c>
      <c r="D25" s="15">
        <v>0</v>
      </c>
      <c r="E25" s="15"/>
      <c r="F25" s="15" t="s">
        <v>6</v>
      </c>
      <c r="G25" s="15">
        <f t="shared" si="2"/>
        <v>0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0</v>
      </c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0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50000</v>
      </c>
      <c r="E39" s="15" t="s">
        <v>166</v>
      </c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51000</v>
      </c>
      <c r="E76" s="15" t="s">
        <v>166</v>
      </c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47" sqref="C47:N48"/>
    </sheetView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3203.3999387586405</v>
      </c>
      <c r="D7" s="89">
        <v>3203.3999387586405</v>
      </c>
      <c r="E7" s="89">
        <v>3203.3999387586405</v>
      </c>
      <c r="F7" s="89">
        <v>3203.3999387586405</v>
      </c>
      <c r="G7" s="89">
        <v>3203.3999387586405</v>
      </c>
      <c r="H7" s="89">
        <v>3203.3999387586405</v>
      </c>
      <c r="I7" s="89">
        <v>3203.3999387586405</v>
      </c>
      <c r="J7" s="89">
        <v>3203.3999387586405</v>
      </c>
      <c r="K7" s="89">
        <v>3203.3999387586405</v>
      </c>
      <c r="L7" s="89">
        <v>3203.3999387586405</v>
      </c>
      <c r="M7" s="89">
        <v>3203.3999387586405</v>
      </c>
      <c r="N7" s="89">
        <v>3203.3999387586405</v>
      </c>
    </row>
    <row r="8" spans="2:14" x14ac:dyDescent="0.2">
      <c r="B8" s="36" t="s">
        <v>106</v>
      </c>
      <c r="C8" s="88">
        <v>2958.1665880602222</v>
      </c>
      <c r="D8" s="89">
        <v>2958.1665880602222</v>
      </c>
      <c r="E8" s="89">
        <v>2958.1665880602222</v>
      </c>
      <c r="F8" s="89">
        <v>2958.1665880602222</v>
      </c>
      <c r="G8" s="89">
        <v>2958.1665880602222</v>
      </c>
      <c r="H8" s="89">
        <v>2958.1665880602222</v>
      </c>
      <c r="I8" s="89">
        <v>2958.1665880602222</v>
      </c>
      <c r="J8" s="89">
        <v>2958.1665880602222</v>
      </c>
      <c r="K8" s="89">
        <v>2958.1665880602222</v>
      </c>
      <c r="L8" s="89">
        <v>2958.1665880602222</v>
      </c>
      <c r="M8" s="89">
        <v>2958.1665880602222</v>
      </c>
      <c r="N8" s="89">
        <v>2958.1665880602222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2006</v>
      </c>
      <c r="E28" s="49"/>
      <c r="F28" s="45">
        <f>basic_info!$D$5-4</f>
        <v>2007</v>
      </c>
      <c r="G28" s="49"/>
      <c r="H28" s="45">
        <f>basic_info!$D$5-3</f>
        <v>2008</v>
      </c>
      <c r="I28" s="49"/>
      <c r="J28" s="45">
        <f>basic_info!$D$5-2</f>
        <v>2009</v>
      </c>
      <c r="K28" s="49"/>
      <c r="L28" s="45">
        <f>basic_info!$D$5-1</f>
        <v>2010</v>
      </c>
      <c r="N28" s="45">
        <f>basic_info!$D$5</f>
        <v>2011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2011</v>
      </c>
      <c r="D30" s="44">
        <v>0.6808876388132572</v>
      </c>
      <c r="E30" s="35">
        <v>400000</v>
      </c>
      <c r="F30" s="47">
        <v>0.71201828987937288</v>
      </c>
      <c r="G30" s="46">
        <v>400000</v>
      </c>
      <c r="H30" s="47">
        <v>0.87454112416799612</v>
      </c>
      <c r="I30" s="46"/>
      <c r="J30" s="47">
        <v>0.87348276589188312</v>
      </c>
      <c r="K30" s="46"/>
      <c r="L30" s="47">
        <v>0.74769820265075293</v>
      </c>
      <c r="M30" s="46"/>
      <c r="N30" s="60"/>
      <c r="O30" s="71" t="s">
        <v>162</v>
      </c>
      <c r="P30" s="41">
        <f>M30+K30+I30+E30+G30</f>
        <v>800000</v>
      </c>
      <c r="Q30" s="70"/>
    </row>
    <row r="31" spans="2:33" x14ac:dyDescent="0.2">
      <c r="B31" s="36"/>
      <c r="C31" s="47">
        <f>basic_info!$D$5+1</f>
        <v>2012</v>
      </c>
      <c r="D31" s="76"/>
      <c r="E31" s="75"/>
      <c r="F31" s="69">
        <v>0.66759713542461396</v>
      </c>
      <c r="G31" s="79">
        <v>400000</v>
      </c>
      <c r="H31" s="61">
        <v>0.81134172439645946</v>
      </c>
      <c r="I31" s="62">
        <v>400000</v>
      </c>
      <c r="J31" s="61">
        <v>0.81188912511999345</v>
      </c>
      <c r="K31" s="62"/>
      <c r="L31" s="61">
        <v>0.69770012734349673</v>
      </c>
      <c r="M31" s="62"/>
      <c r="N31" s="63">
        <v>0.81979439563375311</v>
      </c>
      <c r="O31" s="89"/>
      <c r="P31" s="63">
        <f>O31+M31+K31+I31+G31</f>
        <v>800000</v>
      </c>
    </row>
    <row r="32" spans="2:33" x14ac:dyDescent="0.2">
      <c r="B32" s="36"/>
      <c r="C32" s="47">
        <f>basic_info!$D$5+2</f>
        <v>2013</v>
      </c>
      <c r="D32" s="76"/>
      <c r="E32" s="75"/>
      <c r="F32" s="75"/>
      <c r="G32" s="75"/>
      <c r="H32" s="69">
        <v>0.77419792761206629</v>
      </c>
      <c r="I32" s="79">
        <v>400000</v>
      </c>
      <c r="J32" s="61">
        <v>0.75988620984963406</v>
      </c>
      <c r="K32" s="62">
        <v>400000</v>
      </c>
      <c r="L32" s="61">
        <v>0.70400269357188838</v>
      </c>
      <c r="M32" s="62"/>
      <c r="N32" s="63">
        <v>0.75933230319260714</v>
      </c>
      <c r="O32" s="89"/>
      <c r="P32" s="63">
        <f>O32+M32+K32+I32</f>
        <v>800000</v>
      </c>
    </row>
    <row r="33" spans="2:17" x14ac:dyDescent="0.2">
      <c r="B33" s="36"/>
      <c r="C33" s="47">
        <f>basic_info!$D$5+3</f>
        <v>2014</v>
      </c>
      <c r="D33" s="76"/>
      <c r="E33" s="75"/>
      <c r="F33" s="75"/>
      <c r="G33" s="75"/>
      <c r="H33" s="75"/>
      <c r="I33" s="75"/>
      <c r="J33" s="69">
        <v>0.72473765751123431</v>
      </c>
      <c r="K33" s="79">
        <v>400000</v>
      </c>
      <c r="L33" s="61">
        <v>0.71441382370859263</v>
      </c>
      <c r="M33" s="62">
        <v>400000</v>
      </c>
      <c r="N33" s="63">
        <v>0.69091416758853352</v>
      </c>
      <c r="O33" s="89"/>
      <c r="P33" s="63">
        <f>O33+M33+K33</f>
        <v>800000</v>
      </c>
    </row>
    <row r="34" spans="2:17" x14ac:dyDescent="0.2">
      <c r="B34" s="36"/>
      <c r="C34" s="47">
        <f>basic_info!$D$5+4</f>
        <v>2015</v>
      </c>
      <c r="D34" s="76"/>
      <c r="E34" s="75"/>
      <c r="F34" s="75"/>
      <c r="G34" s="75"/>
      <c r="H34" s="75"/>
      <c r="I34" s="75"/>
      <c r="J34" s="75"/>
      <c r="K34" s="75"/>
      <c r="L34" s="69">
        <v>0.67398288510441784</v>
      </c>
      <c r="M34" s="79">
        <v>400000</v>
      </c>
      <c r="N34" s="63">
        <v>0.7025784495475329</v>
      </c>
      <c r="O34" s="89">
        <v>400000</v>
      </c>
      <c r="P34" s="63">
        <f>O34+M34</f>
        <v>800000</v>
      </c>
    </row>
    <row r="35" spans="2:17" x14ac:dyDescent="0.2">
      <c r="B35" s="37"/>
      <c r="C35" s="72">
        <f>basic_info!$D$5+5</f>
        <v>2016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0.71552384896278387</v>
      </c>
      <c r="O35" s="89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2011</v>
      </c>
      <c r="D36" s="44">
        <v>0.95771333889663224</v>
      </c>
      <c r="E36" s="35">
        <v>300000</v>
      </c>
      <c r="F36" s="73">
        <v>0.89726357364389364</v>
      </c>
      <c r="G36" s="74">
        <v>300000</v>
      </c>
      <c r="H36" s="73">
        <v>0.95780442275518196</v>
      </c>
      <c r="I36" s="74">
        <v>300000</v>
      </c>
      <c r="J36" s="73">
        <v>1.0668653165767679</v>
      </c>
      <c r="K36" s="74">
        <v>300000</v>
      </c>
      <c r="L36" s="66">
        <v>1.1624333463677974</v>
      </c>
      <c r="M36" s="67">
        <v>600000</v>
      </c>
      <c r="N36" s="68"/>
      <c r="O36" s="71" t="s">
        <v>162</v>
      </c>
      <c r="P36" s="41">
        <f>M36+K36+I36+E36+G36</f>
        <v>1800000</v>
      </c>
      <c r="Q36" s="70"/>
    </row>
    <row r="37" spans="2:17" x14ac:dyDescent="0.2">
      <c r="B37" s="36"/>
      <c r="C37" s="47">
        <f>basic_info!$D$5+1</f>
        <v>2012</v>
      </c>
      <c r="D37" s="76"/>
      <c r="E37" s="75"/>
      <c r="F37" s="69">
        <v>0.89032073213160046</v>
      </c>
      <c r="G37" s="79">
        <v>300000</v>
      </c>
      <c r="H37" s="61">
        <v>0.91383547859681491</v>
      </c>
      <c r="I37" s="62">
        <v>300000</v>
      </c>
      <c r="J37" s="61">
        <v>1.0175796433406761</v>
      </c>
      <c r="K37" s="62">
        <v>300000</v>
      </c>
      <c r="L37" s="61">
        <v>1.0991066984060751</v>
      </c>
      <c r="M37" s="62">
        <v>300000</v>
      </c>
      <c r="N37" s="61">
        <v>1.1501363751654021</v>
      </c>
      <c r="O37" s="89">
        <v>600000</v>
      </c>
      <c r="P37" s="63">
        <f>O37+M37+K37+I37+G37</f>
        <v>1800000</v>
      </c>
    </row>
    <row r="38" spans="2:17" x14ac:dyDescent="0.2">
      <c r="B38" s="36"/>
      <c r="C38" s="47">
        <f>basic_info!$D$5+2</f>
        <v>2013</v>
      </c>
      <c r="D38" s="76"/>
      <c r="E38" s="75"/>
      <c r="F38" s="75"/>
      <c r="G38" s="75"/>
      <c r="H38" s="69">
        <v>0.87400841210782521</v>
      </c>
      <c r="I38" s="79">
        <v>300000</v>
      </c>
      <c r="J38" s="61">
        <v>0.98773074448833686</v>
      </c>
      <c r="K38" s="62">
        <v>300000</v>
      </c>
      <c r="L38" s="61">
        <v>1.0158087168858814</v>
      </c>
      <c r="M38" s="62">
        <v>300000</v>
      </c>
      <c r="N38" s="61">
        <v>1.1144936542893142</v>
      </c>
      <c r="O38" s="89">
        <v>300000</v>
      </c>
      <c r="P38" s="63">
        <f>O38+M38+K38+I38</f>
        <v>1200000</v>
      </c>
    </row>
    <row r="39" spans="2:17" x14ac:dyDescent="0.2">
      <c r="B39" s="36"/>
      <c r="C39" s="47">
        <f>basic_info!$D$5+3</f>
        <v>2014</v>
      </c>
      <c r="D39" s="76"/>
      <c r="E39" s="75"/>
      <c r="F39" s="75"/>
      <c r="G39" s="75"/>
      <c r="H39" s="75"/>
      <c r="I39" s="75"/>
      <c r="J39" s="69">
        <v>0.97905324764549728</v>
      </c>
      <c r="K39" s="79">
        <v>300000</v>
      </c>
      <c r="L39" s="61">
        <v>1.004390797006619</v>
      </c>
      <c r="M39" s="62">
        <v>300000</v>
      </c>
      <c r="N39" s="61">
        <v>1.1358391365953338</v>
      </c>
      <c r="O39" s="89">
        <v>300000</v>
      </c>
      <c r="P39" s="63">
        <f>O39+M39+K39</f>
        <v>900000</v>
      </c>
    </row>
    <row r="40" spans="2:17" x14ac:dyDescent="0.2">
      <c r="B40" s="36"/>
      <c r="C40" s="47">
        <f>basic_info!$D$5+4</f>
        <v>2015</v>
      </c>
      <c r="D40" s="76"/>
      <c r="E40" s="75"/>
      <c r="F40" s="75"/>
      <c r="G40" s="75"/>
      <c r="H40" s="75"/>
      <c r="I40" s="75"/>
      <c r="J40" s="75"/>
      <c r="K40" s="75"/>
      <c r="L40" s="69">
        <v>0.92318454591929922</v>
      </c>
      <c r="M40" s="79">
        <v>300000</v>
      </c>
      <c r="N40" s="61">
        <v>1.0932932166591005</v>
      </c>
      <c r="O40" s="89">
        <v>300000</v>
      </c>
      <c r="P40" s="63">
        <f>O40+M40</f>
        <v>600000</v>
      </c>
    </row>
    <row r="41" spans="2:17" x14ac:dyDescent="0.2">
      <c r="B41" s="37"/>
      <c r="C41" s="72">
        <f>basic_info!$D$5+5</f>
        <v>2016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1.023757758513093</v>
      </c>
      <c r="O41" s="89">
        <v>300000</v>
      </c>
      <c r="P41" s="64">
        <f>O41</f>
        <v>300000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9</v>
      </c>
      <c r="D47" s="92">
        <v>8</v>
      </c>
      <c r="E47" s="92">
        <v>8</v>
      </c>
      <c r="F47" s="92">
        <v>9</v>
      </c>
      <c r="G47" s="92">
        <v>8</v>
      </c>
      <c r="H47" s="92">
        <v>8</v>
      </c>
      <c r="I47" s="92">
        <v>9</v>
      </c>
      <c r="J47" s="92">
        <v>8</v>
      </c>
      <c r="K47" s="92">
        <v>8</v>
      </c>
      <c r="L47" s="92">
        <v>9</v>
      </c>
      <c r="M47" s="92">
        <v>8</v>
      </c>
      <c r="N47" s="92">
        <v>8</v>
      </c>
      <c r="O47" s="33">
        <f>SUM(C47:N47)</f>
        <v>100</v>
      </c>
    </row>
    <row r="48" spans="2:17" x14ac:dyDescent="0.2">
      <c r="B48" s="37" t="s">
        <v>113</v>
      </c>
      <c r="C48" s="92">
        <v>9</v>
      </c>
      <c r="D48" s="92">
        <v>8</v>
      </c>
      <c r="E48" s="92">
        <v>8</v>
      </c>
      <c r="F48" s="92">
        <v>9</v>
      </c>
      <c r="G48" s="92">
        <v>8</v>
      </c>
      <c r="H48" s="92">
        <v>8</v>
      </c>
      <c r="I48" s="92">
        <v>9</v>
      </c>
      <c r="J48" s="92">
        <v>8</v>
      </c>
      <c r="K48" s="92">
        <v>8</v>
      </c>
      <c r="L48" s="92">
        <v>9</v>
      </c>
      <c r="M48" s="92">
        <v>8</v>
      </c>
      <c r="N48" s="92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6.083281169442694</v>
      </c>
      <c r="D6" s="93"/>
      <c r="E6" s="93">
        <v>21.322558656143194</v>
      </c>
      <c r="F6" s="93">
        <v>43.576000000000001</v>
      </c>
      <c r="G6" s="93">
        <v>29.018160174414106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/>
      <c r="D7" s="93">
        <v>29.273302900011473</v>
      </c>
      <c r="E7" s="93"/>
      <c r="F7" s="93">
        <v>5.2536970999885284</v>
      </c>
      <c r="G7" s="93">
        <v>65.472999999999999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/>
      <c r="D8" s="93">
        <v>13.311643831050283</v>
      </c>
      <c r="E8" s="93"/>
      <c r="F8" s="93">
        <v>41.02235616894972</v>
      </c>
      <c r="G8" s="93">
        <v>45.665999999999997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100</v>
      </c>
      <c r="D9" s="93"/>
      <c r="E9" s="93"/>
      <c r="F9" s="93"/>
      <c r="G9" s="93"/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100</v>
      </c>
      <c r="D10" s="93"/>
      <c r="E10" s="93"/>
      <c r="F10" s="93"/>
      <c r="G10" s="93"/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100</v>
      </c>
      <c r="D11" s="94"/>
      <c r="E11" s="94"/>
      <c r="F11" s="94"/>
      <c r="G11" s="94"/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10.386729968289858</v>
      </c>
      <c r="D27" s="93">
        <v>100</v>
      </c>
      <c r="E27" s="93">
        <v>100</v>
      </c>
      <c r="F27" s="93"/>
      <c r="G27" s="93">
        <v>100</v>
      </c>
      <c r="H27" s="93"/>
      <c r="I27" s="95">
        <v>100</v>
      </c>
      <c r="P27" s="50"/>
      <c r="Q27" s="50"/>
      <c r="R27" s="50"/>
    </row>
    <row r="28" spans="2:18" x14ac:dyDescent="0.2">
      <c r="B28" s="45" t="s">
        <v>59</v>
      </c>
      <c r="C28" s="93">
        <v>89.613270031710144</v>
      </c>
      <c r="D28" s="93"/>
      <c r="E28" s="93"/>
      <c r="F28" s="93">
        <v>100</v>
      </c>
      <c r="G28" s="93"/>
      <c r="H28" s="93">
        <v>100</v>
      </c>
      <c r="I28" s="95"/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27.54034748087782</v>
      </c>
      <c r="D36" s="93">
        <v>27.54034748087782</v>
      </c>
      <c r="E36" s="93">
        <v>27.54034748087782</v>
      </c>
      <c r="F36" s="93">
        <v>27.54034748087782</v>
      </c>
      <c r="G36" s="93">
        <v>27.54034748087782</v>
      </c>
      <c r="H36" s="93">
        <v>27.54034748087782</v>
      </c>
      <c r="I36" s="93">
        <v>27.54034748087782</v>
      </c>
      <c r="J36" s="93">
        <v>27.54034748087782</v>
      </c>
      <c r="K36" s="93">
        <v>27.54034748087782</v>
      </c>
      <c r="L36" s="93">
        <v>27.54034748087782</v>
      </c>
      <c r="M36" s="93">
        <v>27.54034748087782</v>
      </c>
      <c r="N36" s="95">
        <v>27.54034748087782</v>
      </c>
    </row>
    <row r="37" spans="2:14" x14ac:dyDescent="0.2">
      <c r="B37" s="45" t="s">
        <v>59</v>
      </c>
      <c r="C37" s="94">
        <v>43.062944370491799</v>
      </c>
      <c r="D37" s="94">
        <v>43.06294437049182</v>
      </c>
      <c r="E37" s="94">
        <v>43.06294437049182</v>
      </c>
      <c r="F37" s="94">
        <v>43.06294437049182</v>
      </c>
      <c r="G37" s="94">
        <v>43.06294437049182</v>
      </c>
      <c r="H37" s="94">
        <v>43.06294437049182</v>
      </c>
      <c r="I37" s="94">
        <v>43.06294437049182</v>
      </c>
      <c r="J37" s="94">
        <v>43.06294437049182</v>
      </c>
      <c r="K37" s="94">
        <v>43.06294437049182</v>
      </c>
      <c r="L37" s="94">
        <v>43.06294437049182</v>
      </c>
      <c r="M37" s="94">
        <v>43.06294437049182</v>
      </c>
      <c r="N37" s="89">
        <v>43.062944370491799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D33" sqref="D33:O39"/>
    </sheetView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3.5401107557824121</v>
      </c>
      <c r="E6" s="89">
        <v>3.0866490383141914</v>
      </c>
      <c r="F6" s="89">
        <v>2.0425745579542873</v>
      </c>
      <c r="G6" s="89">
        <v>1.5097802616059544</v>
      </c>
      <c r="H6" s="89">
        <v>2.2544977000022342</v>
      </c>
      <c r="I6" s="89">
        <v>2.0720950008824257</v>
      </c>
      <c r="J6" s="89">
        <v>2.2817240912740289</v>
      </c>
      <c r="K6" s="89">
        <v>1.4989342804667465</v>
      </c>
      <c r="L6" s="89">
        <v>1.5805613663944622</v>
      </c>
      <c r="M6" s="89">
        <v>2.216419652611787</v>
      </c>
      <c r="N6" s="89">
        <v>3.2261209327634366</v>
      </c>
      <c r="O6" s="89">
        <v>2.5661590282298228</v>
      </c>
    </row>
    <row r="7" spans="2:15" x14ac:dyDescent="0.2">
      <c r="C7" s="36" t="s">
        <v>127</v>
      </c>
      <c r="D7" s="89">
        <v>3.0160419047256171</v>
      </c>
      <c r="E7" s="89">
        <v>2.577329618192568</v>
      </c>
      <c r="F7" s="89">
        <v>1.0669700035519627</v>
      </c>
      <c r="G7" s="89">
        <v>2.5283076723151825</v>
      </c>
      <c r="H7" s="89">
        <v>2.414846545862634</v>
      </c>
      <c r="I7" s="89">
        <v>2.9149669232989908</v>
      </c>
      <c r="J7" s="89">
        <v>2.9669780644560984</v>
      </c>
      <c r="K7" s="89">
        <v>3.2243762206312505</v>
      </c>
      <c r="L7" s="89">
        <v>2.4730195117405405</v>
      </c>
      <c r="M7" s="89">
        <v>1.0396990163290549</v>
      </c>
      <c r="N7" s="89">
        <v>1.2054983144424616</v>
      </c>
      <c r="O7" s="89">
        <v>2.6870462430545214</v>
      </c>
    </row>
    <row r="8" spans="2:15" x14ac:dyDescent="0.2">
      <c r="C8" s="36" t="s">
        <v>128</v>
      </c>
      <c r="D8" s="89">
        <v>3.2720500813632576</v>
      </c>
      <c r="E8" s="89">
        <v>2.0358293843456581</v>
      </c>
      <c r="F8" s="89">
        <v>1.832522483816265</v>
      </c>
      <c r="G8" s="89">
        <v>1.6841095069388858</v>
      </c>
      <c r="H8" s="89">
        <v>2.6401218223632448</v>
      </c>
      <c r="I8" s="89">
        <v>1.3904802756160539</v>
      </c>
      <c r="J8" s="89">
        <v>2.5229472615590147</v>
      </c>
      <c r="K8" s="89">
        <v>2.1028230460036692</v>
      </c>
      <c r="L8" s="89">
        <v>2.4415337078919359</v>
      </c>
      <c r="M8" s="89">
        <v>3.3394861361336563</v>
      </c>
      <c r="N8" s="89">
        <v>1.6837892240758507</v>
      </c>
      <c r="O8" s="89">
        <v>1.8067546412964322</v>
      </c>
    </row>
    <row r="9" spans="2:15" x14ac:dyDescent="0.2">
      <c r="C9" s="36" t="s">
        <v>129</v>
      </c>
      <c r="D9" s="89">
        <v>3.3481814843067896</v>
      </c>
      <c r="E9" s="89">
        <v>3.3616993082083844</v>
      </c>
      <c r="F9" s="89">
        <v>1.1611691003267832</v>
      </c>
      <c r="G9" s="89">
        <v>2.3585674365475677</v>
      </c>
      <c r="H9" s="89">
        <v>1.9457557577174169</v>
      </c>
      <c r="I9" s="89">
        <v>3.5949442094316582</v>
      </c>
      <c r="J9" s="89">
        <v>3.3035095003274888</v>
      </c>
      <c r="K9" s="89">
        <v>3.0277023159566467</v>
      </c>
      <c r="L9" s="89">
        <v>2.27769048247543</v>
      </c>
      <c r="M9" s="89">
        <v>3.5928442854912919</v>
      </c>
      <c r="N9" s="89">
        <v>1.1121168654666862</v>
      </c>
      <c r="O9" s="89">
        <v>2.6121289837272026</v>
      </c>
    </row>
    <row r="10" spans="2:15" x14ac:dyDescent="0.2">
      <c r="C10" s="36" t="s">
        <v>130</v>
      </c>
      <c r="D10" s="89">
        <v>1.3416993422749979</v>
      </c>
      <c r="E10" s="89">
        <v>1.3352506207725445</v>
      </c>
      <c r="F10" s="89">
        <v>1.7539008724129923</v>
      </c>
      <c r="G10" s="89">
        <v>1.9326898699972155</v>
      </c>
      <c r="H10" s="89">
        <v>1.4086545888607007</v>
      </c>
      <c r="I10" s="89">
        <v>1.2179255933894499</v>
      </c>
      <c r="J10" s="89">
        <v>3.2874189944365741</v>
      </c>
      <c r="K10" s="89">
        <v>3.496112498287272</v>
      </c>
      <c r="L10" s="89">
        <v>3.0839652534945952</v>
      </c>
      <c r="M10" s="89">
        <v>1.4709137942223942</v>
      </c>
      <c r="N10" s="89">
        <v>3.5552775175666294</v>
      </c>
      <c r="O10" s="89">
        <v>2.8391615957447023</v>
      </c>
    </row>
    <row r="11" spans="2:15" x14ac:dyDescent="0.2">
      <c r="C11" s="36" t="s">
        <v>131</v>
      </c>
      <c r="D11" s="89">
        <v>3.2235412241886898</v>
      </c>
      <c r="E11" s="89">
        <v>2.5088639914852076</v>
      </c>
      <c r="F11" s="89">
        <v>2.4933314064885845</v>
      </c>
      <c r="G11" s="89">
        <v>1.9653088629980706</v>
      </c>
      <c r="H11" s="89">
        <v>2.1535739145181081</v>
      </c>
      <c r="I11" s="89">
        <v>1.6084083376277387</v>
      </c>
      <c r="J11" s="89">
        <v>3.3211234111159595</v>
      </c>
      <c r="K11" s="89">
        <v>2.2540319040785404</v>
      </c>
      <c r="L11" s="89">
        <v>1.7044894611840145</v>
      </c>
      <c r="M11" s="89">
        <v>2.4036405372574077</v>
      </c>
      <c r="N11" s="89">
        <v>3.170107741726615</v>
      </c>
      <c r="O11" s="89">
        <v>3.5969794204568308</v>
      </c>
    </row>
    <row r="12" spans="2:15" x14ac:dyDescent="0.2">
      <c r="C12" s="37" t="s">
        <v>132</v>
      </c>
      <c r="D12" s="89">
        <v>1.9306537140339839</v>
      </c>
      <c r="E12" s="89">
        <v>1.3411483074904007</v>
      </c>
      <c r="F12" s="89">
        <v>1.8428000118433827</v>
      </c>
      <c r="G12" s="89">
        <v>2.6980786015421709</v>
      </c>
      <c r="H12" s="89">
        <v>2.4302417800566989</v>
      </c>
      <c r="I12" s="89">
        <v>3.4375413664251657</v>
      </c>
      <c r="J12" s="89">
        <v>2.4366815762116736</v>
      </c>
      <c r="K12" s="89">
        <v>2.3754439532201115</v>
      </c>
      <c r="L12" s="89">
        <v>3.3448877420710383</v>
      </c>
      <c r="M12" s="89">
        <v>2.3044296745022876</v>
      </c>
      <c r="N12" s="89">
        <v>2.9793412366894891</v>
      </c>
      <c r="O12" s="89">
        <v>2.3717726595584896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2.1423922664137827</v>
      </c>
      <c r="E15" s="89">
        <v>1.2959737081562266</v>
      </c>
      <c r="F15" s="89">
        <v>3.5093205755151611</v>
      </c>
      <c r="G15" s="89">
        <v>1.8893285296821496</v>
      </c>
      <c r="H15" s="89">
        <v>3.1800718760351678</v>
      </c>
      <c r="I15" s="89">
        <v>1.5276780015697191</v>
      </c>
      <c r="J15" s="89">
        <v>2.930932956523967</v>
      </c>
      <c r="K15" s="89">
        <v>1.2702074599376625</v>
      </c>
      <c r="L15" s="89">
        <v>1.1416289654748526</v>
      </c>
      <c r="M15" s="89">
        <v>2.502000560169372</v>
      </c>
      <c r="N15" s="89">
        <v>2.2433452690124587</v>
      </c>
      <c r="O15" s="89">
        <v>2.4806244344205108</v>
      </c>
    </row>
    <row r="16" spans="2:15" x14ac:dyDescent="0.2">
      <c r="C16" s="36" t="s">
        <v>127</v>
      </c>
      <c r="D16" s="89">
        <v>2.2865117065980165</v>
      </c>
      <c r="E16" s="89">
        <v>3.0761910197565059</v>
      </c>
      <c r="F16" s="89">
        <v>2.4960875030395639</v>
      </c>
      <c r="G16" s="89">
        <v>3.1991040414541492</v>
      </c>
      <c r="H16" s="89">
        <v>2.8857673355193594</v>
      </c>
      <c r="I16" s="89">
        <v>3.0443464227413393</v>
      </c>
      <c r="J16" s="89">
        <v>1.3456213599957256</v>
      </c>
      <c r="K16" s="89">
        <v>3.3919724880584301</v>
      </c>
      <c r="L16" s="89">
        <v>3.3790947562983744</v>
      </c>
      <c r="M16" s="89">
        <v>3.5811399847769736</v>
      </c>
      <c r="N16" s="89">
        <v>1.1094794708596598</v>
      </c>
      <c r="O16" s="89">
        <v>1.0692730221713473</v>
      </c>
    </row>
    <row r="17" spans="2:15" x14ac:dyDescent="0.2">
      <c r="C17" s="36" t="s">
        <v>128</v>
      </c>
      <c r="D17" s="89">
        <v>1.0788786625191176</v>
      </c>
      <c r="E17" s="89">
        <v>2.2721731118917017</v>
      </c>
      <c r="F17" s="89">
        <v>3.0574798357731323</v>
      </c>
      <c r="G17" s="89">
        <v>2.2958365369359113</v>
      </c>
      <c r="H17" s="89">
        <v>2.7570912823939633</v>
      </c>
      <c r="I17" s="89">
        <v>1.0668847852520229</v>
      </c>
      <c r="J17" s="89">
        <v>2.2601603494241473</v>
      </c>
      <c r="K17" s="89">
        <v>2.669586198940419</v>
      </c>
      <c r="L17" s="89">
        <v>2.1450136303637786</v>
      </c>
      <c r="M17" s="89">
        <v>2.4793391192375878</v>
      </c>
      <c r="N17" s="89">
        <v>1.4204240343151104</v>
      </c>
      <c r="O17" s="89">
        <v>2.712643707032234</v>
      </c>
    </row>
    <row r="18" spans="2:15" x14ac:dyDescent="0.2">
      <c r="C18" s="36" t="s">
        <v>129</v>
      </c>
      <c r="D18" s="89">
        <v>1.3835672502273226</v>
      </c>
      <c r="E18" s="89">
        <v>2.7028707261349787</v>
      </c>
      <c r="F18" s="89">
        <v>3.1000405462825742</v>
      </c>
      <c r="G18" s="89">
        <v>3.4949707335807902</v>
      </c>
      <c r="H18" s="89">
        <v>1.8749962584289994</v>
      </c>
      <c r="I18" s="89">
        <v>1.9188799859974224</v>
      </c>
      <c r="J18" s="89">
        <v>2.5019798483326054</v>
      </c>
      <c r="K18" s="89">
        <v>2.0151653889620613</v>
      </c>
      <c r="L18" s="89">
        <v>2.2846261511393617</v>
      </c>
      <c r="M18" s="89">
        <v>1.7180567366634927</v>
      </c>
      <c r="N18" s="89">
        <v>2.0513096013951486</v>
      </c>
      <c r="O18" s="89">
        <v>2.5064896845577045</v>
      </c>
    </row>
    <row r="19" spans="2:15" x14ac:dyDescent="0.2">
      <c r="C19" s="36" t="s">
        <v>130</v>
      </c>
      <c r="D19" s="89">
        <v>2.4481388348452615</v>
      </c>
      <c r="E19" s="89">
        <v>2.0795706203110265</v>
      </c>
      <c r="F19" s="89">
        <v>2.5652036431920093</v>
      </c>
      <c r="G19" s="89">
        <v>2.9158347897502108</v>
      </c>
      <c r="H19" s="89">
        <v>3.0710718566563453</v>
      </c>
      <c r="I19" s="89">
        <v>1.2000993673182372</v>
      </c>
      <c r="J19" s="89">
        <v>3.5922344922753524</v>
      </c>
      <c r="K19" s="89">
        <v>1.6879011638920716</v>
      </c>
      <c r="L19" s="89">
        <v>3.4060127533766189</v>
      </c>
      <c r="M19" s="89">
        <v>2.7432400487020749</v>
      </c>
      <c r="N19" s="89">
        <v>3.3272437246062925</v>
      </c>
      <c r="O19" s="89">
        <v>2.939922517314876</v>
      </c>
    </row>
    <row r="20" spans="2:15" x14ac:dyDescent="0.2">
      <c r="C20" s="36" t="s">
        <v>131</v>
      </c>
      <c r="D20" s="89">
        <v>2.5202521749674869</v>
      </c>
      <c r="E20" s="89">
        <v>1.3808439918572899</v>
      </c>
      <c r="F20" s="89">
        <v>1.1011229947331305</v>
      </c>
      <c r="G20" s="89">
        <v>1.9522744955143283</v>
      </c>
      <c r="H20" s="89">
        <v>1.0829019951720367</v>
      </c>
      <c r="I20" s="89">
        <v>2.5534038917684678</v>
      </c>
      <c r="J20" s="89">
        <v>1.8387053206685755</v>
      </c>
      <c r="K20" s="89">
        <v>1.9701652116922515</v>
      </c>
      <c r="L20" s="89">
        <v>1.3432783498834751</v>
      </c>
      <c r="M20" s="89">
        <v>2.2832360520965835</v>
      </c>
      <c r="N20" s="89">
        <v>1.5738627939776226</v>
      </c>
      <c r="O20" s="89">
        <v>3.0035498619010346</v>
      </c>
    </row>
    <row r="21" spans="2:15" x14ac:dyDescent="0.2">
      <c r="C21" s="37" t="s">
        <v>132</v>
      </c>
      <c r="D21" s="89">
        <v>1.523161942607183</v>
      </c>
      <c r="E21" s="89">
        <v>1.5765459432553641</v>
      </c>
      <c r="F21" s="89">
        <v>1.125551303557855</v>
      </c>
      <c r="G21" s="89">
        <v>3.1444666663550289</v>
      </c>
      <c r="H21" s="89">
        <v>1.7809949061086936</v>
      </c>
      <c r="I21" s="89">
        <v>1.5824089613355521</v>
      </c>
      <c r="J21" s="89">
        <v>2.4698312790256471</v>
      </c>
      <c r="K21" s="89">
        <v>1.9989693662389258</v>
      </c>
      <c r="L21" s="89">
        <v>1.6170734003709328</v>
      </c>
      <c r="M21" s="89">
        <v>1.1110926313550673</v>
      </c>
      <c r="N21" s="89">
        <v>2.850805197393981</v>
      </c>
      <c r="O21" s="89">
        <v>1.6003034673895813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1.2206516357600274</v>
      </c>
      <c r="E24" s="89">
        <v>1.3714544667884601</v>
      </c>
      <c r="F24" s="89">
        <v>2.7552347249175</v>
      </c>
      <c r="G24" s="89">
        <v>2.7885856838248344</v>
      </c>
      <c r="H24" s="89">
        <v>3.467193370747248</v>
      </c>
      <c r="I24" s="89">
        <v>3.2283519102753608</v>
      </c>
      <c r="J24" s="89">
        <v>1.4311211175710743</v>
      </c>
      <c r="K24" s="89">
        <v>1.6180686186673001</v>
      </c>
      <c r="L24" s="89">
        <v>3.1456053248251239</v>
      </c>
      <c r="M24" s="89">
        <v>1.1306978906525669</v>
      </c>
      <c r="N24" s="89">
        <v>2.2926476135213787</v>
      </c>
      <c r="O24" s="89">
        <v>2.9631187635881258</v>
      </c>
    </row>
    <row r="25" spans="2:15" x14ac:dyDescent="0.2">
      <c r="C25" s="36" t="s">
        <v>127</v>
      </c>
      <c r="D25" s="89">
        <v>2.2096391736669734</v>
      </c>
      <c r="E25" s="89">
        <v>2.130761357750822</v>
      </c>
      <c r="F25" s="89">
        <v>2.6128792132735152</v>
      </c>
      <c r="G25" s="89">
        <v>3.0532780177232861</v>
      </c>
      <c r="H25" s="89">
        <v>3.1895991674839075</v>
      </c>
      <c r="I25" s="89">
        <v>3.2161853331933155</v>
      </c>
      <c r="J25" s="89">
        <v>3.2373553954434597</v>
      </c>
      <c r="K25" s="89">
        <v>2.152089867755282</v>
      </c>
      <c r="L25" s="89">
        <v>2.5557028878312575</v>
      </c>
      <c r="M25" s="89">
        <v>2.1555457712079629</v>
      </c>
      <c r="N25" s="89">
        <v>1.2154733357085707</v>
      </c>
      <c r="O25" s="89">
        <v>1.6159866373174063</v>
      </c>
    </row>
    <row r="26" spans="2:15" x14ac:dyDescent="0.2">
      <c r="C26" s="36" t="s">
        <v>128</v>
      </c>
      <c r="D26" s="89">
        <v>1.3164541109964643</v>
      </c>
      <c r="E26" s="89">
        <v>1.5582073342365836</v>
      </c>
      <c r="F26" s="89">
        <v>2.7996430007556441</v>
      </c>
      <c r="G26" s="89">
        <v>2.7994719173804663</v>
      </c>
      <c r="H26" s="89">
        <v>2.9585740496124471</v>
      </c>
      <c r="I26" s="89">
        <v>3.5645209906211326</v>
      </c>
      <c r="J26" s="89">
        <v>2.9624610396165392</v>
      </c>
      <c r="K26" s="89">
        <v>1.1547218944448647</v>
      </c>
      <c r="L26" s="89">
        <v>2.0708154474179166</v>
      </c>
      <c r="M26" s="89">
        <v>3.2689630709562301</v>
      </c>
      <c r="N26" s="89">
        <v>1.8138677610983156</v>
      </c>
      <c r="O26" s="89">
        <v>2.4519797922569224</v>
      </c>
    </row>
    <row r="27" spans="2:15" x14ac:dyDescent="0.2">
      <c r="C27" s="36" t="s">
        <v>129</v>
      </c>
      <c r="D27" s="89">
        <v>1.8702664130756488</v>
      </c>
      <c r="E27" s="89">
        <v>1.5309626200591353</v>
      </c>
      <c r="F27" s="89">
        <v>1.9437225280309898</v>
      </c>
      <c r="G27" s="89">
        <v>3.3503757994513346</v>
      </c>
      <c r="H27" s="89">
        <v>3.1501048962872962</v>
      </c>
      <c r="I27" s="89">
        <v>2.8385865897347009</v>
      </c>
      <c r="J27" s="89">
        <v>1.2712012608218206</v>
      </c>
      <c r="K27" s="89">
        <v>3.2361728838136852</v>
      </c>
      <c r="L27" s="89">
        <v>3.3060748115204874</v>
      </c>
      <c r="M27" s="89">
        <v>2.7790582888962656</v>
      </c>
      <c r="N27" s="89">
        <v>2.6099633720192159</v>
      </c>
      <c r="O27" s="89">
        <v>1.5381478243722138</v>
      </c>
    </row>
    <row r="28" spans="2:15" x14ac:dyDescent="0.2">
      <c r="C28" s="36" t="s">
        <v>130</v>
      </c>
      <c r="D28" s="89">
        <v>2.5533921656081988</v>
      </c>
      <c r="E28" s="89">
        <v>3.5302987118094626</v>
      </c>
      <c r="F28" s="89">
        <v>1.4312770534921639</v>
      </c>
      <c r="G28" s="89">
        <v>1.9955937081210235</v>
      </c>
      <c r="H28" s="89">
        <v>2.0613456795256031</v>
      </c>
      <c r="I28" s="89">
        <v>1.8023429996628828</v>
      </c>
      <c r="J28" s="89">
        <v>3.2843176896988671</v>
      </c>
      <c r="K28" s="89">
        <v>1.963967419711155</v>
      </c>
      <c r="L28" s="89">
        <v>2.8455451866143289</v>
      </c>
      <c r="M28" s="89">
        <v>2.9543354217756987</v>
      </c>
      <c r="N28" s="89">
        <v>1.9088348663720744</v>
      </c>
      <c r="O28" s="89">
        <v>3.1502299730053247</v>
      </c>
    </row>
    <row r="29" spans="2:15" x14ac:dyDescent="0.2">
      <c r="C29" s="36" t="s">
        <v>131</v>
      </c>
      <c r="D29" s="89">
        <v>3.3994657961999684</v>
      </c>
      <c r="E29" s="89">
        <v>1.7816323862202308</v>
      </c>
      <c r="F29" s="89">
        <v>1.2876461940788906</v>
      </c>
      <c r="G29" s="89">
        <v>2.4114962451256519</v>
      </c>
      <c r="H29" s="89">
        <v>2.0917861849523502</v>
      </c>
      <c r="I29" s="89">
        <v>3.0348945224808417</v>
      </c>
      <c r="J29" s="89">
        <v>2.6319743644809441</v>
      </c>
      <c r="K29" s="89">
        <v>1.7890205616054615</v>
      </c>
      <c r="L29" s="89">
        <v>1.2331075123680533</v>
      </c>
      <c r="M29" s="89">
        <v>1.4365534941982634</v>
      </c>
      <c r="N29" s="89">
        <v>2.2956659339676539</v>
      </c>
      <c r="O29" s="89">
        <v>3.2376576494768705</v>
      </c>
    </row>
    <row r="30" spans="2:15" x14ac:dyDescent="0.2">
      <c r="C30" s="37" t="s">
        <v>132</v>
      </c>
      <c r="D30" s="89">
        <v>3.1809669217580971</v>
      </c>
      <c r="E30" s="89">
        <v>2.7284420323669334</v>
      </c>
      <c r="F30" s="89">
        <v>2.5781866168748264</v>
      </c>
      <c r="G30" s="89">
        <v>1.3674683453887053</v>
      </c>
      <c r="H30" s="89">
        <v>3.4422890802135773</v>
      </c>
      <c r="I30" s="89">
        <v>1.5327150373059337</v>
      </c>
      <c r="J30" s="89">
        <v>1.8765758169181306</v>
      </c>
      <c r="K30" s="89">
        <v>1.6704470260914024</v>
      </c>
      <c r="L30" s="89">
        <v>1.9431954587992935</v>
      </c>
      <c r="M30" s="89">
        <v>1.8425072875737261</v>
      </c>
      <c r="N30" s="89">
        <v>2.0090355038332999</v>
      </c>
      <c r="O30" s="89">
        <v>1.0075979318978794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3.3760294982479446</v>
      </c>
      <c r="E33" s="89">
        <v>3.4253846968196893</v>
      </c>
      <c r="F33" s="89">
        <v>2.6034116819278093</v>
      </c>
      <c r="G33" s="89">
        <v>1.4348121700821808</v>
      </c>
      <c r="H33" s="89">
        <v>3.2274956005272282</v>
      </c>
      <c r="I33" s="89">
        <v>2.042396599570854</v>
      </c>
      <c r="J33" s="89">
        <v>2.9035686550578768</v>
      </c>
      <c r="K33" s="89">
        <v>2.5703237292587993</v>
      </c>
      <c r="L33" s="89">
        <v>1.3686991517053695</v>
      </c>
      <c r="M33" s="89">
        <v>3.2578447691258487</v>
      </c>
      <c r="N33" s="89">
        <v>1.4445228057908266</v>
      </c>
      <c r="O33" s="89">
        <v>2.3813478682690454</v>
      </c>
    </row>
    <row r="34" spans="3:15" x14ac:dyDescent="0.2">
      <c r="C34" s="36" t="s">
        <v>127</v>
      </c>
      <c r="D34" s="89">
        <v>3.118735431508143</v>
      </c>
      <c r="E34" s="89">
        <v>1.5464434217571745</v>
      </c>
      <c r="F34" s="89">
        <v>3.0115390110209121</v>
      </c>
      <c r="G34" s="89">
        <v>3.1488275950938638</v>
      </c>
      <c r="H34" s="89">
        <v>1.9323589885335091</v>
      </c>
      <c r="I34" s="89">
        <v>1.3272864892485807</v>
      </c>
      <c r="J34" s="89">
        <v>3.297534381977687</v>
      </c>
      <c r="K34" s="89">
        <v>1.8755327819510141</v>
      </c>
      <c r="L34" s="89">
        <v>3.3377377765530212</v>
      </c>
      <c r="M34" s="89">
        <v>1.547754503169398</v>
      </c>
      <c r="N34" s="89">
        <v>1.4378090341002869</v>
      </c>
      <c r="O34" s="89">
        <v>1.5263871290321422</v>
      </c>
    </row>
    <row r="35" spans="3:15" x14ac:dyDescent="0.2">
      <c r="C35" s="36" t="s">
        <v>128</v>
      </c>
      <c r="D35" s="89">
        <v>2.2838047140847006</v>
      </c>
      <c r="E35" s="89">
        <v>1.0851180457970802</v>
      </c>
      <c r="F35" s="89">
        <v>3.2954896654731001</v>
      </c>
      <c r="G35" s="89">
        <v>1.1108600976439995</v>
      </c>
      <c r="H35" s="89">
        <v>1.2013070273376159</v>
      </c>
      <c r="I35" s="89">
        <v>1.7698368183637141</v>
      </c>
      <c r="J35" s="89">
        <v>3.0450982162038827</v>
      </c>
      <c r="K35" s="89">
        <v>1.2337242758602387</v>
      </c>
      <c r="L35" s="89">
        <v>1.5649223129852841</v>
      </c>
      <c r="M35" s="89">
        <v>2.5768169751174796</v>
      </c>
      <c r="N35" s="89">
        <v>3.2492683536586044</v>
      </c>
      <c r="O35" s="89">
        <v>3.0097353539530167</v>
      </c>
    </row>
    <row r="36" spans="3:15" x14ac:dyDescent="0.2">
      <c r="C36" s="36" t="s">
        <v>129</v>
      </c>
      <c r="D36" s="89">
        <v>2.6253456273204376</v>
      </c>
      <c r="E36" s="89">
        <v>1.3471314986391199</v>
      </c>
      <c r="F36" s="89">
        <v>3.1288152188637861</v>
      </c>
      <c r="G36" s="89">
        <v>2.340024855081134</v>
      </c>
      <c r="H36" s="89">
        <v>2.463524014569574</v>
      </c>
      <c r="I36" s="89">
        <v>3.0489756586371648</v>
      </c>
      <c r="J36" s="89">
        <v>2.442324699325868</v>
      </c>
      <c r="K36" s="89">
        <v>2.937060872736069</v>
      </c>
      <c r="L36" s="89">
        <v>3.3544191604689315</v>
      </c>
      <c r="M36" s="89">
        <v>1.0135233950377691</v>
      </c>
      <c r="N36" s="89">
        <v>1.5171581587424796</v>
      </c>
      <c r="O36" s="89">
        <v>3.304884034185577</v>
      </c>
    </row>
    <row r="37" spans="3:15" x14ac:dyDescent="0.2">
      <c r="C37" s="36" t="s">
        <v>130</v>
      </c>
      <c r="D37" s="89">
        <v>1.6465930582214463</v>
      </c>
      <c r="E37" s="89">
        <v>1.6115617594986456</v>
      </c>
      <c r="F37" s="89">
        <v>2.4693921386877529</v>
      </c>
      <c r="G37" s="89">
        <v>2.1243237894451701</v>
      </c>
      <c r="H37" s="89">
        <v>2.7544994928619415</v>
      </c>
      <c r="I37" s="89">
        <v>1.2260274717203097</v>
      </c>
      <c r="J37" s="89">
        <v>1.0298822189527004</v>
      </c>
      <c r="K37" s="89">
        <v>2.674691589523249</v>
      </c>
      <c r="L37" s="89">
        <v>2.8630117101511106</v>
      </c>
      <c r="M37" s="89">
        <v>2.7559133541589098</v>
      </c>
      <c r="N37" s="89">
        <v>1.4266672879717173</v>
      </c>
      <c r="O37" s="89">
        <v>3.0779060112625003</v>
      </c>
    </row>
    <row r="38" spans="3:15" x14ac:dyDescent="0.2">
      <c r="C38" s="36" t="s">
        <v>131</v>
      </c>
      <c r="D38" s="89">
        <v>2.5724665791131853</v>
      </c>
      <c r="E38" s="89">
        <v>2.2168704988526455</v>
      </c>
      <c r="F38" s="89">
        <v>2.2420335987829043</v>
      </c>
      <c r="G38" s="89">
        <v>1.5686253858330925</v>
      </c>
      <c r="H38" s="89">
        <v>3.3899873412607437</v>
      </c>
      <c r="I38" s="89">
        <v>1.191074466283667</v>
      </c>
      <c r="J38" s="89">
        <v>1.2378317999294992</v>
      </c>
      <c r="K38" s="89">
        <v>2.9696607094803325</v>
      </c>
      <c r="L38" s="89">
        <v>1.7465365974497717</v>
      </c>
      <c r="M38" s="89">
        <v>2.2586014799989482</v>
      </c>
      <c r="N38" s="89">
        <v>2.1951896361085375</v>
      </c>
      <c r="O38" s="89">
        <v>1.4427904325652297</v>
      </c>
    </row>
    <row r="39" spans="3:15" x14ac:dyDescent="0.2">
      <c r="C39" s="37" t="s">
        <v>132</v>
      </c>
      <c r="D39" s="89">
        <v>2.8632686550754531</v>
      </c>
      <c r="E39" s="89">
        <v>3.4895359268490398</v>
      </c>
      <c r="F39" s="89">
        <v>2.2230647085081294</v>
      </c>
      <c r="G39" s="89">
        <v>2.6986510770961152</v>
      </c>
      <c r="H39" s="89">
        <v>1.2657200697469402</v>
      </c>
      <c r="I39" s="89">
        <v>3.476158563206011</v>
      </c>
      <c r="J39" s="89">
        <v>2.3383225292310144</v>
      </c>
      <c r="K39" s="89">
        <v>2.1449784110078536</v>
      </c>
      <c r="L39" s="89">
        <v>3.0395580241272433</v>
      </c>
      <c r="M39" s="89">
        <v>2.0060353064683722</v>
      </c>
      <c r="N39" s="89">
        <v>3.4854130783453297</v>
      </c>
      <c r="O39" s="89">
        <v>3.2925298098746838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412</v>
      </c>
      <c r="D3" s="187"/>
      <c r="E3" s="187"/>
      <c r="F3" s="187"/>
      <c r="G3" s="187"/>
    </row>
    <row r="5" spans="1:20" ht="15.75" x14ac:dyDescent="0.25">
      <c r="A5" s="188" t="s">
        <v>351</v>
      </c>
      <c r="B5" s="189"/>
      <c r="G5" s="190"/>
      <c r="L5" s="188" t="s">
        <v>352</v>
      </c>
      <c r="M5" s="189"/>
      <c r="R5" s="190"/>
    </row>
    <row r="6" spans="1:20" x14ac:dyDescent="0.2">
      <c r="A6" s="191" t="s">
        <v>353</v>
      </c>
      <c r="B6" s="189"/>
      <c r="G6" s="192"/>
      <c r="H6" s="116"/>
      <c r="L6" s="191" t="s">
        <v>354</v>
      </c>
      <c r="M6" s="189"/>
      <c r="S6" s="131"/>
    </row>
    <row r="7" spans="1:20" x14ac:dyDescent="0.2">
      <c r="A7" s="189"/>
      <c r="B7" s="189" t="s">
        <v>355</v>
      </c>
      <c r="G7" s="192"/>
      <c r="H7" s="193">
        <f>SUM(ORA!$D$116:$O$116)</f>
        <v>20646</v>
      </c>
      <c r="L7" s="189"/>
      <c r="M7" s="189" t="s">
        <v>355</v>
      </c>
      <c r="S7" s="194">
        <f>SUM(ORA!$D$127:$O$127)</f>
        <v>75793745.721579224</v>
      </c>
    </row>
    <row r="8" spans="1:20" x14ac:dyDescent="0.2">
      <c r="A8" s="189"/>
      <c r="B8" s="189" t="s">
        <v>356</v>
      </c>
      <c r="G8" s="192"/>
      <c r="H8" s="195">
        <f>SUM(POJ!$D$116:$O$116)</f>
        <v>1208</v>
      </c>
      <c r="L8" s="189"/>
      <c r="M8" s="189" t="s">
        <v>356</v>
      </c>
      <c r="S8" s="196">
        <f>SUM(POJ!$D$127:$O$127)</f>
        <v>4642625.2849763129</v>
      </c>
    </row>
    <row r="9" spans="1:20" x14ac:dyDescent="0.2">
      <c r="A9" s="189"/>
      <c r="B9" s="189" t="s">
        <v>357</v>
      </c>
      <c r="G9" s="192"/>
      <c r="H9" s="195">
        <f>SUM(ROJ!$D$116:$O$116)</f>
        <v>31777.669183806494</v>
      </c>
      <c r="L9" s="189"/>
      <c r="M9" s="189" t="s">
        <v>357</v>
      </c>
      <c r="S9" s="196">
        <f>SUM(ROJ!$D$127:$O$127)</f>
        <v>116942264.23227343</v>
      </c>
    </row>
    <row r="10" spans="1:20" x14ac:dyDescent="0.2">
      <c r="A10" s="189"/>
      <c r="B10" s="189" t="s">
        <v>358</v>
      </c>
      <c r="G10" s="192"/>
      <c r="H10" s="197">
        <f>SUM(FCOJ!$D$116:$O$116)</f>
        <v>73099.669183806516</v>
      </c>
      <c r="L10" s="189"/>
      <c r="M10" s="189" t="s">
        <v>358</v>
      </c>
      <c r="S10" s="198">
        <f>SUM(FCOJ!$D$127:$O$127)</f>
        <v>238464537.87530035</v>
      </c>
    </row>
    <row r="11" spans="1:20" x14ac:dyDescent="0.2">
      <c r="A11" s="189"/>
      <c r="B11" s="189"/>
      <c r="G11" s="192"/>
      <c r="M11" s="189" t="s">
        <v>359</v>
      </c>
      <c r="T11" s="199">
        <f>SUM($S$7:$S$10)</f>
        <v>435843173.1141293</v>
      </c>
    </row>
    <row r="12" spans="1:20" x14ac:dyDescent="0.2">
      <c r="A12" s="191" t="s">
        <v>360</v>
      </c>
      <c r="B12" s="189"/>
      <c r="G12" s="192"/>
    </row>
    <row r="13" spans="1:20" x14ac:dyDescent="0.2">
      <c r="A13" s="189"/>
      <c r="B13" s="189" t="s">
        <v>361</v>
      </c>
      <c r="G13" s="192"/>
      <c r="H13" s="200">
        <f>SUM(grove!$C$48:$AX$53)</f>
        <v>282861.53443678666</v>
      </c>
      <c r="L13" s="191" t="s">
        <v>362</v>
      </c>
      <c r="M13" s="189"/>
    </row>
    <row r="14" spans="1:20" x14ac:dyDescent="0.2">
      <c r="A14" s="189"/>
      <c r="B14" s="189" t="s">
        <v>363</v>
      </c>
      <c r="G14" s="192"/>
      <c r="H14" s="193">
        <f>raw_materials!$P$30</f>
        <v>800000</v>
      </c>
      <c r="L14" s="189"/>
      <c r="M14" s="189" t="s">
        <v>364</v>
      </c>
      <c r="S14" s="194">
        <f>SUM(grove!$C$58:$AX$63)</f>
        <v>414115639.01524514</v>
      </c>
    </row>
    <row r="15" spans="1:20" x14ac:dyDescent="0.2">
      <c r="A15" s="189"/>
      <c r="B15" s="189" t="s">
        <v>365</v>
      </c>
      <c r="G15" s="192"/>
      <c r="H15" s="197">
        <f>raw_materials!$P$36</f>
        <v>1800000</v>
      </c>
      <c r="L15" s="189"/>
      <c r="M15" s="189" t="s">
        <v>366</v>
      </c>
      <c r="S15" s="196">
        <f>(raw_materials!D30*raw_materials!E30+raw_materials!F30*raw_materials!G30+raw_materials!H30*raw_materials!I30+raw_materials!J30*raw_materials!K30+raw_materials!L30*raw_materials!M30)*2000</f>
        <v>1114324742.9541042</v>
      </c>
    </row>
    <row r="16" spans="1:20" x14ac:dyDescent="0.2">
      <c r="A16" s="189"/>
      <c r="B16" s="189" t="s">
        <v>367</v>
      </c>
      <c r="G16" s="192"/>
      <c r="H16" s="201">
        <v>171582.50031945301</v>
      </c>
      <c r="L16" s="189"/>
      <c r="M16" s="189" t="s">
        <v>368</v>
      </c>
      <c r="S16" s="196">
        <f>(raw_materials!D36*raw_materials!E36+raw_materials!F36*raw_materials!G36+raw_materials!H36*raw_materials!I36+raw_materials!J36*raw_materials!K36+raw_materials!L36*raw_materials!M36)*2000</f>
        <v>3722708006.764842</v>
      </c>
    </row>
    <row r="17" spans="1:21" x14ac:dyDescent="0.2">
      <c r="A17" s="189"/>
      <c r="B17" s="189" t="s">
        <v>369</v>
      </c>
      <c r="G17" s="192"/>
      <c r="H17" s="202">
        <v>0</v>
      </c>
      <c r="L17" s="189"/>
      <c r="M17" s="189" t="s">
        <v>370</v>
      </c>
      <c r="S17" s="196">
        <v>311428079.46541631</v>
      </c>
    </row>
    <row r="18" spans="1:21" x14ac:dyDescent="0.2">
      <c r="A18" s="189"/>
      <c r="B18" s="189" t="s">
        <v>371</v>
      </c>
      <c r="G18" s="192"/>
      <c r="H18" s="203">
        <v>1216630.3355675109</v>
      </c>
      <c r="L18" s="189"/>
      <c r="M18" s="189" t="s">
        <v>372</v>
      </c>
      <c r="S18" s="198">
        <v>466036852.91986352</v>
      </c>
    </row>
    <row r="19" spans="1:21" x14ac:dyDescent="0.2">
      <c r="A19" s="189"/>
      <c r="B19" s="189" t="s">
        <v>373</v>
      </c>
      <c r="G19" s="192"/>
      <c r="H19" s="202">
        <v>2755965.9994590036</v>
      </c>
      <c r="L19" s="189"/>
      <c r="M19" s="189" t="s">
        <v>374</v>
      </c>
      <c r="S19" s="204" t="s">
        <v>375</v>
      </c>
      <c r="T19" s="205">
        <f>SUM($S$14:$S$18)</f>
        <v>6028613321.1194715</v>
      </c>
      <c r="U19" s="106" t="s">
        <v>376</v>
      </c>
    </row>
    <row r="20" spans="1:21" x14ac:dyDescent="0.2">
      <c r="A20" s="189"/>
      <c r="B20" s="189" t="s">
        <v>377</v>
      </c>
      <c r="G20" s="192"/>
      <c r="H20" s="197">
        <v>0</v>
      </c>
      <c r="L20" s="189"/>
      <c r="M20" s="189"/>
    </row>
    <row r="21" spans="1:21" x14ac:dyDescent="0.2">
      <c r="A21" s="189"/>
      <c r="B21" s="189"/>
      <c r="G21" s="192"/>
      <c r="L21" s="191" t="s">
        <v>378</v>
      </c>
      <c r="M21" s="189"/>
      <c r="S21" s="131"/>
    </row>
    <row r="22" spans="1:21" x14ac:dyDescent="0.2">
      <c r="A22" s="191" t="s">
        <v>379</v>
      </c>
      <c r="B22" s="189"/>
      <c r="G22" s="192"/>
      <c r="L22" s="189"/>
      <c r="M22" s="189" t="s">
        <v>380</v>
      </c>
      <c r="S22" s="196">
        <v>343165000.63890642</v>
      </c>
    </row>
    <row r="23" spans="1:21" x14ac:dyDescent="0.2">
      <c r="A23" s="189"/>
      <c r="B23" s="189" t="s">
        <v>381</v>
      </c>
      <c r="G23" s="192"/>
      <c r="H23" s="193">
        <f>SUM(raw_materials!$O$31:$O$35)</f>
        <v>800000</v>
      </c>
      <c r="L23" s="189"/>
      <c r="M23" s="189" t="s">
        <v>382</v>
      </c>
      <c r="S23" s="196">
        <v>0</v>
      </c>
    </row>
    <row r="24" spans="1:21" x14ac:dyDescent="0.2">
      <c r="A24" s="189"/>
      <c r="B24" s="189" t="s">
        <v>383</v>
      </c>
      <c r="G24" s="192"/>
      <c r="H24" s="197">
        <f>SUM(raw_materials!$O$37:$O$41)</f>
        <v>1800000</v>
      </c>
      <c r="L24" s="189"/>
      <c r="M24" s="189" t="s">
        <v>384</v>
      </c>
      <c r="S24" s="198">
        <v>790809718.11888218</v>
      </c>
    </row>
    <row r="25" spans="1:21" x14ac:dyDescent="0.2">
      <c r="A25" s="189"/>
      <c r="B25" s="189"/>
      <c r="G25" s="192"/>
      <c r="L25" s="189"/>
      <c r="M25" s="189" t="s">
        <v>385</v>
      </c>
      <c r="S25" s="204" t="s">
        <v>375</v>
      </c>
      <c r="T25" s="205">
        <f>SUM($S$22:$S$24)</f>
        <v>1133974718.7577887</v>
      </c>
      <c r="U25" s="106" t="s">
        <v>376</v>
      </c>
    </row>
    <row r="26" spans="1:21" x14ac:dyDescent="0.2">
      <c r="A26" s="191" t="s">
        <v>386</v>
      </c>
      <c r="B26" s="189"/>
      <c r="G26" s="192"/>
      <c r="L26" s="189"/>
      <c r="M26" s="189"/>
    </row>
    <row r="27" spans="1:21" x14ac:dyDescent="0.2">
      <c r="A27" s="189"/>
      <c r="B27" s="189" t="s">
        <v>387</v>
      </c>
      <c r="G27" s="192"/>
      <c r="H27" s="193">
        <f>SUMIF(facilities!$C$6:$C$15,"&gt;0",facilities!$C$6:$C$15)</f>
        <v>0</v>
      </c>
      <c r="L27" s="191" t="s">
        <v>388</v>
      </c>
      <c r="M27" s="189"/>
    </row>
    <row r="28" spans="1:21" x14ac:dyDescent="0.2">
      <c r="A28" s="189"/>
      <c r="B28" s="189" t="s">
        <v>389</v>
      </c>
      <c r="G28" s="192"/>
      <c r="H28" s="195">
        <f>SUMIF(facilities!$C$36:$C$106,"&gt;0",facilities!$C$36:$C$106)</f>
        <v>0</v>
      </c>
      <c r="L28" s="189"/>
      <c r="M28" s="189" t="s">
        <v>390</v>
      </c>
      <c r="S28" s="194">
        <v>0</v>
      </c>
    </row>
    <row r="29" spans="1:21" x14ac:dyDescent="0.2">
      <c r="A29" s="189"/>
      <c r="B29" s="189" t="s">
        <v>391</v>
      </c>
      <c r="G29" s="192"/>
      <c r="H29" s="195">
        <f>SUMIF(facilities!$C$6:$C$15,"&lt;0",facilities!$C$6:$C$15)</f>
        <v>-26</v>
      </c>
      <c r="L29" s="189"/>
      <c r="M29" s="189" t="s">
        <v>392</v>
      </c>
      <c r="S29" s="196">
        <v>56165224.47778409</v>
      </c>
    </row>
    <row r="30" spans="1:21" x14ac:dyDescent="0.2">
      <c r="A30" s="189"/>
      <c r="B30" s="189" t="s">
        <v>393</v>
      </c>
      <c r="G30" s="192"/>
      <c r="H30" s="197">
        <f>SUMIF(facilities!$C$36:$C$106,"&lt;0",facilities!$C$36:$C$106)</f>
        <v>0</v>
      </c>
      <c r="L30" s="189"/>
      <c r="M30" s="189" t="s">
        <v>394</v>
      </c>
      <c r="S30" s="196">
        <v>210278299.56389245</v>
      </c>
    </row>
    <row r="31" spans="1:21" x14ac:dyDescent="0.2">
      <c r="L31" s="189"/>
      <c r="M31" s="189" t="s">
        <v>395</v>
      </c>
      <c r="S31" s="198">
        <f>SUM(ORA!D138:O138)+SUM(POJ!D138:O138)+SUM(ROJ!D138:O138)+SUM(FCOJ!D138:O138)</f>
        <v>137607825.59271067</v>
      </c>
    </row>
    <row r="32" spans="1:21" x14ac:dyDescent="0.2">
      <c r="A32" s="191" t="s">
        <v>396</v>
      </c>
      <c r="B32" s="189"/>
      <c r="G32" s="192"/>
      <c r="L32" s="189"/>
      <c r="M32" s="189" t="s">
        <v>397</v>
      </c>
      <c r="S32" s="119" t="s">
        <v>375</v>
      </c>
      <c r="T32" s="205">
        <f>SUM($S$28:$S$31)</f>
        <v>404051349.63438725</v>
      </c>
      <c r="U32" s="106" t="s">
        <v>376</v>
      </c>
    </row>
    <row r="33" spans="1:21" x14ac:dyDescent="0.2">
      <c r="A33" s="189"/>
      <c r="B33" s="189" t="s">
        <v>398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399</v>
      </c>
      <c r="G34" s="192"/>
      <c r="H34" s="195">
        <f>COUNTIF(facilities!$H$36:$H$106,"=new")</f>
        <v>0</v>
      </c>
      <c r="L34" s="191" t="s">
        <v>400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0</v>
      </c>
      <c r="L35" s="189"/>
      <c r="M35" s="189" t="s">
        <v>401</v>
      </c>
      <c r="S35" s="194">
        <v>33600000</v>
      </c>
    </row>
    <row r="36" spans="1:21" x14ac:dyDescent="0.2">
      <c r="L36" s="189"/>
      <c r="M36" s="189" t="s">
        <v>402</v>
      </c>
      <c r="S36" s="196">
        <f>H33*12000000-H38*70/100*12000000</f>
        <v>0</v>
      </c>
    </row>
    <row r="37" spans="1:21" x14ac:dyDescent="0.2">
      <c r="A37" s="191" t="s">
        <v>403</v>
      </c>
      <c r="L37" s="189"/>
      <c r="M37" s="189" t="s">
        <v>404</v>
      </c>
      <c r="S37" s="196">
        <f>H27*8000+H29*70/100*8000</f>
        <v>-145600</v>
      </c>
    </row>
    <row r="38" spans="1:21" x14ac:dyDescent="0.2">
      <c r="B38" s="189" t="s">
        <v>398</v>
      </c>
      <c r="H38" s="193">
        <f>COUNTIF(facilities!$H$6:$H$15,"=sold")</f>
        <v>0</v>
      </c>
      <c r="L38" s="189"/>
      <c r="M38" s="189" t="s">
        <v>405</v>
      </c>
      <c r="S38" s="196">
        <v>80650000</v>
      </c>
    </row>
    <row r="39" spans="1:21" x14ac:dyDescent="0.2">
      <c r="B39" s="189" t="s">
        <v>399</v>
      </c>
      <c r="H39" s="195">
        <f>COUNTIF(facilities!$H$36:$H$106,"=sold")</f>
        <v>0</v>
      </c>
      <c r="L39" s="189"/>
      <c r="M39" s="189" t="s">
        <v>406</v>
      </c>
      <c r="S39" s="196">
        <f>H34*9000000-H39*80/100*9000000</f>
        <v>0</v>
      </c>
    </row>
    <row r="40" spans="1:21" x14ac:dyDescent="0.2">
      <c r="B40" s="189" t="s">
        <v>18</v>
      </c>
      <c r="H40" s="197">
        <f>-SUMIF(facilities!$C$21:$C$30,"&lt;0",facilities!$C$21:$C$30)</f>
        <v>0</v>
      </c>
      <c r="L40" s="189"/>
      <c r="M40" s="189" t="s">
        <v>407</v>
      </c>
      <c r="S40" s="196">
        <f>H28*6000+H30*80/100*6000</f>
        <v>0</v>
      </c>
    </row>
    <row r="41" spans="1:21" x14ac:dyDescent="0.2">
      <c r="L41" s="189"/>
      <c r="M41" s="189" t="s">
        <v>408</v>
      </c>
      <c r="S41" s="196">
        <v>-140</v>
      </c>
    </row>
    <row r="42" spans="1:21" x14ac:dyDescent="0.2">
      <c r="L42" s="189"/>
      <c r="M42" s="189" t="s">
        <v>409</v>
      </c>
      <c r="S42" s="198">
        <f>H35*100000-H40*60/100*100000</f>
        <v>0</v>
      </c>
    </row>
    <row r="43" spans="1:21" x14ac:dyDescent="0.2">
      <c r="L43" s="189"/>
      <c r="M43" s="189" t="s">
        <v>410</v>
      </c>
      <c r="S43" s="183" t="s">
        <v>375</v>
      </c>
      <c r="T43" s="205">
        <f>SUM($S$35:$S$42)</f>
        <v>114104260</v>
      </c>
      <c r="U43" s="106" t="s">
        <v>376</v>
      </c>
    </row>
    <row r="44" spans="1:21" x14ac:dyDescent="0.2">
      <c r="L44" s="189"/>
      <c r="S44" s="116"/>
    </row>
    <row r="45" spans="1:21" ht="14.25" thickBot="1" x14ac:dyDescent="0.3">
      <c r="L45" s="206" t="s">
        <v>411</v>
      </c>
      <c r="M45" s="189"/>
      <c r="T45" s="207">
        <f>$T$11-$T$19-$T$25-$T$32-$T$43</f>
        <v>-7244900476.3975182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313</v>
      </c>
    </row>
    <row r="3" spans="2:14" x14ac:dyDescent="0.2">
      <c r="B3" s="109" t="s">
        <v>314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0.69118522567340868</v>
      </c>
      <c r="D5" s="106">
        <v>0.71266464151358977</v>
      </c>
      <c r="E5" s="106">
        <v>0.66716111694573288</v>
      </c>
      <c r="F5" s="106">
        <v>0.68538644595573306</v>
      </c>
      <c r="G5" s="106">
        <v>0.60421906013364113</v>
      </c>
      <c r="H5" s="106">
        <v>0.62484932292004547</v>
      </c>
      <c r="I5" s="106">
        <v>0.58024594945239849</v>
      </c>
      <c r="J5" s="106">
        <v>0.68526184656500833</v>
      </c>
      <c r="K5" s="106">
        <v>1.0507722099026322</v>
      </c>
      <c r="L5" s="106">
        <v>0.61814425552432661</v>
      </c>
      <c r="M5" s="106">
        <v>0.62930951331760687</v>
      </c>
      <c r="N5" s="106">
        <v>0.62702006038868507</v>
      </c>
    </row>
    <row r="6" spans="2:14" x14ac:dyDescent="0.2">
      <c r="B6" s="177" t="s">
        <v>105</v>
      </c>
      <c r="C6" s="106">
        <v>0.70170493289325553</v>
      </c>
      <c r="D6" s="106">
        <v>0.79844590898864953</v>
      </c>
      <c r="E6" s="106">
        <v>0.7675414408912995</v>
      </c>
      <c r="F6" s="106">
        <v>0.70444025222268924</v>
      </c>
      <c r="G6" s="106">
        <v>0.64457638931001737</v>
      </c>
      <c r="H6" s="106">
        <v>0.71444643031076471</v>
      </c>
      <c r="I6" s="106">
        <v>0.67538030024788709</v>
      </c>
      <c r="J6" s="106">
        <v>0.68666616237094247</v>
      </c>
      <c r="K6" s="106">
        <v>0.74173822594997119</v>
      </c>
      <c r="L6" s="106">
        <v>0.68649433803497606</v>
      </c>
      <c r="M6" s="106">
        <v>0.70001873095301792</v>
      </c>
      <c r="N6" s="106">
        <v>0.68344199141536166</v>
      </c>
    </row>
    <row r="7" spans="2:14" x14ac:dyDescent="0.2">
      <c r="B7" s="177" t="s">
        <v>106</v>
      </c>
      <c r="C7" s="106">
        <v>0.67944323360356662</v>
      </c>
      <c r="D7" s="106">
        <v>0.90599655148901737</v>
      </c>
      <c r="E7" s="106">
        <v>0.70272829058831476</v>
      </c>
      <c r="F7" s="106">
        <v>0.7077410520668489</v>
      </c>
      <c r="G7" s="106">
        <v>0.72772664844121582</v>
      </c>
      <c r="H7" s="106">
        <v>0.70222524481986792</v>
      </c>
      <c r="I7" s="106">
        <v>0.71200094823246385</v>
      </c>
      <c r="J7" s="106">
        <v>0.70314891630156029</v>
      </c>
      <c r="K7" s="106">
        <v>0.75293579752283624</v>
      </c>
      <c r="L7" s="106">
        <v>0.73196139360403745</v>
      </c>
      <c r="M7" s="106">
        <v>1.1000000000000001</v>
      </c>
      <c r="N7" s="106">
        <v>0.84084399941644294</v>
      </c>
    </row>
    <row r="8" spans="2:14" x14ac:dyDescent="0.2">
      <c r="B8" s="177" t="s">
        <v>107</v>
      </c>
      <c r="C8" s="106">
        <v>0.67695344326996643</v>
      </c>
      <c r="D8" s="106">
        <v>0.72336275376947889</v>
      </c>
      <c r="E8" s="106">
        <v>0.67355747876132732</v>
      </c>
      <c r="F8" s="106">
        <v>0.69860971311508291</v>
      </c>
      <c r="G8" s="106">
        <v>0.67643855829848309</v>
      </c>
      <c r="H8" s="106">
        <v>0.69996718300783101</v>
      </c>
      <c r="I8" s="106">
        <v>0.76839710421125362</v>
      </c>
      <c r="J8" s="106">
        <v>0.70408213631270633</v>
      </c>
      <c r="K8" s="106">
        <v>0.69255466355439432</v>
      </c>
      <c r="L8" s="106">
        <v>0.75691305671889386</v>
      </c>
      <c r="M8" s="106">
        <v>0.84696874218395568</v>
      </c>
      <c r="N8" s="106">
        <v>0.78334448720631189</v>
      </c>
    </row>
    <row r="9" spans="2:14" x14ac:dyDescent="0.2">
      <c r="B9" s="177" t="s">
        <v>108</v>
      </c>
      <c r="C9" s="106">
        <v>2.0437191820144656</v>
      </c>
      <c r="D9" s="106">
        <v>2.1078395879268648</v>
      </c>
      <c r="E9" s="106">
        <v>2.0387388682365417</v>
      </c>
      <c r="F9" s="106">
        <v>2.0950095331668854</v>
      </c>
      <c r="G9" s="106">
        <v>2.0230420207977295</v>
      </c>
      <c r="H9" s="106">
        <v>2.0171611106395724</v>
      </c>
      <c r="I9" s="106">
        <v>2.0939041829109191</v>
      </c>
      <c r="J9" s="106">
        <v>2.1051239407062532</v>
      </c>
      <c r="K9" s="106">
        <v>2.0908677434921263</v>
      </c>
      <c r="L9" s="106">
        <v>2.0441771066188812</v>
      </c>
      <c r="M9" s="106">
        <v>2.046376702785492</v>
      </c>
      <c r="N9" s="106">
        <v>2.0721448576450348</v>
      </c>
    </row>
    <row r="10" spans="2:14" x14ac:dyDescent="0.2">
      <c r="B10" s="177" t="s">
        <v>109</v>
      </c>
      <c r="C10" s="106">
        <v>0.63148956298828129</v>
      </c>
      <c r="D10" s="106">
        <v>0.65225793719291691</v>
      </c>
      <c r="E10" s="106">
        <v>0.69729534387588499</v>
      </c>
      <c r="F10" s="106">
        <v>0.65890553593635559</v>
      </c>
      <c r="G10" s="106">
        <v>0.62765772342681891</v>
      </c>
      <c r="H10" s="106">
        <v>0.6294028699398041</v>
      </c>
      <c r="I10" s="106">
        <v>0.69391230344772337</v>
      </c>
      <c r="J10" s="106">
        <v>0.60989938378334052</v>
      </c>
      <c r="K10" s="106">
        <v>0.67714200019836424</v>
      </c>
      <c r="L10" s="106">
        <v>0.69855257868766785</v>
      </c>
      <c r="M10" s="106">
        <v>0.65865556001663206</v>
      </c>
      <c r="N10" s="106">
        <v>0.62409246563911436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315</v>
      </c>
      <c r="C12" s="107"/>
      <c r="D12" s="107"/>
      <c r="E12" s="107"/>
      <c r="F12" s="107"/>
      <c r="G12" s="107"/>
    </row>
    <row r="13" spans="2:14" x14ac:dyDescent="0.2">
      <c r="B13" s="177" t="s">
        <v>316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317</v>
      </c>
      <c r="C14" s="107">
        <v>0.37393911443784089</v>
      </c>
      <c r="D14" s="107">
        <v>0.37532712916581684</v>
      </c>
      <c r="E14" s="107">
        <v>0.37671123827396852</v>
      </c>
      <c r="F14" s="107">
        <v>0.37808754713217219</v>
      </c>
      <c r="G14" s="107">
        <v>0.37945218305878198</v>
      </c>
      <c r="H14" s="106">
        <v>0.38080130621764896</v>
      </c>
      <c r="I14" s="106">
        <v>0.38213112042271796</v>
      </c>
      <c r="J14" s="106">
        <v>0.38343788381980165</v>
      </c>
      <c r="K14" s="106">
        <v>0.38471791941547451</v>
      </c>
      <c r="L14" s="106">
        <v>0.3859676254234603</v>
      </c>
      <c r="M14" s="106">
        <v>0.38718348539940084</v>
      </c>
      <c r="N14" s="106">
        <v>0.38836207813548773</v>
      </c>
    </row>
    <row r="15" spans="2:14" x14ac:dyDescent="0.2">
      <c r="B15" s="176" t="s">
        <v>318</v>
      </c>
      <c r="C15" s="106">
        <v>1.1167729880185027</v>
      </c>
      <c r="D15" s="106">
        <v>1.119733931000406</v>
      </c>
      <c r="E15" s="106">
        <v>1.1226865424297865</v>
      </c>
      <c r="F15" s="106">
        <v>1.1256225141975873</v>
      </c>
      <c r="G15" s="106">
        <v>1.1285335850157194</v>
      </c>
      <c r="H15" s="106">
        <v>1.1314115636628161</v>
      </c>
      <c r="I15" s="106">
        <v>1.1342483520328333</v>
      </c>
      <c r="J15" s="106">
        <v>1.1370359679216395</v>
      </c>
      <c r="K15" s="106">
        <v>1.1397665674874815</v>
      </c>
      <c r="L15" s="106">
        <v>1.1424324673221211</v>
      </c>
      <c r="M15" s="106">
        <v>1.1450261660705399</v>
      </c>
      <c r="N15" s="106">
        <v>1.1475403655383853</v>
      </c>
    </row>
    <row r="16" spans="2:14" x14ac:dyDescent="0.2">
      <c r="B16" s="107"/>
    </row>
    <row r="17" spans="2:14" x14ac:dyDescent="0.2">
      <c r="B17" s="109" t="s">
        <v>319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0.69118522567340868</v>
      </c>
      <c r="D19" s="106">
        <f t="shared" ref="D19:N20" si="0">D5</f>
        <v>0.71266464151358977</v>
      </c>
      <c r="E19" s="106">
        <f t="shared" si="0"/>
        <v>0.66716111694573288</v>
      </c>
      <c r="F19" s="106">
        <f t="shared" si="0"/>
        <v>0.68538644595573306</v>
      </c>
      <c r="G19" s="106">
        <f t="shared" si="0"/>
        <v>0.60421906013364113</v>
      </c>
      <c r="H19" s="106">
        <f t="shared" si="0"/>
        <v>0.62484932292004547</v>
      </c>
      <c r="I19" s="106">
        <f t="shared" si="0"/>
        <v>0.58024594945239849</v>
      </c>
      <c r="J19" s="106">
        <f t="shared" si="0"/>
        <v>0.68526184656500833</v>
      </c>
      <c r="K19" s="106">
        <f t="shared" si="0"/>
        <v>1.0507722099026322</v>
      </c>
      <c r="L19" s="106">
        <f t="shared" si="0"/>
        <v>0.61814425552432661</v>
      </c>
      <c r="M19" s="106">
        <f t="shared" si="0"/>
        <v>0.62930951331760687</v>
      </c>
      <c r="N19" s="106">
        <f t="shared" si="0"/>
        <v>0.62702006038868507</v>
      </c>
    </row>
    <row r="20" spans="2:14" x14ac:dyDescent="0.2">
      <c r="B20" s="179" t="s">
        <v>105</v>
      </c>
      <c r="C20" s="106">
        <f>C6</f>
        <v>0.70170493289325553</v>
      </c>
      <c r="D20" s="106">
        <f t="shared" si="0"/>
        <v>0.79844590898864953</v>
      </c>
      <c r="E20" s="106">
        <f t="shared" si="0"/>
        <v>0.7675414408912995</v>
      </c>
      <c r="F20" s="106">
        <f t="shared" si="0"/>
        <v>0.70444025222268924</v>
      </c>
      <c r="G20" s="106">
        <f t="shared" si="0"/>
        <v>0.64457638931001737</v>
      </c>
      <c r="H20" s="106">
        <f t="shared" si="0"/>
        <v>0.71444643031076471</v>
      </c>
      <c r="I20" s="106">
        <f t="shared" si="0"/>
        <v>0.67538030024788709</v>
      </c>
      <c r="J20" s="106">
        <f t="shared" si="0"/>
        <v>0.68666616237094247</v>
      </c>
      <c r="K20" s="106">
        <f t="shared" si="0"/>
        <v>0.74173822594997119</v>
      </c>
      <c r="L20" s="106">
        <f t="shared" si="0"/>
        <v>0.68649433803497606</v>
      </c>
      <c r="M20" s="106">
        <f t="shared" si="0"/>
        <v>0.70001873095301792</v>
      </c>
      <c r="N20" s="106">
        <f t="shared" si="0"/>
        <v>0.68344199141536166</v>
      </c>
    </row>
    <row r="21" spans="2:14" x14ac:dyDescent="0.2">
      <c r="B21" s="179" t="s">
        <v>106</v>
      </c>
      <c r="C21" s="106">
        <f t="shared" ref="C21:N22" si="1">C7</f>
        <v>0.67944323360356662</v>
      </c>
      <c r="D21" s="106">
        <f t="shared" si="1"/>
        <v>0.90599655148901737</v>
      </c>
      <c r="E21" s="106">
        <f t="shared" si="1"/>
        <v>0.70272829058831476</v>
      </c>
      <c r="F21" s="106">
        <f t="shared" si="1"/>
        <v>0.7077410520668489</v>
      </c>
      <c r="G21" s="106">
        <f t="shared" si="1"/>
        <v>0.72772664844121582</v>
      </c>
      <c r="H21" s="106">
        <f t="shared" si="1"/>
        <v>0.70222524481986792</v>
      </c>
      <c r="I21" s="106">
        <f t="shared" si="1"/>
        <v>0.71200094823246385</v>
      </c>
      <c r="J21" s="106">
        <f t="shared" si="1"/>
        <v>0.70314891630156029</v>
      </c>
      <c r="K21" s="106">
        <f t="shared" si="1"/>
        <v>0.75293579752283624</v>
      </c>
      <c r="L21" s="106">
        <f t="shared" si="1"/>
        <v>0.73196139360403745</v>
      </c>
      <c r="M21" s="106">
        <f t="shared" si="1"/>
        <v>1.1000000000000001</v>
      </c>
      <c r="N21" s="106">
        <f t="shared" si="1"/>
        <v>0.84084399941644294</v>
      </c>
    </row>
    <row r="22" spans="2:14" x14ac:dyDescent="0.2">
      <c r="B22" s="179" t="s">
        <v>107</v>
      </c>
      <c r="C22" s="106">
        <f t="shared" si="1"/>
        <v>0.67695344326996643</v>
      </c>
      <c r="D22" s="106">
        <f t="shared" si="1"/>
        <v>0.72336275376947889</v>
      </c>
      <c r="E22" s="106">
        <f t="shared" si="1"/>
        <v>0.67355747876132732</v>
      </c>
      <c r="F22" s="106">
        <f t="shared" si="1"/>
        <v>0.69860971311508291</v>
      </c>
      <c r="G22" s="106">
        <f t="shared" si="1"/>
        <v>0.67643855829848309</v>
      </c>
      <c r="H22" s="106">
        <f t="shared" si="1"/>
        <v>0.69996718300783101</v>
      </c>
      <c r="I22" s="106">
        <f t="shared" si="1"/>
        <v>0.76839710421125362</v>
      </c>
      <c r="J22" s="106">
        <f t="shared" si="1"/>
        <v>0.70408213631270633</v>
      </c>
      <c r="K22" s="106">
        <f t="shared" si="1"/>
        <v>0.69255466355439432</v>
      </c>
      <c r="L22" s="106">
        <f t="shared" si="1"/>
        <v>0.75691305671889386</v>
      </c>
      <c r="M22" s="106">
        <f t="shared" si="1"/>
        <v>0.84696874218395568</v>
      </c>
      <c r="N22" s="106">
        <f t="shared" si="1"/>
        <v>0.78334448720631189</v>
      </c>
    </row>
    <row r="23" spans="2:14" x14ac:dyDescent="0.2">
      <c r="B23" s="179" t="s">
        <v>108</v>
      </c>
      <c r="C23" s="106">
        <f>C9*C14</f>
        <v>0.76422654108211785</v>
      </c>
      <c r="D23" s="106">
        <f t="shared" ref="D23:N24" si="2">D9*D14</f>
        <v>0.79112938127864851</v>
      </c>
      <c r="E23" s="106">
        <f t="shared" si="2"/>
        <v>0.76801584357065678</v>
      </c>
      <c r="F23" s="106">
        <f t="shared" si="2"/>
        <v>0.79209701561358481</v>
      </c>
      <c r="G23" s="106">
        <f t="shared" si="2"/>
        <v>0.76764771121134834</v>
      </c>
      <c r="H23" s="106">
        <f t="shared" si="2"/>
        <v>0.76813758578299263</v>
      </c>
      <c r="I23" s="106">
        <f t="shared" si="2"/>
        <v>0.80014595147356526</v>
      </c>
      <c r="J23" s="106">
        <f t="shared" si="2"/>
        <v>0.80718426900280738</v>
      </c>
      <c r="K23" s="106">
        <f t="shared" si="2"/>
        <v>0.80439428804921886</v>
      </c>
      <c r="L23" s="106">
        <f t="shared" si="2"/>
        <v>0.78898618378668917</v>
      </c>
      <c r="M23" s="106">
        <f t="shared" si="2"/>
        <v>0.79232326422462063</v>
      </c>
      <c r="N23" s="106">
        <f t="shared" si="2"/>
        <v>0.80474248311279006</v>
      </c>
    </row>
    <row r="24" spans="2:14" x14ac:dyDescent="0.2">
      <c r="B24" s="179" t="s">
        <v>109</v>
      </c>
      <c r="C24" s="106">
        <f>C10*C15</f>
        <v>0.70523048616092132</v>
      </c>
      <c r="D24" s="106">
        <f t="shared" si="2"/>
        <v>0.73035534403924074</v>
      </c>
      <c r="E24" s="106">
        <f t="shared" si="2"/>
        <v>0.78284409866840632</v>
      </c>
      <c r="F24" s="106">
        <f t="shared" si="2"/>
        <v>0.74167890597938924</v>
      </c>
      <c r="G24" s="106">
        <f t="shared" si="2"/>
        <v>0.70833282078167281</v>
      </c>
      <c r="H24" s="106">
        <f t="shared" si="2"/>
        <v>0.71211368525245788</v>
      </c>
      <c r="I24" s="106">
        <f t="shared" si="2"/>
        <v>0.78706888664088759</v>
      </c>
      <c r="J24" s="106">
        <f t="shared" si="2"/>
        <v>0.69347753617490204</v>
      </c>
      <c r="K24" s="106">
        <f t="shared" si="2"/>
        <v>0.77178381326769707</v>
      </c>
      <c r="L24" s="106">
        <f t="shared" si="2"/>
        <v>0.79804914602438248</v>
      </c>
      <c r="M24" s="106">
        <f t="shared" si="2"/>
        <v>0.75417785064688858</v>
      </c>
      <c r="N24" s="106">
        <f t="shared" si="2"/>
        <v>0.71617129614926145</v>
      </c>
    </row>
    <row r="25" spans="2:14" x14ac:dyDescent="0.2">
      <c r="B25" s="178"/>
    </row>
    <row r="26" spans="2:14" x14ac:dyDescent="0.2">
      <c r="B26" s="110" t="s">
        <v>320</v>
      </c>
    </row>
    <row r="27" spans="2:14" x14ac:dyDescent="0.2">
      <c r="B27" s="105" t="s">
        <v>321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1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1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1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322</v>
      </c>
    </row>
    <row r="36" spans="2:50" x14ac:dyDescent="0.2">
      <c r="B36" s="176" t="s">
        <v>274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323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25054.902514011505</v>
      </c>
      <c r="D38" s="106">
        <v>25109.81675262624</v>
      </c>
      <c r="E38" s="106">
        <v>25164.733912812586</v>
      </c>
      <c r="F38" s="106">
        <v>25219.64518704552</v>
      </c>
      <c r="G38" s="106">
        <v>25274.541764850626</v>
      </c>
      <c r="H38" s="106">
        <v>10131.765933739784</v>
      </c>
      <c r="I38" s="106">
        <v>10153.702233522454</v>
      </c>
      <c r="J38" s="106">
        <v>17807.338642222287</v>
      </c>
      <c r="K38" s="106">
        <v>25493.804885647136</v>
      </c>
      <c r="L38" s="106">
        <v>25548.495829201689</v>
      </c>
      <c r="M38" s="106">
        <v>25603.119238151201</v>
      </c>
      <c r="N38" s="106">
        <v>25657.666324691218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25928.950094808049</v>
      </c>
      <c r="T38" s="106">
        <v>25982.855339308269</v>
      </c>
      <c r="U38" s="106">
        <v>26036.623097350748</v>
      </c>
      <c r="V38" s="106">
        <v>26090.24469980675</v>
      </c>
      <c r="W38" s="106">
        <v>26143.711499307632</v>
      </c>
      <c r="X38" s="106">
        <v>26197.014871775551</v>
      </c>
      <c r="Y38" s="106">
        <v>26250.146217950878</v>
      </c>
      <c r="Z38" s="106">
        <v>26303.096964916222</v>
      </c>
      <c r="AA38" s="106">
        <v>26355.858567616488</v>
      </c>
      <c r="AB38" s="106">
        <v>26408.422510375025</v>
      </c>
      <c r="AC38" s="106">
        <v>26460.780308405316</v>
      </c>
      <c r="AD38" s="106">
        <v>26512.923509318131</v>
      </c>
      <c r="AE38" s="106">
        <v>26564.8436946238</v>
      </c>
      <c r="AF38" s="106">
        <v>26616.532481229282</v>
      </c>
      <c r="AG38" s="106">
        <v>26667.981522929855</v>
      </c>
      <c r="AH38" s="106">
        <v>18703.427758326601</v>
      </c>
      <c r="AI38" s="106">
        <v>10708.050872059657</v>
      </c>
      <c r="AJ38" s="106">
        <v>10728.322920417615</v>
      </c>
      <c r="AK38" s="106">
        <v>10748.485876291024</v>
      </c>
      <c r="AL38" s="106">
        <v>10768.536483841426</v>
      </c>
      <c r="AM38" s="106">
        <v>26971.178763785614</v>
      </c>
      <c r="AN38" s="106">
        <v>27020.719306543244</v>
      </c>
      <c r="AO38" s="106">
        <v>27069.954839740756</v>
      </c>
      <c r="AP38" s="106">
        <v>27118.877415268147</v>
      </c>
      <c r="AQ38" s="106">
        <v>19017.235395524818</v>
      </c>
      <c r="AR38" s="106">
        <v>27215.752159530173</v>
      </c>
      <c r="AS38" s="106">
        <v>10905.475477975026</v>
      </c>
      <c r="AT38" s="106">
        <v>27311.281008823513</v>
      </c>
      <c r="AU38" s="106">
        <v>27358.521424379818</v>
      </c>
      <c r="AV38" s="106">
        <v>27405.40232323145</v>
      </c>
      <c r="AW38" s="106">
        <v>27451.916146805794</v>
      </c>
      <c r="AX38" s="106">
        <v>27498.055397691911</v>
      </c>
    </row>
    <row r="39" spans="2:50" x14ac:dyDescent="0.2">
      <c r="B39" s="176" t="s">
        <v>105</v>
      </c>
      <c r="C39" s="106">
        <v>15032.941508406904</v>
      </c>
      <c r="D39" s="106">
        <v>15065.890051575743</v>
      </c>
      <c r="E39" s="106">
        <v>15098.84034768755</v>
      </c>
      <c r="F39" s="106">
        <v>15131.787112227312</v>
      </c>
      <c r="G39" s="106">
        <v>6065.8900235641513</v>
      </c>
      <c r="H39" s="106">
        <v>6079.0595602438707</v>
      </c>
      <c r="I39" s="106">
        <v>15230.553350283679</v>
      </c>
      <c r="J39" s="106">
        <v>15263.433121904818</v>
      </c>
      <c r="K39" s="106">
        <v>15296.282931388283</v>
      </c>
      <c r="L39" s="106">
        <v>6131.6389990084062</v>
      </c>
      <c r="M39" s="106">
        <v>10753.310080023504</v>
      </c>
      <c r="N39" s="106">
        <v>10776.21985637031</v>
      </c>
      <c r="O39" s="106">
        <v>10799.093890388011</v>
      </c>
      <c r="P39" s="106">
        <v>15459.897856814132</v>
      </c>
      <c r="Q39" s="106">
        <v>15492.457153526968</v>
      </c>
      <c r="R39" s="106">
        <v>15524.949631923135</v>
      </c>
      <c r="S39" s="106">
        <v>15557.370056884829</v>
      </c>
      <c r="T39" s="106">
        <v>15589.713203584963</v>
      </c>
      <c r="U39" s="106">
        <v>15621.973858410449</v>
      </c>
      <c r="V39" s="106">
        <v>15654.14681988405</v>
      </c>
      <c r="W39" s="106">
        <v>15686.226899584581</v>
      </c>
      <c r="X39" s="106">
        <v>15718.208923065331</v>
      </c>
      <c r="Y39" s="106">
        <v>15750.087730770527</v>
      </c>
      <c r="Z39" s="106">
        <v>15781.858178949733</v>
      </c>
      <c r="AA39" s="106">
        <v>15813.515140569893</v>
      </c>
      <c r="AB39" s="106">
        <v>15845.053506225015</v>
      </c>
      <c r="AC39" s="106">
        <v>11113.527729530231</v>
      </c>
      <c r="AD39" s="106">
        <v>15907.754105590879</v>
      </c>
      <c r="AE39" s="106">
        <v>15938.90621677428</v>
      </c>
      <c r="AF39" s="106">
        <v>15969.919488737569</v>
      </c>
      <c r="AG39" s="106">
        <v>16000.788913757913</v>
      </c>
      <c r="AH39" s="106">
        <v>16031.509507137089</v>
      </c>
      <c r="AI39" s="106">
        <v>16062.076308089485</v>
      </c>
      <c r="AJ39" s="106">
        <v>16092.48438062642</v>
      </c>
      <c r="AK39" s="106">
        <v>6449.0915257746146</v>
      </c>
      <c r="AL39" s="106">
        <v>11306.963308033497</v>
      </c>
      <c r="AM39" s="106">
        <v>11327.895080789956</v>
      </c>
      <c r="AN39" s="106">
        <v>16212.431583925947</v>
      </c>
      <c r="AO39" s="106">
        <v>16241.972903844453</v>
      </c>
      <c r="AP39" s="106">
        <v>16271.326449160888</v>
      </c>
      <c r="AQ39" s="106">
        <v>16300.487481878417</v>
      </c>
      <c r="AR39" s="106">
        <v>16329.451295718105</v>
      </c>
      <c r="AS39" s="106">
        <v>11450.749251873776</v>
      </c>
      <c r="AT39" s="106">
        <v>16386.768605294106</v>
      </c>
      <c r="AU39" s="106">
        <v>16415.112854627889</v>
      </c>
      <c r="AV39" s="106">
        <v>16443.241393938872</v>
      </c>
      <c r="AW39" s="106">
        <v>16471.149688083475</v>
      </c>
      <c r="AX39" s="106">
        <v>16498.833238615145</v>
      </c>
    </row>
    <row r="40" spans="2:50" x14ac:dyDescent="0.2">
      <c r="B40" s="176" t="s">
        <v>106</v>
      </c>
      <c r="C40" s="106">
        <v>5010.9805028023011</v>
      </c>
      <c r="D40" s="106">
        <v>5021.9633505252477</v>
      </c>
      <c r="E40" s="106">
        <v>5032.946782562517</v>
      </c>
      <c r="F40" s="106">
        <v>5043.9290374091042</v>
      </c>
      <c r="G40" s="106">
        <v>2021.9633411880502</v>
      </c>
      <c r="H40" s="106">
        <v>5065.8829668698918</v>
      </c>
      <c r="I40" s="106">
        <v>507.68511167612263</v>
      </c>
      <c r="J40" s="106">
        <v>5087.8110406349388</v>
      </c>
      <c r="K40" s="106">
        <v>5098.7609771294274</v>
      </c>
      <c r="L40" s="106">
        <v>5109.6991658403376</v>
      </c>
      <c r="M40" s="106">
        <v>5120.6238476302397</v>
      </c>
      <c r="N40" s="106">
        <v>5131.5332649382435</v>
      </c>
      <c r="O40" s="106">
        <v>3599.6979634626705</v>
      </c>
      <c r="P40" s="106">
        <v>5153.2992856047113</v>
      </c>
      <c r="Q40" s="106">
        <v>5164.1523845089887</v>
      </c>
      <c r="R40" s="106">
        <v>5174.9832106410449</v>
      </c>
      <c r="S40" s="106">
        <v>5185.7900189616103</v>
      </c>
      <c r="T40" s="106">
        <v>5196.5710678616542</v>
      </c>
      <c r="U40" s="106">
        <v>5207.3246194701496</v>
      </c>
      <c r="V40" s="106">
        <v>3652.6342579729449</v>
      </c>
      <c r="W40" s="106">
        <v>5228.7422998615266</v>
      </c>
      <c r="X40" s="106">
        <v>5239.40297435511</v>
      </c>
      <c r="Y40" s="106">
        <v>5250.0292435901756</v>
      </c>
      <c r="Z40" s="106">
        <v>5260.6193929832443</v>
      </c>
      <c r="AA40" s="106">
        <v>5271.1717135232975</v>
      </c>
      <c r="AB40" s="106">
        <v>5281.6845020750052</v>
      </c>
      <c r="AC40" s="106">
        <v>5292.156061681063</v>
      </c>
      <c r="AD40" s="106">
        <v>5302.5847018636268</v>
      </c>
      <c r="AE40" s="106">
        <v>5312.9687389247601</v>
      </c>
      <c r="AF40" s="106">
        <v>5323.3064962458566</v>
      </c>
      <c r="AG40" s="106">
        <v>5333.5963045859717</v>
      </c>
      <c r="AH40" s="106">
        <v>5343.8365023790293</v>
      </c>
      <c r="AI40" s="106">
        <v>535.40254360298286</v>
      </c>
      <c r="AJ40" s="106">
        <v>5364.1614602088066</v>
      </c>
      <c r="AK40" s="106">
        <v>5374.2429381455113</v>
      </c>
      <c r="AL40" s="106">
        <v>5384.2682419207131</v>
      </c>
      <c r="AM40" s="106">
        <v>5394.2357527571221</v>
      </c>
      <c r="AN40" s="106">
        <v>5404.1438613086484</v>
      </c>
      <c r="AO40" s="106">
        <v>5413.9909679481507</v>
      </c>
      <c r="AP40" s="106">
        <v>2169.510193221452</v>
      </c>
      <c r="AQ40" s="106">
        <v>2173.3983309171226</v>
      </c>
      <c r="AR40" s="106">
        <v>2177.2601727624142</v>
      </c>
      <c r="AS40" s="106">
        <v>2181.0950955950052</v>
      </c>
      <c r="AT40" s="106">
        <v>2184.9024807058813</v>
      </c>
      <c r="AU40" s="106">
        <v>2188.6817139503855</v>
      </c>
      <c r="AV40" s="106">
        <v>548.10804646462907</v>
      </c>
      <c r="AW40" s="106">
        <v>5490.3832293611586</v>
      </c>
      <c r="AX40" s="106">
        <v>5499.611079538382</v>
      </c>
    </row>
    <row r="41" spans="2:50" x14ac:dyDescent="0.2">
      <c r="B41" s="176" t="s">
        <v>107</v>
      </c>
      <c r="C41" s="106">
        <v>3006.5883016813805</v>
      </c>
      <c r="D41" s="106">
        <v>3013.1780103151486</v>
      </c>
      <c r="E41" s="106">
        <v>3019.7680695375102</v>
      </c>
      <c r="F41" s="106">
        <v>3026.3574224454624</v>
      </c>
      <c r="G41" s="106">
        <v>3032.9450117820752</v>
      </c>
      <c r="H41" s="106">
        <v>3039.5297801219349</v>
      </c>
      <c r="I41" s="106">
        <v>3046.1106700567357</v>
      </c>
      <c r="J41" s="106">
        <v>3052.6866243809636</v>
      </c>
      <c r="K41" s="106">
        <v>3059.2565862776564</v>
      </c>
      <c r="L41" s="106">
        <v>3065.8194995042027</v>
      </c>
      <c r="M41" s="106">
        <v>3072.3743085781439</v>
      </c>
      <c r="N41" s="106">
        <v>3078.9199589629461</v>
      </c>
      <c r="O41" s="106">
        <v>3085.4553972537178</v>
      </c>
      <c r="P41" s="106">
        <v>3091.9795713628264</v>
      </c>
      <c r="Q41" s="106">
        <v>3098.4914307053937</v>
      </c>
      <c r="R41" s="106">
        <v>3104.9899263846269</v>
      </c>
      <c r="S41" s="106">
        <v>3111.4740113769658</v>
      </c>
      <c r="T41" s="106">
        <v>3117.9426407169926</v>
      </c>
      <c r="U41" s="106">
        <v>3124.3947716820899</v>
      </c>
      <c r="V41" s="106">
        <v>3130.8293639768099</v>
      </c>
      <c r="W41" s="106">
        <v>3137.2453799169161</v>
      </c>
      <c r="X41" s="106">
        <v>3143.6417846130662</v>
      </c>
      <c r="Y41" s="106">
        <v>3150.0175461541053</v>
      </c>
      <c r="Z41" s="106">
        <v>3156.3716357899466</v>
      </c>
      <c r="AA41" s="106">
        <v>3162.7030281139782</v>
      </c>
      <c r="AB41" s="106">
        <v>2218.3074908715021</v>
      </c>
      <c r="AC41" s="106">
        <v>2222.7055459060462</v>
      </c>
      <c r="AD41" s="106">
        <v>3181.5508211181759</v>
      </c>
      <c r="AE41" s="106">
        <v>3187.7812433548561</v>
      </c>
      <c r="AF41" s="106">
        <v>3193.9838977475138</v>
      </c>
      <c r="AG41" s="106">
        <v>3200.1577827515825</v>
      </c>
      <c r="AH41" s="106">
        <v>3206.3019014274178</v>
      </c>
      <c r="AI41" s="106">
        <v>3212.4152616178967</v>
      </c>
      <c r="AJ41" s="106">
        <v>3218.496876125284</v>
      </c>
      <c r="AK41" s="106">
        <v>3224.5457628873069</v>
      </c>
      <c r="AL41" s="106">
        <v>3230.5609451524278</v>
      </c>
      <c r="AM41" s="106">
        <v>3236.5414516542737</v>
      </c>
      <c r="AN41" s="106">
        <v>3242.486316785189</v>
      </c>
      <c r="AO41" s="106">
        <v>2273.8762065382234</v>
      </c>
      <c r="AP41" s="106">
        <v>2277.985702882524</v>
      </c>
      <c r="AQ41" s="106">
        <v>2282.0682474629784</v>
      </c>
      <c r="AR41" s="106">
        <v>2286.1231814005346</v>
      </c>
      <c r="AS41" s="106">
        <v>2290.1498503747553</v>
      </c>
      <c r="AT41" s="106">
        <v>1310.9414884235287</v>
      </c>
      <c r="AU41" s="106">
        <v>1313.2090283702314</v>
      </c>
      <c r="AV41" s="106">
        <v>1315.4593115151097</v>
      </c>
      <c r="AW41" s="106">
        <v>3294.2299376166952</v>
      </c>
      <c r="AX41" s="106">
        <v>3299.7666477230291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324</v>
      </c>
    </row>
    <row r="46" spans="2:50" x14ac:dyDescent="0.2">
      <c r="B46" s="105" t="s">
        <v>274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325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0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</row>
    <row r="49" spans="2:51" x14ac:dyDescent="0.2">
      <c r="B49" s="105" t="s">
        <v>105</v>
      </c>
      <c r="C49" s="106">
        <v>3203.3999387586405</v>
      </c>
      <c r="D49" s="106">
        <v>3203.3999387586405</v>
      </c>
      <c r="E49" s="106">
        <v>3203.3999387586405</v>
      </c>
      <c r="F49" s="106">
        <v>3203.3999387586405</v>
      </c>
      <c r="G49" s="106">
        <v>3203.3999387586405</v>
      </c>
      <c r="H49" s="106">
        <v>3203.3999387586405</v>
      </c>
      <c r="I49" s="106">
        <v>3203.3999387586405</v>
      </c>
      <c r="J49" s="106">
        <v>3203.3999387586405</v>
      </c>
      <c r="K49" s="106">
        <v>3203.3999387586405</v>
      </c>
      <c r="L49" s="106">
        <v>3203.3999387586405</v>
      </c>
      <c r="M49" s="106">
        <v>3203.3999387586405</v>
      </c>
      <c r="N49" s="106">
        <v>3203.3999387586405</v>
      </c>
      <c r="O49" s="106">
        <v>3203.3999387586405</v>
      </c>
      <c r="P49" s="106">
        <v>3203.3999387586405</v>
      </c>
      <c r="Q49" s="106">
        <v>3203.3999387586405</v>
      </c>
      <c r="R49" s="106">
        <v>3203.3999387586405</v>
      </c>
      <c r="S49" s="106">
        <v>3203.3999387586405</v>
      </c>
      <c r="T49" s="106">
        <v>3203.3999387586405</v>
      </c>
      <c r="U49" s="106">
        <v>3203.3999387586405</v>
      </c>
      <c r="V49" s="106">
        <v>3203.3999387586405</v>
      </c>
      <c r="W49" s="106">
        <v>3203.3999387586405</v>
      </c>
      <c r="X49" s="106">
        <v>3203.3999387586405</v>
      </c>
      <c r="Y49" s="106">
        <v>3203.3999387586405</v>
      </c>
      <c r="Z49" s="106">
        <v>3203.3999387586405</v>
      </c>
      <c r="AA49" s="106">
        <v>3203.3999387586405</v>
      </c>
      <c r="AB49" s="106">
        <v>3203.3999387586405</v>
      </c>
      <c r="AC49" s="106">
        <v>3203.3999387586405</v>
      </c>
      <c r="AD49" s="106">
        <v>3203.3999387586405</v>
      </c>
      <c r="AE49" s="106">
        <v>3203.3999387586405</v>
      </c>
      <c r="AF49" s="106">
        <v>3203.3999387586405</v>
      </c>
      <c r="AG49" s="106">
        <v>3203.3999387586405</v>
      </c>
      <c r="AH49" s="106">
        <v>3203.3999387586405</v>
      </c>
      <c r="AI49" s="106">
        <v>3203.3999387586405</v>
      </c>
      <c r="AJ49" s="106">
        <v>3203.3999387586405</v>
      </c>
      <c r="AK49" s="106">
        <v>3203.3999387586405</v>
      </c>
      <c r="AL49" s="106">
        <v>3203.3999387586405</v>
      </c>
      <c r="AM49" s="106">
        <v>3203.3999387586405</v>
      </c>
      <c r="AN49" s="106">
        <v>3203.3999387586405</v>
      </c>
      <c r="AO49" s="106">
        <v>3203.3999387586405</v>
      </c>
      <c r="AP49" s="106">
        <v>3203.3999387586405</v>
      </c>
      <c r="AQ49" s="106">
        <v>3203.3999387586405</v>
      </c>
      <c r="AR49" s="106">
        <v>3203.3999387586405</v>
      </c>
      <c r="AS49" s="106">
        <v>3203.3999387586405</v>
      </c>
      <c r="AT49" s="106">
        <v>3203.3999387586405</v>
      </c>
      <c r="AU49" s="106">
        <v>3203.3999387586405</v>
      </c>
      <c r="AV49" s="106">
        <v>3203.3999387586405</v>
      </c>
      <c r="AW49" s="106">
        <v>3203.3999387586405</v>
      </c>
      <c r="AX49" s="106">
        <v>3203.3999387586405</v>
      </c>
    </row>
    <row r="50" spans="2:51" x14ac:dyDescent="0.2">
      <c r="B50" s="105" t="s">
        <v>106</v>
      </c>
      <c r="C50" s="106">
        <v>2958.1665880602222</v>
      </c>
      <c r="D50" s="106">
        <v>2958.1665880602222</v>
      </c>
      <c r="E50" s="106">
        <v>2958.1665880602222</v>
      </c>
      <c r="F50" s="106">
        <v>2958.1665880602222</v>
      </c>
      <c r="G50" s="106">
        <v>2021.9633411880502</v>
      </c>
      <c r="H50" s="106">
        <v>2958.1665880602222</v>
      </c>
      <c r="I50" s="106">
        <v>507.68511167612263</v>
      </c>
      <c r="J50" s="106">
        <v>2958.1665880602222</v>
      </c>
      <c r="K50" s="106">
        <v>2958.1665880602222</v>
      </c>
      <c r="L50" s="106">
        <v>2958.1665880602222</v>
      </c>
      <c r="M50" s="106">
        <v>2958.1665880602222</v>
      </c>
      <c r="N50" s="106">
        <v>2958.1665880602222</v>
      </c>
      <c r="O50" s="106">
        <v>2958.1665880602222</v>
      </c>
      <c r="P50" s="106">
        <v>2958.1665880602222</v>
      </c>
      <c r="Q50" s="106">
        <v>2958.1665880602222</v>
      </c>
      <c r="R50" s="106">
        <v>2958.1665880602222</v>
      </c>
      <c r="S50" s="106">
        <v>2958.1665880602222</v>
      </c>
      <c r="T50" s="106">
        <v>2958.1665880602222</v>
      </c>
      <c r="U50" s="106">
        <v>2958.1665880602222</v>
      </c>
      <c r="V50" s="106">
        <v>2958.1665880602222</v>
      </c>
      <c r="W50" s="106">
        <v>2958.1665880602222</v>
      </c>
      <c r="X50" s="106">
        <v>2958.1665880602222</v>
      </c>
      <c r="Y50" s="106">
        <v>2958.1665880602222</v>
      </c>
      <c r="Z50" s="106">
        <v>2958.1665880602222</v>
      </c>
      <c r="AA50" s="106">
        <v>2958.1665880602222</v>
      </c>
      <c r="AB50" s="106">
        <v>2958.1665880602222</v>
      </c>
      <c r="AC50" s="106">
        <v>2958.1665880602222</v>
      </c>
      <c r="AD50" s="106">
        <v>2958.1665880602222</v>
      </c>
      <c r="AE50" s="106">
        <v>2958.1665880602222</v>
      </c>
      <c r="AF50" s="106">
        <v>2958.1665880602222</v>
      </c>
      <c r="AG50" s="106">
        <v>2958.1665880602222</v>
      </c>
      <c r="AH50" s="106">
        <v>2958.1665880602222</v>
      </c>
      <c r="AI50" s="106">
        <v>535.40254360298286</v>
      </c>
      <c r="AJ50" s="106">
        <v>2958.1665880602222</v>
      </c>
      <c r="AK50" s="106">
        <v>2958.1665880602222</v>
      </c>
      <c r="AL50" s="106">
        <v>2958.1665880602222</v>
      </c>
      <c r="AM50" s="106">
        <v>2958.1665880602222</v>
      </c>
      <c r="AN50" s="106">
        <v>2958.1665880602222</v>
      </c>
      <c r="AO50" s="106">
        <v>2958.1665880602222</v>
      </c>
      <c r="AP50" s="106">
        <v>2169.510193221452</v>
      </c>
      <c r="AQ50" s="106">
        <v>2173.3983309171226</v>
      </c>
      <c r="AR50" s="106">
        <v>2177.2601727624142</v>
      </c>
      <c r="AS50" s="106">
        <v>2181.0950955950052</v>
      </c>
      <c r="AT50" s="106">
        <v>2184.9024807058813</v>
      </c>
      <c r="AU50" s="106">
        <v>2188.6817139503855</v>
      </c>
      <c r="AV50" s="106">
        <v>548.10804646462907</v>
      </c>
      <c r="AW50" s="106">
        <v>2958.1665880602222</v>
      </c>
      <c r="AX50" s="106">
        <v>2958.1665880602222</v>
      </c>
      <c r="AY50" s="118"/>
    </row>
    <row r="51" spans="2:51" x14ac:dyDescent="0.2">
      <c r="B51" s="105" t="s">
        <v>107</v>
      </c>
      <c r="C51" s="106">
        <v>0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17"/>
    </row>
    <row r="52" spans="2:51" x14ac:dyDescent="0.2">
      <c r="B52" s="105" t="s">
        <v>108</v>
      </c>
      <c r="C52" s="106">
        <v>0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</row>
    <row r="53" spans="2:51" x14ac:dyDescent="0.2">
      <c r="B53" s="105" t="s">
        <v>109</v>
      </c>
      <c r="C53" s="106">
        <v>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</row>
    <row r="55" spans="2:51" x14ac:dyDescent="0.2">
      <c r="B55" s="180" t="s">
        <v>326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274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325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0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</row>
    <row r="59" spans="2:51" x14ac:dyDescent="0.2">
      <c r="B59" s="111" t="s">
        <v>105</v>
      </c>
      <c r="C59" s="106">
        <v>4495683.0781137813</v>
      </c>
      <c r="D59" s="106">
        <v>4495683.0781137813</v>
      </c>
      <c r="E59" s="106">
        <v>4495683.0781137813</v>
      </c>
      <c r="F59" s="106">
        <v>4495683.0781137813</v>
      </c>
      <c r="G59" s="106">
        <v>5115483.1519126538</v>
      </c>
      <c r="H59" s="106">
        <v>5115483.1519126538</v>
      </c>
      <c r="I59" s="106">
        <v>5115483.1519126538</v>
      </c>
      <c r="J59" s="106">
        <v>5115483.1519126538</v>
      </c>
      <c r="K59" s="106">
        <v>4917484.4094918156</v>
      </c>
      <c r="L59" s="106">
        <v>4917484.4094918156</v>
      </c>
      <c r="M59" s="106">
        <v>4917484.4094918156</v>
      </c>
      <c r="N59" s="106">
        <v>4917484.4094918156</v>
      </c>
      <c r="O59" s="106">
        <v>4513207.7216585679</v>
      </c>
      <c r="P59" s="106">
        <v>4513207.7216585679</v>
      </c>
      <c r="Q59" s="106">
        <v>4513207.7216585679</v>
      </c>
      <c r="R59" s="106">
        <v>4513207.7216585679</v>
      </c>
      <c r="S59" s="106">
        <v>4129671.9320819504</v>
      </c>
      <c r="T59" s="106">
        <v>4129671.9320819504</v>
      </c>
      <c r="U59" s="106">
        <v>4129671.9320819504</v>
      </c>
      <c r="V59" s="106">
        <v>4129671.9320819504</v>
      </c>
      <c r="W59" s="106">
        <v>4577315.3022076655</v>
      </c>
      <c r="X59" s="106">
        <v>4577315.3022076655</v>
      </c>
      <c r="Y59" s="106">
        <v>4577315.3022076655</v>
      </c>
      <c r="Z59" s="106">
        <v>4577315.3022076655</v>
      </c>
      <c r="AA59" s="106">
        <v>4327026.4249057472</v>
      </c>
      <c r="AB59" s="106">
        <v>4327026.4249057472</v>
      </c>
      <c r="AC59" s="106">
        <v>4327026.4249057472</v>
      </c>
      <c r="AD59" s="106">
        <v>4327026.4249057472</v>
      </c>
      <c r="AE59" s="106">
        <v>4399332.6849734159</v>
      </c>
      <c r="AF59" s="106">
        <v>4399332.6849734159</v>
      </c>
      <c r="AG59" s="106">
        <v>4399332.6849734159</v>
      </c>
      <c r="AH59" s="106">
        <v>4399332.6849734159</v>
      </c>
      <c r="AI59" s="106">
        <v>4752168.3751661601</v>
      </c>
      <c r="AJ59" s="106">
        <v>4752168.3751661601</v>
      </c>
      <c r="AK59" s="106">
        <v>4752168.3751661601</v>
      </c>
      <c r="AL59" s="106">
        <v>4752168.3751661601</v>
      </c>
      <c r="AM59" s="106">
        <v>4398231.8408387918</v>
      </c>
      <c r="AN59" s="106">
        <v>4398231.8408387918</v>
      </c>
      <c r="AO59" s="106">
        <v>4398231.8408387918</v>
      </c>
      <c r="AP59" s="106">
        <v>4398231.8408387918</v>
      </c>
      <c r="AQ59" s="106">
        <v>4484879.9197295979</v>
      </c>
      <c r="AR59" s="106">
        <v>4484879.9197295979</v>
      </c>
      <c r="AS59" s="106">
        <v>4484879.9197295979</v>
      </c>
      <c r="AT59" s="106">
        <v>4484879.9197295979</v>
      </c>
      <c r="AU59" s="106">
        <v>4378676.0668901065</v>
      </c>
      <c r="AV59" s="106">
        <v>4378676.0668901065</v>
      </c>
      <c r="AW59" s="106">
        <v>4378676.0668901065</v>
      </c>
      <c r="AX59" s="106">
        <v>4378676.0668901065</v>
      </c>
    </row>
    <row r="60" spans="2:51" x14ac:dyDescent="0.2">
      <c r="B60" s="111" t="s">
        <v>106</v>
      </c>
      <c r="C60" s="106">
        <v>4019812.5442593344</v>
      </c>
      <c r="D60" s="106">
        <v>4019812.5442593344</v>
      </c>
      <c r="E60" s="106">
        <v>4019812.5442593344</v>
      </c>
      <c r="F60" s="106">
        <v>4019812.5442593344</v>
      </c>
      <c r="G60" s="106">
        <v>3663783.62870717</v>
      </c>
      <c r="H60" s="106">
        <v>5360177.4550251877</v>
      </c>
      <c r="I60" s="106">
        <v>919921.92084176757</v>
      </c>
      <c r="J60" s="106">
        <v>5360177.4550251877</v>
      </c>
      <c r="K60" s="106">
        <v>4157574.6994060548</v>
      </c>
      <c r="L60" s="106">
        <v>4157574.6994060548</v>
      </c>
      <c r="M60" s="106">
        <v>4157574.6994060548</v>
      </c>
      <c r="N60" s="106">
        <v>4157574.6994060548</v>
      </c>
      <c r="O60" s="106">
        <v>4187231.866445485</v>
      </c>
      <c r="P60" s="106">
        <v>4187231.866445485</v>
      </c>
      <c r="Q60" s="106">
        <v>4187231.866445485</v>
      </c>
      <c r="R60" s="106">
        <v>4187231.866445485</v>
      </c>
      <c r="S60" s="106">
        <v>4305473.3133197045</v>
      </c>
      <c r="T60" s="106">
        <v>4305473.3133197045</v>
      </c>
      <c r="U60" s="106">
        <v>4305473.3133197045</v>
      </c>
      <c r="V60" s="106">
        <v>4305473.3133197045</v>
      </c>
      <c r="W60" s="106">
        <v>4154598.5130370855</v>
      </c>
      <c r="X60" s="106">
        <v>4154598.5130370855</v>
      </c>
      <c r="Y60" s="106">
        <v>4154598.5130370855</v>
      </c>
      <c r="Z60" s="106">
        <v>4154598.5130370855</v>
      </c>
      <c r="AA60" s="106">
        <v>4212434.8314569406</v>
      </c>
      <c r="AB60" s="106">
        <v>4212434.8314569406</v>
      </c>
      <c r="AC60" s="106">
        <v>4212434.8314569406</v>
      </c>
      <c r="AD60" s="106">
        <v>4212434.8314569406</v>
      </c>
      <c r="AE60" s="106">
        <v>4160063.2612680583</v>
      </c>
      <c r="AF60" s="106">
        <v>4160063.2612680583</v>
      </c>
      <c r="AG60" s="106">
        <v>4160063.2612680583</v>
      </c>
      <c r="AH60" s="106">
        <v>4160063.2612680583</v>
      </c>
      <c r="AI60" s="106">
        <v>806247.482326934</v>
      </c>
      <c r="AJ60" s="106">
        <v>4454619.0383730615</v>
      </c>
      <c r="AK60" s="106">
        <v>4454619.0383730615</v>
      </c>
      <c r="AL60" s="106">
        <v>4454619.0383730615</v>
      </c>
      <c r="AM60" s="106">
        <v>4330527.4766189214</v>
      </c>
      <c r="AN60" s="106">
        <v>4330527.4766189214</v>
      </c>
      <c r="AO60" s="106">
        <v>4330527.4766189214</v>
      </c>
      <c r="AP60" s="106">
        <v>3175995.408937077</v>
      </c>
      <c r="AQ60" s="106">
        <v>4781476.3280176707</v>
      </c>
      <c r="AR60" s="106">
        <v>4789972.3800773118</v>
      </c>
      <c r="AS60" s="106">
        <v>4798409.2103090119</v>
      </c>
      <c r="AT60" s="106">
        <v>4806785.4575529387</v>
      </c>
      <c r="AU60" s="106">
        <v>3680679.7716153548</v>
      </c>
      <c r="AV60" s="106">
        <v>921746.72380330449</v>
      </c>
      <c r="AW60" s="106">
        <v>4974713.2496893005</v>
      </c>
      <c r="AX60" s="106">
        <v>4974713.2496893005</v>
      </c>
    </row>
    <row r="61" spans="2:51" x14ac:dyDescent="0.2">
      <c r="B61" s="111" t="s">
        <v>107</v>
      </c>
      <c r="C61" s="106">
        <v>0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</row>
    <row r="62" spans="2:51" x14ac:dyDescent="0.2">
      <c r="B62" s="111" t="s">
        <v>108</v>
      </c>
      <c r="C62" s="106">
        <v>0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</row>
    <row r="63" spans="2:51" x14ac:dyDescent="0.2">
      <c r="B63" s="111" t="s">
        <v>109</v>
      </c>
      <c r="C63" s="106">
        <v>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</row>
    <row r="64" spans="2:51" x14ac:dyDescent="0.2">
      <c r="B64" s="107"/>
    </row>
    <row r="65" spans="1:14" x14ac:dyDescent="0.2">
      <c r="B65" s="110" t="s">
        <v>327</v>
      </c>
    </row>
    <row r="66" spans="1:14" x14ac:dyDescent="0.2">
      <c r="B66" s="105" t="s">
        <v>328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329</v>
      </c>
      <c r="C67" s="106">
        <v>72000</v>
      </c>
      <c r="D67" s="106">
        <v>64000</v>
      </c>
      <c r="E67" s="106">
        <v>64000</v>
      </c>
      <c r="F67" s="106">
        <v>72000</v>
      </c>
      <c r="G67" s="106">
        <v>64000</v>
      </c>
      <c r="H67" s="106">
        <v>64000</v>
      </c>
      <c r="I67" s="106">
        <v>72000</v>
      </c>
      <c r="J67" s="106">
        <v>64000</v>
      </c>
      <c r="K67" s="106">
        <v>64000</v>
      </c>
      <c r="L67" s="106">
        <v>72000</v>
      </c>
      <c r="M67" s="106">
        <v>64000</v>
      </c>
      <c r="N67" s="106">
        <v>64000</v>
      </c>
    </row>
    <row r="68" spans="1:14" x14ac:dyDescent="0.2">
      <c r="B68" s="105" t="s">
        <v>330</v>
      </c>
      <c r="C68" s="106">
        <v>162000</v>
      </c>
      <c r="D68" s="106">
        <v>144000</v>
      </c>
      <c r="E68" s="106">
        <v>144000</v>
      </c>
      <c r="F68" s="106">
        <v>162000</v>
      </c>
      <c r="G68" s="106">
        <v>144000</v>
      </c>
      <c r="H68" s="106">
        <v>144000</v>
      </c>
      <c r="I68" s="106">
        <v>162000</v>
      </c>
      <c r="J68" s="106">
        <v>144000</v>
      </c>
      <c r="K68" s="106">
        <v>144000</v>
      </c>
      <c r="L68" s="106">
        <v>162000</v>
      </c>
      <c r="M68" s="106">
        <v>144000</v>
      </c>
      <c r="N68" s="106">
        <v>144000</v>
      </c>
    </row>
    <row r="70" spans="1:14" x14ac:dyDescent="0.2">
      <c r="B70" s="110" t="s">
        <v>331</v>
      </c>
    </row>
    <row r="71" spans="1:14" x14ac:dyDescent="0.2">
      <c r="A71" s="111" t="s">
        <v>121</v>
      </c>
      <c r="B71" s="111" t="s">
        <v>332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5437989.0936661046</v>
      </c>
      <c r="D72" s="106">
        <v>36505327.669121616</v>
      </c>
    </row>
    <row r="73" spans="1:14" x14ac:dyDescent="0.2">
      <c r="B73" s="111" t="s">
        <v>93</v>
      </c>
      <c r="C73" s="106">
        <v>4833768.0832587592</v>
      </c>
      <c r="D73" s="106">
        <v>32449180.150330324</v>
      </c>
    </row>
    <row r="74" spans="1:14" x14ac:dyDescent="0.2">
      <c r="B74" s="111" t="s">
        <v>94</v>
      </c>
      <c r="C74" s="106">
        <v>4833768.0832587592</v>
      </c>
      <c r="D74" s="106">
        <v>32449180.150330324</v>
      </c>
    </row>
    <row r="75" spans="1:14" x14ac:dyDescent="0.2">
      <c r="B75" s="111" t="s">
        <v>95</v>
      </c>
      <c r="C75" s="106">
        <v>5437989.0936661046</v>
      </c>
      <c r="D75" s="106">
        <v>36505327.669121616</v>
      </c>
    </row>
    <row r="76" spans="1:14" x14ac:dyDescent="0.2">
      <c r="B76" s="111" t="s">
        <v>96</v>
      </c>
      <c r="C76" s="106">
        <v>4833768.0832587592</v>
      </c>
      <c r="D76" s="106">
        <v>32449180.150330324</v>
      </c>
    </row>
    <row r="77" spans="1:14" x14ac:dyDescent="0.2">
      <c r="B77" s="111" t="s">
        <v>97</v>
      </c>
      <c r="C77" s="106">
        <v>4833768.0832587592</v>
      </c>
      <c r="D77" s="106">
        <v>32449180.150330324</v>
      </c>
    </row>
    <row r="78" spans="1:14" x14ac:dyDescent="0.2">
      <c r="B78" s="111" t="s">
        <v>98</v>
      </c>
      <c r="C78" s="106">
        <v>5437989.0936661046</v>
      </c>
      <c r="D78" s="106">
        <v>36505327.669121616</v>
      </c>
    </row>
    <row r="79" spans="1:14" x14ac:dyDescent="0.2">
      <c r="B79" s="111" t="s">
        <v>99</v>
      </c>
      <c r="C79" s="106">
        <v>4833768.0832587592</v>
      </c>
      <c r="D79" s="106">
        <v>32449180.150330324</v>
      </c>
    </row>
    <row r="80" spans="1:14" x14ac:dyDescent="0.2">
      <c r="B80" s="111" t="s">
        <v>100</v>
      </c>
      <c r="C80" s="106">
        <v>4833768.0832587592</v>
      </c>
      <c r="D80" s="106">
        <v>32449180.150330324</v>
      </c>
    </row>
    <row r="81" spans="2:50" x14ac:dyDescent="0.2">
      <c r="B81" s="111" t="s">
        <v>101</v>
      </c>
      <c r="C81" s="106">
        <v>5437989.0936661046</v>
      </c>
      <c r="D81" s="106">
        <v>36505327.669121616</v>
      </c>
    </row>
    <row r="82" spans="2:50" x14ac:dyDescent="0.2">
      <c r="B82" s="111" t="s">
        <v>102</v>
      </c>
      <c r="C82" s="106">
        <v>4833768.0832587592</v>
      </c>
      <c r="D82" s="106">
        <v>32449180.150330324</v>
      </c>
    </row>
    <row r="83" spans="2:50" x14ac:dyDescent="0.2">
      <c r="B83" s="111" t="s">
        <v>103</v>
      </c>
      <c r="C83" s="106">
        <v>4833768.0832587592</v>
      </c>
      <c r="D83" s="106">
        <v>32449180.150330324</v>
      </c>
    </row>
    <row r="85" spans="2:50" x14ac:dyDescent="0.2">
      <c r="B85" s="109" t="s">
        <v>333</v>
      </c>
    </row>
    <row r="86" spans="2:50" x14ac:dyDescent="0.2">
      <c r="B86" s="105" t="s">
        <v>274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334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18000</v>
      </c>
      <c r="D88" s="106">
        <f>D48+$C$67/4</f>
        <v>18000</v>
      </c>
      <c r="E88" s="106">
        <f>E48+$C$67/4</f>
        <v>18000</v>
      </c>
      <c r="F88" s="106">
        <f>F48+$C$67/4</f>
        <v>18000</v>
      </c>
      <c r="G88" s="106">
        <f>G48+$D$67/4</f>
        <v>16000</v>
      </c>
      <c r="H88" s="106">
        <f>H48+$D$67/4</f>
        <v>16000</v>
      </c>
      <c r="I88" s="106">
        <f>I48+$D$67/4</f>
        <v>16000</v>
      </c>
      <c r="J88" s="106">
        <f>J48+$D$67/4</f>
        <v>16000</v>
      </c>
      <c r="K88" s="106">
        <f>K48+$E$67/4</f>
        <v>16000</v>
      </c>
      <c r="L88" s="106">
        <f>L48+$E$67/4</f>
        <v>16000</v>
      </c>
      <c r="M88" s="106">
        <f>M48+$E$67/4</f>
        <v>16000</v>
      </c>
      <c r="N88" s="106">
        <f>N48+$E$67/4</f>
        <v>16000</v>
      </c>
      <c r="O88" s="106">
        <f>O48+$F$67/4</f>
        <v>18000</v>
      </c>
      <c r="P88" s="106">
        <f>P48+$F$67/4</f>
        <v>18000</v>
      </c>
      <c r="Q88" s="106">
        <f>Q48+$F$67/4</f>
        <v>18000</v>
      </c>
      <c r="R88" s="106">
        <f>R48+$F$67/4</f>
        <v>18000</v>
      </c>
      <c r="S88" s="106">
        <f>S48+$G$67/4</f>
        <v>16000</v>
      </c>
      <c r="T88" s="106">
        <f>T48+$G$67/4</f>
        <v>16000</v>
      </c>
      <c r="U88" s="106">
        <f>U48+$G$67/4</f>
        <v>16000</v>
      </c>
      <c r="V88" s="106">
        <f>V48+$G$67/4</f>
        <v>16000</v>
      </c>
      <c r="W88" s="106">
        <f>W48+$H$67/4</f>
        <v>16000</v>
      </c>
      <c r="X88" s="106">
        <f>X48+$H$67/4</f>
        <v>16000</v>
      </c>
      <c r="Y88" s="106">
        <f>Y48+$H$67/4</f>
        <v>16000</v>
      </c>
      <c r="Z88" s="106">
        <f>Z48+$H$67/4</f>
        <v>16000</v>
      </c>
      <c r="AA88" s="106">
        <f>AA48+$I$67/4</f>
        <v>18000</v>
      </c>
      <c r="AB88" s="106">
        <f>AB48+$I$67/4</f>
        <v>18000</v>
      </c>
      <c r="AC88" s="106">
        <f>AC48+$I$67/4</f>
        <v>18000</v>
      </c>
      <c r="AD88" s="106">
        <f>AD48+$I$67/4</f>
        <v>18000</v>
      </c>
      <c r="AE88" s="106">
        <f>AE48+$J$67/4</f>
        <v>16000</v>
      </c>
      <c r="AF88" s="106">
        <f>AF48+$J$67/4</f>
        <v>16000</v>
      </c>
      <c r="AG88" s="106">
        <f>AG48+$J$67/4</f>
        <v>16000</v>
      </c>
      <c r="AH88" s="106">
        <f>AH48+$J$67/4</f>
        <v>16000</v>
      </c>
      <c r="AI88" s="106">
        <f>AI48+$K$67/4</f>
        <v>16000</v>
      </c>
      <c r="AJ88" s="106">
        <f>AJ48+$K$67/4</f>
        <v>16000</v>
      </c>
      <c r="AK88" s="106">
        <f>AK48+$K$67/4</f>
        <v>16000</v>
      </c>
      <c r="AL88" s="106">
        <f>AL48+$K$67/4</f>
        <v>16000</v>
      </c>
      <c r="AM88" s="106">
        <f>AM48+$L$67/4</f>
        <v>18000</v>
      </c>
      <c r="AN88" s="106">
        <f>AN48+$L$67/4</f>
        <v>18000</v>
      </c>
      <c r="AO88" s="106">
        <f>AO48+$L$67/4</f>
        <v>18000</v>
      </c>
      <c r="AP88" s="106">
        <f>AP48+$L$67/4</f>
        <v>18000</v>
      </c>
      <c r="AQ88" s="106">
        <f>AQ48+$M$67/4</f>
        <v>16000</v>
      </c>
      <c r="AR88" s="106">
        <f>AR48+$M$67/4</f>
        <v>16000</v>
      </c>
      <c r="AS88" s="106">
        <f>AS48+$M$67/4</f>
        <v>16000</v>
      </c>
      <c r="AT88" s="106">
        <f>AT48+$M$67/4</f>
        <v>16000</v>
      </c>
      <c r="AU88" s="106">
        <f>AU48+$N$67/4</f>
        <v>16000</v>
      </c>
      <c r="AV88" s="106">
        <f>AV48+$N$67/4</f>
        <v>16000</v>
      </c>
      <c r="AW88" s="106">
        <f>AW48+$N$67/4</f>
        <v>16000</v>
      </c>
      <c r="AX88" s="106">
        <f>AX48+$N$67/4</f>
        <v>16000</v>
      </c>
    </row>
    <row r="89" spans="2:50" x14ac:dyDescent="0.2">
      <c r="B89" s="105" t="s">
        <v>105</v>
      </c>
      <c r="C89" s="106">
        <f>C49</f>
        <v>3203.3999387586405</v>
      </c>
      <c r="D89" s="106">
        <f t="shared" ref="D89:AX93" si="3">D49</f>
        <v>3203.3999387586405</v>
      </c>
      <c r="E89" s="106">
        <f t="shared" si="3"/>
        <v>3203.3999387586405</v>
      </c>
      <c r="F89" s="106">
        <f t="shared" si="3"/>
        <v>3203.3999387586405</v>
      </c>
      <c r="G89" s="106">
        <f t="shared" si="3"/>
        <v>3203.3999387586405</v>
      </c>
      <c r="H89" s="106">
        <f t="shared" si="3"/>
        <v>3203.3999387586405</v>
      </c>
      <c r="I89" s="106">
        <f t="shared" si="3"/>
        <v>3203.3999387586405</v>
      </c>
      <c r="J89" s="106">
        <f t="shared" si="3"/>
        <v>3203.3999387586405</v>
      </c>
      <c r="K89" s="106">
        <f t="shared" si="3"/>
        <v>3203.3999387586405</v>
      </c>
      <c r="L89" s="106">
        <f t="shared" si="3"/>
        <v>3203.3999387586405</v>
      </c>
      <c r="M89" s="106">
        <f t="shared" si="3"/>
        <v>3203.3999387586405</v>
      </c>
      <c r="N89" s="106">
        <f t="shared" si="3"/>
        <v>3203.3999387586405</v>
      </c>
      <c r="O89" s="106">
        <f t="shared" si="3"/>
        <v>3203.3999387586405</v>
      </c>
      <c r="P89" s="106">
        <f t="shared" si="3"/>
        <v>3203.3999387586405</v>
      </c>
      <c r="Q89" s="106">
        <f t="shared" si="3"/>
        <v>3203.3999387586405</v>
      </c>
      <c r="R89" s="106">
        <f t="shared" si="3"/>
        <v>3203.3999387586405</v>
      </c>
      <c r="S89" s="106">
        <f t="shared" si="3"/>
        <v>3203.3999387586405</v>
      </c>
      <c r="T89" s="106">
        <f t="shared" si="3"/>
        <v>3203.3999387586405</v>
      </c>
      <c r="U89" s="106">
        <f t="shared" si="3"/>
        <v>3203.3999387586405</v>
      </c>
      <c r="V89" s="106">
        <f t="shared" si="3"/>
        <v>3203.3999387586405</v>
      </c>
      <c r="W89" s="106">
        <f t="shared" si="3"/>
        <v>3203.3999387586405</v>
      </c>
      <c r="X89" s="106">
        <f t="shared" si="3"/>
        <v>3203.3999387586405</v>
      </c>
      <c r="Y89" s="106">
        <f t="shared" si="3"/>
        <v>3203.3999387586405</v>
      </c>
      <c r="Z89" s="106">
        <f t="shared" si="3"/>
        <v>3203.3999387586405</v>
      </c>
      <c r="AA89" s="106">
        <f t="shared" si="3"/>
        <v>3203.3999387586405</v>
      </c>
      <c r="AB89" s="106">
        <f t="shared" si="3"/>
        <v>3203.3999387586405</v>
      </c>
      <c r="AC89" s="106">
        <f t="shared" si="3"/>
        <v>3203.3999387586405</v>
      </c>
      <c r="AD89" s="106">
        <f t="shared" si="3"/>
        <v>3203.3999387586405</v>
      </c>
      <c r="AE89" s="106">
        <f t="shared" si="3"/>
        <v>3203.3999387586405</v>
      </c>
      <c r="AF89" s="106">
        <f t="shared" si="3"/>
        <v>3203.3999387586405</v>
      </c>
      <c r="AG89" s="106">
        <f t="shared" si="3"/>
        <v>3203.3999387586405</v>
      </c>
      <c r="AH89" s="106">
        <f t="shared" si="3"/>
        <v>3203.3999387586405</v>
      </c>
      <c r="AI89" s="106">
        <f t="shared" si="3"/>
        <v>3203.3999387586405</v>
      </c>
      <c r="AJ89" s="106">
        <f t="shared" si="3"/>
        <v>3203.3999387586405</v>
      </c>
      <c r="AK89" s="106">
        <f t="shared" si="3"/>
        <v>3203.3999387586405</v>
      </c>
      <c r="AL89" s="106">
        <f t="shared" si="3"/>
        <v>3203.3999387586405</v>
      </c>
      <c r="AM89" s="106">
        <f t="shared" si="3"/>
        <v>3203.3999387586405</v>
      </c>
      <c r="AN89" s="106">
        <f t="shared" si="3"/>
        <v>3203.3999387586405</v>
      </c>
      <c r="AO89" s="106">
        <f t="shared" si="3"/>
        <v>3203.3999387586405</v>
      </c>
      <c r="AP89" s="106">
        <f t="shared" si="3"/>
        <v>3203.3999387586405</v>
      </c>
      <c r="AQ89" s="106">
        <f t="shared" si="3"/>
        <v>3203.3999387586405</v>
      </c>
      <c r="AR89" s="106">
        <f t="shared" si="3"/>
        <v>3203.3999387586405</v>
      </c>
      <c r="AS89" s="106">
        <f t="shared" si="3"/>
        <v>3203.3999387586405</v>
      </c>
      <c r="AT89" s="106">
        <f t="shared" si="3"/>
        <v>3203.3999387586405</v>
      </c>
      <c r="AU89" s="106">
        <f t="shared" si="3"/>
        <v>3203.3999387586405</v>
      </c>
      <c r="AV89" s="106">
        <f t="shared" si="3"/>
        <v>3203.3999387586405</v>
      </c>
      <c r="AW89" s="106">
        <f t="shared" si="3"/>
        <v>3203.3999387586405</v>
      </c>
      <c r="AX89" s="106">
        <f t="shared" si="3"/>
        <v>3203.3999387586405</v>
      </c>
    </row>
    <row r="90" spans="2:50" x14ac:dyDescent="0.2">
      <c r="B90" s="105" t="s">
        <v>106</v>
      </c>
      <c r="C90" s="106">
        <f t="shared" ref="C90:R93" si="4">C50</f>
        <v>2958.1665880602222</v>
      </c>
      <c r="D90" s="106">
        <f t="shared" si="4"/>
        <v>2958.1665880602222</v>
      </c>
      <c r="E90" s="106">
        <f t="shared" si="4"/>
        <v>2958.1665880602222</v>
      </c>
      <c r="F90" s="106">
        <f t="shared" si="4"/>
        <v>2958.1665880602222</v>
      </c>
      <c r="G90" s="106">
        <f t="shared" si="4"/>
        <v>2021.9633411880502</v>
      </c>
      <c r="H90" s="106">
        <f t="shared" si="4"/>
        <v>2958.1665880602222</v>
      </c>
      <c r="I90" s="106">
        <f t="shared" si="4"/>
        <v>507.68511167612263</v>
      </c>
      <c r="J90" s="106">
        <f t="shared" si="4"/>
        <v>2958.1665880602222</v>
      </c>
      <c r="K90" s="106">
        <f t="shared" si="4"/>
        <v>2958.1665880602222</v>
      </c>
      <c r="L90" s="106">
        <f t="shared" si="4"/>
        <v>2958.1665880602222</v>
      </c>
      <c r="M90" s="106">
        <f t="shared" si="4"/>
        <v>2958.1665880602222</v>
      </c>
      <c r="N90" s="106">
        <f t="shared" si="4"/>
        <v>2958.1665880602222</v>
      </c>
      <c r="O90" s="106">
        <f t="shared" si="4"/>
        <v>2958.1665880602222</v>
      </c>
      <c r="P90" s="106">
        <f t="shared" si="4"/>
        <v>2958.1665880602222</v>
      </c>
      <c r="Q90" s="106">
        <f t="shared" si="4"/>
        <v>2958.1665880602222</v>
      </c>
      <c r="R90" s="106">
        <f t="shared" si="4"/>
        <v>2958.1665880602222</v>
      </c>
      <c r="S90" s="106">
        <f t="shared" si="3"/>
        <v>2958.1665880602222</v>
      </c>
      <c r="T90" s="106">
        <f t="shared" si="3"/>
        <v>2958.1665880602222</v>
      </c>
      <c r="U90" s="106">
        <f t="shared" si="3"/>
        <v>2958.1665880602222</v>
      </c>
      <c r="V90" s="106">
        <f t="shared" si="3"/>
        <v>2958.1665880602222</v>
      </c>
      <c r="W90" s="106">
        <f t="shared" si="3"/>
        <v>2958.1665880602222</v>
      </c>
      <c r="X90" s="106">
        <f t="shared" si="3"/>
        <v>2958.1665880602222</v>
      </c>
      <c r="Y90" s="106">
        <f t="shared" si="3"/>
        <v>2958.1665880602222</v>
      </c>
      <c r="Z90" s="106">
        <f t="shared" si="3"/>
        <v>2958.1665880602222</v>
      </c>
      <c r="AA90" s="106">
        <f t="shared" si="3"/>
        <v>2958.1665880602222</v>
      </c>
      <c r="AB90" s="106">
        <f t="shared" si="3"/>
        <v>2958.1665880602222</v>
      </c>
      <c r="AC90" s="106">
        <f t="shared" si="3"/>
        <v>2958.1665880602222</v>
      </c>
      <c r="AD90" s="106">
        <f t="shared" si="3"/>
        <v>2958.1665880602222</v>
      </c>
      <c r="AE90" s="106">
        <f t="shared" si="3"/>
        <v>2958.1665880602222</v>
      </c>
      <c r="AF90" s="106">
        <f t="shared" si="3"/>
        <v>2958.1665880602222</v>
      </c>
      <c r="AG90" s="106">
        <f t="shared" si="3"/>
        <v>2958.1665880602222</v>
      </c>
      <c r="AH90" s="106">
        <f t="shared" si="3"/>
        <v>2958.1665880602222</v>
      </c>
      <c r="AI90" s="106">
        <f t="shared" si="3"/>
        <v>535.40254360298286</v>
      </c>
      <c r="AJ90" s="106">
        <f t="shared" si="3"/>
        <v>2958.1665880602222</v>
      </c>
      <c r="AK90" s="106">
        <f t="shared" si="3"/>
        <v>2958.1665880602222</v>
      </c>
      <c r="AL90" s="106">
        <f t="shared" si="3"/>
        <v>2958.1665880602222</v>
      </c>
      <c r="AM90" s="106">
        <f t="shared" si="3"/>
        <v>2958.1665880602222</v>
      </c>
      <c r="AN90" s="106">
        <f t="shared" si="3"/>
        <v>2958.1665880602222</v>
      </c>
      <c r="AO90" s="106">
        <f t="shared" si="3"/>
        <v>2958.1665880602222</v>
      </c>
      <c r="AP90" s="106">
        <f t="shared" si="3"/>
        <v>2169.510193221452</v>
      </c>
      <c r="AQ90" s="106">
        <f t="shared" si="3"/>
        <v>2173.3983309171226</v>
      </c>
      <c r="AR90" s="106">
        <f t="shared" si="3"/>
        <v>2177.2601727624142</v>
      </c>
      <c r="AS90" s="106">
        <f t="shared" si="3"/>
        <v>2181.0950955950052</v>
      </c>
      <c r="AT90" s="106">
        <f t="shared" si="3"/>
        <v>2184.9024807058813</v>
      </c>
      <c r="AU90" s="106">
        <f t="shared" si="3"/>
        <v>2188.6817139503855</v>
      </c>
      <c r="AV90" s="106">
        <f t="shared" si="3"/>
        <v>548.10804646462907</v>
      </c>
      <c r="AW90" s="106">
        <f t="shared" si="3"/>
        <v>2958.1665880602222</v>
      </c>
      <c r="AX90" s="106">
        <f t="shared" si="3"/>
        <v>2958.1665880602222</v>
      </c>
    </row>
    <row r="91" spans="2:50" x14ac:dyDescent="0.2">
      <c r="B91" s="105" t="s">
        <v>107</v>
      </c>
      <c r="C91" s="106">
        <f t="shared" si="4"/>
        <v>0</v>
      </c>
      <c r="D91" s="106">
        <f t="shared" si="3"/>
        <v>0</v>
      </c>
      <c r="E91" s="106">
        <f t="shared" si="3"/>
        <v>0</v>
      </c>
      <c r="F91" s="106">
        <f t="shared" si="3"/>
        <v>0</v>
      </c>
      <c r="G91" s="106">
        <f t="shared" si="3"/>
        <v>0</v>
      </c>
      <c r="H91" s="106">
        <f t="shared" si="3"/>
        <v>0</v>
      </c>
      <c r="I91" s="106">
        <f t="shared" si="3"/>
        <v>0</v>
      </c>
      <c r="J91" s="106">
        <f t="shared" si="3"/>
        <v>0</v>
      </c>
      <c r="K91" s="106">
        <f t="shared" si="3"/>
        <v>0</v>
      </c>
      <c r="L91" s="106">
        <f t="shared" si="3"/>
        <v>0</v>
      </c>
      <c r="M91" s="106">
        <f t="shared" si="3"/>
        <v>0</v>
      </c>
      <c r="N91" s="106">
        <f t="shared" si="3"/>
        <v>0</v>
      </c>
      <c r="O91" s="106">
        <f t="shared" si="3"/>
        <v>0</v>
      </c>
      <c r="P91" s="106">
        <f t="shared" si="3"/>
        <v>0</v>
      </c>
      <c r="Q91" s="106">
        <f t="shared" si="3"/>
        <v>0</v>
      </c>
      <c r="R91" s="106">
        <f t="shared" si="3"/>
        <v>0</v>
      </c>
      <c r="S91" s="106">
        <f t="shared" si="3"/>
        <v>0</v>
      </c>
      <c r="T91" s="106">
        <f t="shared" si="3"/>
        <v>0</v>
      </c>
      <c r="U91" s="106">
        <f t="shared" si="3"/>
        <v>0</v>
      </c>
      <c r="V91" s="106">
        <f t="shared" si="3"/>
        <v>0</v>
      </c>
      <c r="W91" s="106">
        <f t="shared" si="3"/>
        <v>0</v>
      </c>
      <c r="X91" s="106">
        <f t="shared" si="3"/>
        <v>0</v>
      </c>
      <c r="Y91" s="106">
        <f t="shared" si="3"/>
        <v>0</v>
      </c>
      <c r="Z91" s="106">
        <f t="shared" si="3"/>
        <v>0</v>
      </c>
      <c r="AA91" s="106">
        <f t="shared" si="3"/>
        <v>0</v>
      </c>
      <c r="AB91" s="106">
        <f t="shared" si="3"/>
        <v>0</v>
      </c>
      <c r="AC91" s="106">
        <f t="shared" si="3"/>
        <v>0</v>
      </c>
      <c r="AD91" s="106">
        <f t="shared" si="3"/>
        <v>0</v>
      </c>
      <c r="AE91" s="106">
        <f t="shared" si="3"/>
        <v>0</v>
      </c>
      <c r="AF91" s="106">
        <f t="shared" si="3"/>
        <v>0</v>
      </c>
      <c r="AG91" s="106">
        <f t="shared" si="3"/>
        <v>0</v>
      </c>
      <c r="AH91" s="106">
        <f t="shared" si="3"/>
        <v>0</v>
      </c>
      <c r="AI91" s="106">
        <f t="shared" si="3"/>
        <v>0</v>
      </c>
      <c r="AJ91" s="106">
        <f t="shared" si="3"/>
        <v>0</v>
      </c>
      <c r="AK91" s="106">
        <f t="shared" si="3"/>
        <v>0</v>
      </c>
      <c r="AL91" s="106">
        <f t="shared" si="3"/>
        <v>0</v>
      </c>
      <c r="AM91" s="106">
        <f t="shared" si="3"/>
        <v>0</v>
      </c>
      <c r="AN91" s="106">
        <f t="shared" si="3"/>
        <v>0</v>
      </c>
      <c r="AO91" s="106">
        <f t="shared" si="3"/>
        <v>0</v>
      </c>
      <c r="AP91" s="106">
        <f t="shared" si="3"/>
        <v>0</v>
      </c>
      <c r="AQ91" s="106">
        <f t="shared" si="3"/>
        <v>0</v>
      </c>
      <c r="AR91" s="106">
        <f t="shared" si="3"/>
        <v>0</v>
      </c>
      <c r="AS91" s="106">
        <f t="shared" si="3"/>
        <v>0</v>
      </c>
      <c r="AT91" s="106">
        <f t="shared" si="3"/>
        <v>0</v>
      </c>
      <c r="AU91" s="106">
        <f t="shared" si="3"/>
        <v>0</v>
      </c>
      <c r="AV91" s="106">
        <f t="shared" si="3"/>
        <v>0</v>
      </c>
      <c r="AW91" s="106">
        <f t="shared" si="3"/>
        <v>0</v>
      </c>
      <c r="AX91" s="106">
        <f t="shared" si="3"/>
        <v>0</v>
      </c>
    </row>
    <row r="92" spans="2:50" x14ac:dyDescent="0.2">
      <c r="B92" s="105" t="s">
        <v>108</v>
      </c>
      <c r="C92" s="106">
        <f t="shared" si="4"/>
        <v>0</v>
      </c>
      <c r="D92" s="106">
        <f t="shared" si="4"/>
        <v>0</v>
      </c>
      <c r="E92" s="106">
        <f t="shared" si="4"/>
        <v>0</v>
      </c>
      <c r="F92" s="106">
        <f t="shared" si="4"/>
        <v>0</v>
      </c>
      <c r="G92" s="106">
        <f t="shared" si="4"/>
        <v>0</v>
      </c>
      <c r="H92" s="106">
        <f t="shared" si="4"/>
        <v>0</v>
      </c>
      <c r="I92" s="106">
        <f t="shared" si="4"/>
        <v>0</v>
      </c>
      <c r="J92" s="106">
        <f t="shared" si="4"/>
        <v>0</v>
      </c>
      <c r="K92" s="106">
        <f t="shared" si="4"/>
        <v>0</v>
      </c>
      <c r="L92" s="106">
        <f t="shared" si="4"/>
        <v>0</v>
      </c>
      <c r="M92" s="106">
        <f t="shared" si="4"/>
        <v>0</v>
      </c>
      <c r="N92" s="106">
        <f t="shared" si="4"/>
        <v>0</v>
      </c>
      <c r="O92" s="106">
        <f t="shared" si="4"/>
        <v>0</v>
      </c>
      <c r="P92" s="106">
        <f t="shared" si="4"/>
        <v>0</v>
      </c>
      <c r="Q92" s="106">
        <f t="shared" si="4"/>
        <v>0</v>
      </c>
      <c r="R92" s="106">
        <f t="shared" si="4"/>
        <v>0</v>
      </c>
      <c r="S92" s="106">
        <f t="shared" si="3"/>
        <v>0</v>
      </c>
      <c r="T92" s="106">
        <f t="shared" si="3"/>
        <v>0</v>
      </c>
      <c r="U92" s="106">
        <f t="shared" si="3"/>
        <v>0</v>
      </c>
      <c r="V92" s="106">
        <f t="shared" si="3"/>
        <v>0</v>
      </c>
      <c r="W92" s="106">
        <f t="shared" si="3"/>
        <v>0</v>
      </c>
      <c r="X92" s="106">
        <f t="shared" si="3"/>
        <v>0</v>
      </c>
      <c r="Y92" s="106">
        <f t="shared" si="3"/>
        <v>0</v>
      </c>
      <c r="Z92" s="106">
        <f t="shared" si="3"/>
        <v>0</v>
      </c>
      <c r="AA92" s="106">
        <f t="shared" si="3"/>
        <v>0</v>
      </c>
      <c r="AB92" s="106">
        <f t="shared" si="3"/>
        <v>0</v>
      </c>
      <c r="AC92" s="106">
        <f t="shared" si="3"/>
        <v>0</v>
      </c>
      <c r="AD92" s="106">
        <f t="shared" si="3"/>
        <v>0</v>
      </c>
      <c r="AE92" s="106">
        <f t="shared" si="3"/>
        <v>0</v>
      </c>
      <c r="AF92" s="106">
        <f t="shared" si="3"/>
        <v>0</v>
      </c>
      <c r="AG92" s="106">
        <f t="shared" si="3"/>
        <v>0</v>
      </c>
      <c r="AH92" s="106">
        <f t="shared" si="3"/>
        <v>0</v>
      </c>
      <c r="AI92" s="106">
        <f t="shared" si="3"/>
        <v>0</v>
      </c>
      <c r="AJ92" s="106">
        <f t="shared" si="3"/>
        <v>0</v>
      </c>
      <c r="AK92" s="106">
        <f t="shared" si="3"/>
        <v>0</v>
      </c>
      <c r="AL92" s="106">
        <f t="shared" si="3"/>
        <v>0</v>
      </c>
      <c r="AM92" s="106">
        <f t="shared" si="3"/>
        <v>0</v>
      </c>
      <c r="AN92" s="106">
        <f t="shared" si="3"/>
        <v>0</v>
      </c>
      <c r="AO92" s="106">
        <f t="shared" si="3"/>
        <v>0</v>
      </c>
      <c r="AP92" s="106">
        <f t="shared" si="3"/>
        <v>0</v>
      </c>
      <c r="AQ92" s="106">
        <f t="shared" si="3"/>
        <v>0</v>
      </c>
      <c r="AR92" s="106">
        <f t="shared" si="3"/>
        <v>0</v>
      </c>
      <c r="AS92" s="106">
        <f t="shared" si="3"/>
        <v>0</v>
      </c>
      <c r="AT92" s="106">
        <f t="shared" si="3"/>
        <v>0</v>
      </c>
      <c r="AU92" s="106">
        <f t="shared" si="3"/>
        <v>0</v>
      </c>
      <c r="AV92" s="106">
        <f t="shared" si="3"/>
        <v>0</v>
      </c>
      <c r="AW92" s="106">
        <f t="shared" si="3"/>
        <v>0</v>
      </c>
      <c r="AX92" s="106">
        <f t="shared" si="3"/>
        <v>0</v>
      </c>
    </row>
    <row r="93" spans="2:50" x14ac:dyDescent="0.2">
      <c r="B93" s="105" t="s">
        <v>109</v>
      </c>
      <c r="C93" s="106">
        <f t="shared" si="4"/>
        <v>0</v>
      </c>
      <c r="D93" s="106">
        <f t="shared" si="4"/>
        <v>0</v>
      </c>
      <c r="E93" s="106">
        <f t="shared" si="4"/>
        <v>0</v>
      </c>
      <c r="F93" s="106">
        <f t="shared" si="4"/>
        <v>0</v>
      </c>
      <c r="G93" s="106">
        <f t="shared" si="4"/>
        <v>0</v>
      </c>
      <c r="H93" s="106">
        <f t="shared" si="4"/>
        <v>0</v>
      </c>
      <c r="I93" s="106">
        <f t="shared" si="4"/>
        <v>0</v>
      </c>
      <c r="J93" s="106">
        <f t="shared" si="4"/>
        <v>0</v>
      </c>
      <c r="K93" s="106">
        <f t="shared" si="4"/>
        <v>0</v>
      </c>
      <c r="L93" s="106">
        <f t="shared" si="4"/>
        <v>0</v>
      </c>
      <c r="M93" s="106">
        <f t="shared" si="4"/>
        <v>0</v>
      </c>
      <c r="N93" s="106">
        <f t="shared" si="4"/>
        <v>0</v>
      </c>
      <c r="O93" s="106">
        <f t="shared" si="4"/>
        <v>0</v>
      </c>
      <c r="P93" s="106">
        <f t="shared" si="4"/>
        <v>0</v>
      </c>
      <c r="Q93" s="106">
        <f t="shared" si="4"/>
        <v>0</v>
      </c>
      <c r="R93" s="106">
        <f t="shared" si="4"/>
        <v>0</v>
      </c>
      <c r="S93" s="106">
        <f t="shared" si="3"/>
        <v>0</v>
      </c>
      <c r="T93" s="106">
        <f t="shared" si="3"/>
        <v>0</v>
      </c>
      <c r="U93" s="106">
        <f t="shared" si="3"/>
        <v>0</v>
      </c>
      <c r="V93" s="106">
        <f t="shared" si="3"/>
        <v>0</v>
      </c>
      <c r="W93" s="106">
        <f t="shared" si="3"/>
        <v>0</v>
      </c>
      <c r="X93" s="106">
        <f t="shared" si="3"/>
        <v>0</v>
      </c>
      <c r="Y93" s="106">
        <f t="shared" si="3"/>
        <v>0</v>
      </c>
      <c r="Z93" s="106">
        <f t="shared" si="3"/>
        <v>0</v>
      </c>
      <c r="AA93" s="106">
        <f t="shared" si="3"/>
        <v>0</v>
      </c>
      <c r="AB93" s="106">
        <f t="shared" si="3"/>
        <v>0</v>
      </c>
      <c r="AC93" s="106">
        <f t="shared" si="3"/>
        <v>0</v>
      </c>
      <c r="AD93" s="106">
        <f t="shared" si="3"/>
        <v>0</v>
      </c>
      <c r="AE93" s="106">
        <f t="shared" si="3"/>
        <v>0</v>
      </c>
      <c r="AF93" s="106">
        <f t="shared" si="3"/>
        <v>0</v>
      </c>
      <c r="AG93" s="106">
        <f t="shared" si="3"/>
        <v>0</v>
      </c>
      <c r="AH93" s="106">
        <f t="shared" si="3"/>
        <v>0</v>
      </c>
      <c r="AI93" s="106">
        <f t="shared" si="3"/>
        <v>0</v>
      </c>
      <c r="AJ93" s="106">
        <f t="shared" si="3"/>
        <v>0</v>
      </c>
      <c r="AK93" s="106">
        <f t="shared" si="3"/>
        <v>0</v>
      </c>
      <c r="AL93" s="106">
        <f t="shared" si="3"/>
        <v>0</v>
      </c>
      <c r="AM93" s="106">
        <f t="shared" si="3"/>
        <v>0</v>
      </c>
      <c r="AN93" s="106">
        <f t="shared" si="3"/>
        <v>0</v>
      </c>
      <c r="AO93" s="106">
        <f t="shared" si="3"/>
        <v>0</v>
      </c>
      <c r="AP93" s="106">
        <f t="shared" si="3"/>
        <v>0</v>
      </c>
      <c r="AQ93" s="106">
        <f t="shared" si="3"/>
        <v>0</v>
      </c>
      <c r="AR93" s="106">
        <f t="shared" si="3"/>
        <v>0</v>
      </c>
      <c r="AS93" s="106">
        <f t="shared" si="3"/>
        <v>0</v>
      </c>
      <c r="AT93" s="106">
        <f t="shared" si="3"/>
        <v>0</v>
      </c>
      <c r="AU93" s="106">
        <f t="shared" si="3"/>
        <v>0</v>
      </c>
      <c r="AV93" s="106">
        <f t="shared" si="3"/>
        <v>0</v>
      </c>
      <c r="AW93" s="106">
        <f t="shared" si="3"/>
        <v>0</v>
      </c>
      <c r="AX93" s="106">
        <f t="shared" si="3"/>
        <v>0</v>
      </c>
    </row>
    <row r="94" spans="2:50" x14ac:dyDescent="0.2">
      <c r="B94" s="107"/>
    </row>
    <row r="95" spans="2:50" x14ac:dyDescent="0.2">
      <c r="B95" s="180" t="s">
        <v>335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336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5</v>
      </c>
      <c r="C98" s="106">
        <v>109367.66217670853</v>
      </c>
      <c r="D98" s="106">
        <v>109367.66217670853</v>
      </c>
      <c r="E98" s="106">
        <v>109367.66217670853</v>
      </c>
      <c r="F98" s="106">
        <v>109367.66217670853</v>
      </c>
      <c r="G98" s="106">
        <v>97215.699712629794</v>
      </c>
      <c r="H98" s="106">
        <v>97215.699712629794</v>
      </c>
      <c r="I98" s="106">
        <v>97215.699712629794</v>
      </c>
      <c r="J98" s="106">
        <v>97215.699712629794</v>
      </c>
      <c r="K98" s="106">
        <v>97215.699712629794</v>
      </c>
      <c r="L98" s="106">
        <v>97215.699712629794</v>
      </c>
      <c r="M98" s="106">
        <v>97215.699712629794</v>
      </c>
      <c r="N98" s="106">
        <v>97215.699712629794</v>
      </c>
      <c r="O98" s="106">
        <v>109367.66217670853</v>
      </c>
      <c r="P98" s="106">
        <v>109367.66217670853</v>
      </c>
      <c r="Q98" s="106">
        <v>109367.66217670853</v>
      </c>
      <c r="R98" s="106">
        <v>109367.66217670853</v>
      </c>
      <c r="S98" s="106">
        <v>97215.699712629794</v>
      </c>
      <c r="T98" s="106">
        <v>97215.699712629794</v>
      </c>
      <c r="U98" s="106">
        <v>97215.699712629794</v>
      </c>
      <c r="V98" s="106">
        <v>97215.699712629794</v>
      </c>
      <c r="W98" s="106">
        <v>97215.699712629794</v>
      </c>
      <c r="X98" s="106">
        <v>97215.699712629794</v>
      </c>
      <c r="Y98" s="106">
        <v>97215.699712629794</v>
      </c>
      <c r="Z98" s="106">
        <v>97215.699712629794</v>
      </c>
      <c r="AA98" s="106">
        <v>109367.66217670853</v>
      </c>
      <c r="AB98" s="106">
        <v>109367.66217670853</v>
      </c>
      <c r="AC98" s="106">
        <v>109367.66217670853</v>
      </c>
      <c r="AD98" s="106">
        <v>109367.66217670853</v>
      </c>
      <c r="AE98" s="106">
        <v>97215.699712629794</v>
      </c>
      <c r="AF98" s="106">
        <v>97215.699712629794</v>
      </c>
      <c r="AG98" s="106">
        <v>97215.699712629794</v>
      </c>
      <c r="AH98" s="106">
        <v>97215.699712629794</v>
      </c>
      <c r="AI98" s="106">
        <v>97215.699712629794</v>
      </c>
      <c r="AJ98" s="106">
        <v>97215.699712629794</v>
      </c>
      <c r="AK98" s="106">
        <v>97215.699712629794</v>
      </c>
      <c r="AL98" s="106">
        <v>97215.699712629794</v>
      </c>
      <c r="AM98" s="106">
        <v>109367.66217670853</v>
      </c>
      <c r="AN98" s="106">
        <v>109367.66217670853</v>
      </c>
      <c r="AO98" s="106">
        <v>109367.66217670853</v>
      </c>
      <c r="AP98" s="106">
        <v>109367.66217670853</v>
      </c>
      <c r="AQ98" s="106">
        <v>97215.699712629794</v>
      </c>
      <c r="AR98" s="106">
        <v>97215.699712629794</v>
      </c>
      <c r="AS98" s="106">
        <v>97215.699712629794</v>
      </c>
      <c r="AT98" s="106">
        <v>97215.699712629794</v>
      </c>
      <c r="AU98" s="106">
        <v>97215.699712629794</v>
      </c>
      <c r="AV98" s="106">
        <v>97215.699712629794</v>
      </c>
      <c r="AW98" s="106">
        <v>97215.699712629794</v>
      </c>
      <c r="AX98" s="106">
        <v>97215.699712629794</v>
      </c>
    </row>
    <row r="99" spans="1:50" x14ac:dyDescent="0.2">
      <c r="B99" s="111" t="s">
        <v>10</v>
      </c>
      <c r="C99" s="106">
        <v>0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</row>
    <row r="100" spans="1:50" x14ac:dyDescent="0.2">
      <c r="B100" s="111" t="s">
        <v>12</v>
      </c>
      <c r="C100" s="106">
        <v>980317.42775137722</v>
      </c>
      <c r="D100" s="106">
        <v>980317.42775137722</v>
      </c>
      <c r="E100" s="106">
        <v>980317.42775137722</v>
      </c>
      <c r="F100" s="106">
        <v>980317.42775137722</v>
      </c>
      <c r="G100" s="106">
        <v>871393.26911233517</v>
      </c>
      <c r="H100" s="106">
        <v>871393.26911233517</v>
      </c>
      <c r="I100" s="106">
        <v>871393.26911233517</v>
      </c>
      <c r="J100" s="106">
        <v>871393.26911233517</v>
      </c>
      <c r="K100" s="106">
        <v>871393.26911233517</v>
      </c>
      <c r="L100" s="106">
        <v>871393.26911233517</v>
      </c>
      <c r="M100" s="106">
        <v>871393.26911233517</v>
      </c>
      <c r="N100" s="106">
        <v>871393.26911233517</v>
      </c>
      <c r="O100" s="106">
        <v>980317.42775137722</v>
      </c>
      <c r="P100" s="106">
        <v>980317.42775137722</v>
      </c>
      <c r="Q100" s="106">
        <v>980317.42775137722</v>
      </c>
      <c r="R100" s="106">
        <v>980317.42775137722</v>
      </c>
      <c r="S100" s="106">
        <v>871393.26911233517</v>
      </c>
      <c r="T100" s="106">
        <v>871393.26911233517</v>
      </c>
      <c r="U100" s="106">
        <v>871393.26911233517</v>
      </c>
      <c r="V100" s="106">
        <v>871393.26911233517</v>
      </c>
      <c r="W100" s="106">
        <v>871393.26911233517</v>
      </c>
      <c r="X100" s="106">
        <v>871393.26911233517</v>
      </c>
      <c r="Y100" s="106">
        <v>871393.26911233517</v>
      </c>
      <c r="Z100" s="106">
        <v>871393.26911233517</v>
      </c>
      <c r="AA100" s="106">
        <v>980317.42775137722</v>
      </c>
      <c r="AB100" s="106">
        <v>980317.42775137722</v>
      </c>
      <c r="AC100" s="106">
        <v>980317.42775137722</v>
      </c>
      <c r="AD100" s="106">
        <v>980317.42775137722</v>
      </c>
      <c r="AE100" s="106">
        <v>871393.26911233517</v>
      </c>
      <c r="AF100" s="106">
        <v>871393.26911233517</v>
      </c>
      <c r="AG100" s="106">
        <v>871393.26911233517</v>
      </c>
      <c r="AH100" s="106">
        <v>871393.26911233517</v>
      </c>
      <c r="AI100" s="106">
        <v>871393.26911233517</v>
      </c>
      <c r="AJ100" s="106">
        <v>871393.26911233517</v>
      </c>
      <c r="AK100" s="106">
        <v>871393.26911233517</v>
      </c>
      <c r="AL100" s="106">
        <v>871393.26911233517</v>
      </c>
      <c r="AM100" s="106">
        <v>980317.42775137722</v>
      </c>
      <c r="AN100" s="106">
        <v>980317.42775137722</v>
      </c>
      <c r="AO100" s="106">
        <v>980317.42775137722</v>
      </c>
      <c r="AP100" s="106">
        <v>980317.42775137722</v>
      </c>
      <c r="AQ100" s="106">
        <v>871393.26911233517</v>
      </c>
      <c r="AR100" s="106">
        <v>871393.26911233517</v>
      </c>
      <c r="AS100" s="106">
        <v>871393.26911233517</v>
      </c>
      <c r="AT100" s="106">
        <v>871393.26911233517</v>
      </c>
      <c r="AU100" s="106">
        <v>871393.26911233517</v>
      </c>
      <c r="AV100" s="106">
        <v>871393.26911233517</v>
      </c>
      <c r="AW100" s="106">
        <v>871393.26911233517</v>
      </c>
      <c r="AX100" s="106">
        <v>871393.26911233517</v>
      </c>
    </row>
    <row r="101" spans="1:50" x14ac:dyDescent="0.2">
      <c r="B101" s="111" t="s">
        <v>22</v>
      </c>
      <c r="C101" s="106">
        <v>2534920.5024000001</v>
      </c>
      <c r="D101" s="106">
        <v>2534920.5024000001</v>
      </c>
      <c r="E101" s="106">
        <v>2534920.5024000001</v>
      </c>
      <c r="F101" s="106">
        <v>2534920.5024000001</v>
      </c>
      <c r="G101" s="106">
        <v>2253262.6687999996</v>
      </c>
      <c r="H101" s="106">
        <v>2253262.6687999996</v>
      </c>
      <c r="I101" s="106">
        <v>2253262.6687999996</v>
      </c>
      <c r="J101" s="106">
        <v>2253262.6687999996</v>
      </c>
      <c r="K101" s="106">
        <v>2253262.6687999996</v>
      </c>
      <c r="L101" s="106">
        <v>2253262.6687999996</v>
      </c>
      <c r="M101" s="106">
        <v>2253262.6687999996</v>
      </c>
      <c r="N101" s="106">
        <v>2253262.6687999996</v>
      </c>
      <c r="O101" s="106">
        <v>2534920.5024000001</v>
      </c>
      <c r="P101" s="106">
        <v>2534920.5024000001</v>
      </c>
      <c r="Q101" s="106">
        <v>2534920.5024000001</v>
      </c>
      <c r="R101" s="106">
        <v>2534920.5024000001</v>
      </c>
      <c r="S101" s="106">
        <v>2253262.6687999996</v>
      </c>
      <c r="T101" s="106">
        <v>2253262.6687999996</v>
      </c>
      <c r="U101" s="106">
        <v>2253262.6687999996</v>
      </c>
      <c r="V101" s="106">
        <v>2253262.6687999996</v>
      </c>
      <c r="W101" s="106">
        <v>2253262.6687999996</v>
      </c>
      <c r="X101" s="106">
        <v>2253262.6687999996</v>
      </c>
      <c r="Y101" s="106">
        <v>2253262.6687999996</v>
      </c>
      <c r="Z101" s="106">
        <v>2253262.6687999996</v>
      </c>
      <c r="AA101" s="106">
        <v>2534920.5024000001</v>
      </c>
      <c r="AB101" s="106">
        <v>2534920.5024000001</v>
      </c>
      <c r="AC101" s="106">
        <v>2534920.5024000001</v>
      </c>
      <c r="AD101" s="106">
        <v>2534920.5024000001</v>
      </c>
      <c r="AE101" s="106">
        <v>2253262.6687999996</v>
      </c>
      <c r="AF101" s="106">
        <v>2253262.6687999996</v>
      </c>
      <c r="AG101" s="106">
        <v>2253262.6687999996</v>
      </c>
      <c r="AH101" s="106">
        <v>2253262.6687999996</v>
      </c>
      <c r="AI101" s="106">
        <v>2253262.6687999996</v>
      </c>
      <c r="AJ101" s="106">
        <v>2253262.6687999996</v>
      </c>
      <c r="AK101" s="106">
        <v>2253262.6687999996</v>
      </c>
      <c r="AL101" s="106">
        <v>2253262.6687999996</v>
      </c>
      <c r="AM101" s="106">
        <v>2534920.5024000001</v>
      </c>
      <c r="AN101" s="106">
        <v>2534920.5024000001</v>
      </c>
      <c r="AO101" s="106">
        <v>2534920.5024000001</v>
      </c>
      <c r="AP101" s="106">
        <v>2534920.5024000001</v>
      </c>
      <c r="AQ101" s="106">
        <v>2253262.6687999996</v>
      </c>
      <c r="AR101" s="106">
        <v>2253262.6687999996</v>
      </c>
      <c r="AS101" s="106">
        <v>2253262.6687999996</v>
      </c>
      <c r="AT101" s="106">
        <v>2253262.6687999996</v>
      </c>
      <c r="AU101" s="106">
        <v>2253262.6687999996</v>
      </c>
      <c r="AV101" s="106">
        <v>2253262.6687999996</v>
      </c>
      <c r="AW101" s="106">
        <v>2253262.6687999996</v>
      </c>
      <c r="AX101" s="106">
        <v>2253262.6687999996</v>
      </c>
    </row>
    <row r="102" spans="1:50" x14ac:dyDescent="0.2">
      <c r="B102" s="111" t="s">
        <v>59</v>
      </c>
      <c r="C102" s="106">
        <v>1313443.180342471</v>
      </c>
      <c r="D102" s="106">
        <v>1313443.180342471</v>
      </c>
      <c r="E102" s="106">
        <v>1313443.180342471</v>
      </c>
      <c r="F102" s="106">
        <v>1313443.180342471</v>
      </c>
      <c r="G102" s="106">
        <v>1167505.0491933075</v>
      </c>
      <c r="H102" s="106">
        <v>1167505.0491933075</v>
      </c>
      <c r="I102" s="106">
        <v>1167505.0491933075</v>
      </c>
      <c r="J102" s="106">
        <v>1167505.0491933075</v>
      </c>
      <c r="K102" s="106">
        <v>1167505.0491933075</v>
      </c>
      <c r="L102" s="106">
        <v>1167505.0491933075</v>
      </c>
      <c r="M102" s="106">
        <v>1167505.0491933075</v>
      </c>
      <c r="N102" s="106">
        <v>1167505.0491933075</v>
      </c>
      <c r="O102" s="106">
        <v>1313443.180342471</v>
      </c>
      <c r="P102" s="106">
        <v>1313443.180342471</v>
      </c>
      <c r="Q102" s="106">
        <v>1313443.180342471</v>
      </c>
      <c r="R102" s="106">
        <v>1313443.180342471</v>
      </c>
      <c r="S102" s="106">
        <v>1167505.0491933075</v>
      </c>
      <c r="T102" s="106">
        <v>1167505.0491933075</v>
      </c>
      <c r="U102" s="106">
        <v>1167505.0491933075</v>
      </c>
      <c r="V102" s="106">
        <v>1167505.0491933075</v>
      </c>
      <c r="W102" s="106">
        <v>1167505.0491933075</v>
      </c>
      <c r="X102" s="106">
        <v>1167505.0491933075</v>
      </c>
      <c r="Y102" s="106">
        <v>1167505.0491933075</v>
      </c>
      <c r="Z102" s="106">
        <v>1167505.0491933075</v>
      </c>
      <c r="AA102" s="106">
        <v>1313443.180342471</v>
      </c>
      <c r="AB102" s="106">
        <v>1313443.180342471</v>
      </c>
      <c r="AC102" s="106">
        <v>1313443.180342471</v>
      </c>
      <c r="AD102" s="106">
        <v>1313443.180342471</v>
      </c>
      <c r="AE102" s="106">
        <v>1167505.0491933075</v>
      </c>
      <c r="AF102" s="106">
        <v>1167505.0491933075</v>
      </c>
      <c r="AG102" s="106">
        <v>1167505.0491933075</v>
      </c>
      <c r="AH102" s="106">
        <v>1167505.0491933075</v>
      </c>
      <c r="AI102" s="106">
        <v>1167505.0491933075</v>
      </c>
      <c r="AJ102" s="106">
        <v>1167505.0491933075</v>
      </c>
      <c r="AK102" s="106">
        <v>1167505.0491933075</v>
      </c>
      <c r="AL102" s="106">
        <v>1167505.0491933075</v>
      </c>
      <c r="AM102" s="106">
        <v>1313443.180342471</v>
      </c>
      <c r="AN102" s="106">
        <v>1313443.180342471</v>
      </c>
      <c r="AO102" s="106">
        <v>1313443.180342471</v>
      </c>
      <c r="AP102" s="106">
        <v>1313443.180342471</v>
      </c>
      <c r="AQ102" s="106">
        <v>1167505.0491933075</v>
      </c>
      <c r="AR102" s="106">
        <v>1167505.0491933075</v>
      </c>
      <c r="AS102" s="106">
        <v>1167505.0491933075</v>
      </c>
      <c r="AT102" s="106">
        <v>1167505.0491933075</v>
      </c>
      <c r="AU102" s="106">
        <v>1167505.0491933075</v>
      </c>
      <c r="AV102" s="106">
        <v>1167505.0491933075</v>
      </c>
      <c r="AW102" s="106">
        <v>1167505.0491933075</v>
      </c>
      <c r="AX102" s="106">
        <v>1167505.0491933075</v>
      </c>
    </row>
    <row r="103" spans="1:50" x14ac:dyDescent="0.2">
      <c r="B103" s="106" t="s">
        <v>278</v>
      </c>
      <c r="C103" s="111">
        <f>SUM(C$98:C$102)</f>
        <v>4938048.7726705568</v>
      </c>
      <c r="D103" s="111">
        <f t="shared" ref="D103:AX103" si="5">SUM(D$98:D$102)</f>
        <v>4938048.7726705568</v>
      </c>
      <c r="E103" s="111">
        <f t="shared" si="5"/>
        <v>4938048.7726705568</v>
      </c>
      <c r="F103" s="111">
        <f t="shared" si="5"/>
        <v>4938048.7726705568</v>
      </c>
      <c r="G103" s="111">
        <f t="shared" si="5"/>
        <v>4389376.6868182719</v>
      </c>
      <c r="H103" s="111">
        <f t="shared" si="5"/>
        <v>4389376.6868182719</v>
      </c>
      <c r="I103" s="111">
        <f t="shared" si="5"/>
        <v>4389376.6868182719</v>
      </c>
      <c r="J103" s="111">
        <f t="shared" si="5"/>
        <v>4389376.6868182719</v>
      </c>
      <c r="K103" s="111">
        <f t="shared" si="5"/>
        <v>4389376.6868182719</v>
      </c>
      <c r="L103" s="111">
        <f t="shared" si="5"/>
        <v>4389376.6868182719</v>
      </c>
      <c r="M103" s="111">
        <f t="shared" si="5"/>
        <v>4389376.6868182719</v>
      </c>
      <c r="N103" s="111">
        <f t="shared" si="5"/>
        <v>4389376.6868182719</v>
      </c>
      <c r="O103" s="111">
        <f t="shared" si="5"/>
        <v>4938048.7726705568</v>
      </c>
      <c r="P103" s="111">
        <f t="shared" si="5"/>
        <v>4938048.7726705568</v>
      </c>
      <c r="Q103" s="111">
        <f t="shared" si="5"/>
        <v>4938048.7726705568</v>
      </c>
      <c r="R103" s="111">
        <f t="shared" si="5"/>
        <v>4938048.7726705568</v>
      </c>
      <c r="S103" s="111">
        <f t="shared" si="5"/>
        <v>4389376.6868182719</v>
      </c>
      <c r="T103" s="111">
        <f t="shared" si="5"/>
        <v>4389376.6868182719</v>
      </c>
      <c r="U103" s="111">
        <f t="shared" si="5"/>
        <v>4389376.6868182719</v>
      </c>
      <c r="V103" s="111">
        <f t="shared" si="5"/>
        <v>4389376.6868182719</v>
      </c>
      <c r="W103" s="111">
        <f t="shared" si="5"/>
        <v>4389376.6868182719</v>
      </c>
      <c r="X103" s="111">
        <f t="shared" si="5"/>
        <v>4389376.6868182719</v>
      </c>
      <c r="Y103" s="111">
        <f t="shared" si="5"/>
        <v>4389376.6868182719</v>
      </c>
      <c r="Z103" s="111">
        <f t="shared" si="5"/>
        <v>4389376.6868182719</v>
      </c>
      <c r="AA103" s="111">
        <f t="shared" si="5"/>
        <v>4938048.7726705568</v>
      </c>
      <c r="AB103" s="111">
        <f t="shared" si="5"/>
        <v>4938048.7726705568</v>
      </c>
      <c r="AC103" s="111">
        <f t="shared" si="5"/>
        <v>4938048.7726705568</v>
      </c>
      <c r="AD103" s="111">
        <f t="shared" si="5"/>
        <v>4938048.7726705568</v>
      </c>
      <c r="AE103" s="111">
        <f t="shared" si="5"/>
        <v>4389376.6868182719</v>
      </c>
      <c r="AF103" s="111">
        <f t="shared" si="5"/>
        <v>4389376.6868182719</v>
      </c>
      <c r="AG103" s="111">
        <f t="shared" si="5"/>
        <v>4389376.6868182719</v>
      </c>
      <c r="AH103" s="111">
        <f t="shared" si="5"/>
        <v>4389376.6868182719</v>
      </c>
      <c r="AI103" s="111">
        <f t="shared" si="5"/>
        <v>4389376.6868182719</v>
      </c>
      <c r="AJ103" s="111">
        <f t="shared" si="5"/>
        <v>4389376.6868182719</v>
      </c>
      <c r="AK103" s="111">
        <f t="shared" si="5"/>
        <v>4389376.6868182719</v>
      </c>
      <c r="AL103" s="111">
        <f t="shared" si="5"/>
        <v>4389376.6868182719</v>
      </c>
      <c r="AM103" s="111">
        <f t="shared" si="5"/>
        <v>4938048.7726705568</v>
      </c>
      <c r="AN103" s="111">
        <f t="shared" si="5"/>
        <v>4938048.7726705568</v>
      </c>
      <c r="AO103" s="111">
        <f t="shared" si="5"/>
        <v>4938048.7726705568</v>
      </c>
      <c r="AP103" s="111">
        <f t="shared" si="5"/>
        <v>4938048.7726705568</v>
      </c>
      <c r="AQ103" s="111">
        <f t="shared" si="5"/>
        <v>4389376.6868182719</v>
      </c>
      <c r="AR103" s="111">
        <f t="shared" si="5"/>
        <v>4389376.6868182719</v>
      </c>
      <c r="AS103" s="111">
        <f t="shared" si="5"/>
        <v>4389376.6868182719</v>
      </c>
      <c r="AT103" s="111">
        <f t="shared" si="5"/>
        <v>4389376.6868182719</v>
      </c>
      <c r="AU103" s="111">
        <f t="shared" si="5"/>
        <v>4389376.6868182719</v>
      </c>
      <c r="AV103" s="111">
        <f t="shared" si="5"/>
        <v>4389376.6868182719</v>
      </c>
      <c r="AW103" s="111">
        <f t="shared" si="5"/>
        <v>4389376.6868182719</v>
      </c>
      <c r="AX103" s="111">
        <f t="shared" si="5"/>
        <v>4389376.6868182719</v>
      </c>
    </row>
    <row r="104" spans="1:50" x14ac:dyDescent="0.2">
      <c r="A104" s="111" t="s">
        <v>105</v>
      </c>
      <c r="B104" s="111" t="s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</row>
    <row r="105" spans="1:50" x14ac:dyDescent="0.2">
      <c r="B105" s="111" t="s">
        <v>10</v>
      </c>
      <c r="C105" s="106">
        <v>72412.357484990862</v>
      </c>
      <c r="D105" s="106">
        <v>72412.357484990862</v>
      </c>
      <c r="E105" s="106">
        <v>72412.357484990862</v>
      </c>
      <c r="F105" s="106">
        <v>72412.357484990862</v>
      </c>
      <c r="G105" s="106">
        <v>72412.357484990862</v>
      </c>
      <c r="H105" s="106">
        <v>72412.357484990862</v>
      </c>
      <c r="I105" s="106">
        <v>72412.357484990862</v>
      </c>
      <c r="J105" s="106">
        <v>72412.357484990862</v>
      </c>
      <c r="K105" s="106">
        <v>72412.357484990862</v>
      </c>
      <c r="L105" s="106">
        <v>72412.357484990862</v>
      </c>
      <c r="M105" s="106">
        <v>72412.357484990862</v>
      </c>
      <c r="N105" s="106">
        <v>72412.357484990862</v>
      </c>
      <c r="O105" s="106">
        <v>72412.357484990862</v>
      </c>
      <c r="P105" s="106">
        <v>72412.357484990862</v>
      </c>
      <c r="Q105" s="106">
        <v>72412.357484990862</v>
      </c>
      <c r="R105" s="106">
        <v>72412.357484990862</v>
      </c>
      <c r="S105" s="106">
        <v>72412.357484990862</v>
      </c>
      <c r="T105" s="106">
        <v>72412.357484990862</v>
      </c>
      <c r="U105" s="106">
        <v>72412.357484990862</v>
      </c>
      <c r="V105" s="106">
        <v>72412.357484990862</v>
      </c>
      <c r="W105" s="106">
        <v>72412.357484990862</v>
      </c>
      <c r="X105" s="106">
        <v>72412.357484990862</v>
      </c>
      <c r="Y105" s="106">
        <v>72412.357484990862</v>
      </c>
      <c r="Z105" s="106">
        <v>72412.357484990862</v>
      </c>
      <c r="AA105" s="106">
        <v>72412.357484990862</v>
      </c>
      <c r="AB105" s="106">
        <v>72412.357484990862</v>
      </c>
      <c r="AC105" s="106">
        <v>72412.357484990862</v>
      </c>
      <c r="AD105" s="106">
        <v>72412.357484990862</v>
      </c>
      <c r="AE105" s="106">
        <v>72412.357484990862</v>
      </c>
      <c r="AF105" s="106">
        <v>72412.357484990862</v>
      </c>
      <c r="AG105" s="106">
        <v>72412.357484990862</v>
      </c>
      <c r="AH105" s="106">
        <v>72412.357484990862</v>
      </c>
      <c r="AI105" s="106">
        <v>72412.357484990862</v>
      </c>
      <c r="AJ105" s="106">
        <v>72412.357484990862</v>
      </c>
      <c r="AK105" s="106">
        <v>72412.357484990862</v>
      </c>
      <c r="AL105" s="106">
        <v>72412.357484990862</v>
      </c>
      <c r="AM105" s="106">
        <v>72412.357484990862</v>
      </c>
      <c r="AN105" s="106">
        <v>72412.357484990862</v>
      </c>
      <c r="AO105" s="106">
        <v>72412.357484990862</v>
      </c>
      <c r="AP105" s="106">
        <v>72412.357484990862</v>
      </c>
      <c r="AQ105" s="106">
        <v>72412.357484990862</v>
      </c>
      <c r="AR105" s="106">
        <v>72412.357484990862</v>
      </c>
      <c r="AS105" s="106">
        <v>72412.357484990862</v>
      </c>
      <c r="AT105" s="106">
        <v>72412.357484990862</v>
      </c>
      <c r="AU105" s="106">
        <v>72412.357484990862</v>
      </c>
      <c r="AV105" s="106">
        <v>72412.357484990862</v>
      </c>
      <c r="AW105" s="106">
        <v>72412.357484990862</v>
      </c>
      <c r="AX105" s="106">
        <v>72412.357484990862</v>
      </c>
    </row>
    <row r="106" spans="1:50" x14ac:dyDescent="0.2">
      <c r="B106" s="111" t="s">
        <v>12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</row>
    <row r="107" spans="1:50" x14ac:dyDescent="0.2">
      <c r="B107" s="111" t="s">
        <v>22</v>
      </c>
      <c r="C107" s="106">
        <v>57426.278346636958</v>
      </c>
      <c r="D107" s="106">
        <v>57426.278346636958</v>
      </c>
      <c r="E107" s="106">
        <v>57426.278346636958</v>
      </c>
      <c r="F107" s="106">
        <v>57426.278346636958</v>
      </c>
      <c r="G107" s="106">
        <v>57426.278346636958</v>
      </c>
      <c r="H107" s="106">
        <v>57426.278346636958</v>
      </c>
      <c r="I107" s="106">
        <v>57426.278346636958</v>
      </c>
      <c r="J107" s="106">
        <v>57426.278346636958</v>
      </c>
      <c r="K107" s="106">
        <v>57426.278346636958</v>
      </c>
      <c r="L107" s="106">
        <v>57426.278346636958</v>
      </c>
      <c r="M107" s="106">
        <v>57426.278346636958</v>
      </c>
      <c r="N107" s="106">
        <v>57426.278346636958</v>
      </c>
      <c r="O107" s="106">
        <v>57426.278346636958</v>
      </c>
      <c r="P107" s="106">
        <v>57426.278346636958</v>
      </c>
      <c r="Q107" s="106">
        <v>57426.278346636958</v>
      </c>
      <c r="R107" s="106">
        <v>57426.278346636958</v>
      </c>
      <c r="S107" s="106">
        <v>57426.278346636958</v>
      </c>
      <c r="T107" s="106">
        <v>57426.278346636958</v>
      </c>
      <c r="U107" s="106">
        <v>57426.278346636958</v>
      </c>
      <c r="V107" s="106">
        <v>57426.278346636958</v>
      </c>
      <c r="W107" s="106">
        <v>57426.278346636958</v>
      </c>
      <c r="X107" s="106">
        <v>57426.278346636958</v>
      </c>
      <c r="Y107" s="106">
        <v>57426.278346636958</v>
      </c>
      <c r="Z107" s="106">
        <v>57426.278346636958</v>
      </c>
      <c r="AA107" s="106">
        <v>57426.278346636958</v>
      </c>
      <c r="AB107" s="106">
        <v>57426.278346636958</v>
      </c>
      <c r="AC107" s="106">
        <v>57426.278346636958</v>
      </c>
      <c r="AD107" s="106">
        <v>57426.278346636958</v>
      </c>
      <c r="AE107" s="106">
        <v>57426.278346636958</v>
      </c>
      <c r="AF107" s="106">
        <v>57426.278346636958</v>
      </c>
      <c r="AG107" s="106">
        <v>57426.278346636958</v>
      </c>
      <c r="AH107" s="106">
        <v>57426.278346636958</v>
      </c>
      <c r="AI107" s="106">
        <v>57426.278346636958</v>
      </c>
      <c r="AJ107" s="106">
        <v>57426.278346636958</v>
      </c>
      <c r="AK107" s="106">
        <v>57426.278346636958</v>
      </c>
      <c r="AL107" s="106">
        <v>57426.278346636958</v>
      </c>
      <c r="AM107" s="106">
        <v>57426.278346636958</v>
      </c>
      <c r="AN107" s="106">
        <v>57426.278346636958</v>
      </c>
      <c r="AO107" s="106">
        <v>57426.278346636958</v>
      </c>
      <c r="AP107" s="106">
        <v>57426.278346636958</v>
      </c>
      <c r="AQ107" s="106">
        <v>57426.278346636958</v>
      </c>
      <c r="AR107" s="106">
        <v>57426.278346636958</v>
      </c>
      <c r="AS107" s="106">
        <v>57426.278346636958</v>
      </c>
      <c r="AT107" s="106">
        <v>57426.278346636958</v>
      </c>
      <c r="AU107" s="106">
        <v>57426.278346636958</v>
      </c>
      <c r="AV107" s="106">
        <v>57426.278346636958</v>
      </c>
      <c r="AW107" s="106">
        <v>57426.278346636958</v>
      </c>
      <c r="AX107" s="106">
        <v>57426.278346636958</v>
      </c>
    </row>
    <row r="108" spans="1:50" x14ac:dyDescent="0.2">
      <c r="B108" s="111" t="s">
        <v>59</v>
      </c>
      <c r="C108" s="106">
        <v>1231990.4634140832</v>
      </c>
      <c r="D108" s="106">
        <v>1231990.4634140832</v>
      </c>
      <c r="E108" s="106">
        <v>1231990.4634140832</v>
      </c>
      <c r="F108" s="106">
        <v>1231990.4634140832</v>
      </c>
      <c r="G108" s="106">
        <v>1231990.4634140832</v>
      </c>
      <c r="H108" s="106">
        <v>1231990.4634140832</v>
      </c>
      <c r="I108" s="106">
        <v>1231990.4634140832</v>
      </c>
      <c r="J108" s="106">
        <v>1231990.4634140832</v>
      </c>
      <c r="K108" s="106">
        <v>1231990.4634140832</v>
      </c>
      <c r="L108" s="106">
        <v>1231990.4634140832</v>
      </c>
      <c r="M108" s="106">
        <v>1231990.4634140832</v>
      </c>
      <c r="N108" s="106">
        <v>1231990.4634140832</v>
      </c>
      <c r="O108" s="106">
        <v>1231990.4634140832</v>
      </c>
      <c r="P108" s="106">
        <v>1231990.4634140832</v>
      </c>
      <c r="Q108" s="106">
        <v>1231990.4634140832</v>
      </c>
      <c r="R108" s="106">
        <v>1231990.4634140832</v>
      </c>
      <c r="S108" s="106">
        <v>1231990.4634140832</v>
      </c>
      <c r="T108" s="106">
        <v>1231990.4634140832</v>
      </c>
      <c r="U108" s="106">
        <v>1231990.4634140832</v>
      </c>
      <c r="V108" s="106">
        <v>1231990.4634140832</v>
      </c>
      <c r="W108" s="106">
        <v>1231990.4634140832</v>
      </c>
      <c r="X108" s="106">
        <v>1231990.4634140832</v>
      </c>
      <c r="Y108" s="106">
        <v>1231990.4634140832</v>
      </c>
      <c r="Z108" s="106">
        <v>1231990.4634140832</v>
      </c>
      <c r="AA108" s="106">
        <v>1231990.4634140832</v>
      </c>
      <c r="AB108" s="106">
        <v>1231990.4634140832</v>
      </c>
      <c r="AC108" s="106">
        <v>1231990.4634140832</v>
      </c>
      <c r="AD108" s="106">
        <v>1231990.4634140832</v>
      </c>
      <c r="AE108" s="106">
        <v>1231990.4634140832</v>
      </c>
      <c r="AF108" s="106">
        <v>1231990.4634140832</v>
      </c>
      <c r="AG108" s="106">
        <v>1231990.4634140832</v>
      </c>
      <c r="AH108" s="106">
        <v>1231990.4634140832</v>
      </c>
      <c r="AI108" s="106">
        <v>1231990.4634140832</v>
      </c>
      <c r="AJ108" s="106">
        <v>1231990.4634140832</v>
      </c>
      <c r="AK108" s="106">
        <v>1231990.4634140832</v>
      </c>
      <c r="AL108" s="106">
        <v>1231990.4634140832</v>
      </c>
      <c r="AM108" s="106">
        <v>1231990.4634140832</v>
      </c>
      <c r="AN108" s="106">
        <v>1231990.4634140832</v>
      </c>
      <c r="AO108" s="106">
        <v>1231990.4634140832</v>
      </c>
      <c r="AP108" s="106">
        <v>1231990.4634140832</v>
      </c>
      <c r="AQ108" s="106">
        <v>1231990.4634140832</v>
      </c>
      <c r="AR108" s="106">
        <v>1231990.4634140832</v>
      </c>
      <c r="AS108" s="106">
        <v>1231990.4634140832</v>
      </c>
      <c r="AT108" s="106">
        <v>1231990.4634140832</v>
      </c>
      <c r="AU108" s="106">
        <v>1231990.4634140832</v>
      </c>
      <c r="AV108" s="106">
        <v>1231990.4634140832</v>
      </c>
      <c r="AW108" s="106">
        <v>1231990.4634140832</v>
      </c>
      <c r="AX108" s="106">
        <v>1231990.4634140832</v>
      </c>
    </row>
    <row r="109" spans="1:50" x14ac:dyDescent="0.2">
      <c r="B109" s="107" t="s">
        <v>278</v>
      </c>
      <c r="C109" s="111">
        <f>SUM(C$104:C$108)</f>
        <v>1361829.099245711</v>
      </c>
      <c r="D109" s="111">
        <f t="shared" ref="D109:AX109" si="6">SUM(D$104:D$108)</f>
        <v>1361829.099245711</v>
      </c>
      <c r="E109" s="111">
        <f t="shared" si="6"/>
        <v>1361829.099245711</v>
      </c>
      <c r="F109" s="111">
        <f t="shared" si="6"/>
        <v>1361829.099245711</v>
      </c>
      <c r="G109" s="111">
        <f t="shared" si="6"/>
        <v>1361829.099245711</v>
      </c>
      <c r="H109" s="111">
        <f t="shared" si="6"/>
        <v>1361829.099245711</v>
      </c>
      <c r="I109" s="111">
        <f t="shared" si="6"/>
        <v>1361829.099245711</v>
      </c>
      <c r="J109" s="111">
        <f t="shared" si="6"/>
        <v>1361829.099245711</v>
      </c>
      <c r="K109" s="111">
        <f t="shared" si="6"/>
        <v>1361829.099245711</v>
      </c>
      <c r="L109" s="111">
        <f t="shared" si="6"/>
        <v>1361829.099245711</v>
      </c>
      <c r="M109" s="111">
        <f t="shared" si="6"/>
        <v>1361829.099245711</v>
      </c>
      <c r="N109" s="111">
        <f t="shared" si="6"/>
        <v>1361829.099245711</v>
      </c>
      <c r="O109" s="111">
        <f t="shared" si="6"/>
        <v>1361829.099245711</v>
      </c>
      <c r="P109" s="111">
        <f t="shared" si="6"/>
        <v>1361829.099245711</v>
      </c>
      <c r="Q109" s="111">
        <f t="shared" si="6"/>
        <v>1361829.099245711</v>
      </c>
      <c r="R109" s="111">
        <f t="shared" si="6"/>
        <v>1361829.099245711</v>
      </c>
      <c r="S109" s="111">
        <f t="shared" si="6"/>
        <v>1361829.099245711</v>
      </c>
      <c r="T109" s="111">
        <f t="shared" si="6"/>
        <v>1361829.099245711</v>
      </c>
      <c r="U109" s="111">
        <f t="shared" si="6"/>
        <v>1361829.099245711</v>
      </c>
      <c r="V109" s="111">
        <f t="shared" si="6"/>
        <v>1361829.099245711</v>
      </c>
      <c r="W109" s="111">
        <f t="shared" si="6"/>
        <v>1361829.099245711</v>
      </c>
      <c r="X109" s="111">
        <f t="shared" si="6"/>
        <v>1361829.099245711</v>
      </c>
      <c r="Y109" s="111">
        <f t="shared" si="6"/>
        <v>1361829.099245711</v>
      </c>
      <c r="Z109" s="111">
        <f t="shared" si="6"/>
        <v>1361829.099245711</v>
      </c>
      <c r="AA109" s="111">
        <f t="shared" si="6"/>
        <v>1361829.099245711</v>
      </c>
      <c r="AB109" s="111">
        <f t="shared" si="6"/>
        <v>1361829.099245711</v>
      </c>
      <c r="AC109" s="111">
        <f t="shared" si="6"/>
        <v>1361829.099245711</v>
      </c>
      <c r="AD109" s="111">
        <f t="shared" si="6"/>
        <v>1361829.099245711</v>
      </c>
      <c r="AE109" s="111">
        <f t="shared" si="6"/>
        <v>1361829.099245711</v>
      </c>
      <c r="AF109" s="111">
        <f t="shared" si="6"/>
        <v>1361829.099245711</v>
      </c>
      <c r="AG109" s="111">
        <f t="shared" si="6"/>
        <v>1361829.099245711</v>
      </c>
      <c r="AH109" s="111">
        <f t="shared" si="6"/>
        <v>1361829.099245711</v>
      </c>
      <c r="AI109" s="111">
        <f t="shared" si="6"/>
        <v>1361829.099245711</v>
      </c>
      <c r="AJ109" s="111">
        <f t="shared" si="6"/>
        <v>1361829.099245711</v>
      </c>
      <c r="AK109" s="111">
        <f t="shared" si="6"/>
        <v>1361829.099245711</v>
      </c>
      <c r="AL109" s="111">
        <f t="shared" si="6"/>
        <v>1361829.099245711</v>
      </c>
      <c r="AM109" s="111">
        <f t="shared" si="6"/>
        <v>1361829.099245711</v>
      </c>
      <c r="AN109" s="111">
        <f t="shared" si="6"/>
        <v>1361829.099245711</v>
      </c>
      <c r="AO109" s="111">
        <f t="shared" si="6"/>
        <v>1361829.099245711</v>
      </c>
      <c r="AP109" s="111">
        <f t="shared" si="6"/>
        <v>1361829.099245711</v>
      </c>
      <c r="AQ109" s="111">
        <f t="shared" si="6"/>
        <v>1361829.099245711</v>
      </c>
      <c r="AR109" s="111">
        <f t="shared" si="6"/>
        <v>1361829.099245711</v>
      </c>
      <c r="AS109" s="111">
        <f t="shared" si="6"/>
        <v>1361829.099245711</v>
      </c>
      <c r="AT109" s="111">
        <f t="shared" si="6"/>
        <v>1361829.099245711</v>
      </c>
      <c r="AU109" s="111">
        <f t="shared" si="6"/>
        <v>1361829.099245711</v>
      </c>
      <c r="AV109" s="111">
        <f t="shared" si="6"/>
        <v>1361829.099245711</v>
      </c>
      <c r="AW109" s="111">
        <f t="shared" si="6"/>
        <v>1361829.099245711</v>
      </c>
      <c r="AX109" s="111">
        <f t="shared" si="6"/>
        <v>1361829.099245711</v>
      </c>
    </row>
    <row r="110" spans="1:50" x14ac:dyDescent="0.2">
      <c r="A110" s="111" t="s">
        <v>106</v>
      </c>
      <c r="B110" s="111" t="s">
        <v>5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10</v>
      </c>
      <c r="C111" s="106">
        <v>104911.02748708996</v>
      </c>
      <c r="D111" s="106">
        <v>104911.02748708996</v>
      </c>
      <c r="E111" s="106">
        <v>104911.02748708996</v>
      </c>
      <c r="F111" s="106">
        <v>104911.02748708996</v>
      </c>
      <c r="G111" s="106">
        <v>71708.69028182984</v>
      </c>
      <c r="H111" s="106">
        <v>104911.02748708996</v>
      </c>
      <c r="I111" s="106">
        <v>18004.992322209182</v>
      </c>
      <c r="J111" s="106">
        <v>104911.02748708996</v>
      </c>
      <c r="K111" s="106">
        <v>104911.02748708996</v>
      </c>
      <c r="L111" s="106">
        <v>104911.02748708996</v>
      </c>
      <c r="M111" s="106">
        <v>104911.02748708996</v>
      </c>
      <c r="N111" s="106">
        <v>104911.02748708996</v>
      </c>
      <c r="O111" s="106">
        <v>104911.02748708996</v>
      </c>
      <c r="P111" s="106">
        <v>104911.02748708996</v>
      </c>
      <c r="Q111" s="106">
        <v>104911.02748708996</v>
      </c>
      <c r="R111" s="106">
        <v>104911.02748708996</v>
      </c>
      <c r="S111" s="106">
        <v>104911.02748708996</v>
      </c>
      <c r="T111" s="106">
        <v>104911.02748708996</v>
      </c>
      <c r="U111" s="106">
        <v>104911.02748708996</v>
      </c>
      <c r="V111" s="106">
        <v>104911.02748708996</v>
      </c>
      <c r="W111" s="106">
        <v>104911.02748708996</v>
      </c>
      <c r="X111" s="106">
        <v>104911.02748708996</v>
      </c>
      <c r="Y111" s="106">
        <v>104911.02748708996</v>
      </c>
      <c r="Z111" s="106">
        <v>104911.02748708996</v>
      </c>
      <c r="AA111" s="106">
        <v>104911.02748708996</v>
      </c>
      <c r="AB111" s="106">
        <v>104911.02748708996</v>
      </c>
      <c r="AC111" s="106">
        <v>104911.02748708996</v>
      </c>
      <c r="AD111" s="106">
        <v>104911.02748708996</v>
      </c>
      <c r="AE111" s="106">
        <v>104911.02748708996</v>
      </c>
      <c r="AF111" s="106">
        <v>104911.02748708996</v>
      </c>
      <c r="AG111" s="106">
        <v>104911.02748708996</v>
      </c>
      <c r="AH111" s="106">
        <v>104911.02748708996</v>
      </c>
      <c r="AI111" s="106">
        <v>18987.987760832257</v>
      </c>
      <c r="AJ111" s="106">
        <v>104911.02748708996</v>
      </c>
      <c r="AK111" s="106">
        <v>104911.02748708996</v>
      </c>
      <c r="AL111" s="106">
        <v>104911.02748708996</v>
      </c>
      <c r="AM111" s="106">
        <v>104911.02748708996</v>
      </c>
      <c r="AN111" s="106">
        <v>104911.02748708996</v>
      </c>
      <c r="AO111" s="106">
        <v>104911.02748708996</v>
      </c>
      <c r="AP111" s="106">
        <v>76941.421904108138</v>
      </c>
      <c r="AQ111" s="106">
        <v>77079.314246720111</v>
      </c>
      <c r="AR111" s="106">
        <v>77216.27401011459</v>
      </c>
      <c r="AS111" s="106">
        <v>77352.27909391369</v>
      </c>
      <c r="AT111" s="106">
        <v>77487.307555675521</v>
      </c>
      <c r="AU111" s="106">
        <v>77621.33761483265</v>
      </c>
      <c r="AV111" s="106">
        <v>19438.58691415091</v>
      </c>
      <c r="AW111" s="106">
        <v>104911.02748708996</v>
      </c>
      <c r="AX111" s="106">
        <v>104911.02748708996</v>
      </c>
    </row>
    <row r="112" spans="1:50" x14ac:dyDescent="0.2">
      <c r="B112" s="111" t="s">
        <v>12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</row>
    <row r="113" spans="1:50" x14ac:dyDescent="0.2">
      <c r="B113" s="111" t="s">
        <v>22</v>
      </c>
      <c r="C113" s="106">
        <v>25629.323466382564</v>
      </c>
      <c r="D113" s="106">
        <v>25629.323466382564</v>
      </c>
      <c r="E113" s="106">
        <v>25629.323466382564</v>
      </c>
      <c r="F113" s="106">
        <v>25629.323466382564</v>
      </c>
      <c r="G113" s="106">
        <v>17518.131912394249</v>
      </c>
      <c r="H113" s="106">
        <v>25629.323466382564</v>
      </c>
      <c r="I113" s="106">
        <v>4398.5440166661137</v>
      </c>
      <c r="J113" s="106">
        <v>25629.323466382564</v>
      </c>
      <c r="K113" s="106">
        <v>25629.323466382564</v>
      </c>
      <c r="L113" s="106">
        <v>25629.323466382564</v>
      </c>
      <c r="M113" s="106">
        <v>25629.323466382564</v>
      </c>
      <c r="N113" s="106">
        <v>25629.323466382564</v>
      </c>
      <c r="O113" s="106">
        <v>25629.323466382564</v>
      </c>
      <c r="P113" s="106">
        <v>25629.323466382564</v>
      </c>
      <c r="Q113" s="106">
        <v>25629.323466382564</v>
      </c>
      <c r="R113" s="106">
        <v>25629.323466382564</v>
      </c>
      <c r="S113" s="106">
        <v>25629.323466382564</v>
      </c>
      <c r="T113" s="106">
        <v>25629.323466382564</v>
      </c>
      <c r="U113" s="106">
        <v>25629.323466382564</v>
      </c>
      <c r="V113" s="106">
        <v>25629.323466382564</v>
      </c>
      <c r="W113" s="106">
        <v>25629.323466382564</v>
      </c>
      <c r="X113" s="106">
        <v>25629.323466382564</v>
      </c>
      <c r="Y113" s="106">
        <v>25629.323466382564</v>
      </c>
      <c r="Z113" s="106">
        <v>25629.323466382564</v>
      </c>
      <c r="AA113" s="106">
        <v>25629.323466382564</v>
      </c>
      <c r="AB113" s="106">
        <v>25629.323466382564</v>
      </c>
      <c r="AC113" s="106">
        <v>25629.323466382564</v>
      </c>
      <c r="AD113" s="106">
        <v>25629.323466382564</v>
      </c>
      <c r="AE113" s="106">
        <v>25629.323466382564</v>
      </c>
      <c r="AF113" s="106">
        <v>25629.323466382564</v>
      </c>
      <c r="AG113" s="106">
        <v>25629.323466382564</v>
      </c>
      <c r="AH113" s="106">
        <v>25629.323466382564</v>
      </c>
      <c r="AI113" s="106">
        <v>4638.6856744680035</v>
      </c>
      <c r="AJ113" s="106">
        <v>25629.323466382564</v>
      </c>
      <c r="AK113" s="106">
        <v>25629.323466382564</v>
      </c>
      <c r="AL113" s="106">
        <v>25629.323466382564</v>
      </c>
      <c r="AM113" s="106">
        <v>25629.323466382564</v>
      </c>
      <c r="AN113" s="106">
        <v>25629.323466382564</v>
      </c>
      <c r="AO113" s="106">
        <v>25629.323466382564</v>
      </c>
      <c r="AP113" s="106">
        <v>18796.466274114635</v>
      </c>
      <c r="AQ113" s="106">
        <v>18830.1527943689</v>
      </c>
      <c r="AR113" s="106">
        <v>18863.611489436473</v>
      </c>
      <c r="AS113" s="106">
        <v>18896.836960287845</v>
      </c>
      <c r="AT113" s="106">
        <v>18929.8238464766</v>
      </c>
      <c r="AU113" s="106">
        <v>18962.566827101578</v>
      </c>
      <c r="AV113" s="106">
        <v>4748.7651554406102</v>
      </c>
      <c r="AW113" s="106">
        <v>25629.323466382564</v>
      </c>
      <c r="AX113" s="106">
        <v>25629.323466382564</v>
      </c>
    </row>
    <row r="114" spans="1:50" x14ac:dyDescent="0.2">
      <c r="B114" s="111" t="s">
        <v>59</v>
      </c>
      <c r="C114" s="106">
        <v>478777.59742139117</v>
      </c>
      <c r="D114" s="106">
        <v>478777.59742139117</v>
      </c>
      <c r="E114" s="106">
        <v>478777.59742139117</v>
      </c>
      <c r="F114" s="106">
        <v>478777.59742139117</v>
      </c>
      <c r="G114" s="106">
        <v>327253.62881031743</v>
      </c>
      <c r="H114" s="106">
        <v>478777.59742139117</v>
      </c>
      <c r="I114" s="106">
        <v>82168.549599599603</v>
      </c>
      <c r="J114" s="106">
        <v>478777.59742139117</v>
      </c>
      <c r="K114" s="106">
        <v>478777.59742139117</v>
      </c>
      <c r="L114" s="106">
        <v>478777.59742139117</v>
      </c>
      <c r="M114" s="106">
        <v>478777.59742139117</v>
      </c>
      <c r="N114" s="106">
        <v>478777.59742139117</v>
      </c>
      <c r="O114" s="106">
        <v>478777.59742139117</v>
      </c>
      <c r="P114" s="106">
        <v>478777.59742139117</v>
      </c>
      <c r="Q114" s="106">
        <v>478777.59742139117</v>
      </c>
      <c r="R114" s="106">
        <v>478777.59742139117</v>
      </c>
      <c r="S114" s="106">
        <v>478777.59742139117</v>
      </c>
      <c r="T114" s="106">
        <v>478777.59742139117</v>
      </c>
      <c r="U114" s="106">
        <v>478777.59742139117</v>
      </c>
      <c r="V114" s="106">
        <v>478777.59742139117</v>
      </c>
      <c r="W114" s="106">
        <v>478777.59742139117</v>
      </c>
      <c r="X114" s="106">
        <v>478777.59742139117</v>
      </c>
      <c r="Y114" s="106">
        <v>478777.59742139117</v>
      </c>
      <c r="Z114" s="106">
        <v>478777.59742139117</v>
      </c>
      <c r="AA114" s="106">
        <v>478777.59742139117</v>
      </c>
      <c r="AB114" s="106">
        <v>478777.59742139117</v>
      </c>
      <c r="AC114" s="106">
        <v>478777.59742139117</v>
      </c>
      <c r="AD114" s="106">
        <v>478777.59742139117</v>
      </c>
      <c r="AE114" s="106">
        <v>478777.59742139117</v>
      </c>
      <c r="AF114" s="106">
        <v>478777.59742139117</v>
      </c>
      <c r="AG114" s="106">
        <v>478777.59742139117</v>
      </c>
      <c r="AH114" s="106">
        <v>478777.59742139117</v>
      </c>
      <c r="AI114" s="106">
        <v>86654.600357591233</v>
      </c>
      <c r="AJ114" s="106">
        <v>478777.59742139117</v>
      </c>
      <c r="AK114" s="106">
        <v>478777.59742139117</v>
      </c>
      <c r="AL114" s="106">
        <v>478777.59742139117</v>
      </c>
      <c r="AM114" s="106">
        <v>478777.59742139117</v>
      </c>
      <c r="AN114" s="106">
        <v>478777.59742139117</v>
      </c>
      <c r="AO114" s="106">
        <v>478777.59742139117</v>
      </c>
      <c r="AP114" s="106">
        <v>351134.00377255527</v>
      </c>
      <c r="AQ114" s="106">
        <v>351763.2966703556</v>
      </c>
      <c r="AR114" s="106">
        <v>352388.33359957149</v>
      </c>
      <c r="AS114" s="106">
        <v>353009.01370173175</v>
      </c>
      <c r="AT114" s="106">
        <v>353625.23683913075</v>
      </c>
      <c r="AU114" s="106">
        <v>354236.90361280128</v>
      </c>
      <c r="AV114" s="106">
        <v>88710.978845091653</v>
      </c>
      <c r="AW114" s="106">
        <v>478777.59742139117</v>
      </c>
      <c r="AX114" s="106">
        <v>478777.59742139117</v>
      </c>
    </row>
    <row r="115" spans="1:50" x14ac:dyDescent="0.2">
      <c r="B115" s="106" t="s">
        <v>278</v>
      </c>
      <c r="C115" s="111">
        <f>SUM(C$110:C$114)</f>
        <v>609317.94837486371</v>
      </c>
      <c r="D115" s="111">
        <f t="shared" ref="D115:AX115" si="7">SUM(D$110:D$114)</f>
        <v>609317.94837486371</v>
      </c>
      <c r="E115" s="111">
        <f t="shared" si="7"/>
        <v>609317.94837486371</v>
      </c>
      <c r="F115" s="111">
        <f t="shared" si="7"/>
        <v>609317.94837486371</v>
      </c>
      <c r="G115" s="111">
        <f t="shared" si="7"/>
        <v>416480.45100454154</v>
      </c>
      <c r="H115" s="111">
        <f t="shared" si="7"/>
        <v>609317.94837486371</v>
      </c>
      <c r="I115" s="111">
        <f t="shared" si="7"/>
        <v>104572.08593847489</v>
      </c>
      <c r="J115" s="111">
        <f t="shared" si="7"/>
        <v>609317.94837486371</v>
      </c>
      <c r="K115" s="111">
        <f t="shared" si="7"/>
        <v>609317.94837486371</v>
      </c>
      <c r="L115" s="111">
        <f t="shared" si="7"/>
        <v>609317.94837486371</v>
      </c>
      <c r="M115" s="111">
        <f t="shared" si="7"/>
        <v>609317.94837486371</v>
      </c>
      <c r="N115" s="111">
        <f t="shared" si="7"/>
        <v>609317.94837486371</v>
      </c>
      <c r="O115" s="111">
        <f t="shared" si="7"/>
        <v>609317.94837486371</v>
      </c>
      <c r="P115" s="111">
        <f t="shared" si="7"/>
        <v>609317.94837486371</v>
      </c>
      <c r="Q115" s="111">
        <f t="shared" si="7"/>
        <v>609317.94837486371</v>
      </c>
      <c r="R115" s="111">
        <f t="shared" si="7"/>
        <v>609317.94837486371</v>
      </c>
      <c r="S115" s="111">
        <f t="shared" si="7"/>
        <v>609317.94837486371</v>
      </c>
      <c r="T115" s="111">
        <f t="shared" si="7"/>
        <v>609317.94837486371</v>
      </c>
      <c r="U115" s="111">
        <f t="shared" si="7"/>
        <v>609317.94837486371</v>
      </c>
      <c r="V115" s="111">
        <f t="shared" si="7"/>
        <v>609317.94837486371</v>
      </c>
      <c r="W115" s="111">
        <f t="shared" si="7"/>
        <v>609317.94837486371</v>
      </c>
      <c r="X115" s="111">
        <f t="shared" si="7"/>
        <v>609317.94837486371</v>
      </c>
      <c r="Y115" s="111">
        <f t="shared" si="7"/>
        <v>609317.94837486371</v>
      </c>
      <c r="Z115" s="111">
        <f t="shared" si="7"/>
        <v>609317.94837486371</v>
      </c>
      <c r="AA115" s="111">
        <f t="shared" si="7"/>
        <v>609317.94837486371</v>
      </c>
      <c r="AB115" s="111">
        <f t="shared" si="7"/>
        <v>609317.94837486371</v>
      </c>
      <c r="AC115" s="111">
        <f t="shared" si="7"/>
        <v>609317.94837486371</v>
      </c>
      <c r="AD115" s="111">
        <f t="shared" si="7"/>
        <v>609317.94837486371</v>
      </c>
      <c r="AE115" s="111">
        <f t="shared" si="7"/>
        <v>609317.94837486371</v>
      </c>
      <c r="AF115" s="111">
        <f t="shared" si="7"/>
        <v>609317.94837486371</v>
      </c>
      <c r="AG115" s="111">
        <f t="shared" si="7"/>
        <v>609317.94837486371</v>
      </c>
      <c r="AH115" s="111">
        <f t="shared" si="7"/>
        <v>609317.94837486371</v>
      </c>
      <c r="AI115" s="111">
        <f t="shared" si="7"/>
        <v>110281.2737928915</v>
      </c>
      <c r="AJ115" s="111">
        <f t="shared" si="7"/>
        <v>609317.94837486371</v>
      </c>
      <c r="AK115" s="111">
        <f t="shared" si="7"/>
        <v>609317.94837486371</v>
      </c>
      <c r="AL115" s="111">
        <f t="shared" si="7"/>
        <v>609317.94837486371</v>
      </c>
      <c r="AM115" s="111">
        <f t="shared" si="7"/>
        <v>609317.94837486371</v>
      </c>
      <c r="AN115" s="111">
        <f t="shared" si="7"/>
        <v>609317.94837486371</v>
      </c>
      <c r="AO115" s="111">
        <f t="shared" si="7"/>
        <v>609317.94837486371</v>
      </c>
      <c r="AP115" s="111">
        <f t="shared" si="7"/>
        <v>446871.89195077802</v>
      </c>
      <c r="AQ115" s="111">
        <f t="shared" si="7"/>
        <v>447672.76371144463</v>
      </c>
      <c r="AR115" s="111">
        <f t="shared" si="7"/>
        <v>448468.21909912257</v>
      </c>
      <c r="AS115" s="111">
        <f t="shared" si="7"/>
        <v>449258.1297559333</v>
      </c>
      <c r="AT115" s="111">
        <f t="shared" si="7"/>
        <v>450042.36824128288</v>
      </c>
      <c r="AU115" s="111">
        <f t="shared" si="7"/>
        <v>450820.80805473553</v>
      </c>
      <c r="AV115" s="111">
        <f t="shared" si="7"/>
        <v>112898.33091468317</v>
      </c>
      <c r="AW115" s="111">
        <f t="shared" si="7"/>
        <v>609317.94837486371</v>
      </c>
      <c r="AX115" s="111">
        <f t="shared" si="7"/>
        <v>609317.94837486371</v>
      </c>
    </row>
    <row r="116" spans="1:50" x14ac:dyDescent="0.2">
      <c r="A116" s="111" t="s">
        <v>107</v>
      </c>
      <c r="B116" s="111" t="s">
        <v>5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</row>
    <row r="117" spans="1:50" x14ac:dyDescent="0.2">
      <c r="B117" s="111" t="s">
        <v>10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</row>
    <row r="118" spans="1:50" x14ac:dyDescent="0.2">
      <c r="B118" s="111" t="s">
        <v>12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22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59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</row>
    <row r="121" spans="1:50" x14ac:dyDescent="0.2">
      <c r="B121" s="106" t="s">
        <v>278</v>
      </c>
      <c r="C121" s="111">
        <f>SUM(C$116:C$120)</f>
        <v>0</v>
      </c>
      <c r="D121" s="111">
        <f t="shared" ref="D121:AX121" si="8">SUM(D$116:D$120)</f>
        <v>0</v>
      </c>
      <c r="E121" s="111">
        <f t="shared" si="8"/>
        <v>0</v>
      </c>
      <c r="F121" s="111">
        <f t="shared" si="8"/>
        <v>0</v>
      </c>
      <c r="G121" s="111">
        <f t="shared" si="8"/>
        <v>0</v>
      </c>
      <c r="H121" s="111">
        <f t="shared" si="8"/>
        <v>0</v>
      </c>
      <c r="I121" s="111">
        <f t="shared" si="8"/>
        <v>0</v>
      </c>
      <c r="J121" s="111">
        <f t="shared" si="8"/>
        <v>0</v>
      </c>
      <c r="K121" s="111">
        <f t="shared" si="8"/>
        <v>0</v>
      </c>
      <c r="L121" s="111">
        <f t="shared" si="8"/>
        <v>0</v>
      </c>
      <c r="M121" s="111">
        <f t="shared" si="8"/>
        <v>0</v>
      </c>
      <c r="N121" s="111">
        <f t="shared" si="8"/>
        <v>0</v>
      </c>
      <c r="O121" s="111">
        <f t="shared" si="8"/>
        <v>0</v>
      </c>
      <c r="P121" s="111">
        <f t="shared" si="8"/>
        <v>0</v>
      </c>
      <c r="Q121" s="111">
        <f t="shared" si="8"/>
        <v>0</v>
      </c>
      <c r="R121" s="111">
        <f t="shared" si="8"/>
        <v>0</v>
      </c>
      <c r="S121" s="111">
        <f t="shared" si="8"/>
        <v>0</v>
      </c>
      <c r="T121" s="111">
        <f t="shared" si="8"/>
        <v>0</v>
      </c>
      <c r="U121" s="111">
        <f t="shared" si="8"/>
        <v>0</v>
      </c>
      <c r="V121" s="111">
        <f t="shared" si="8"/>
        <v>0</v>
      </c>
      <c r="W121" s="111">
        <f t="shared" si="8"/>
        <v>0</v>
      </c>
      <c r="X121" s="111">
        <f t="shared" si="8"/>
        <v>0</v>
      </c>
      <c r="Y121" s="111">
        <f t="shared" si="8"/>
        <v>0</v>
      </c>
      <c r="Z121" s="111">
        <f t="shared" si="8"/>
        <v>0</v>
      </c>
      <c r="AA121" s="111">
        <f t="shared" si="8"/>
        <v>0</v>
      </c>
      <c r="AB121" s="111">
        <f t="shared" si="8"/>
        <v>0</v>
      </c>
      <c r="AC121" s="111">
        <f t="shared" si="8"/>
        <v>0</v>
      </c>
      <c r="AD121" s="111">
        <f t="shared" si="8"/>
        <v>0</v>
      </c>
      <c r="AE121" s="111">
        <f t="shared" si="8"/>
        <v>0</v>
      </c>
      <c r="AF121" s="111">
        <f t="shared" si="8"/>
        <v>0</v>
      </c>
      <c r="AG121" s="111">
        <f t="shared" si="8"/>
        <v>0</v>
      </c>
      <c r="AH121" s="111">
        <f t="shared" si="8"/>
        <v>0</v>
      </c>
      <c r="AI121" s="111">
        <f t="shared" si="8"/>
        <v>0</v>
      </c>
      <c r="AJ121" s="111">
        <f t="shared" si="8"/>
        <v>0</v>
      </c>
      <c r="AK121" s="111">
        <f t="shared" si="8"/>
        <v>0</v>
      </c>
      <c r="AL121" s="111">
        <f t="shared" si="8"/>
        <v>0</v>
      </c>
      <c r="AM121" s="111">
        <f t="shared" si="8"/>
        <v>0</v>
      </c>
      <c r="AN121" s="111">
        <f t="shared" si="8"/>
        <v>0</v>
      </c>
      <c r="AO121" s="111">
        <f t="shared" si="8"/>
        <v>0</v>
      </c>
      <c r="AP121" s="111">
        <f t="shared" si="8"/>
        <v>0</v>
      </c>
      <c r="AQ121" s="111">
        <f t="shared" si="8"/>
        <v>0</v>
      </c>
      <c r="AR121" s="111">
        <f t="shared" si="8"/>
        <v>0</v>
      </c>
      <c r="AS121" s="111">
        <f t="shared" si="8"/>
        <v>0</v>
      </c>
      <c r="AT121" s="111">
        <f t="shared" si="8"/>
        <v>0</v>
      </c>
      <c r="AU121" s="111">
        <f t="shared" si="8"/>
        <v>0</v>
      </c>
      <c r="AV121" s="111">
        <f t="shared" si="8"/>
        <v>0</v>
      </c>
      <c r="AW121" s="111">
        <f t="shared" si="8"/>
        <v>0</v>
      </c>
      <c r="AX121" s="111">
        <f t="shared" si="8"/>
        <v>0</v>
      </c>
    </row>
    <row r="122" spans="1:50" x14ac:dyDescent="0.2">
      <c r="A122" s="111" t="s">
        <v>108</v>
      </c>
      <c r="B122" s="111" t="s">
        <v>5</v>
      </c>
      <c r="C122" s="106">
        <v>0</v>
      </c>
      <c r="D122" s="106">
        <v>0</v>
      </c>
      <c r="E122" s="106">
        <v>0</v>
      </c>
      <c r="F122" s="106">
        <v>0</v>
      </c>
      <c r="G122" s="106">
        <v>0</v>
      </c>
      <c r="H122" s="106">
        <v>0</v>
      </c>
      <c r="I122" s="106">
        <v>0</v>
      </c>
      <c r="J122" s="106">
        <v>0</v>
      </c>
      <c r="K122" s="106">
        <v>0</v>
      </c>
      <c r="L122" s="106">
        <v>0</v>
      </c>
      <c r="M122" s="106">
        <v>0</v>
      </c>
      <c r="N122" s="106">
        <v>0</v>
      </c>
      <c r="O122" s="106">
        <v>0</v>
      </c>
      <c r="P122" s="106">
        <v>0</v>
      </c>
      <c r="Q122" s="106">
        <v>0</v>
      </c>
      <c r="R122" s="106">
        <v>0</v>
      </c>
      <c r="S122" s="106">
        <v>0</v>
      </c>
      <c r="T122" s="106">
        <v>0</v>
      </c>
      <c r="U122" s="106">
        <v>0</v>
      </c>
      <c r="V122" s="106">
        <v>0</v>
      </c>
      <c r="W122" s="106">
        <v>0</v>
      </c>
      <c r="X122" s="106">
        <v>0</v>
      </c>
      <c r="Y122" s="106">
        <v>0</v>
      </c>
      <c r="Z122" s="106">
        <v>0</v>
      </c>
      <c r="AA122" s="106">
        <v>0</v>
      </c>
      <c r="AB122" s="106">
        <v>0</v>
      </c>
      <c r="AC122" s="106">
        <v>0</v>
      </c>
      <c r="AD122" s="106">
        <v>0</v>
      </c>
      <c r="AE122" s="106">
        <v>0</v>
      </c>
      <c r="AF122" s="106">
        <v>0</v>
      </c>
      <c r="AG122" s="106">
        <v>0</v>
      </c>
      <c r="AH122" s="106">
        <v>0</v>
      </c>
      <c r="AI122" s="106">
        <v>0</v>
      </c>
      <c r="AJ122" s="106">
        <v>0</v>
      </c>
      <c r="AK122" s="106">
        <v>0</v>
      </c>
      <c r="AL122" s="106">
        <v>0</v>
      </c>
      <c r="AM122" s="106">
        <v>0</v>
      </c>
      <c r="AN122" s="106">
        <v>0</v>
      </c>
      <c r="AO122" s="106">
        <v>0</v>
      </c>
      <c r="AP122" s="106">
        <v>0</v>
      </c>
      <c r="AQ122" s="106">
        <v>0</v>
      </c>
      <c r="AR122" s="106">
        <v>0</v>
      </c>
      <c r="AS122" s="106">
        <v>0</v>
      </c>
      <c r="AT122" s="106">
        <v>0</v>
      </c>
      <c r="AU122" s="106">
        <v>0</v>
      </c>
      <c r="AV122" s="106">
        <v>0</v>
      </c>
      <c r="AW122" s="106">
        <v>0</v>
      </c>
      <c r="AX122" s="106">
        <v>0</v>
      </c>
    </row>
    <row r="123" spans="1:50" x14ac:dyDescent="0.2">
      <c r="B123" s="111" t="s">
        <v>10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0</v>
      </c>
    </row>
    <row r="124" spans="1:50" x14ac:dyDescent="0.2">
      <c r="B124" s="111" t="s">
        <v>12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</row>
    <row r="125" spans="1:50" x14ac:dyDescent="0.2">
      <c r="B125" s="111" t="s">
        <v>22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</row>
    <row r="126" spans="1:50" x14ac:dyDescent="0.2">
      <c r="B126" s="111" t="s">
        <v>59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</row>
    <row r="127" spans="1:50" x14ac:dyDescent="0.2">
      <c r="B127" s="106" t="s">
        <v>278</v>
      </c>
      <c r="C127" s="111">
        <f>SUM(C$122:C$126)</f>
        <v>0</v>
      </c>
      <c r="D127" s="111">
        <f t="shared" ref="D127:AX127" si="9">SUM(D$122:D$126)</f>
        <v>0</v>
      </c>
      <c r="E127" s="111">
        <f t="shared" si="9"/>
        <v>0</v>
      </c>
      <c r="F127" s="111">
        <f t="shared" si="9"/>
        <v>0</v>
      </c>
      <c r="G127" s="111">
        <f t="shared" si="9"/>
        <v>0</v>
      </c>
      <c r="H127" s="111">
        <f t="shared" si="9"/>
        <v>0</v>
      </c>
      <c r="I127" s="111">
        <f t="shared" si="9"/>
        <v>0</v>
      </c>
      <c r="J127" s="111">
        <f t="shared" si="9"/>
        <v>0</v>
      </c>
      <c r="K127" s="111">
        <f t="shared" si="9"/>
        <v>0</v>
      </c>
      <c r="L127" s="111">
        <f t="shared" si="9"/>
        <v>0</v>
      </c>
      <c r="M127" s="111">
        <f t="shared" si="9"/>
        <v>0</v>
      </c>
      <c r="N127" s="111">
        <f t="shared" si="9"/>
        <v>0</v>
      </c>
      <c r="O127" s="111">
        <f t="shared" si="9"/>
        <v>0</v>
      </c>
      <c r="P127" s="111">
        <f t="shared" si="9"/>
        <v>0</v>
      </c>
      <c r="Q127" s="111">
        <f t="shared" si="9"/>
        <v>0</v>
      </c>
      <c r="R127" s="111">
        <f t="shared" si="9"/>
        <v>0</v>
      </c>
      <c r="S127" s="111">
        <f t="shared" si="9"/>
        <v>0</v>
      </c>
      <c r="T127" s="111">
        <f t="shared" si="9"/>
        <v>0</v>
      </c>
      <c r="U127" s="111">
        <f t="shared" si="9"/>
        <v>0</v>
      </c>
      <c r="V127" s="111">
        <f t="shared" si="9"/>
        <v>0</v>
      </c>
      <c r="W127" s="111">
        <f t="shared" si="9"/>
        <v>0</v>
      </c>
      <c r="X127" s="111">
        <f t="shared" si="9"/>
        <v>0</v>
      </c>
      <c r="Y127" s="111">
        <f t="shared" si="9"/>
        <v>0</v>
      </c>
      <c r="Z127" s="111">
        <f t="shared" si="9"/>
        <v>0</v>
      </c>
      <c r="AA127" s="111">
        <f t="shared" si="9"/>
        <v>0</v>
      </c>
      <c r="AB127" s="111">
        <f t="shared" si="9"/>
        <v>0</v>
      </c>
      <c r="AC127" s="111">
        <f t="shared" si="9"/>
        <v>0</v>
      </c>
      <c r="AD127" s="111">
        <f t="shared" si="9"/>
        <v>0</v>
      </c>
      <c r="AE127" s="111">
        <f t="shared" si="9"/>
        <v>0</v>
      </c>
      <c r="AF127" s="111">
        <f t="shared" si="9"/>
        <v>0</v>
      </c>
      <c r="AG127" s="111">
        <f t="shared" si="9"/>
        <v>0</v>
      </c>
      <c r="AH127" s="111">
        <f t="shared" si="9"/>
        <v>0</v>
      </c>
      <c r="AI127" s="111">
        <f t="shared" si="9"/>
        <v>0</v>
      </c>
      <c r="AJ127" s="111">
        <f t="shared" si="9"/>
        <v>0</v>
      </c>
      <c r="AK127" s="111">
        <f t="shared" si="9"/>
        <v>0</v>
      </c>
      <c r="AL127" s="111">
        <f t="shared" si="9"/>
        <v>0</v>
      </c>
      <c r="AM127" s="111">
        <f t="shared" si="9"/>
        <v>0</v>
      </c>
      <c r="AN127" s="111">
        <f t="shared" si="9"/>
        <v>0</v>
      </c>
      <c r="AO127" s="111">
        <f t="shared" si="9"/>
        <v>0</v>
      </c>
      <c r="AP127" s="111">
        <f t="shared" si="9"/>
        <v>0</v>
      </c>
      <c r="AQ127" s="111">
        <f t="shared" si="9"/>
        <v>0</v>
      </c>
      <c r="AR127" s="111">
        <f t="shared" si="9"/>
        <v>0</v>
      </c>
      <c r="AS127" s="111">
        <f t="shared" si="9"/>
        <v>0</v>
      </c>
      <c r="AT127" s="111">
        <f t="shared" si="9"/>
        <v>0</v>
      </c>
      <c r="AU127" s="111">
        <f t="shared" si="9"/>
        <v>0</v>
      </c>
      <c r="AV127" s="111">
        <f t="shared" si="9"/>
        <v>0</v>
      </c>
      <c r="AW127" s="111">
        <f t="shared" si="9"/>
        <v>0</v>
      </c>
      <c r="AX127" s="111">
        <f t="shared" si="9"/>
        <v>0</v>
      </c>
    </row>
    <row r="128" spans="1:50" x14ac:dyDescent="0.2">
      <c r="A128" s="111" t="s">
        <v>109</v>
      </c>
      <c r="B128" s="111" t="s">
        <v>5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</row>
    <row r="129" spans="2:50" x14ac:dyDescent="0.2">
      <c r="B129" s="111" t="s">
        <v>10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</row>
    <row r="130" spans="2:50" x14ac:dyDescent="0.2">
      <c r="B130" s="111" t="s">
        <v>12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</row>
    <row r="131" spans="2:50" x14ac:dyDescent="0.2">
      <c r="B131" s="111" t="s">
        <v>22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</row>
    <row r="132" spans="2:50" x14ac:dyDescent="0.2">
      <c r="B132" s="111" t="s">
        <v>59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</row>
    <row r="133" spans="2:50" x14ac:dyDescent="0.2">
      <c r="B133" s="106" t="s">
        <v>278</v>
      </c>
      <c r="C133" s="111">
        <f>SUM(C$128:C$132)</f>
        <v>0</v>
      </c>
      <c r="D133" s="111">
        <f t="shared" ref="D133:AX133" si="10">SUM(D$128:D$132)</f>
        <v>0</v>
      </c>
      <c r="E133" s="111">
        <f t="shared" si="10"/>
        <v>0</v>
      </c>
      <c r="F133" s="111">
        <f t="shared" si="10"/>
        <v>0</v>
      </c>
      <c r="G133" s="111">
        <f t="shared" si="10"/>
        <v>0</v>
      </c>
      <c r="H133" s="111">
        <f t="shared" si="10"/>
        <v>0</v>
      </c>
      <c r="I133" s="111">
        <f t="shared" si="10"/>
        <v>0</v>
      </c>
      <c r="J133" s="111">
        <f t="shared" si="10"/>
        <v>0</v>
      </c>
      <c r="K133" s="111">
        <f t="shared" si="10"/>
        <v>0</v>
      </c>
      <c r="L133" s="111">
        <f t="shared" si="10"/>
        <v>0</v>
      </c>
      <c r="M133" s="111">
        <f t="shared" si="10"/>
        <v>0</v>
      </c>
      <c r="N133" s="111">
        <f t="shared" si="10"/>
        <v>0</v>
      </c>
      <c r="O133" s="111">
        <f t="shared" si="10"/>
        <v>0</v>
      </c>
      <c r="P133" s="111">
        <f t="shared" si="10"/>
        <v>0</v>
      </c>
      <c r="Q133" s="111">
        <f t="shared" si="10"/>
        <v>0</v>
      </c>
      <c r="R133" s="111">
        <f t="shared" si="10"/>
        <v>0</v>
      </c>
      <c r="S133" s="111">
        <f t="shared" si="10"/>
        <v>0</v>
      </c>
      <c r="T133" s="111">
        <f t="shared" si="10"/>
        <v>0</v>
      </c>
      <c r="U133" s="111">
        <f t="shared" si="10"/>
        <v>0</v>
      </c>
      <c r="V133" s="111">
        <f t="shared" si="10"/>
        <v>0</v>
      </c>
      <c r="W133" s="111">
        <f t="shared" si="10"/>
        <v>0</v>
      </c>
      <c r="X133" s="111">
        <f t="shared" si="10"/>
        <v>0</v>
      </c>
      <c r="Y133" s="111">
        <f t="shared" si="10"/>
        <v>0</v>
      </c>
      <c r="Z133" s="111">
        <f t="shared" si="10"/>
        <v>0</v>
      </c>
      <c r="AA133" s="111">
        <f t="shared" si="10"/>
        <v>0</v>
      </c>
      <c r="AB133" s="111">
        <f t="shared" si="10"/>
        <v>0</v>
      </c>
      <c r="AC133" s="111">
        <f t="shared" si="10"/>
        <v>0</v>
      </c>
      <c r="AD133" s="111">
        <f t="shared" si="10"/>
        <v>0</v>
      </c>
      <c r="AE133" s="111">
        <f t="shared" si="10"/>
        <v>0</v>
      </c>
      <c r="AF133" s="111">
        <f t="shared" si="10"/>
        <v>0</v>
      </c>
      <c r="AG133" s="111">
        <f t="shared" si="10"/>
        <v>0</v>
      </c>
      <c r="AH133" s="111">
        <f t="shared" si="10"/>
        <v>0</v>
      </c>
      <c r="AI133" s="111">
        <f t="shared" si="10"/>
        <v>0</v>
      </c>
      <c r="AJ133" s="111">
        <f t="shared" si="10"/>
        <v>0</v>
      </c>
      <c r="AK133" s="111">
        <f t="shared" si="10"/>
        <v>0</v>
      </c>
      <c r="AL133" s="111">
        <f t="shared" si="10"/>
        <v>0</v>
      </c>
      <c r="AM133" s="111">
        <f t="shared" si="10"/>
        <v>0</v>
      </c>
      <c r="AN133" s="111">
        <f t="shared" si="10"/>
        <v>0</v>
      </c>
      <c r="AO133" s="111">
        <f t="shared" si="10"/>
        <v>0</v>
      </c>
      <c r="AP133" s="111">
        <f t="shared" si="10"/>
        <v>0</v>
      </c>
      <c r="AQ133" s="111">
        <f t="shared" si="10"/>
        <v>0</v>
      </c>
      <c r="AR133" s="111">
        <f t="shared" si="10"/>
        <v>0</v>
      </c>
      <c r="AS133" s="111">
        <f t="shared" si="10"/>
        <v>0</v>
      </c>
      <c r="AT133" s="111">
        <f t="shared" si="10"/>
        <v>0</v>
      </c>
      <c r="AU133" s="111">
        <f t="shared" si="10"/>
        <v>0</v>
      </c>
      <c r="AV133" s="111">
        <f t="shared" si="10"/>
        <v>0</v>
      </c>
      <c r="AW133" s="111">
        <f t="shared" si="10"/>
        <v>0</v>
      </c>
      <c r="AX133" s="111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5</v>
      </c>
      <c r="E2" s="116"/>
    </row>
    <row r="3" spans="1:52" x14ac:dyDescent="0.2">
      <c r="A3" s="106" t="s">
        <v>286</v>
      </c>
      <c r="B3" s="113">
        <v>21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1094.9906104996849</v>
      </c>
      <c r="E7" s="150">
        <v>1094.9906104996849</v>
      </c>
      <c r="F7" s="150">
        <v>1094.9906104996849</v>
      </c>
      <c r="G7" s="150">
        <v>1094.9906104996849</v>
      </c>
      <c r="H7" s="150">
        <v>973.32498711083099</v>
      </c>
      <c r="I7" s="150">
        <v>973.32498711083099</v>
      </c>
      <c r="J7" s="150">
        <v>973.32498711083099</v>
      </c>
      <c r="K7" s="150">
        <v>973.32498711083099</v>
      </c>
      <c r="L7" s="150">
        <v>973.32498711083099</v>
      </c>
      <c r="M7" s="150">
        <v>973.32498711083099</v>
      </c>
      <c r="N7" s="150">
        <v>973.32498711083099</v>
      </c>
      <c r="O7" s="150">
        <v>973.32498711083099</v>
      </c>
      <c r="P7" s="150">
        <v>1094.9906104996849</v>
      </c>
      <c r="Q7" s="150">
        <v>1094.9906104996849</v>
      </c>
      <c r="R7" s="150">
        <v>1094.9906104996849</v>
      </c>
      <c r="S7" s="150">
        <v>1094.9906104996849</v>
      </c>
      <c r="T7" s="150">
        <v>973.32498711083099</v>
      </c>
      <c r="U7" s="150">
        <v>973.32498711083099</v>
      </c>
      <c r="V7" s="150">
        <v>973.32498711083099</v>
      </c>
      <c r="W7" s="150">
        <v>973.32498711083099</v>
      </c>
      <c r="X7" s="150">
        <v>973.32498711083099</v>
      </c>
      <c r="Y7" s="150">
        <v>973.32498711083099</v>
      </c>
      <c r="Z7" s="150">
        <v>973.32498711083099</v>
      </c>
      <c r="AA7" s="150">
        <v>973.32498711083099</v>
      </c>
      <c r="AB7" s="150">
        <v>1094.9906104996849</v>
      </c>
      <c r="AC7" s="150">
        <v>1094.9906104996849</v>
      </c>
      <c r="AD7" s="150">
        <v>1094.9906104996849</v>
      </c>
      <c r="AE7" s="150">
        <v>1094.9906104996849</v>
      </c>
      <c r="AF7" s="150">
        <v>973.32498711083099</v>
      </c>
      <c r="AG7" s="150">
        <v>973.32498711083099</v>
      </c>
      <c r="AH7" s="150">
        <v>973.32498711083099</v>
      </c>
      <c r="AI7" s="150">
        <v>973.32498711083099</v>
      </c>
      <c r="AJ7" s="150">
        <v>973.32498711083099</v>
      </c>
      <c r="AK7" s="150">
        <v>973.32498711083099</v>
      </c>
      <c r="AL7" s="150">
        <v>973.32498711083099</v>
      </c>
      <c r="AM7" s="150">
        <v>973.32498711083099</v>
      </c>
      <c r="AN7" s="150">
        <v>1094.9906104996849</v>
      </c>
      <c r="AO7" s="150">
        <v>1094.9906104996849</v>
      </c>
      <c r="AP7" s="150">
        <v>1094.9906104996849</v>
      </c>
      <c r="AQ7" s="150">
        <v>1094.9906104996849</v>
      </c>
      <c r="AR7" s="150">
        <v>973.32498711083099</v>
      </c>
      <c r="AS7" s="150">
        <v>973.32498711083099</v>
      </c>
      <c r="AT7" s="150">
        <v>973.32498711083099</v>
      </c>
      <c r="AU7" s="150">
        <v>973.32498711083099</v>
      </c>
      <c r="AV7" s="150">
        <v>973.32498711083099</v>
      </c>
      <c r="AW7" s="150">
        <v>973.32498711083099</v>
      </c>
      <c r="AX7" s="150">
        <v>973.32498711083099</v>
      </c>
      <c r="AY7" s="150">
        <v>973.32498711083099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1073.9906104996849</v>
      </c>
      <c r="E10" s="150">
        <f t="shared" si="0"/>
        <v>1073.9906104996849</v>
      </c>
      <c r="F10" s="150">
        <f t="shared" si="0"/>
        <v>1073.9906104996849</v>
      </c>
      <c r="G10" s="150">
        <f t="shared" si="0"/>
        <v>1073.9906104996849</v>
      </c>
      <c r="H10" s="150">
        <f t="shared" si="0"/>
        <v>952.32498711083099</v>
      </c>
      <c r="I10" s="150">
        <f t="shared" si="0"/>
        <v>952.32498711083099</v>
      </c>
      <c r="J10" s="150">
        <f t="shared" si="0"/>
        <v>952.32498711083099</v>
      </c>
      <c r="K10" s="150">
        <f t="shared" si="0"/>
        <v>952.32498711083099</v>
      </c>
      <c r="L10" s="150">
        <f t="shared" si="0"/>
        <v>952.32498711083099</v>
      </c>
      <c r="M10" s="150">
        <f t="shared" si="0"/>
        <v>952.32498711083099</v>
      </c>
      <c r="N10" s="150">
        <f t="shared" si="0"/>
        <v>952.32498711083099</v>
      </c>
      <c r="O10" s="150">
        <f t="shared" si="0"/>
        <v>952.32498711083099</v>
      </c>
      <c r="P10" s="150">
        <f t="shared" si="0"/>
        <v>1073.9906104996849</v>
      </c>
      <c r="Q10" s="150">
        <f t="shared" si="0"/>
        <v>1073.9906104996849</v>
      </c>
      <c r="R10" s="150">
        <f t="shared" si="0"/>
        <v>1073.9906104996849</v>
      </c>
      <c r="S10" s="150">
        <f t="shared" si="0"/>
        <v>1073.9906104996849</v>
      </c>
      <c r="T10" s="150">
        <f t="shared" si="0"/>
        <v>952.32498711083099</v>
      </c>
      <c r="U10" s="150">
        <f t="shared" si="0"/>
        <v>952.32498711083099</v>
      </c>
      <c r="V10" s="150">
        <f t="shared" si="0"/>
        <v>952.32498711083099</v>
      </c>
      <c r="W10" s="150">
        <f t="shared" si="0"/>
        <v>952.32498711083099</v>
      </c>
      <c r="X10" s="150">
        <f t="shared" si="0"/>
        <v>952.32498711083099</v>
      </c>
      <c r="Y10" s="150">
        <f t="shared" si="0"/>
        <v>952.32498711083099</v>
      </c>
      <c r="Z10" s="150">
        <f t="shared" si="0"/>
        <v>952.32498711083099</v>
      </c>
      <c r="AA10" s="150">
        <f t="shared" si="0"/>
        <v>952.32498711083099</v>
      </c>
      <c r="AB10" s="150">
        <f t="shared" si="0"/>
        <v>1073.9906104996849</v>
      </c>
      <c r="AC10" s="150">
        <f t="shared" si="0"/>
        <v>1073.9906104996849</v>
      </c>
      <c r="AD10" s="150">
        <f t="shared" si="0"/>
        <v>1073.9906104996849</v>
      </c>
      <c r="AE10" s="150">
        <f t="shared" si="0"/>
        <v>1073.9906104996849</v>
      </c>
      <c r="AF10" s="150">
        <f t="shared" si="0"/>
        <v>952.32498711083099</v>
      </c>
      <c r="AG10" s="150">
        <f t="shared" si="0"/>
        <v>952.32498711083099</v>
      </c>
      <c r="AH10" s="150">
        <f t="shared" si="0"/>
        <v>952.32498711083099</v>
      </c>
      <c r="AI10" s="150">
        <f t="shared" si="0"/>
        <v>952.32498711083099</v>
      </c>
      <c r="AJ10" s="150">
        <f t="shared" si="0"/>
        <v>952.32498711083099</v>
      </c>
      <c r="AK10" s="150">
        <f t="shared" si="0"/>
        <v>952.32498711083099</v>
      </c>
      <c r="AL10" s="150">
        <f t="shared" si="0"/>
        <v>952.32498711083099</v>
      </c>
      <c r="AM10" s="150">
        <f t="shared" si="0"/>
        <v>952.32498711083099</v>
      </c>
      <c r="AN10" s="150">
        <f t="shared" si="0"/>
        <v>1073.9906104996849</v>
      </c>
      <c r="AO10" s="150">
        <f t="shared" si="0"/>
        <v>1073.9906104996849</v>
      </c>
      <c r="AP10" s="150">
        <f t="shared" si="0"/>
        <v>1073.9906104996849</v>
      </c>
      <c r="AQ10" s="150">
        <f t="shared" si="0"/>
        <v>1073.9906104996849</v>
      </c>
      <c r="AR10" s="150">
        <f t="shared" si="0"/>
        <v>952.32498711083099</v>
      </c>
      <c r="AS10" s="150">
        <f t="shared" si="0"/>
        <v>952.32498711083099</v>
      </c>
      <c r="AT10" s="150">
        <f t="shared" si="0"/>
        <v>952.32498711083099</v>
      </c>
      <c r="AU10" s="150">
        <f t="shared" si="0"/>
        <v>952.32498711083099</v>
      </c>
      <c r="AV10" s="150">
        <f t="shared" si="0"/>
        <v>952.32498711083099</v>
      </c>
      <c r="AW10" s="150">
        <f t="shared" si="0"/>
        <v>952.32498711083099</v>
      </c>
      <c r="AX10" s="150">
        <f t="shared" si="0"/>
        <v>952.32498711083099</v>
      </c>
      <c r="AY10" s="150">
        <f t="shared" si="0"/>
        <v>952.32498711083099</v>
      </c>
      <c r="AZ10" s="157">
        <f>SUM($D10:$AY10)</f>
        <v>47658.249355541513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121</v>
      </c>
      <c r="D13" s="144">
        <f t="shared" ref="D13:AY13" si="1">D$7-D$10</f>
        <v>21</v>
      </c>
      <c r="E13" s="144">
        <f t="shared" si="1"/>
        <v>21</v>
      </c>
      <c r="F13" s="144">
        <f t="shared" si="1"/>
        <v>21</v>
      </c>
      <c r="G13" s="144">
        <f t="shared" si="1"/>
        <v>21</v>
      </c>
      <c r="H13" s="144">
        <f t="shared" si="1"/>
        <v>21</v>
      </c>
      <c r="I13" s="144">
        <f t="shared" si="1"/>
        <v>21</v>
      </c>
      <c r="J13" s="144">
        <f t="shared" si="1"/>
        <v>21</v>
      </c>
      <c r="K13" s="144">
        <f t="shared" si="1"/>
        <v>21</v>
      </c>
      <c r="L13" s="144">
        <f t="shared" si="1"/>
        <v>21</v>
      </c>
      <c r="M13" s="144">
        <f t="shared" si="1"/>
        <v>21</v>
      </c>
      <c r="N13" s="144">
        <f t="shared" si="1"/>
        <v>21</v>
      </c>
      <c r="O13" s="144">
        <f t="shared" si="1"/>
        <v>21</v>
      </c>
      <c r="P13" s="144">
        <f t="shared" si="1"/>
        <v>21</v>
      </c>
      <c r="Q13" s="144">
        <f t="shared" si="1"/>
        <v>21</v>
      </c>
      <c r="R13" s="144">
        <f t="shared" si="1"/>
        <v>21</v>
      </c>
      <c r="S13" s="144">
        <f t="shared" si="1"/>
        <v>21</v>
      </c>
      <c r="T13" s="144">
        <f t="shared" si="1"/>
        <v>21</v>
      </c>
      <c r="U13" s="144">
        <f t="shared" si="1"/>
        <v>21</v>
      </c>
      <c r="V13" s="144">
        <f t="shared" si="1"/>
        <v>21</v>
      </c>
      <c r="W13" s="144">
        <f t="shared" si="1"/>
        <v>21</v>
      </c>
      <c r="X13" s="144">
        <f t="shared" si="1"/>
        <v>21</v>
      </c>
      <c r="Y13" s="144">
        <f t="shared" si="1"/>
        <v>21</v>
      </c>
      <c r="Z13" s="144">
        <f t="shared" si="1"/>
        <v>21</v>
      </c>
      <c r="AA13" s="144">
        <f t="shared" si="1"/>
        <v>21</v>
      </c>
      <c r="AB13" s="144">
        <f t="shared" si="1"/>
        <v>21</v>
      </c>
      <c r="AC13" s="144">
        <f t="shared" si="1"/>
        <v>21</v>
      </c>
      <c r="AD13" s="144">
        <f t="shared" si="1"/>
        <v>21</v>
      </c>
      <c r="AE13" s="144">
        <f t="shared" si="1"/>
        <v>21</v>
      </c>
      <c r="AF13" s="144">
        <f t="shared" si="1"/>
        <v>21</v>
      </c>
      <c r="AG13" s="144">
        <f t="shared" si="1"/>
        <v>21</v>
      </c>
      <c r="AH13" s="144">
        <f t="shared" si="1"/>
        <v>21</v>
      </c>
      <c r="AI13" s="144">
        <f t="shared" si="1"/>
        <v>21</v>
      </c>
      <c r="AJ13" s="144">
        <f t="shared" si="1"/>
        <v>21</v>
      </c>
      <c r="AK13" s="144">
        <f t="shared" si="1"/>
        <v>21</v>
      </c>
      <c r="AL13" s="144">
        <f t="shared" si="1"/>
        <v>21</v>
      </c>
      <c r="AM13" s="144">
        <f t="shared" si="1"/>
        <v>21</v>
      </c>
      <c r="AN13" s="144">
        <f t="shared" si="1"/>
        <v>21</v>
      </c>
      <c r="AO13" s="144">
        <f t="shared" si="1"/>
        <v>21</v>
      </c>
      <c r="AP13" s="144">
        <f t="shared" si="1"/>
        <v>21</v>
      </c>
      <c r="AQ13" s="144">
        <f t="shared" si="1"/>
        <v>21</v>
      </c>
      <c r="AR13" s="144">
        <f t="shared" si="1"/>
        <v>21</v>
      </c>
      <c r="AS13" s="144">
        <f t="shared" si="1"/>
        <v>21</v>
      </c>
      <c r="AT13" s="144">
        <f t="shared" si="1"/>
        <v>21</v>
      </c>
      <c r="AU13" s="144">
        <f t="shared" si="1"/>
        <v>21</v>
      </c>
      <c r="AV13" s="144">
        <f t="shared" si="1"/>
        <v>21</v>
      </c>
      <c r="AW13" s="144">
        <f t="shared" si="1"/>
        <v>21</v>
      </c>
      <c r="AX13" s="144">
        <f t="shared" si="1"/>
        <v>21</v>
      </c>
      <c r="AY13" s="144">
        <f t="shared" si="1"/>
        <v>21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1</v>
      </c>
      <c r="C21" s="162" t="s">
        <v>293</v>
      </c>
      <c r="D21" s="112">
        <f>IF(C$20="Yes",0,SUM(C$13:C$16)*$B$21)</f>
        <v>121</v>
      </c>
      <c r="E21" s="112">
        <f t="shared" ref="E21:AY21" si="3">IF(D$20="Yes",0,SUM(D$13:D$16)*$B$21)</f>
        <v>21</v>
      </c>
      <c r="F21" s="112">
        <f t="shared" si="3"/>
        <v>21</v>
      </c>
      <c r="G21" s="112">
        <f t="shared" si="3"/>
        <v>21</v>
      </c>
      <c r="H21" s="112">
        <f t="shared" si="3"/>
        <v>21</v>
      </c>
      <c r="I21" s="112">
        <f t="shared" si="3"/>
        <v>21</v>
      </c>
      <c r="J21" s="112">
        <f t="shared" si="3"/>
        <v>21</v>
      </c>
      <c r="K21" s="112">
        <f t="shared" si="3"/>
        <v>21</v>
      </c>
      <c r="L21" s="112">
        <f t="shared" si="3"/>
        <v>21</v>
      </c>
      <c r="M21" s="112">
        <f t="shared" si="3"/>
        <v>21</v>
      </c>
      <c r="N21" s="112">
        <f t="shared" si="3"/>
        <v>21</v>
      </c>
      <c r="O21" s="112">
        <f t="shared" si="3"/>
        <v>21</v>
      </c>
      <c r="P21" s="112">
        <f t="shared" si="3"/>
        <v>21</v>
      </c>
      <c r="Q21" s="112">
        <f t="shared" si="3"/>
        <v>21</v>
      </c>
      <c r="R21" s="112">
        <f t="shared" si="3"/>
        <v>21</v>
      </c>
      <c r="S21" s="112">
        <f t="shared" si="3"/>
        <v>21</v>
      </c>
      <c r="T21" s="112">
        <f t="shared" si="3"/>
        <v>21</v>
      </c>
      <c r="U21" s="112">
        <f t="shared" si="3"/>
        <v>21</v>
      </c>
      <c r="V21" s="112">
        <f t="shared" si="3"/>
        <v>21</v>
      </c>
      <c r="W21" s="112">
        <f t="shared" si="3"/>
        <v>21</v>
      </c>
      <c r="X21" s="112">
        <f t="shared" si="3"/>
        <v>21</v>
      </c>
      <c r="Y21" s="112">
        <f t="shared" si="3"/>
        <v>21</v>
      </c>
      <c r="Z21" s="112">
        <f t="shared" si="3"/>
        <v>21</v>
      </c>
      <c r="AA21" s="112">
        <f t="shared" si="3"/>
        <v>21</v>
      </c>
      <c r="AB21" s="112">
        <f t="shared" si="3"/>
        <v>21</v>
      </c>
      <c r="AC21" s="112">
        <f t="shared" si="3"/>
        <v>21</v>
      </c>
      <c r="AD21" s="112">
        <f t="shared" si="3"/>
        <v>21</v>
      </c>
      <c r="AE21" s="112">
        <f t="shared" si="3"/>
        <v>21</v>
      </c>
      <c r="AF21" s="112">
        <f t="shared" si="3"/>
        <v>21</v>
      </c>
      <c r="AG21" s="112">
        <f t="shared" si="3"/>
        <v>21</v>
      </c>
      <c r="AH21" s="112">
        <f t="shared" si="3"/>
        <v>21</v>
      </c>
      <c r="AI21" s="112">
        <f t="shared" si="3"/>
        <v>21</v>
      </c>
      <c r="AJ21" s="112">
        <f t="shared" si="3"/>
        <v>21</v>
      </c>
      <c r="AK21" s="112">
        <f t="shared" si="3"/>
        <v>21</v>
      </c>
      <c r="AL21" s="112">
        <f t="shared" si="3"/>
        <v>21</v>
      </c>
      <c r="AM21" s="112">
        <f t="shared" si="3"/>
        <v>21</v>
      </c>
      <c r="AN21" s="112">
        <f t="shared" si="3"/>
        <v>21</v>
      </c>
      <c r="AO21" s="112">
        <f t="shared" si="3"/>
        <v>21</v>
      </c>
      <c r="AP21" s="112">
        <f t="shared" si="3"/>
        <v>21</v>
      </c>
      <c r="AQ21" s="112">
        <f t="shared" si="3"/>
        <v>21</v>
      </c>
      <c r="AR21" s="112">
        <f t="shared" si="3"/>
        <v>21</v>
      </c>
      <c r="AS21" s="112">
        <f t="shared" si="3"/>
        <v>21</v>
      </c>
      <c r="AT21" s="112">
        <f t="shared" si="3"/>
        <v>21</v>
      </c>
      <c r="AU21" s="112">
        <f t="shared" si="3"/>
        <v>21</v>
      </c>
      <c r="AV21" s="112">
        <f t="shared" si="3"/>
        <v>21</v>
      </c>
      <c r="AW21" s="112">
        <f t="shared" si="3"/>
        <v>21</v>
      </c>
      <c r="AX21" s="112">
        <f t="shared" si="3"/>
        <v>21</v>
      </c>
      <c r="AY21" s="112">
        <f t="shared" si="3"/>
        <v>21</v>
      </c>
      <c r="AZ21" s="163">
        <f>SUM($D21:$AY21)</f>
        <v>1108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242000</v>
      </c>
      <c r="E23" s="106">
        <f t="shared" ref="E23:AY23" si="6">E$21*$B$23</f>
        <v>42000</v>
      </c>
      <c r="F23" s="106">
        <f t="shared" si="6"/>
        <v>42000</v>
      </c>
      <c r="G23" s="106">
        <f t="shared" si="6"/>
        <v>42000</v>
      </c>
      <c r="H23" s="106">
        <f t="shared" si="6"/>
        <v>42000</v>
      </c>
      <c r="I23" s="106">
        <f t="shared" si="6"/>
        <v>42000</v>
      </c>
      <c r="J23" s="106">
        <f t="shared" si="6"/>
        <v>42000</v>
      </c>
      <c r="K23" s="106">
        <f t="shared" si="6"/>
        <v>42000</v>
      </c>
      <c r="L23" s="106">
        <f t="shared" si="6"/>
        <v>42000</v>
      </c>
      <c r="M23" s="106">
        <f t="shared" si="6"/>
        <v>42000</v>
      </c>
      <c r="N23" s="106">
        <f t="shared" si="6"/>
        <v>42000</v>
      </c>
      <c r="O23" s="106">
        <f t="shared" si="6"/>
        <v>42000</v>
      </c>
      <c r="P23" s="106">
        <f t="shared" si="6"/>
        <v>42000</v>
      </c>
      <c r="Q23" s="106">
        <f t="shared" si="6"/>
        <v>42000</v>
      </c>
      <c r="R23" s="106">
        <f t="shared" si="6"/>
        <v>42000</v>
      </c>
      <c r="S23" s="106">
        <f t="shared" si="6"/>
        <v>42000</v>
      </c>
      <c r="T23" s="106">
        <f t="shared" si="6"/>
        <v>42000</v>
      </c>
      <c r="U23" s="106">
        <f t="shared" si="6"/>
        <v>42000</v>
      </c>
      <c r="V23" s="106">
        <f t="shared" si="6"/>
        <v>42000</v>
      </c>
      <c r="W23" s="106">
        <f t="shared" si="6"/>
        <v>42000</v>
      </c>
      <c r="X23" s="106">
        <f t="shared" si="6"/>
        <v>42000</v>
      </c>
      <c r="Y23" s="106">
        <f t="shared" si="6"/>
        <v>42000</v>
      </c>
      <c r="Z23" s="106">
        <f t="shared" si="6"/>
        <v>42000</v>
      </c>
      <c r="AA23" s="106">
        <f t="shared" si="6"/>
        <v>42000</v>
      </c>
      <c r="AB23" s="106">
        <f t="shared" si="6"/>
        <v>42000</v>
      </c>
      <c r="AC23" s="106">
        <f t="shared" si="6"/>
        <v>42000</v>
      </c>
      <c r="AD23" s="106">
        <f t="shared" si="6"/>
        <v>42000</v>
      </c>
      <c r="AE23" s="106">
        <f t="shared" si="6"/>
        <v>42000</v>
      </c>
      <c r="AF23" s="106">
        <f t="shared" si="6"/>
        <v>42000</v>
      </c>
      <c r="AG23" s="106">
        <f t="shared" si="6"/>
        <v>42000</v>
      </c>
      <c r="AH23" s="106">
        <f t="shared" si="6"/>
        <v>42000</v>
      </c>
      <c r="AI23" s="106">
        <f t="shared" si="6"/>
        <v>42000</v>
      </c>
      <c r="AJ23" s="106">
        <f t="shared" si="6"/>
        <v>42000</v>
      </c>
      <c r="AK23" s="106">
        <f t="shared" si="6"/>
        <v>42000</v>
      </c>
      <c r="AL23" s="106">
        <f t="shared" si="6"/>
        <v>42000</v>
      </c>
      <c r="AM23" s="106">
        <f t="shared" si="6"/>
        <v>42000</v>
      </c>
      <c r="AN23" s="106">
        <f t="shared" si="6"/>
        <v>42000</v>
      </c>
      <c r="AO23" s="106">
        <f t="shared" si="6"/>
        <v>42000</v>
      </c>
      <c r="AP23" s="106">
        <f t="shared" si="6"/>
        <v>42000</v>
      </c>
      <c r="AQ23" s="106">
        <f t="shared" si="6"/>
        <v>42000</v>
      </c>
      <c r="AR23" s="106">
        <f t="shared" si="6"/>
        <v>42000</v>
      </c>
      <c r="AS23" s="106">
        <f t="shared" si="6"/>
        <v>42000</v>
      </c>
      <c r="AT23" s="106">
        <f t="shared" si="6"/>
        <v>42000</v>
      </c>
      <c r="AU23" s="106">
        <f t="shared" si="6"/>
        <v>42000</v>
      </c>
      <c r="AV23" s="106">
        <f t="shared" si="6"/>
        <v>42000</v>
      </c>
      <c r="AW23" s="106">
        <f t="shared" si="6"/>
        <v>42000</v>
      </c>
      <c r="AX23" s="106">
        <f t="shared" si="6"/>
        <v>42000</v>
      </c>
      <c r="AY23" s="106">
        <f t="shared" si="6"/>
        <v>42000</v>
      </c>
      <c r="AZ23" s="145">
        <f t="shared" si="5"/>
        <v>2216000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0</v>
      </c>
      <c r="D27" s="130">
        <f>C$27-C$28+C$29</f>
        <v>0</v>
      </c>
      <c r="E27" s="130">
        <f t="shared" ref="E27:AY27" si="8">D27-D28+D29</f>
        <v>0</v>
      </c>
      <c r="F27" s="130">
        <f t="shared" si="8"/>
        <v>0</v>
      </c>
      <c r="G27" s="130">
        <f t="shared" si="8"/>
        <v>0</v>
      </c>
      <c r="H27" s="130">
        <f t="shared" si="8"/>
        <v>0</v>
      </c>
      <c r="I27" s="130">
        <f t="shared" si="8"/>
        <v>0</v>
      </c>
      <c r="J27" s="130">
        <f t="shared" si="8"/>
        <v>0</v>
      </c>
      <c r="K27" s="130">
        <f t="shared" si="8"/>
        <v>0</v>
      </c>
      <c r="L27" s="130">
        <f t="shared" si="8"/>
        <v>0</v>
      </c>
      <c r="M27" s="130">
        <f t="shared" si="8"/>
        <v>0</v>
      </c>
      <c r="N27" s="130">
        <f t="shared" si="8"/>
        <v>0</v>
      </c>
      <c r="O27" s="130">
        <f t="shared" si="8"/>
        <v>0</v>
      </c>
      <c r="P27" s="130">
        <f t="shared" si="8"/>
        <v>0</v>
      </c>
      <c r="Q27" s="130">
        <f t="shared" si="8"/>
        <v>0</v>
      </c>
      <c r="R27" s="130">
        <f t="shared" si="8"/>
        <v>0</v>
      </c>
      <c r="S27" s="130">
        <f t="shared" si="8"/>
        <v>0</v>
      </c>
      <c r="T27" s="130">
        <f t="shared" si="8"/>
        <v>0</v>
      </c>
      <c r="U27" s="130">
        <f t="shared" si="8"/>
        <v>0</v>
      </c>
      <c r="V27" s="130">
        <f t="shared" si="8"/>
        <v>0</v>
      </c>
      <c r="W27" s="130">
        <f t="shared" si="8"/>
        <v>0</v>
      </c>
      <c r="X27" s="130">
        <f t="shared" si="8"/>
        <v>0</v>
      </c>
      <c r="Y27" s="130">
        <f t="shared" si="8"/>
        <v>0</v>
      </c>
      <c r="Z27" s="130">
        <f t="shared" si="8"/>
        <v>0</v>
      </c>
      <c r="AA27" s="130">
        <f t="shared" si="8"/>
        <v>0</v>
      </c>
      <c r="AB27" s="130">
        <f t="shared" si="8"/>
        <v>0</v>
      </c>
      <c r="AC27" s="130">
        <f t="shared" si="8"/>
        <v>0</v>
      </c>
      <c r="AD27" s="130">
        <f t="shared" si="8"/>
        <v>0</v>
      </c>
      <c r="AE27" s="130">
        <f t="shared" si="8"/>
        <v>0</v>
      </c>
      <c r="AF27" s="130">
        <f t="shared" si="8"/>
        <v>0</v>
      </c>
      <c r="AG27" s="130">
        <f t="shared" si="8"/>
        <v>0</v>
      </c>
      <c r="AH27" s="130">
        <f t="shared" si="8"/>
        <v>0</v>
      </c>
      <c r="AI27" s="130">
        <f t="shared" si="8"/>
        <v>0</v>
      </c>
      <c r="AJ27" s="130">
        <f t="shared" si="8"/>
        <v>0</v>
      </c>
      <c r="AK27" s="130">
        <f t="shared" si="8"/>
        <v>0</v>
      </c>
      <c r="AL27" s="130">
        <f t="shared" si="8"/>
        <v>0</v>
      </c>
      <c r="AM27" s="130">
        <f t="shared" si="8"/>
        <v>0</v>
      </c>
      <c r="AN27" s="130">
        <f t="shared" si="8"/>
        <v>0</v>
      </c>
      <c r="AO27" s="130">
        <f t="shared" si="8"/>
        <v>0</v>
      </c>
      <c r="AP27" s="130">
        <f t="shared" si="8"/>
        <v>0</v>
      </c>
      <c r="AQ27" s="130">
        <f t="shared" si="8"/>
        <v>0</v>
      </c>
      <c r="AR27" s="130">
        <f t="shared" si="8"/>
        <v>0</v>
      </c>
      <c r="AS27" s="130">
        <f t="shared" si="8"/>
        <v>0</v>
      </c>
      <c r="AT27" s="130">
        <f t="shared" si="8"/>
        <v>0</v>
      </c>
      <c r="AU27" s="130">
        <f t="shared" si="8"/>
        <v>0</v>
      </c>
      <c r="AV27" s="130">
        <f t="shared" si="8"/>
        <v>0</v>
      </c>
      <c r="AW27" s="130">
        <f t="shared" si="8"/>
        <v>0</v>
      </c>
      <c r="AX27" s="130">
        <f t="shared" si="8"/>
        <v>0</v>
      </c>
      <c r="AY27" s="170">
        <f t="shared" si="8"/>
        <v>0</v>
      </c>
      <c r="AZ27" s="112"/>
    </row>
    <row r="28" spans="1:52" x14ac:dyDescent="0.2">
      <c r="B28" s="171" t="s">
        <v>310</v>
      </c>
      <c r="C28" s="116">
        <v>0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72">
        <v>0</v>
      </c>
      <c r="AZ28" s="112"/>
    </row>
    <row r="29" spans="1:52" x14ac:dyDescent="0.2">
      <c r="B29" s="142" t="s">
        <v>311</v>
      </c>
      <c r="C29" s="131">
        <v>0</v>
      </c>
      <c r="D29" s="131">
        <f>C$28</f>
        <v>0</v>
      </c>
      <c r="E29" s="131">
        <f t="shared" ref="E29:AY29" si="9">D$28</f>
        <v>0</v>
      </c>
      <c r="F29" s="131">
        <f t="shared" si="9"/>
        <v>0</v>
      </c>
      <c r="G29" s="131">
        <f t="shared" si="9"/>
        <v>0</v>
      </c>
      <c r="H29" s="131">
        <f t="shared" si="9"/>
        <v>0</v>
      </c>
      <c r="I29" s="131">
        <f t="shared" si="9"/>
        <v>0</v>
      </c>
      <c r="J29" s="131">
        <f t="shared" si="9"/>
        <v>0</v>
      </c>
      <c r="K29" s="131">
        <f t="shared" si="9"/>
        <v>0</v>
      </c>
      <c r="L29" s="131">
        <f t="shared" si="9"/>
        <v>0</v>
      </c>
      <c r="M29" s="131">
        <f t="shared" si="9"/>
        <v>0</v>
      </c>
      <c r="N29" s="131">
        <f t="shared" si="9"/>
        <v>0</v>
      </c>
      <c r="O29" s="131">
        <f t="shared" si="9"/>
        <v>0</v>
      </c>
      <c r="P29" s="131">
        <f t="shared" si="9"/>
        <v>0</v>
      </c>
      <c r="Q29" s="131">
        <f t="shared" si="9"/>
        <v>0</v>
      </c>
      <c r="R29" s="131">
        <f t="shared" si="9"/>
        <v>0</v>
      </c>
      <c r="S29" s="131">
        <f t="shared" si="9"/>
        <v>0</v>
      </c>
      <c r="T29" s="131">
        <f t="shared" si="9"/>
        <v>0</v>
      </c>
      <c r="U29" s="131">
        <f t="shared" si="9"/>
        <v>0</v>
      </c>
      <c r="V29" s="131">
        <f t="shared" si="9"/>
        <v>0</v>
      </c>
      <c r="W29" s="131">
        <f t="shared" si="9"/>
        <v>0</v>
      </c>
      <c r="X29" s="131">
        <f t="shared" si="9"/>
        <v>0</v>
      </c>
      <c r="Y29" s="131">
        <f t="shared" si="9"/>
        <v>0</v>
      </c>
      <c r="Z29" s="131">
        <f t="shared" si="9"/>
        <v>0</v>
      </c>
      <c r="AA29" s="131">
        <f t="shared" si="9"/>
        <v>0</v>
      </c>
      <c r="AB29" s="131">
        <f t="shared" si="9"/>
        <v>0</v>
      </c>
      <c r="AC29" s="131">
        <f t="shared" si="9"/>
        <v>0</v>
      </c>
      <c r="AD29" s="131">
        <f t="shared" si="9"/>
        <v>0</v>
      </c>
      <c r="AE29" s="131">
        <f t="shared" si="9"/>
        <v>0</v>
      </c>
      <c r="AF29" s="131">
        <f t="shared" si="9"/>
        <v>0</v>
      </c>
      <c r="AG29" s="131">
        <f t="shared" si="9"/>
        <v>0</v>
      </c>
      <c r="AH29" s="131">
        <f t="shared" si="9"/>
        <v>0</v>
      </c>
      <c r="AI29" s="131">
        <f t="shared" si="9"/>
        <v>0</v>
      </c>
      <c r="AJ29" s="131">
        <f t="shared" si="9"/>
        <v>0</v>
      </c>
      <c r="AK29" s="131">
        <f t="shared" si="9"/>
        <v>0</v>
      </c>
      <c r="AL29" s="131">
        <f t="shared" si="9"/>
        <v>0</v>
      </c>
      <c r="AM29" s="131">
        <f t="shared" si="9"/>
        <v>0</v>
      </c>
      <c r="AN29" s="131">
        <f t="shared" si="9"/>
        <v>0</v>
      </c>
      <c r="AO29" s="131">
        <f t="shared" si="9"/>
        <v>0</v>
      </c>
      <c r="AP29" s="131">
        <f t="shared" si="9"/>
        <v>0</v>
      </c>
      <c r="AQ29" s="131">
        <f t="shared" si="9"/>
        <v>0</v>
      </c>
      <c r="AR29" s="131">
        <f t="shared" si="9"/>
        <v>0</v>
      </c>
      <c r="AS29" s="131">
        <f t="shared" si="9"/>
        <v>0</v>
      </c>
      <c r="AT29" s="131">
        <f t="shared" si="9"/>
        <v>0</v>
      </c>
      <c r="AU29" s="131">
        <f t="shared" si="9"/>
        <v>0</v>
      </c>
      <c r="AV29" s="131">
        <f t="shared" si="9"/>
        <v>0</v>
      </c>
      <c r="AW29" s="131">
        <f t="shared" si="9"/>
        <v>0</v>
      </c>
      <c r="AX29" s="131">
        <f t="shared" si="9"/>
        <v>0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0</v>
      </c>
      <c r="E30" s="123">
        <f t="shared" ref="E30:AY30" si="10">E$27*$B$30</f>
        <v>0</v>
      </c>
      <c r="F30" s="123">
        <f t="shared" si="10"/>
        <v>0</v>
      </c>
      <c r="G30" s="123">
        <f t="shared" si="10"/>
        <v>0</v>
      </c>
      <c r="H30" s="123">
        <f t="shared" si="10"/>
        <v>0</v>
      </c>
      <c r="I30" s="123">
        <f t="shared" si="10"/>
        <v>0</v>
      </c>
      <c r="J30" s="123">
        <f t="shared" si="10"/>
        <v>0</v>
      </c>
      <c r="K30" s="123">
        <f t="shared" si="10"/>
        <v>0</v>
      </c>
      <c r="L30" s="123">
        <f t="shared" si="10"/>
        <v>0</v>
      </c>
      <c r="M30" s="123">
        <f t="shared" si="10"/>
        <v>0</v>
      </c>
      <c r="N30" s="123">
        <f t="shared" si="10"/>
        <v>0</v>
      </c>
      <c r="O30" s="123">
        <f t="shared" si="10"/>
        <v>0</v>
      </c>
      <c r="P30" s="123">
        <f t="shared" si="10"/>
        <v>0</v>
      </c>
      <c r="Q30" s="123">
        <f t="shared" si="10"/>
        <v>0</v>
      </c>
      <c r="R30" s="123">
        <f>R$27*$B$30</f>
        <v>0</v>
      </c>
      <c r="S30" s="123">
        <f t="shared" si="10"/>
        <v>0</v>
      </c>
      <c r="T30" s="123">
        <f t="shared" si="10"/>
        <v>0</v>
      </c>
      <c r="U30" s="123">
        <f t="shared" si="10"/>
        <v>0</v>
      </c>
      <c r="V30" s="123">
        <f t="shared" si="10"/>
        <v>0</v>
      </c>
      <c r="W30" s="123">
        <f t="shared" si="10"/>
        <v>0</v>
      </c>
      <c r="X30" s="123">
        <f t="shared" si="10"/>
        <v>0</v>
      </c>
      <c r="Y30" s="123">
        <f t="shared" si="10"/>
        <v>0</v>
      </c>
      <c r="Z30" s="123">
        <f t="shared" si="10"/>
        <v>0</v>
      </c>
      <c r="AA30" s="123">
        <f t="shared" si="10"/>
        <v>0</v>
      </c>
      <c r="AB30" s="123">
        <f t="shared" si="10"/>
        <v>0</v>
      </c>
      <c r="AC30" s="123">
        <f t="shared" si="10"/>
        <v>0</v>
      </c>
      <c r="AD30" s="123">
        <f t="shared" si="10"/>
        <v>0</v>
      </c>
      <c r="AE30" s="123">
        <f>AE$27*$B$30</f>
        <v>0</v>
      </c>
      <c r="AF30" s="123">
        <f t="shared" si="10"/>
        <v>0</v>
      </c>
      <c r="AG30" s="123">
        <f t="shared" si="10"/>
        <v>0</v>
      </c>
      <c r="AH30" s="123">
        <f t="shared" si="10"/>
        <v>0</v>
      </c>
      <c r="AI30" s="123">
        <f t="shared" si="10"/>
        <v>0</v>
      </c>
      <c r="AJ30" s="123">
        <f t="shared" si="10"/>
        <v>0</v>
      </c>
      <c r="AK30" s="123">
        <f t="shared" si="10"/>
        <v>0</v>
      </c>
      <c r="AL30" s="123">
        <f t="shared" si="10"/>
        <v>0</v>
      </c>
      <c r="AM30" s="123">
        <f t="shared" si="10"/>
        <v>0</v>
      </c>
      <c r="AN30" s="123">
        <f t="shared" si="10"/>
        <v>0</v>
      </c>
      <c r="AO30" s="123">
        <f t="shared" si="10"/>
        <v>0</v>
      </c>
      <c r="AP30" s="123">
        <f t="shared" si="10"/>
        <v>0</v>
      </c>
      <c r="AQ30" s="123">
        <f t="shared" si="10"/>
        <v>0</v>
      </c>
      <c r="AR30" s="123">
        <f t="shared" si="10"/>
        <v>0</v>
      </c>
      <c r="AS30" s="123">
        <f t="shared" si="10"/>
        <v>0</v>
      </c>
      <c r="AT30" s="123">
        <f t="shared" si="10"/>
        <v>0</v>
      </c>
      <c r="AU30" s="123">
        <f t="shared" si="10"/>
        <v>0</v>
      </c>
      <c r="AV30" s="123">
        <f t="shared" si="10"/>
        <v>0</v>
      </c>
      <c r="AW30" s="123">
        <f t="shared" si="10"/>
        <v>0</v>
      </c>
      <c r="AX30" s="123">
        <f t="shared" si="10"/>
        <v>0</v>
      </c>
      <c r="AY30" s="123">
        <f t="shared" si="10"/>
        <v>0</v>
      </c>
      <c r="AZ30" s="147">
        <f t="shared" si="5"/>
        <v>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340</v>
      </c>
      <c r="C33" s="130"/>
      <c r="D33" s="130">
        <f>D$21*shipping_manufacturing!$D$27/100</f>
        <v>121</v>
      </c>
      <c r="E33" s="130">
        <f>E$21*shipping_manufacturing!$D$27/100</f>
        <v>21</v>
      </c>
      <c r="F33" s="130">
        <f>F$21*shipping_manufacturing!$D$27/100</f>
        <v>21</v>
      </c>
      <c r="G33" s="130">
        <f>G$21*shipping_manufacturing!$D$27/100</f>
        <v>21</v>
      </c>
      <c r="H33" s="130">
        <f>H$21*shipping_manufacturing!$D$27/100</f>
        <v>21</v>
      </c>
      <c r="I33" s="130">
        <f>I$21*shipping_manufacturing!$D$27/100</f>
        <v>21</v>
      </c>
      <c r="J33" s="130">
        <f>J$21*shipping_manufacturing!$D$27/100</f>
        <v>21</v>
      </c>
      <c r="K33" s="130">
        <f>K$21*shipping_manufacturing!$D$27/100</f>
        <v>21</v>
      </c>
      <c r="L33" s="130">
        <f>L$21*shipping_manufacturing!$D$27/100</f>
        <v>21</v>
      </c>
      <c r="M33" s="130">
        <f>M$21*shipping_manufacturing!$D$27/100</f>
        <v>21</v>
      </c>
      <c r="N33" s="130">
        <f>N$21*shipping_manufacturing!$D$27/100</f>
        <v>21</v>
      </c>
      <c r="O33" s="130">
        <f>O$21*shipping_manufacturing!$D$27/100</f>
        <v>21</v>
      </c>
      <c r="P33" s="130">
        <f>P$21*shipping_manufacturing!$D$27/100</f>
        <v>21</v>
      </c>
      <c r="Q33" s="130">
        <f>Q$21*shipping_manufacturing!$D$27/100</f>
        <v>21</v>
      </c>
      <c r="R33" s="130">
        <f>R$21*shipping_manufacturing!$D$27/100</f>
        <v>21</v>
      </c>
      <c r="S33" s="130">
        <f>S$21*shipping_manufacturing!$D$27/100</f>
        <v>21</v>
      </c>
      <c r="T33" s="130">
        <f>T$21*shipping_manufacturing!$D$27/100</f>
        <v>21</v>
      </c>
      <c r="U33" s="130">
        <f>U$21*shipping_manufacturing!$D$27/100</f>
        <v>21</v>
      </c>
      <c r="V33" s="130">
        <f>V$21*shipping_manufacturing!$D$27/100</f>
        <v>21</v>
      </c>
      <c r="W33" s="130">
        <f>W$21*shipping_manufacturing!$D$27/100</f>
        <v>21</v>
      </c>
      <c r="X33" s="130">
        <f>X$21*shipping_manufacturing!$D$27/100</f>
        <v>21</v>
      </c>
      <c r="Y33" s="130">
        <f>Y$21*shipping_manufacturing!$D$27/100</f>
        <v>21</v>
      </c>
      <c r="Z33" s="130">
        <f>Z$21*shipping_manufacturing!$D$27/100</f>
        <v>21</v>
      </c>
      <c r="AA33" s="130">
        <f>AA$21*shipping_manufacturing!$D$27/100</f>
        <v>21</v>
      </c>
      <c r="AB33" s="130">
        <f>AB$21*shipping_manufacturing!$D$27/100</f>
        <v>21</v>
      </c>
      <c r="AC33" s="130">
        <f>AC$21*shipping_manufacturing!$D$27/100</f>
        <v>21</v>
      </c>
      <c r="AD33" s="130">
        <f>AD$21*shipping_manufacturing!$D$27/100</f>
        <v>21</v>
      </c>
      <c r="AE33" s="130">
        <f>AE$21*shipping_manufacturing!$D$27/100</f>
        <v>21</v>
      </c>
      <c r="AF33" s="130">
        <f>AF$21*shipping_manufacturing!$D$27/100</f>
        <v>21</v>
      </c>
      <c r="AG33" s="130">
        <f>AG$21*shipping_manufacturing!$D$27/100</f>
        <v>21</v>
      </c>
      <c r="AH33" s="130">
        <f>AH$21*shipping_manufacturing!$D$27/100</f>
        <v>21</v>
      </c>
      <c r="AI33" s="130">
        <f>AI$21*shipping_manufacturing!$D$27/100</f>
        <v>21</v>
      </c>
      <c r="AJ33" s="130">
        <f>AJ$21*shipping_manufacturing!$D$27/100</f>
        <v>21</v>
      </c>
      <c r="AK33" s="130">
        <f>AK$21*shipping_manufacturing!$D$27/100</f>
        <v>21</v>
      </c>
      <c r="AL33" s="130">
        <f>AL$21*shipping_manufacturing!$D$27/100</f>
        <v>21</v>
      </c>
      <c r="AM33" s="130">
        <f>AM$21*shipping_manufacturing!$D$27/100</f>
        <v>21</v>
      </c>
      <c r="AN33" s="130">
        <f>AN$21*shipping_manufacturing!$D$27/100</f>
        <v>21</v>
      </c>
      <c r="AO33" s="130">
        <f>AO$21*shipping_manufacturing!$D$27/100</f>
        <v>21</v>
      </c>
      <c r="AP33" s="130">
        <f>AP$21*shipping_manufacturing!$D$27/100</f>
        <v>21</v>
      </c>
      <c r="AQ33" s="130">
        <f>AQ$21*shipping_manufacturing!$D$27/100</f>
        <v>21</v>
      </c>
      <c r="AR33" s="130">
        <f>AR$21*shipping_manufacturing!$D$27/100</f>
        <v>21</v>
      </c>
      <c r="AS33" s="130">
        <f>AS$21*shipping_manufacturing!$D$27/100</f>
        <v>21</v>
      </c>
      <c r="AT33" s="130">
        <f>AT$21*shipping_manufacturing!$D$27/100</f>
        <v>21</v>
      </c>
      <c r="AU33" s="130">
        <f>AU$21*shipping_manufacturing!$D$27/100</f>
        <v>21</v>
      </c>
      <c r="AV33" s="130">
        <f>AV$21*shipping_manufacturing!$D$27/100</f>
        <v>21</v>
      </c>
      <c r="AW33" s="130">
        <f>AW$21*shipping_manufacturing!$D$27/100</f>
        <v>21</v>
      </c>
      <c r="AX33" s="130">
        <f>AX$21*shipping_manufacturing!$D$27/100</f>
        <v>21</v>
      </c>
      <c r="AY33" s="130">
        <f>AY$21*shipping_manufacturing!$D$27/100</f>
        <v>21</v>
      </c>
    </row>
    <row r="34" spans="1:52" x14ac:dyDescent="0.2">
      <c r="A34" s="119" t="s">
        <v>339</v>
      </c>
      <c r="B34" s="171" t="s">
        <v>341</v>
      </c>
      <c r="C34" s="116"/>
      <c r="D34" s="116">
        <f>D$22*shipping_manufacturing!$E$27/100</f>
        <v>0</v>
      </c>
      <c r="E34" s="116">
        <f>E$22*shipping_manufacturing!$E$27/100</f>
        <v>0</v>
      </c>
      <c r="F34" s="116">
        <f>F$22*shipping_manufacturing!$E$27/100</f>
        <v>0</v>
      </c>
      <c r="G34" s="116">
        <f>G$22*shipping_manufacturing!$E$27/100</f>
        <v>0</v>
      </c>
      <c r="H34" s="116">
        <f>H$22*shipping_manufacturing!$E$27/100</f>
        <v>0</v>
      </c>
      <c r="I34" s="116">
        <f>I$22*shipping_manufacturing!$E$27/100</f>
        <v>0</v>
      </c>
      <c r="J34" s="116">
        <f>J$22*shipping_manufacturing!$E$27/100</f>
        <v>0</v>
      </c>
      <c r="K34" s="116">
        <f>K$22*shipping_manufacturing!$E$27/100</f>
        <v>0</v>
      </c>
      <c r="L34" s="116">
        <f>L$22*shipping_manufacturing!$E$27/100</f>
        <v>0</v>
      </c>
      <c r="M34" s="116">
        <f>M$22*shipping_manufacturing!$E$27/100</f>
        <v>0</v>
      </c>
      <c r="N34" s="116">
        <f>N$22*shipping_manufacturing!$E$27/100</f>
        <v>0</v>
      </c>
      <c r="O34" s="116">
        <f>O$22*shipping_manufacturing!$E$27/100</f>
        <v>0</v>
      </c>
      <c r="P34" s="116">
        <f>P$22*shipping_manufacturing!$E$27/100</f>
        <v>0</v>
      </c>
      <c r="Q34" s="116">
        <f>Q$22*shipping_manufacturing!$E$27/100</f>
        <v>0</v>
      </c>
      <c r="R34" s="116">
        <f>R$22*shipping_manufacturing!$E$27/100</f>
        <v>0</v>
      </c>
      <c r="S34" s="116">
        <f>S$22*shipping_manufacturing!$E$27/100</f>
        <v>0</v>
      </c>
      <c r="T34" s="116">
        <f>T$22*shipping_manufacturing!$E$27/100</f>
        <v>0</v>
      </c>
      <c r="U34" s="116">
        <f>U$22*shipping_manufacturing!$E$27/100</f>
        <v>0</v>
      </c>
      <c r="V34" s="116">
        <f>V$22*shipping_manufacturing!$E$27/100</f>
        <v>0</v>
      </c>
      <c r="W34" s="116">
        <f>W$22*shipping_manufacturing!$E$27/100</f>
        <v>0</v>
      </c>
      <c r="X34" s="116">
        <f>X$22*shipping_manufacturing!$E$27/100</f>
        <v>0</v>
      </c>
      <c r="Y34" s="116">
        <f>Y$22*shipping_manufacturing!$E$27/100</f>
        <v>0</v>
      </c>
      <c r="Z34" s="116">
        <f>Z$22*shipping_manufacturing!$E$27/100</f>
        <v>0</v>
      </c>
      <c r="AA34" s="116">
        <f>AA$22*shipping_manufacturing!$E$27/100</f>
        <v>0</v>
      </c>
      <c r="AB34" s="116">
        <f>AB$22*shipping_manufacturing!$E$27/100</f>
        <v>0</v>
      </c>
      <c r="AC34" s="116">
        <f>AC$22*shipping_manufacturing!$E$27/100</f>
        <v>0</v>
      </c>
      <c r="AD34" s="116">
        <f>AD$22*shipping_manufacturing!$E$27/100</f>
        <v>0</v>
      </c>
      <c r="AE34" s="116">
        <f>AE$22*shipping_manufacturing!$E$27/100</f>
        <v>0</v>
      </c>
      <c r="AF34" s="116">
        <f>AF$22*shipping_manufacturing!$E$27/100</f>
        <v>0</v>
      </c>
      <c r="AG34" s="116">
        <f>AG$22*shipping_manufacturing!$E$27/100</f>
        <v>0</v>
      </c>
      <c r="AH34" s="116">
        <f>AH$22*shipping_manufacturing!$E$27/100</f>
        <v>0</v>
      </c>
      <c r="AI34" s="116">
        <f>AI$22*shipping_manufacturing!$E$27/100</f>
        <v>0</v>
      </c>
      <c r="AJ34" s="116">
        <f>AJ$22*shipping_manufacturing!$E$27/100</f>
        <v>0</v>
      </c>
      <c r="AK34" s="116">
        <f>AK$22*shipping_manufacturing!$E$27/100</f>
        <v>0</v>
      </c>
      <c r="AL34" s="116">
        <f>AL$22*shipping_manufacturing!$E$27/100</f>
        <v>0</v>
      </c>
      <c r="AM34" s="116">
        <f>AM$22*shipping_manufacturing!$E$27/100</f>
        <v>0</v>
      </c>
      <c r="AN34" s="116">
        <f>AN$22*shipping_manufacturing!$E$27/100</f>
        <v>0</v>
      </c>
      <c r="AO34" s="116">
        <f>AO$22*shipping_manufacturing!$E$27/100</f>
        <v>0</v>
      </c>
      <c r="AP34" s="116">
        <f>AP$22*shipping_manufacturing!$E$27/100</f>
        <v>0</v>
      </c>
      <c r="AQ34" s="116">
        <f>AQ$22*shipping_manufacturing!$E$27/100</f>
        <v>0</v>
      </c>
      <c r="AR34" s="116">
        <f>AR$22*shipping_manufacturing!$E$27/100</f>
        <v>0</v>
      </c>
      <c r="AS34" s="116">
        <f>AS$22*shipping_manufacturing!$E$27/100</f>
        <v>0</v>
      </c>
      <c r="AT34" s="116">
        <f>AT$22*shipping_manufacturing!$E$27/100</f>
        <v>0</v>
      </c>
      <c r="AU34" s="116">
        <f>AU$22*shipping_manufacturing!$E$27/100</f>
        <v>0</v>
      </c>
      <c r="AV34" s="116">
        <f>AV$22*shipping_manufacturing!$E$27/100</f>
        <v>0</v>
      </c>
      <c r="AW34" s="116">
        <f>AW$22*shipping_manufacturing!$E$27/100</f>
        <v>0</v>
      </c>
      <c r="AX34" s="116">
        <f>AX$22*shipping_manufacturing!$E$27/100</f>
        <v>0</v>
      </c>
      <c r="AY34" s="116">
        <f>AY$22*shipping_manufacturing!$E$27/100</f>
        <v>0</v>
      </c>
    </row>
    <row r="35" spans="1:52" x14ac:dyDescent="0.2">
      <c r="A35" s="116">
        <v>1335</v>
      </c>
      <c r="B35" s="171" t="s">
        <v>342</v>
      </c>
      <c r="C35" s="116"/>
      <c r="D35" s="116">
        <f>SUM(D33:D34)</f>
        <v>121</v>
      </c>
      <c r="E35" s="116">
        <f t="shared" ref="E35:AY35" si="11">SUM(E33:E34)</f>
        <v>21</v>
      </c>
      <c r="F35" s="116">
        <f t="shared" si="11"/>
        <v>21</v>
      </c>
      <c r="G35" s="116">
        <f t="shared" si="11"/>
        <v>21</v>
      </c>
      <c r="H35" s="116">
        <f t="shared" si="11"/>
        <v>21</v>
      </c>
      <c r="I35" s="116">
        <f t="shared" si="11"/>
        <v>21</v>
      </c>
      <c r="J35" s="116">
        <f t="shared" si="11"/>
        <v>21</v>
      </c>
      <c r="K35" s="116">
        <f t="shared" si="11"/>
        <v>21</v>
      </c>
      <c r="L35" s="116">
        <f t="shared" si="11"/>
        <v>21</v>
      </c>
      <c r="M35" s="116">
        <f t="shared" si="11"/>
        <v>21</v>
      </c>
      <c r="N35" s="116">
        <f t="shared" si="11"/>
        <v>21</v>
      </c>
      <c r="O35" s="116">
        <f t="shared" si="11"/>
        <v>21</v>
      </c>
      <c r="P35" s="116">
        <f t="shared" si="11"/>
        <v>21</v>
      </c>
      <c r="Q35" s="116">
        <f t="shared" si="11"/>
        <v>21</v>
      </c>
      <c r="R35" s="116">
        <f t="shared" si="11"/>
        <v>21</v>
      </c>
      <c r="S35" s="116">
        <f t="shared" si="11"/>
        <v>21</v>
      </c>
      <c r="T35" s="116">
        <f t="shared" si="11"/>
        <v>21</v>
      </c>
      <c r="U35" s="116">
        <f t="shared" si="11"/>
        <v>21</v>
      </c>
      <c r="V35" s="116">
        <f t="shared" si="11"/>
        <v>21</v>
      </c>
      <c r="W35" s="116">
        <f t="shared" si="11"/>
        <v>21</v>
      </c>
      <c r="X35" s="116">
        <f t="shared" si="11"/>
        <v>21</v>
      </c>
      <c r="Y35" s="116">
        <f t="shared" si="11"/>
        <v>21</v>
      </c>
      <c r="Z35" s="116">
        <f t="shared" si="11"/>
        <v>21</v>
      </c>
      <c r="AA35" s="116">
        <f t="shared" si="11"/>
        <v>21</v>
      </c>
      <c r="AB35" s="116">
        <f t="shared" si="11"/>
        <v>21</v>
      </c>
      <c r="AC35" s="116">
        <f t="shared" si="11"/>
        <v>21</v>
      </c>
      <c r="AD35" s="116">
        <f t="shared" si="11"/>
        <v>21</v>
      </c>
      <c r="AE35" s="116">
        <f t="shared" si="11"/>
        <v>21</v>
      </c>
      <c r="AF35" s="116">
        <f t="shared" si="11"/>
        <v>21</v>
      </c>
      <c r="AG35" s="116">
        <f t="shared" si="11"/>
        <v>21</v>
      </c>
      <c r="AH35" s="116">
        <f t="shared" si="11"/>
        <v>21</v>
      </c>
      <c r="AI35" s="116">
        <f t="shared" si="11"/>
        <v>21</v>
      </c>
      <c r="AJ35" s="116">
        <f t="shared" si="11"/>
        <v>21</v>
      </c>
      <c r="AK35" s="116">
        <f t="shared" si="11"/>
        <v>21</v>
      </c>
      <c r="AL35" s="116">
        <f t="shared" si="11"/>
        <v>21</v>
      </c>
      <c r="AM35" s="116">
        <f t="shared" si="11"/>
        <v>21</v>
      </c>
      <c r="AN35" s="116">
        <f t="shared" si="11"/>
        <v>21</v>
      </c>
      <c r="AO35" s="116">
        <f t="shared" si="11"/>
        <v>21</v>
      </c>
      <c r="AP35" s="116">
        <f t="shared" si="11"/>
        <v>21</v>
      </c>
      <c r="AQ35" s="116">
        <f t="shared" si="11"/>
        <v>21</v>
      </c>
      <c r="AR35" s="116">
        <f t="shared" si="11"/>
        <v>21</v>
      </c>
      <c r="AS35" s="116">
        <f t="shared" si="11"/>
        <v>21</v>
      </c>
      <c r="AT35" s="116">
        <f t="shared" si="11"/>
        <v>21</v>
      </c>
      <c r="AU35" s="116">
        <f t="shared" si="11"/>
        <v>21</v>
      </c>
      <c r="AV35" s="116">
        <f t="shared" si="11"/>
        <v>21</v>
      </c>
      <c r="AW35" s="116">
        <f t="shared" si="11"/>
        <v>21</v>
      </c>
      <c r="AX35" s="116">
        <f t="shared" si="11"/>
        <v>21</v>
      </c>
      <c r="AY35" s="116">
        <f t="shared" si="11"/>
        <v>21</v>
      </c>
    </row>
    <row r="36" spans="1:52" x14ac:dyDescent="0.2">
      <c r="A36" s="116"/>
      <c r="B36" s="171" t="s">
        <v>343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344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345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346</v>
      </c>
      <c r="C39" s="116"/>
      <c r="D39" s="116">
        <f>D33-D36</f>
        <v>121</v>
      </c>
      <c r="E39" s="116">
        <f t="shared" ref="E39:AY39" si="12">E33-E36</f>
        <v>21</v>
      </c>
      <c r="F39" s="116">
        <f t="shared" si="12"/>
        <v>21</v>
      </c>
      <c r="G39" s="116">
        <f t="shared" si="12"/>
        <v>21</v>
      </c>
      <c r="H39" s="116">
        <f t="shared" si="12"/>
        <v>21</v>
      </c>
      <c r="I39" s="116">
        <f t="shared" si="12"/>
        <v>21</v>
      </c>
      <c r="J39" s="116">
        <f t="shared" si="12"/>
        <v>21</v>
      </c>
      <c r="K39" s="116">
        <f t="shared" si="12"/>
        <v>21</v>
      </c>
      <c r="L39" s="116">
        <f t="shared" si="12"/>
        <v>21</v>
      </c>
      <c r="M39" s="116">
        <f t="shared" si="12"/>
        <v>21</v>
      </c>
      <c r="N39" s="116">
        <f t="shared" si="12"/>
        <v>21</v>
      </c>
      <c r="O39" s="116">
        <f t="shared" si="12"/>
        <v>21</v>
      </c>
      <c r="P39" s="116">
        <f t="shared" si="12"/>
        <v>21</v>
      </c>
      <c r="Q39" s="116">
        <f t="shared" si="12"/>
        <v>21</v>
      </c>
      <c r="R39" s="116">
        <f t="shared" si="12"/>
        <v>21</v>
      </c>
      <c r="S39" s="116">
        <f t="shared" si="12"/>
        <v>21</v>
      </c>
      <c r="T39" s="116">
        <f t="shared" si="12"/>
        <v>21</v>
      </c>
      <c r="U39" s="116">
        <f t="shared" si="12"/>
        <v>21</v>
      </c>
      <c r="V39" s="116">
        <f t="shared" si="12"/>
        <v>21</v>
      </c>
      <c r="W39" s="116">
        <f t="shared" si="12"/>
        <v>21</v>
      </c>
      <c r="X39" s="116">
        <f t="shared" si="12"/>
        <v>21</v>
      </c>
      <c r="Y39" s="116">
        <f t="shared" si="12"/>
        <v>21</v>
      </c>
      <c r="Z39" s="116">
        <f t="shared" si="12"/>
        <v>21</v>
      </c>
      <c r="AA39" s="116">
        <f t="shared" si="12"/>
        <v>21</v>
      </c>
      <c r="AB39" s="116">
        <f t="shared" si="12"/>
        <v>21</v>
      </c>
      <c r="AC39" s="116">
        <f t="shared" si="12"/>
        <v>21</v>
      </c>
      <c r="AD39" s="116">
        <f t="shared" si="12"/>
        <v>21</v>
      </c>
      <c r="AE39" s="116">
        <f t="shared" si="12"/>
        <v>21</v>
      </c>
      <c r="AF39" s="116">
        <f t="shared" si="12"/>
        <v>21</v>
      </c>
      <c r="AG39" s="116">
        <f t="shared" si="12"/>
        <v>21</v>
      </c>
      <c r="AH39" s="116">
        <f t="shared" si="12"/>
        <v>21</v>
      </c>
      <c r="AI39" s="116">
        <f t="shared" si="12"/>
        <v>21</v>
      </c>
      <c r="AJ39" s="116">
        <f t="shared" si="12"/>
        <v>21</v>
      </c>
      <c r="AK39" s="116">
        <f t="shared" si="12"/>
        <v>21</v>
      </c>
      <c r="AL39" s="116">
        <f t="shared" si="12"/>
        <v>21</v>
      </c>
      <c r="AM39" s="116">
        <f t="shared" si="12"/>
        <v>21</v>
      </c>
      <c r="AN39" s="116">
        <f t="shared" si="12"/>
        <v>21</v>
      </c>
      <c r="AO39" s="116">
        <f t="shared" si="12"/>
        <v>21</v>
      </c>
      <c r="AP39" s="116">
        <f t="shared" si="12"/>
        <v>21</v>
      </c>
      <c r="AQ39" s="116">
        <f t="shared" si="12"/>
        <v>21</v>
      </c>
      <c r="AR39" s="116">
        <f t="shared" si="12"/>
        <v>21</v>
      </c>
      <c r="AS39" s="116">
        <f t="shared" si="12"/>
        <v>21</v>
      </c>
      <c r="AT39" s="116">
        <f t="shared" si="12"/>
        <v>21</v>
      </c>
      <c r="AU39" s="116">
        <f t="shared" si="12"/>
        <v>21</v>
      </c>
      <c r="AV39" s="116">
        <f t="shared" si="12"/>
        <v>21</v>
      </c>
      <c r="AW39" s="116">
        <f t="shared" si="12"/>
        <v>21</v>
      </c>
      <c r="AX39" s="116">
        <f t="shared" si="12"/>
        <v>21</v>
      </c>
      <c r="AY39" s="116">
        <f t="shared" si="12"/>
        <v>21</v>
      </c>
    </row>
    <row r="40" spans="1:52" x14ac:dyDescent="0.2">
      <c r="A40" s="116"/>
      <c r="B40" s="171" t="s">
        <v>347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348</v>
      </c>
      <c r="C41" s="116"/>
      <c r="D41" s="116">
        <v>1</v>
      </c>
      <c r="E41" s="116">
        <v>3</v>
      </c>
      <c r="F41" s="116">
        <v>1</v>
      </c>
      <c r="G41" s="116">
        <v>2</v>
      </c>
      <c r="H41" s="116">
        <v>3</v>
      </c>
      <c r="I41" s="116">
        <v>2</v>
      </c>
      <c r="J41" s="116">
        <v>2</v>
      </c>
      <c r="K41" s="116">
        <v>3</v>
      </c>
      <c r="L41" s="116">
        <v>1</v>
      </c>
      <c r="M41" s="116">
        <v>1</v>
      </c>
      <c r="N41" s="116">
        <v>1</v>
      </c>
      <c r="O41" s="116">
        <v>1</v>
      </c>
      <c r="P41" s="116">
        <v>2</v>
      </c>
      <c r="Q41" s="116">
        <v>2</v>
      </c>
      <c r="R41" s="116">
        <v>1</v>
      </c>
      <c r="S41" s="116">
        <v>1</v>
      </c>
      <c r="T41" s="116">
        <v>1</v>
      </c>
      <c r="U41" s="116">
        <v>2</v>
      </c>
      <c r="V41" s="116">
        <v>1</v>
      </c>
      <c r="W41" s="116">
        <v>1</v>
      </c>
      <c r="X41" s="116">
        <v>1</v>
      </c>
      <c r="Y41" s="116">
        <v>1</v>
      </c>
      <c r="Z41" s="116">
        <v>1</v>
      </c>
      <c r="AA41" s="116">
        <v>1</v>
      </c>
      <c r="AB41" s="116">
        <v>1</v>
      </c>
      <c r="AC41" s="116">
        <v>2</v>
      </c>
      <c r="AD41" s="116">
        <v>2</v>
      </c>
      <c r="AE41" s="116">
        <v>2</v>
      </c>
      <c r="AF41" s="116">
        <v>1</v>
      </c>
      <c r="AG41" s="116">
        <v>3</v>
      </c>
      <c r="AH41" s="116">
        <v>1</v>
      </c>
      <c r="AI41" s="116">
        <v>2</v>
      </c>
      <c r="AJ41" s="116">
        <v>2</v>
      </c>
      <c r="AK41" s="116">
        <v>1</v>
      </c>
      <c r="AL41" s="116">
        <v>1</v>
      </c>
      <c r="AM41" s="116">
        <v>3</v>
      </c>
      <c r="AN41" s="116">
        <v>1</v>
      </c>
      <c r="AO41" s="116">
        <v>2</v>
      </c>
      <c r="AP41" s="116">
        <v>1</v>
      </c>
      <c r="AQ41" s="116">
        <v>3</v>
      </c>
      <c r="AR41" s="116">
        <v>2</v>
      </c>
      <c r="AS41" s="116">
        <v>2</v>
      </c>
      <c r="AT41" s="116">
        <v>1</v>
      </c>
      <c r="AU41" s="116">
        <v>1</v>
      </c>
      <c r="AV41" s="116">
        <v>1</v>
      </c>
      <c r="AW41" s="116">
        <v>2</v>
      </c>
      <c r="AX41" s="116">
        <v>1</v>
      </c>
      <c r="AY41" s="116">
        <v>1</v>
      </c>
    </row>
    <row r="42" spans="1:52" x14ac:dyDescent="0.2">
      <c r="A42" s="116"/>
      <c r="B42" s="184" t="s">
        <v>349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350</v>
      </c>
      <c r="C43" s="116"/>
      <c r="D43" s="116">
        <v>104997.75</v>
      </c>
      <c r="E43" s="116">
        <v>18222.75</v>
      </c>
      <c r="F43" s="116">
        <v>18222.75</v>
      </c>
      <c r="G43" s="116">
        <v>18222.75</v>
      </c>
      <c r="H43" s="116">
        <v>18222.75</v>
      </c>
      <c r="I43" s="116">
        <v>18222.75</v>
      </c>
      <c r="J43" s="116">
        <v>18222.75</v>
      </c>
      <c r="K43" s="116">
        <v>18222.75</v>
      </c>
      <c r="L43" s="116">
        <v>18222.75</v>
      </c>
      <c r="M43" s="116">
        <v>18222.75</v>
      </c>
      <c r="N43" s="116">
        <v>18222.75</v>
      </c>
      <c r="O43" s="116">
        <v>18222.75</v>
      </c>
      <c r="P43" s="116">
        <v>18222.75</v>
      </c>
      <c r="Q43" s="116">
        <v>18222.75</v>
      </c>
      <c r="R43" s="116">
        <v>18222.75</v>
      </c>
      <c r="S43" s="116">
        <v>18222.75</v>
      </c>
      <c r="T43" s="116">
        <v>18222.75</v>
      </c>
      <c r="U43" s="116">
        <v>18222.75</v>
      </c>
      <c r="V43" s="116">
        <v>18222.75</v>
      </c>
      <c r="W43" s="116">
        <v>18222.75</v>
      </c>
      <c r="X43" s="116">
        <v>18222.75</v>
      </c>
      <c r="Y43" s="116">
        <v>18222.75</v>
      </c>
      <c r="Z43" s="116">
        <v>18222.75</v>
      </c>
      <c r="AA43" s="116">
        <v>18222.75</v>
      </c>
      <c r="AB43" s="116">
        <v>18222.75</v>
      </c>
      <c r="AC43" s="116">
        <v>18222.75</v>
      </c>
      <c r="AD43" s="116">
        <v>18222.75</v>
      </c>
      <c r="AE43" s="116">
        <v>18222.75</v>
      </c>
      <c r="AF43" s="116">
        <v>18222.75</v>
      </c>
      <c r="AG43" s="116">
        <v>18222.75</v>
      </c>
      <c r="AH43" s="116">
        <v>18222.75</v>
      </c>
      <c r="AI43" s="116">
        <v>18222.75</v>
      </c>
      <c r="AJ43" s="116">
        <v>18222.75</v>
      </c>
      <c r="AK43" s="116">
        <v>18222.75</v>
      </c>
      <c r="AL43" s="116">
        <v>18222.75</v>
      </c>
      <c r="AM43" s="116">
        <v>18222.75</v>
      </c>
      <c r="AN43" s="116">
        <v>18222.75</v>
      </c>
      <c r="AO43" s="116">
        <v>18222.75</v>
      </c>
      <c r="AP43" s="116">
        <v>18222.75</v>
      </c>
      <c r="AQ43" s="116">
        <v>18222.75</v>
      </c>
      <c r="AR43" s="116">
        <v>18222.75</v>
      </c>
      <c r="AS43" s="116">
        <v>18222.75</v>
      </c>
      <c r="AT43" s="116">
        <v>18222.75</v>
      </c>
      <c r="AU43" s="116">
        <v>18222.75</v>
      </c>
      <c r="AV43" s="116">
        <v>18222.75</v>
      </c>
      <c r="AW43" s="116">
        <v>18222.75</v>
      </c>
      <c r="AX43" s="116">
        <v>18222.75</v>
      </c>
      <c r="AY43" s="116">
        <v>18222.75</v>
      </c>
      <c r="AZ43" s="106">
        <f>SUM($D$43:$AY$43)</f>
        <v>961467</v>
      </c>
    </row>
    <row r="44" spans="1:52" x14ac:dyDescent="0.2">
      <c r="A44" s="141" t="s">
        <v>59</v>
      </c>
      <c r="B44" s="141" t="s">
        <v>340</v>
      </c>
      <c r="C44" s="130"/>
      <c r="D44" s="130">
        <f>D$21*shipping_manufacturing!$D$28/100</f>
        <v>0</v>
      </c>
      <c r="E44" s="130">
        <f>E$21*shipping_manufacturing!$D$28/100</f>
        <v>0</v>
      </c>
      <c r="F44" s="130">
        <f>F$21*shipping_manufacturing!$D$28/100</f>
        <v>0</v>
      </c>
      <c r="G44" s="130">
        <f>G$21*shipping_manufacturing!$D$28/100</f>
        <v>0</v>
      </c>
      <c r="H44" s="130">
        <f>H$21*shipping_manufacturing!$D$28/100</f>
        <v>0</v>
      </c>
      <c r="I44" s="130">
        <f>I$21*shipping_manufacturing!$D$28/100</f>
        <v>0</v>
      </c>
      <c r="J44" s="130">
        <f>J$21*shipping_manufacturing!$D$28/100</f>
        <v>0</v>
      </c>
      <c r="K44" s="130">
        <f>K$21*shipping_manufacturing!$D$28/100</f>
        <v>0</v>
      </c>
      <c r="L44" s="130">
        <f>L$21*shipping_manufacturing!$D$28/100</f>
        <v>0</v>
      </c>
      <c r="M44" s="130">
        <f>M$21*shipping_manufacturing!$D$28/100</f>
        <v>0</v>
      </c>
      <c r="N44" s="130">
        <f>N$21*shipping_manufacturing!$D$28/100</f>
        <v>0</v>
      </c>
      <c r="O44" s="130">
        <f>O$21*shipping_manufacturing!$D$28/100</f>
        <v>0</v>
      </c>
      <c r="P44" s="130">
        <f>P$21*shipping_manufacturing!$D$28/100</f>
        <v>0</v>
      </c>
      <c r="Q44" s="130">
        <f>Q$21*shipping_manufacturing!$D$28/100</f>
        <v>0</v>
      </c>
      <c r="R44" s="130">
        <f>R$21*shipping_manufacturing!$D$28/100</f>
        <v>0</v>
      </c>
      <c r="S44" s="130">
        <f>S$21*shipping_manufacturing!$D$28/100</f>
        <v>0</v>
      </c>
      <c r="T44" s="130">
        <f>T$21*shipping_manufacturing!$D$28/100</f>
        <v>0</v>
      </c>
      <c r="U44" s="130">
        <f>U$21*shipping_manufacturing!$D$28/100</f>
        <v>0</v>
      </c>
      <c r="V44" s="130">
        <f>V$21*shipping_manufacturing!$D$28/100</f>
        <v>0</v>
      </c>
      <c r="W44" s="130">
        <f>W$21*shipping_manufacturing!$D$28/100</f>
        <v>0</v>
      </c>
      <c r="X44" s="130">
        <f>X$21*shipping_manufacturing!$D$28/100</f>
        <v>0</v>
      </c>
      <c r="Y44" s="130">
        <f>Y$21*shipping_manufacturing!$D$28/100</f>
        <v>0</v>
      </c>
      <c r="Z44" s="130">
        <f>Z$21*shipping_manufacturing!$D$28/100</f>
        <v>0</v>
      </c>
      <c r="AA44" s="130">
        <f>AA$21*shipping_manufacturing!$D$28/100</f>
        <v>0</v>
      </c>
      <c r="AB44" s="130">
        <f>AB$21*shipping_manufacturing!$D$28/100</f>
        <v>0</v>
      </c>
      <c r="AC44" s="130">
        <f>AC$21*shipping_manufacturing!$D$28/100</f>
        <v>0</v>
      </c>
      <c r="AD44" s="130">
        <f>AD$21*shipping_manufacturing!$D$28/100</f>
        <v>0</v>
      </c>
      <c r="AE44" s="130">
        <f>AE$21*shipping_manufacturing!$D$28/100</f>
        <v>0</v>
      </c>
      <c r="AF44" s="130">
        <f>AF$21*shipping_manufacturing!$D$28/100</f>
        <v>0</v>
      </c>
      <c r="AG44" s="130">
        <f>AG$21*shipping_manufacturing!$D$28/100</f>
        <v>0</v>
      </c>
      <c r="AH44" s="130">
        <f>AH$21*shipping_manufacturing!$D$28/100</f>
        <v>0</v>
      </c>
      <c r="AI44" s="130">
        <f>AI$21*shipping_manufacturing!$D$28/100</f>
        <v>0</v>
      </c>
      <c r="AJ44" s="130">
        <f>AJ$21*shipping_manufacturing!$D$28/100</f>
        <v>0</v>
      </c>
      <c r="AK44" s="130">
        <f>AK$21*shipping_manufacturing!$D$28/100</f>
        <v>0</v>
      </c>
      <c r="AL44" s="130">
        <f>AL$21*shipping_manufacturing!$D$28/100</f>
        <v>0</v>
      </c>
      <c r="AM44" s="130">
        <f>AM$21*shipping_manufacturing!$D$28/100</f>
        <v>0</v>
      </c>
      <c r="AN44" s="130">
        <f>AN$21*shipping_manufacturing!$D$28/100</f>
        <v>0</v>
      </c>
      <c r="AO44" s="130">
        <f>AO$21*shipping_manufacturing!$D$28/100</f>
        <v>0</v>
      </c>
      <c r="AP44" s="130">
        <f>AP$21*shipping_manufacturing!$D$28/100</f>
        <v>0</v>
      </c>
      <c r="AQ44" s="130">
        <f>AQ$21*shipping_manufacturing!$D$28/100</f>
        <v>0</v>
      </c>
      <c r="AR44" s="130">
        <f>AR$21*shipping_manufacturing!$D$28/100</f>
        <v>0</v>
      </c>
      <c r="AS44" s="130">
        <f>AS$21*shipping_manufacturing!$D$28/100</f>
        <v>0</v>
      </c>
      <c r="AT44" s="130">
        <f>AT$21*shipping_manufacturing!$D$28/100</f>
        <v>0</v>
      </c>
      <c r="AU44" s="130">
        <f>AU$21*shipping_manufacturing!$D$28/100</f>
        <v>0</v>
      </c>
      <c r="AV44" s="130">
        <f>AV$21*shipping_manufacturing!$D$28/100</f>
        <v>0</v>
      </c>
      <c r="AW44" s="130">
        <f>AW$21*shipping_manufacturing!$D$28/100</f>
        <v>0</v>
      </c>
      <c r="AX44" s="130">
        <f>AX$21*shipping_manufacturing!$D$28/100</f>
        <v>0</v>
      </c>
      <c r="AY44" s="130">
        <f>AY$21*shipping_manufacturing!$D$28/100</f>
        <v>0</v>
      </c>
    </row>
    <row r="45" spans="1:52" x14ac:dyDescent="0.2">
      <c r="A45" s="119" t="s">
        <v>339</v>
      </c>
      <c r="B45" s="171" t="s">
        <v>341</v>
      </c>
      <c r="C45" s="116"/>
      <c r="D45" s="116">
        <f>D$22*shipping_manufacturing!$E$28/100</f>
        <v>0</v>
      </c>
      <c r="E45" s="116">
        <f>E$22*shipping_manufacturing!$E$28/100</f>
        <v>0</v>
      </c>
      <c r="F45" s="116">
        <f>F$22*shipping_manufacturing!$E$28/100</f>
        <v>0</v>
      </c>
      <c r="G45" s="116">
        <f>G$22*shipping_manufacturing!$E$28/100</f>
        <v>0</v>
      </c>
      <c r="H45" s="116">
        <f>H$22*shipping_manufacturing!$E$28/100</f>
        <v>0</v>
      </c>
      <c r="I45" s="116">
        <f>I$22*shipping_manufacturing!$E$28/100</f>
        <v>0</v>
      </c>
      <c r="J45" s="116">
        <f>J$22*shipping_manufacturing!$E$28/100</f>
        <v>0</v>
      </c>
      <c r="K45" s="116">
        <f>K$22*shipping_manufacturing!$E$28/100</f>
        <v>0</v>
      </c>
      <c r="L45" s="116">
        <f>L$22*shipping_manufacturing!$E$28/100</f>
        <v>0</v>
      </c>
      <c r="M45" s="116">
        <f>M$22*shipping_manufacturing!$E$28/100</f>
        <v>0</v>
      </c>
      <c r="N45" s="116">
        <f>N$22*shipping_manufacturing!$E$28/100</f>
        <v>0</v>
      </c>
      <c r="O45" s="116">
        <f>O$22*shipping_manufacturing!$E$28/100</f>
        <v>0</v>
      </c>
      <c r="P45" s="116">
        <f>P$22*shipping_manufacturing!$E$28/100</f>
        <v>0</v>
      </c>
      <c r="Q45" s="116">
        <f>Q$22*shipping_manufacturing!$E$28/100</f>
        <v>0</v>
      </c>
      <c r="R45" s="116">
        <f>R$22*shipping_manufacturing!$E$28/100</f>
        <v>0</v>
      </c>
      <c r="S45" s="116">
        <f>S$22*shipping_manufacturing!$E$28/100</f>
        <v>0</v>
      </c>
      <c r="T45" s="116">
        <f>T$22*shipping_manufacturing!$E$28/100</f>
        <v>0</v>
      </c>
      <c r="U45" s="116">
        <f>U$22*shipping_manufacturing!$E$28/100</f>
        <v>0</v>
      </c>
      <c r="V45" s="116">
        <f>V$22*shipping_manufacturing!$E$28/100</f>
        <v>0</v>
      </c>
      <c r="W45" s="116">
        <f>W$22*shipping_manufacturing!$E$28/100</f>
        <v>0</v>
      </c>
      <c r="X45" s="116">
        <f>X$22*shipping_manufacturing!$E$28/100</f>
        <v>0</v>
      </c>
      <c r="Y45" s="116">
        <f>Y$22*shipping_manufacturing!$E$28/100</f>
        <v>0</v>
      </c>
      <c r="Z45" s="116">
        <f>Z$22*shipping_manufacturing!$E$28/100</f>
        <v>0</v>
      </c>
      <c r="AA45" s="116">
        <f>AA$22*shipping_manufacturing!$E$28/100</f>
        <v>0</v>
      </c>
      <c r="AB45" s="116">
        <f>AB$22*shipping_manufacturing!$E$28/100</f>
        <v>0</v>
      </c>
      <c r="AC45" s="116">
        <f>AC$22*shipping_manufacturing!$E$28/100</f>
        <v>0</v>
      </c>
      <c r="AD45" s="116">
        <f>AD$22*shipping_manufacturing!$E$28/100</f>
        <v>0</v>
      </c>
      <c r="AE45" s="116">
        <f>AE$22*shipping_manufacturing!$E$28/100</f>
        <v>0</v>
      </c>
      <c r="AF45" s="116">
        <f>AF$22*shipping_manufacturing!$E$28/100</f>
        <v>0</v>
      </c>
      <c r="AG45" s="116">
        <f>AG$22*shipping_manufacturing!$E$28/100</f>
        <v>0</v>
      </c>
      <c r="AH45" s="116">
        <f>AH$22*shipping_manufacturing!$E$28/100</f>
        <v>0</v>
      </c>
      <c r="AI45" s="116">
        <f>AI$22*shipping_manufacturing!$E$28/100</f>
        <v>0</v>
      </c>
      <c r="AJ45" s="116">
        <f>AJ$22*shipping_manufacturing!$E$28/100</f>
        <v>0</v>
      </c>
      <c r="AK45" s="116">
        <f>AK$22*shipping_manufacturing!$E$28/100</f>
        <v>0</v>
      </c>
      <c r="AL45" s="116">
        <f>AL$22*shipping_manufacturing!$E$28/100</f>
        <v>0</v>
      </c>
      <c r="AM45" s="116">
        <f>AM$22*shipping_manufacturing!$E$28/100</f>
        <v>0</v>
      </c>
      <c r="AN45" s="116">
        <f>AN$22*shipping_manufacturing!$E$28/100</f>
        <v>0</v>
      </c>
      <c r="AO45" s="116">
        <f>AO$22*shipping_manufacturing!$E$28/100</f>
        <v>0</v>
      </c>
      <c r="AP45" s="116">
        <f>AP$22*shipping_manufacturing!$E$28/100</f>
        <v>0</v>
      </c>
      <c r="AQ45" s="116">
        <f>AQ$22*shipping_manufacturing!$E$28/100</f>
        <v>0</v>
      </c>
      <c r="AR45" s="116">
        <f>AR$22*shipping_manufacturing!$E$28/100</f>
        <v>0</v>
      </c>
      <c r="AS45" s="116">
        <f>AS$22*shipping_manufacturing!$E$28/100</f>
        <v>0</v>
      </c>
      <c r="AT45" s="116">
        <f>AT$22*shipping_manufacturing!$E$28/100</f>
        <v>0</v>
      </c>
      <c r="AU45" s="116">
        <f>AU$22*shipping_manufacturing!$E$28/100</f>
        <v>0</v>
      </c>
      <c r="AV45" s="116">
        <f>AV$22*shipping_manufacturing!$E$28/100</f>
        <v>0</v>
      </c>
      <c r="AW45" s="116">
        <f>AW$22*shipping_manufacturing!$E$28/100</f>
        <v>0</v>
      </c>
      <c r="AX45" s="116">
        <f>AX$22*shipping_manufacturing!$E$28/100</f>
        <v>0</v>
      </c>
      <c r="AY45" s="116">
        <f>AY$22*shipping_manufacturing!$E$28/100</f>
        <v>0</v>
      </c>
    </row>
    <row r="46" spans="1:52" x14ac:dyDescent="0.2">
      <c r="A46" s="116">
        <v>718</v>
      </c>
      <c r="B46" s="171" t="s">
        <v>342</v>
      </c>
      <c r="C46" s="116"/>
      <c r="D46" s="116">
        <f>SUM(D44:D45)</f>
        <v>0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343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344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345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346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347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348</v>
      </c>
      <c r="C52" s="116"/>
      <c r="D52" s="116">
        <v>2</v>
      </c>
      <c r="E52" s="116">
        <v>1</v>
      </c>
      <c r="F52" s="116">
        <v>1</v>
      </c>
      <c r="G52" s="116">
        <v>1</v>
      </c>
      <c r="H52" s="116">
        <v>2</v>
      </c>
      <c r="I52" s="116">
        <v>2</v>
      </c>
      <c r="J52" s="116">
        <v>2</v>
      </c>
      <c r="K52" s="116">
        <v>1</v>
      </c>
      <c r="L52" s="116">
        <v>2</v>
      </c>
      <c r="M52" s="116">
        <v>2</v>
      </c>
      <c r="N52" s="116">
        <v>3</v>
      </c>
      <c r="O52" s="116">
        <v>2</v>
      </c>
      <c r="P52" s="116">
        <v>2</v>
      </c>
      <c r="Q52" s="116">
        <v>1</v>
      </c>
      <c r="R52" s="116">
        <v>1</v>
      </c>
      <c r="S52" s="116">
        <v>1</v>
      </c>
      <c r="T52" s="116">
        <v>1</v>
      </c>
      <c r="U52" s="116">
        <v>2</v>
      </c>
      <c r="V52" s="116">
        <v>3</v>
      </c>
      <c r="W52" s="116">
        <v>1</v>
      </c>
      <c r="X52" s="116">
        <v>1</v>
      </c>
      <c r="Y52" s="116">
        <v>1</v>
      </c>
      <c r="Z52" s="116">
        <v>2</v>
      </c>
      <c r="AA52" s="116">
        <v>1</v>
      </c>
      <c r="AB52" s="116">
        <v>3</v>
      </c>
      <c r="AC52" s="116">
        <v>1</v>
      </c>
      <c r="AD52" s="116">
        <v>2</v>
      </c>
      <c r="AE52" s="116">
        <v>1</v>
      </c>
      <c r="AF52" s="116">
        <v>1</v>
      </c>
      <c r="AG52" s="116">
        <v>3</v>
      </c>
      <c r="AH52" s="116">
        <v>1</v>
      </c>
      <c r="AI52" s="116">
        <v>1</v>
      </c>
      <c r="AJ52" s="116">
        <v>3</v>
      </c>
      <c r="AK52" s="116">
        <v>2</v>
      </c>
      <c r="AL52" s="116">
        <v>1</v>
      </c>
      <c r="AM52" s="116">
        <v>1</v>
      </c>
      <c r="AN52" s="116">
        <v>1</v>
      </c>
      <c r="AO52" s="116">
        <v>2</v>
      </c>
      <c r="AP52" s="116">
        <v>2</v>
      </c>
      <c r="AQ52" s="116">
        <v>1</v>
      </c>
      <c r="AR52" s="116">
        <v>1</v>
      </c>
      <c r="AS52" s="116">
        <v>1</v>
      </c>
      <c r="AT52" s="116">
        <v>2</v>
      </c>
      <c r="AU52" s="116">
        <v>1</v>
      </c>
      <c r="AV52" s="116">
        <v>1</v>
      </c>
      <c r="AW52" s="116">
        <v>1</v>
      </c>
      <c r="AX52" s="116">
        <v>1</v>
      </c>
      <c r="AY52" s="116">
        <v>1</v>
      </c>
    </row>
    <row r="53" spans="1:52" x14ac:dyDescent="0.2">
      <c r="A53" s="116"/>
      <c r="B53" s="184" t="s">
        <v>349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350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10</v>
      </c>
      <c r="E2" s="116"/>
    </row>
    <row r="3" spans="1:52" x14ac:dyDescent="0.2">
      <c r="A3" s="106" t="s">
        <v>286</v>
      </c>
      <c r="B3" s="113">
        <v>6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1331.5215673033081</v>
      </c>
      <c r="E7" s="150">
        <v>1331.5215673033081</v>
      </c>
      <c r="F7" s="150">
        <v>1331.5215673033081</v>
      </c>
      <c r="G7" s="150">
        <v>1331.5215673033081</v>
      </c>
      <c r="H7" s="150">
        <v>1206.8975255449561</v>
      </c>
      <c r="I7" s="150">
        <v>1331.5215673033081</v>
      </c>
      <c r="J7" s="150">
        <v>1005.3222010211941</v>
      </c>
      <c r="K7" s="150">
        <v>1331.5215673033081</v>
      </c>
      <c r="L7" s="150">
        <v>1331.5215673033081</v>
      </c>
      <c r="M7" s="150">
        <v>1331.5215673033081</v>
      </c>
      <c r="N7" s="150">
        <v>1331.5215673033081</v>
      </c>
      <c r="O7" s="150">
        <v>1331.5215673033081</v>
      </c>
      <c r="P7" s="150">
        <v>1331.5215673033081</v>
      </c>
      <c r="Q7" s="150">
        <v>1331.5215673033081</v>
      </c>
      <c r="R7" s="150">
        <v>1331.5215673033081</v>
      </c>
      <c r="S7" s="150">
        <v>1331.5215673033081</v>
      </c>
      <c r="T7" s="150">
        <v>1331.5215673033081</v>
      </c>
      <c r="U7" s="150">
        <v>1331.5215673033081</v>
      </c>
      <c r="V7" s="150">
        <v>1331.5215673033081</v>
      </c>
      <c r="W7" s="150">
        <v>1331.5215673033081</v>
      </c>
      <c r="X7" s="150">
        <v>1331.5215673033081</v>
      </c>
      <c r="Y7" s="150">
        <v>1331.5215673033081</v>
      </c>
      <c r="Z7" s="150">
        <v>1331.5215673033081</v>
      </c>
      <c r="AA7" s="150">
        <v>1331.5215673033081</v>
      </c>
      <c r="AB7" s="150">
        <v>1331.5215673033081</v>
      </c>
      <c r="AC7" s="150">
        <v>1331.5215673033081</v>
      </c>
      <c r="AD7" s="150">
        <v>1331.5215673033081</v>
      </c>
      <c r="AE7" s="150">
        <v>1331.5215673033081</v>
      </c>
      <c r="AF7" s="150">
        <v>1331.5215673033081</v>
      </c>
      <c r="AG7" s="150">
        <v>1331.5215673033081</v>
      </c>
      <c r="AH7" s="150">
        <v>1331.5215673033081</v>
      </c>
      <c r="AI7" s="150">
        <v>1331.5215673033081</v>
      </c>
      <c r="AJ7" s="150">
        <v>1009.0118468384117</v>
      </c>
      <c r="AK7" s="150">
        <v>1331.5215673033081</v>
      </c>
      <c r="AL7" s="150">
        <v>1331.5215673033081</v>
      </c>
      <c r="AM7" s="150">
        <v>1331.5215673033081</v>
      </c>
      <c r="AN7" s="150">
        <v>1331.5215673033081</v>
      </c>
      <c r="AO7" s="150">
        <v>1331.5215673033081</v>
      </c>
      <c r="AP7" s="150">
        <v>1331.5215673033081</v>
      </c>
      <c r="AQ7" s="150">
        <v>1226.5384369715694</v>
      </c>
      <c r="AR7" s="150">
        <v>1227.0560120132777</v>
      </c>
      <c r="AS7" s="150">
        <v>1227.5700866450416</v>
      </c>
      <c r="AT7" s="150">
        <v>1228.0805779137117</v>
      </c>
      <c r="AU7" s="150">
        <v>1228.5874034589478</v>
      </c>
      <c r="AV7" s="150">
        <v>1229.090481528001</v>
      </c>
      <c r="AW7" s="150">
        <v>1010.7031581262979</v>
      </c>
      <c r="AX7" s="150">
        <v>1331.5215673033081</v>
      </c>
      <c r="AY7" s="150">
        <v>1331.5215673033081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1325.5215673033081</v>
      </c>
      <c r="E10" s="150">
        <f t="shared" si="0"/>
        <v>1325.5215673033081</v>
      </c>
      <c r="F10" s="150">
        <f t="shared" si="0"/>
        <v>1325.5215673033081</v>
      </c>
      <c r="G10" s="150">
        <f t="shared" si="0"/>
        <v>1325.5215673033081</v>
      </c>
      <c r="H10" s="150">
        <f t="shared" si="0"/>
        <v>1200.8975255449561</v>
      </c>
      <c r="I10" s="150">
        <f t="shared" si="0"/>
        <v>1325.5215673033081</v>
      </c>
      <c r="J10" s="150">
        <f t="shared" si="0"/>
        <v>999.32220102119413</v>
      </c>
      <c r="K10" s="150">
        <f t="shared" si="0"/>
        <v>1325.5215673033081</v>
      </c>
      <c r="L10" s="150">
        <f t="shared" si="0"/>
        <v>1325.5215673033081</v>
      </c>
      <c r="M10" s="150">
        <f t="shared" si="0"/>
        <v>1325.5215673033081</v>
      </c>
      <c r="N10" s="150">
        <f t="shared" si="0"/>
        <v>1325.5215673033081</v>
      </c>
      <c r="O10" s="150">
        <f t="shared" si="0"/>
        <v>1325.5215673033081</v>
      </c>
      <c r="P10" s="150">
        <f t="shared" si="0"/>
        <v>1325.5215673033081</v>
      </c>
      <c r="Q10" s="150">
        <f t="shared" si="0"/>
        <v>1325.5215673033081</v>
      </c>
      <c r="R10" s="150">
        <f t="shared" si="0"/>
        <v>1325.5215673033081</v>
      </c>
      <c r="S10" s="150">
        <f t="shared" si="0"/>
        <v>1325.5215673033081</v>
      </c>
      <c r="T10" s="150">
        <f t="shared" si="0"/>
        <v>1325.5215673033081</v>
      </c>
      <c r="U10" s="150">
        <f t="shared" si="0"/>
        <v>1325.5215673033081</v>
      </c>
      <c r="V10" s="150">
        <f t="shared" si="0"/>
        <v>1325.5215673033081</v>
      </c>
      <c r="W10" s="150">
        <f t="shared" si="0"/>
        <v>1325.5215673033081</v>
      </c>
      <c r="X10" s="150">
        <f t="shared" si="0"/>
        <v>1325.5215673033081</v>
      </c>
      <c r="Y10" s="150">
        <f t="shared" si="0"/>
        <v>1325.5215673033081</v>
      </c>
      <c r="Z10" s="150">
        <f t="shared" si="0"/>
        <v>1325.5215673033081</v>
      </c>
      <c r="AA10" s="150">
        <f t="shared" si="0"/>
        <v>1325.5215673033081</v>
      </c>
      <c r="AB10" s="150">
        <f t="shared" si="0"/>
        <v>1325.5215673033081</v>
      </c>
      <c r="AC10" s="150">
        <f t="shared" si="0"/>
        <v>1325.5215673033081</v>
      </c>
      <c r="AD10" s="150">
        <f t="shared" si="0"/>
        <v>1325.5215673033081</v>
      </c>
      <c r="AE10" s="150">
        <f t="shared" si="0"/>
        <v>1325.5215673033081</v>
      </c>
      <c r="AF10" s="150">
        <f t="shared" si="0"/>
        <v>1325.5215673033081</v>
      </c>
      <c r="AG10" s="150">
        <f t="shared" si="0"/>
        <v>1325.5215673033081</v>
      </c>
      <c r="AH10" s="150">
        <f t="shared" si="0"/>
        <v>1325.5215673033081</v>
      </c>
      <c r="AI10" s="150">
        <f t="shared" si="0"/>
        <v>1325.5215673033081</v>
      </c>
      <c r="AJ10" s="150">
        <f t="shared" si="0"/>
        <v>1003.0118468384117</v>
      </c>
      <c r="AK10" s="150">
        <f t="shared" si="0"/>
        <v>1325.5215673033081</v>
      </c>
      <c r="AL10" s="150">
        <f t="shared" si="0"/>
        <v>1325.5215673033081</v>
      </c>
      <c r="AM10" s="150">
        <f t="shared" si="0"/>
        <v>1325.5215673033081</v>
      </c>
      <c r="AN10" s="150">
        <f t="shared" si="0"/>
        <v>1325.5215673033081</v>
      </c>
      <c r="AO10" s="150">
        <f t="shared" si="0"/>
        <v>1325.5215673033081</v>
      </c>
      <c r="AP10" s="150">
        <f t="shared" si="0"/>
        <v>1325.5215673033081</v>
      </c>
      <c r="AQ10" s="150">
        <f t="shared" si="0"/>
        <v>1220.5384369715694</v>
      </c>
      <c r="AR10" s="150">
        <f t="shared" si="0"/>
        <v>1221.0560120132777</v>
      </c>
      <c r="AS10" s="150">
        <f t="shared" si="0"/>
        <v>1221.5700866450416</v>
      </c>
      <c r="AT10" s="150">
        <f t="shared" si="0"/>
        <v>1222.0805779137117</v>
      </c>
      <c r="AU10" s="150">
        <f t="shared" si="0"/>
        <v>1222.5874034589478</v>
      </c>
      <c r="AV10" s="150">
        <f t="shared" si="0"/>
        <v>1223.090481528001</v>
      </c>
      <c r="AW10" s="150">
        <f t="shared" si="0"/>
        <v>1004.7031581262979</v>
      </c>
      <c r="AX10" s="150">
        <f t="shared" si="0"/>
        <v>1325.5215673033081</v>
      </c>
      <c r="AY10" s="150">
        <f t="shared" si="0"/>
        <v>1325.5215673033081</v>
      </c>
      <c r="AZ10" s="157">
        <f>SUM($D10:$AY10)</f>
        <v>61908.677287587147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13</v>
      </c>
      <c r="D13" s="144">
        <f t="shared" ref="D13:AY13" si="1">D$7-D$10</f>
        <v>6</v>
      </c>
      <c r="E13" s="144">
        <f t="shared" si="1"/>
        <v>6</v>
      </c>
      <c r="F13" s="144">
        <f t="shared" si="1"/>
        <v>6</v>
      </c>
      <c r="G13" s="144">
        <f t="shared" si="1"/>
        <v>6</v>
      </c>
      <c r="H13" s="144">
        <f t="shared" si="1"/>
        <v>6</v>
      </c>
      <c r="I13" s="144">
        <f t="shared" si="1"/>
        <v>6</v>
      </c>
      <c r="J13" s="144">
        <f t="shared" si="1"/>
        <v>6</v>
      </c>
      <c r="K13" s="144">
        <f t="shared" si="1"/>
        <v>6</v>
      </c>
      <c r="L13" s="144">
        <f t="shared" si="1"/>
        <v>6</v>
      </c>
      <c r="M13" s="144">
        <f t="shared" si="1"/>
        <v>6</v>
      </c>
      <c r="N13" s="144">
        <f t="shared" si="1"/>
        <v>6</v>
      </c>
      <c r="O13" s="144">
        <f t="shared" si="1"/>
        <v>6</v>
      </c>
      <c r="P13" s="144">
        <f t="shared" si="1"/>
        <v>6</v>
      </c>
      <c r="Q13" s="144">
        <f t="shared" si="1"/>
        <v>6</v>
      </c>
      <c r="R13" s="144">
        <f t="shared" si="1"/>
        <v>6</v>
      </c>
      <c r="S13" s="144">
        <f t="shared" si="1"/>
        <v>6</v>
      </c>
      <c r="T13" s="144">
        <f t="shared" si="1"/>
        <v>6</v>
      </c>
      <c r="U13" s="144">
        <f t="shared" si="1"/>
        <v>6</v>
      </c>
      <c r="V13" s="144">
        <f t="shared" si="1"/>
        <v>6</v>
      </c>
      <c r="W13" s="144">
        <f t="shared" si="1"/>
        <v>6</v>
      </c>
      <c r="X13" s="144">
        <f t="shared" si="1"/>
        <v>6</v>
      </c>
      <c r="Y13" s="144">
        <f t="shared" si="1"/>
        <v>6</v>
      </c>
      <c r="Z13" s="144">
        <f t="shared" si="1"/>
        <v>6</v>
      </c>
      <c r="AA13" s="144">
        <f t="shared" si="1"/>
        <v>6</v>
      </c>
      <c r="AB13" s="144">
        <f t="shared" si="1"/>
        <v>6</v>
      </c>
      <c r="AC13" s="144">
        <f t="shared" si="1"/>
        <v>6</v>
      </c>
      <c r="AD13" s="144">
        <f t="shared" si="1"/>
        <v>6</v>
      </c>
      <c r="AE13" s="144">
        <f t="shared" si="1"/>
        <v>6</v>
      </c>
      <c r="AF13" s="144">
        <f t="shared" si="1"/>
        <v>6</v>
      </c>
      <c r="AG13" s="144">
        <f t="shared" si="1"/>
        <v>6</v>
      </c>
      <c r="AH13" s="144">
        <f t="shared" si="1"/>
        <v>6</v>
      </c>
      <c r="AI13" s="144">
        <f t="shared" si="1"/>
        <v>6</v>
      </c>
      <c r="AJ13" s="144">
        <f t="shared" si="1"/>
        <v>6</v>
      </c>
      <c r="AK13" s="144">
        <f t="shared" si="1"/>
        <v>6</v>
      </c>
      <c r="AL13" s="144">
        <f t="shared" si="1"/>
        <v>6</v>
      </c>
      <c r="AM13" s="144">
        <f t="shared" si="1"/>
        <v>6</v>
      </c>
      <c r="AN13" s="144">
        <f t="shared" si="1"/>
        <v>6</v>
      </c>
      <c r="AO13" s="144">
        <f t="shared" si="1"/>
        <v>6</v>
      </c>
      <c r="AP13" s="144">
        <f t="shared" si="1"/>
        <v>6</v>
      </c>
      <c r="AQ13" s="144">
        <f t="shared" si="1"/>
        <v>6</v>
      </c>
      <c r="AR13" s="144">
        <f t="shared" si="1"/>
        <v>6</v>
      </c>
      <c r="AS13" s="144">
        <f t="shared" si="1"/>
        <v>6</v>
      </c>
      <c r="AT13" s="144">
        <f t="shared" si="1"/>
        <v>6</v>
      </c>
      <c r="AU13" s="144">
        <f t="shared" si="1"/>
        <v>6</v>
      </c>
      <c r="AV13" s="144">
        <f t="shared" si="1"/>
        <v>6</v>
      </c>
      <c r="AW13" s="144">
        <f t="shared" si="1"/>
        <v>6</v>
      </c>
      <c r="AX13" s="144">
        <f t="shared" si="1"/>
        <v>6</v>
      </c>
      <c r="AY13" s="144">
        <f t="shared" si="1"/>
        <v>6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shipping_manufacturing!$E$19/100</f>
        <v>1</v>
      </c>
      <c r="C21" s="162" t="s">
        <v>293</v>
      </c>
      <c r="D21" s="112">
        <f>IF(C$20="Yes",0,SUM(C$13:C$16)*$B$21)</f>
        <v>13</v>
      </c>
      <c r="E21" s="112">
        <f t="shared" ref="E21:AY21" si="3">IF(D$20="Yes",0,SUM(D$13:D$16)*$B$21)</f>
        <v>6</v>
      </c>
      <c r="F21" s="112">
        <f t="shared" si="3"/>
        <v>6</v>
      </c>
      <c r="G21" s="112">
        <f t="shared" si="3"/>
        <v>6</v>
      </c>
      <c r="H21" s="112">
        <f t="shared" si="3"/>
        <v>6</v>
      </c>
      <c r="I21" s="112">
        <f t="shared" si="3"/>
        <v>6</v>
      </c>
      <c r="J21" s="112">
        <f t="shared" si="3"/>
        <v>6</v>
      </c>
      <c r="K21" s="112">
        <f t="shared" si="3"/>
        <v>6</v>
      </c>
      <c r="L21" s="112">
        <f t="shared" si="3"/>
        <v>6</v>
      </c>
      <c r="M21" s="112">
        <f t="shared" si="3"/>
        <v>6</v>
      </c>
      <c r="N21" s="112">
        <f t="shared" si="3"/>
        <v>6</v>
      </c>
      <c r="O21" s="112">
        <f t="shared" si="3"/>
        <v>6</v>
      </c>
      <c r="P21" s="112">
        <f t="shared" si="3"/>
        <v>6</v>
      </c>
      <c r="Q21" s="112">
        <f t="shared" si="3"/>
        <v>6</v>
      </c>
      <c r="R21" s="112">
        <f t="shared" si="3"/>
        <v>6</v>
      </c>
      <c r="S21" s="112">
        <f t="shared" si="3"/>
        <v>6</v>
      </c>
      <c r="T21" s="112">
        <f t="shared" si="3"/>
        <v>6</v>
      </c>
      <c r="U21" s="112">
        <f t="shared" si="3"/>
        <v>6</v>
      </c>
      <c r="V21" s="112">
        <f t="shared" si="3"/>
        <v>6</v>
      </c>
      <c r="W21" s="112">
        <f t="shared" si="3"/>
        <v>6</v>
      </c>
      <c r="X21" s="112">
        <f t="shared" si="3"/>
        <v>6</v>
      </c>
      <c r="Y21" s="112">
        <f t="shared" si="3"/>
        <v>6</v>
      </c>
      <c r="Z21" s="112">
        <f t="shared" si="3"/>
        <v>6</v>
      </c>
      <c r="AA21" s="112">
        <f t="shared" si="3"/>
        <v>6</v>
      </c>
      <c r="AB21" s="112">
        <f t="shared" si="3"/>
        <v>6</v>
      </c>
      <c r="AC21" s="112">
        <f t="shared" si="3"/>
        <v>6</v>
      </c>
      <c r="AD21" s="112">
        <f t="shared" si="3"/>
        <v>6</v>
      </c>
      <c r="AE21" s="112">
        <f t="shared" si="3"/>
        <v>6</v>
      </c>
      <c r="AF21" s="112">
        <f t="shared" si="3"/>
        <v>6</v>
      </c>
      <c r="AG21" s="112">
        <f t="shared" si="3"/>
        <v>6</v>
      </c>
      <c r="AH21" s="112">
        <f t="shared" si="3"/>
        <v>6</v>
      </c>
      <c r="AI21" s="112">
        <f t="shared" si="3"/>
        <v>6</v>
      </c>
      <c r="AJ21" s="112">
        <f t="shared" si="3"/>
        <v>6</v>
      </c>
      <c r="AK21" s="112">
        <f t="shared" si="3"/>
        <v>6</v>
      </c>
      <c r="AL21" s="112">
        <f t="shared" si="3"/>
        <v>6</v>
      </c>
      <c r="AM21" s="112">
        <f t="shared" si="3"/>
        <v>6</v>
      </c>
      <c r="AN21" s="112">
        <f t="shared" si="3"/>
        <v>6</v>
      </c>
      <c r="AO21" s="112">
        <f t="shared" si="3"/>
        <v>6</v>
      </c>
      <c r="AP21" s="112">
        <f t="shared" si="3"/>
        <v>6</v>
      </c>
      <c r="AQ21" s="112">
        <f t="shared" si="3"/>
        <v>6</v>
      </c>
      <c r="AR21" s="112">
        <f t="shared" si="3"/>
        <v>6</v>
      </c>
      <c r="AS21" s="112">
        <f t="shared" si="3"/>
        <v>6</v>
      </c>
      <c r="AT21" s="112">
        <f t="shared" si="3"/>
        <v>6</v>
      </c>
      <c r="AU21" s="112">
        <f t="shared" si="3"/>
        <v>6</v>
      </c>
      <c r="AV21" s="112">
        <f t="shared" si="3"/>
        <v>6</v>
      </c>
      <c r="AW21" s="112">
        <f t="shared" si="3"/>
        <v>6</v>
      </c>
      <c r="AX21" s="112">
        <f t="shared" si="3"/>
        <v>6</v>
      </c>
      <c r="AY21" s="112">
        <f t="shared" si="3"/>
        <v>6</v>
      </c>
      <c r="AZ21" s="163">
        <f>SUM($D21:$AY21)</f>
        <v>295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26000</v>
      </c>
      <c r="E23" s="106">
        <f t="shared" ref="E23:AY23" si="6">E$21*$B$23</f>
        <v>12000</v>
      </c>
      <c r="F23" s="106">
        <f t="shared" si="6"/>
        <v>12000</v>
      </c>
      <c r="G23" s="106">
        <f t="shared" si="6"/>
        <v>12000</v>
      </c>
      <c r="H23" s="106">
        <f t="shared" si="6"/>
        <v>12000</v>
      </c>
      <c r="I23" s="106">
        <f t="shared" si="6"/>
        <v>12000</v>
      </c>
      <c r="J23" s="106">
        <f t="shared" si="6"/>
        <v>12000</v>
      </c>
      <c r="K23" s="106">
        <f t="shared" si="6"/>
        <v>12000</v>
      </c>
      <c r="L23" s="106">
        <f t="shared" si="6"/>
        <v>12000</v>
      </c>
      <c r="M23" s="106">
        <f t="shared" si="6"/>
        <v>12000</v>
      </c>
      <c r="N23" s="106">
        <f t="shared" si="6"/>
        <v>12000</v>
      </c>
      <c r="O23" s="106">
        <f t="shared" si="6"/>
        <v>12000</v>
      </c>
      <c r="P23" s="106">
        <f t="shared" si="6"/>
        <v>12000</v>
      </c>
      <c r="Q23" s="106">
        <f t="shared" si="6"/>
        <v>12000</v>
      </c>
      <c r="R23" s="106">
        <f t="shared" si="6"/>
        <v>12000</v>
      </c>
      <c r="S23" s="106">
        <f t="shared" si="6"/>
        <v>12000</v>
      </c>
      <c r="T23" s="106">
        <f t="shared" si="6"/>
        <v>12000</v>
      </c>
      <c r="U23" s="106">
        <f t="shared" si="6"/>
        <v>12000</v>
      </c>
      <c r="V23" s="106">
        <f t="shared" si="6"/>
        <v>12000</v>
      </c>
      <c r="W23" s="106">
        <f t="shared" si="6"/>
        <v>12000</v>
      </c>
      <c r="X23" s="106">
        <f t="shared" si="6"/>
        <v>12000</v>
      </c>
      <c r="Y23" s="106">
        <f t="shared" si="6"/>
        <v>12000</v>
      </c>
      <c r="Z23" s="106">
        <f t="shared" si="6"/>
        <v>12000</v>
      </c>
      <c r="AA23" s="106">
        <f t="shared" si="6"/>
        <v>12000</v>
      </c>
      <c r="AB23" s="106">
        <f t="shared" si="6"/>
        <v>12000</v>
      </c>
      <c r="AC23" s="106">
        <f t="shared" si="6"/>
        <v>12000</v>
      </c>
      <c r="AD23" s="106">
        <f t="shared" si="6"/>
        <v>12000</v>
      </c>
      <c r="AE23" s="106">
        <f t="shared" si="6"/>
        <v>12000</v>
      </c>
      <c r="AF23" s="106">
        <f t="shared" si="6"/>
        <v>12000</v>
      </c>
      <c r="AG23" s="106">
        <f t="shared" si="6"/>
        <v>12000</v>
      </c>
      <c r="AH23" s="106">
        <f t="shared" si="6"/>
        <v>12000</v>
      </c>
      <c r="AI23" s="106">
        <f t="shared" si="6"/>
        <v>12000</v>
      </c>
      <c r="AJ23" s="106">
        <f t="shared" si="6"/>
        <v>12000</v>
      </c>
      <c r="AK23" s="106">
        <f t="shared" si="6"/>
        <v>12000</v>
      </c>
      <c r="AL23" s="106">
        <f t="shared" si="6"/>
        <v>12000</v>
      </c>
      <c r="AM23" s="106">
        <f t="shared" si="6"/>
        <v>12000</v>
      </c>
      <c r="AN23" s="106">
        <f t="shared" si="6"/>
        <v>12000</v>
      </c>
      <c r="AO23" s="106">
        <f t="shared" si="6"/>
        <v>12000</v>
      </c>
      <c r="AP23" s="106">
        <f t="shared" si="6"/>
        <v>12000</v>
      </c>
      <c r="AQ23" s="106">
        <f t="shared" si="6"/>
        <v>12000</v>
      </c>
      <c r="AR23" s="106">
        <f t="shared" si="6"/>
        <v>12000</v>
      </c>
      <c r="AS23" s="106">
        <f t="shared" si="6"/>
        <v>12000</v>
      </c>
      <c r="AT23" s="106">
        <f t="shared" si="6"/>
        <v>12000</v>
      </c>
      <c r="AU23" s="106">
        <f t="shared" si="6"/>
        <v>12000</v>
      </c>
      <c r="AV23" s="106">
        <f t="shared" si="6"/>
        <v>12000</v>
      </c>
      <c r="AW23" s="106">
        <f t="shared" si="6"/>
        <v>12000</v>
      </c>
      <c r="AX23" s="106">
        <f t="shared" si="6"/>
        <v>12000</v>
      </c>
      <c r="AY23" s="106">
        <f t="shared" si="6"/>
        <v>12000</v>
      </c>
      <c r="AZ23" s="145">
        <f t="shared" si="5"/>
        <v>590000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-1</v>
      </c>
      <c r="D27" s="130">
        <f>C$27-C$28+C$29</f>
        <v>-1</v>
      </c>
      <c r="E27" s="130">
        <f t="shared" ref="E27:AY27" si="8">D27-D28+D29</f>
        <v>0</v>
      </c>
      <c r="F27" s="130">
        <f t="shared" si="8"/>
        <v>0</v>
      </c>
      <c r="G27" s="130">
        <f t="shared" si="8"/>
        <v>0</v>
      </c>
      <c r="H27" s="130">
        <f t="shared" si="8"/>
        <v>0</v>
      </c>
      <c r="I27" s="130">
        <f t="shared" si="8"/>
        <v>0</v>
      </c>
      <c r="J27" s="130">
        <f t="shared" si="8"/>
        <v>0</v>
      </c>
      <c r="K27" s="130">
        <f t="shared" si="8"/>
        <v>0</v>
      </c>
      <c r="L27" s="130">
        <f t="shared" si="8"/>
        <v>0</v>
      </c>
      <c r="M27" s="130">
        <f t="shared" si="8"/>
        <v>0</v>
      </c>
      <c r="N27" s="130">
        <f t="shared" si="8"/>
        <v>0</v>
      </c>
      <c r="O27" s="130">
        <f t="shared" si="8"/>
        <v>0</v>
      </c>
      <c r="P27" s="130">
        <f t="shared" si="8"/>
        <v>0</v>
      </c>
      <c r="Q27" s="130">
        <f t="shared" si="8"/>
        <v>0</v>
      </c>
      <c r="R27" s="130">
        <f t="shared" si="8"/>
        <v>0</v>
      </c>
      <c r="S27" s="130">
        <f t="shared" si="8"/>
        <v>0</v>
      </c>
      <c r="T27" s="130">
        <f t="shared" si="8"/>
        <v>0</v>
      </c>
      <c r="U27" s="130">
        <f t="shared" si="8"/>
        <v>0</v>
      </c>
      <c r="V27" s="130">
        <f t="shared" si="8"/>
        <v>0</v>
      </c>
      <c r="W27" s="130">
        <f t="shared" si="8"/>
        <v>0</v>
      </c>
      <c r="X27" s="130">
        <f t="shared" si="8"/>
        <v>0</v>
      </c>
      <c r="Y27" s="130">
        <f t="shared" si="8"/>
        <v>0</v>
      </c>
      <c r="Z27" s="130">
        <f t="shared" si="8"/>
        <v>0</v>
      </c>
      <c r="AA27" s="130">
        <f t="shared" si="8"/>
        <v>0</v>
      </c>
      <c r="AB27" s="130">
        <f t="shared" si="8"/>
        <v>0</v>
      </c>
      <c r="AC27" s="130">
        <f t="shared" si="8"/>
        <v>0</v>
      </c>
      <c r="AD27" s="130">
        <f t="shared" si="8"/>
        <v>0</v>
      </c>
      <c r="AE27" s="130">
        <f t="shared" si="8"/>
        <v>0</v>
      </c>
      <c r="AF27" s="130">
        <f t="shared" si="8"/>
        <v>0</v>
      </c>
      <c r="AG27" s="130">
        <f t="shared" si="8"/>
        <v>0</v>
      </c>
      <c r="AH27" s="130">
        <f t="shared" si="8"/>
        <v>0</v>
      </c>
      <c r="AI27" s="130">
        <f t="shared" si="8"/>
        <v>0</v>
      </c>
      <c r="AJ27" s="130">
        <f t="shared" si="8"/>
        <v>0</v>
      </c>
      <c r="AK27" s="130">
        <f t="shared" si="8"/>
        <v>0</v>
      </c>
      <c r="AL27" s="130">
        <f t="shared" si="8"/>
        <v>0</v>
      </c>
      <c r="AM27" s="130">
        <f t="shared" si="8"/>
        <v>0</v>
      </c>
      <c r="AN27" s="130">
        <f t="shared" si="8"/>
        <v>0</v>
      </c>
      <c r="AO27" s="130">
        <f t="shared" si="8"/>
        <v>0</v>
      </c>
      <c r="AP27" s="130">
        <f t="shared" si="8"/>
        <v>0</v>
      </c>
      <c r="AQ27" s="130">
        <f t="shared" si="8"/>
        <v>0</v>
      </c>
      <c r="AR27" s="130">
        <f t="shared" si="8"/>
        <v>0</v>
      </c>
      <c r="AS27" s="130">
        <f t="shared" si="8"/>
        <v>0</v>
      </c>
      <c r="AT27" s="130">
        <f t="shared" si="8"/>
        <v>0</v>
      </c>
      <c r="AU27" s="130">
        <f t="shared" si="8"/>
        <v>0</v>
      </c>
      <c r="AV27" s="130">
        <f t="shared" si="8"/>
        <v>0</v>
      </c>
      <c r="AW27" s="130">
        <f t="shared" si="8"/>
        <v>0</v>
      </c>
      <c r="AX27" s="130">
        <f t="shared" si="8"/>
        <v>0</v>
      </c>
      <c r="AY27" s="170">
        <f t="shared" si="8"/>
        <v>0</v>
      </c>
      <c r="AZ27" s="112"/>
    </row>
    <row r="28" spans="1:52" x14ac:dyDescent="0.2">
      <c r="B28" s="171" t="s">
        <v>310</v>
      </c>
      <c r="C28" s="116">
        <v>1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72">
        <v>0</v>
      </c>
      <c r="AZ28" s="112"/>
    </row>
    <row r="29" spans="1:52" x14ac:dyDescent="0.2">
      <c r="B29" s="142" t="s">
        <v>311</v>
      </c>
      <c r="C29" s="131">
        <v>1</v>
      </c>
      <c r="D29" s="131">
        <f>C$28</f>
        <v>1</v>
      </c>
      <c r="E29" s="131">
        <f t="shared" ref="E29:AY29" si="9">D$28</f>
        <v>0</v>
      </c>
      <c r="F29" s="131">
        <f t="shared" si="9"/>
        <v>0</v>
      </c>
      <c r="G29" s="131">
        <f t="shared" si="9"/>
        <v>0</v>
      </c>
      <c r="H29" s="131">
        <f t="shared" si="9"/>
        <v>0</v>
      </c>
      <c r="I29" s="131">
        <f t="shared" si="9"/>
        <v>0</v>
      </c>
      <c r="J29" s="131">
        <f t="shared" si="9"/>
        <v>0</v>
      </c>
      <c r="K29" s="131">
        <f t="shared" si="9"/>
        <v>0</v>
      </c>
      <c r="L29" s="131">
        <f t="shared" si="9"/>
        <v>0</v>
      </c>
      <c r="M29" s="131">
        <f t="shared" si="9"/>
        <v>0</v>
      </c>
      <c r="N29" s="131">
        <f t="shared" si="9"/>
        <v>0</v>
      </c>
      <c r="O29" s="131">
        <f t="shared" si="9"/>
        <v>0</v>
      </c>
      <c r="P29" s="131">
        <f t="shared" si="9"/>
        <v>0</v>
      </c>
      <c r="Q29" s="131">
        <f t="shared" si="9"/>
        <v>0</v>
      </c>
      <c r="R29" s="131">
        <f t="shared" si="9"/>
        <v>0</v>
      </c>
      <c r="S29" s="131">
        <f t="shared" si="9"/>
        <v>0</v>
      </c>
      <c r="T29" s="131">
        <f t="shared" si="9"/>
        <v>0</v>
      </c>
      <c r="U29" s="131">
        <f t="shared" si="9"/>
        <v>0</v>
      </c>
      <c r="V29" s="131">
        <f t="shared" si="9"/>
        <v>0</v>
      </c>
      <c r="W29" s="131">
        <f t="shared" si="9"/>
        <v>0</v>
      </c>
      <c r="X29" s="131">
        <f t="shared" si="9"/>
        <v>0</v>
      </c>
      <c r="Y29" s="131">
        <f t="shared" si="9"/>
        <v>0</v>
      </c>
      <c r="Z29" s="131">
        <f t="shared" si="9"/>
        <v>0</v>
      </c>
      <c r="AA29" s="131">
        <f t="shared" si="9"/>
        <v>0</v>
      </c>
      <c r="AB29" s="131">
        <f t="shared" si="9"/>
        <v>0</v>
      </c>
      <c r="AC29" s="131">
        <f t="shared" si="9"/>
        <v>0</v>
      </c>
      <c r="AD29" s="131">
        <f t="shared" si="9"/>
        <v>0</v>
      </c>
      <c r="AE29" s="131">
        <f t="shared" si="9"/>
        <v>0</v>
      </c>
      <c r="AF29" s="131">
        <f t="shared" si="9"/>
        <v>0</v>
      </c>
      <c r="AG29" s="131">
        <f t="shared" si="9"/>
        <v>0</v>
      </c>
      <c r="AH29" s="131">
        <f t="shared" si="9"/>
        <v>0</v>
      </c>
      <c r="AI29" s="131">
        <f t="shared" si="9"/>
        <v>0</v>
      </c>
      <c r="AJ29" s="131">
        <f t="shared" si="9"/>
        <v>0</v>
      </c>
      <c r="AK29" s="131">
        <f t="shared" si="9"/>
        <v>0</v>
      </c>
      <c r="AL29" s="131">
        <f t="shared" si="9"/>
        <v>0</v>
      </c>
      <c r="AM29" s="131">
        <f t="shared" si="9"/>
        <v>0</v>
      </c>
      <c r="AN29" s="131">
        <f t="shared" si="9"/>
        <v>0</v>
      </c>
      <c r="AO29" s="131">
        <f t="shared" si="9"/>
        <v>0</v>
      </c>
      <c r="AP29" s="131">
        <f t="shared" si="9"/>
        <v>0</v>
      </c>
      <c r="AQ29" s="131">
        <f t="shared" si="9"/>
        <v>0</v>
      </c>
      <c r="AR29" s="131">
        <f t="shared" si="9"/>
        <v>0</v>
      </c>
      <c r="AS29" s="131">
        <f t="shared" si="9"/>
        <v>0</v>
      </c>
      <c r="AT29" s="131">
        <f t="shared" si="9"/>
        <v>0</v>
      </c>
      <c r="AU29" s="131">
        <f t="shared" si="9"/>
        <v>0</v>
      </c>
      <c r="AV29" s="131">
        <f t="shared" si="9"/>
        <v>0</v>
      </c>
      <c r="AW29" s="131">
        <f t="shared" si="9"/>
        <v>0</v>
      </c>
      <c r="AX29" s="131">
        <f t="shared" si="9"/>
        <v>0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-10</v>
      </c>
      <c r="E30" s="123">
        <f t="shared" ref="E30:AY30" si="10">E$27*$B$30</f>
        <v>0</v>
      </c>
      <c r="F30" s="123">
        <f t="shared" si="10"/>
        <v>0</v>
      </c>
      <c r="G30" s="123">
        <f t="shared" si="10"/>
        <v>0</v>
      </c>
      <c r="H30" s="123">
        <f t="shared" si="10"/>
        <v>0</v>
      </c>
      <c r="I30" s="123">
        <f t="shared" si="10"/>
        <v>0</v>
      </c>
      <c r="J30" s="123">
        <f t="shared" si="10"/>
        <v>0</v>
      </c>
      <c r="K30" s="123">
        <f t="shared" si="10"/>
        <v>0</v>
      </c>
      <c r="L30" s="123">
        <f t="shared" si="10"/>
        <v>0</v>
      </c>
      <c r="M30" s="123">
        <f t="shared" si="10"/>
        <v>0</v>
      </c>
      <c r="N30" s="123">
        <f t="shared" si="10"/>
        <v>0</v>
      </c>
      <c r="O30" s="123">
        <f t="shared" si="10"/>
        <v>0</v>
      </c>
      <c r="P30" s="123">
        <f t="shared" si="10"/>
        <v>0</v>
      </c>
      <c r="Q30" s="123">
        <f t="shared" si="10"/>
        <v>0</v>
      </c>
      <c r="R30" s="123">
        <f>R$27*$B$30</f>
        <v>0</v>
      </c>
      <c r="S30" s="123">
        <f t="shared" si="10"/>
        <v>0</v>
      </c>
      <c r="T30" s="123">
        <f t="shared" si="10"/>
        <v>0</v>
      </c>
      <c r="U30" s="123">
        <f t="shared" si="10"/>
        <v>0</v>
      </c>
      <c r="V30" s="123">
        <f t="shared" si="10"/>
        <v>0</v>
      </c>
      <c r="W30" s="123">
        <f t="shared" si="10"/>
        <v>0</v>
      </c>
      <c r="X30" s="123">
        <f t="shared" si="10"/>
        <v>0</v>
      </c>
      <c r="Y30" s="123">
        <f t="shared" si="10"/>
        <v>0</v>
      </c>
      <c r="Z30" s="123">
        <f t="shared" si="10"/>
        <v>0</v>
      </c>
      <c r="AA30" s="123">
        <f t="shared" si="10"/>
        <v>0</v>
      </c>
      <c r="AB30" s="123">
        <f t="shared" si="10"/>
        <v>0</v>
      </c>
      <c r="AC30" s="123">
        <f t="shared" si="10"/>
        <v>0</v>
      </c>
      <c r="AD30" s="123">
        <f t="shared" si="10"/>
        <v>0</v>
      </c>
      <c r="AE30" s="123">
        <f>AE$27*$B$30</f>
        <v>0</v>
      </c>
      <c r="AF30" s="123">
        <f t="shared" si="10"/>
        <v>0</v>
      </c>
      <c r="AG30" s="123">
        <f t="shared" si="10"/>
        <v>0</v>
      </c>
      <c r="AH30" s="123">
        <f t="shared" si="10"/>
        <v>0</v>
      </c>
      <c r="AI30" s="123">
        <f t="shared" si="10"/>
        <v>0</v>
      </c>
      <c r="AJ30" s="123">
        <f t="shared" si="10"/>
        <v>0</v>
      </c>
      <c r="AK30" s="123">
        <f t="shared" si="10"/>
        <v>0</v>
      </c>
      <c r="AL30" s="123">
        <f t="shared" si="10"/>
        <v>0</v>
      </c>
      <c r="AM30" s="123">
        <f t="shared" si="10"/>
        <v>0</v>
      </c>
      <c r="AN30" s="123">
        <f t="shared" si="10"/>
        <v>0</v>
      </c>
      <c r="AO30" s="123">
        <f t="shared" si="10"/>
        <v>0</v>
      </c>
      <c r="AP30" s="123">
        <f t="shared" si="10"/>
        <v>0</v>
      </c>
      <c r="AQ30" s="123">
        <f t="shared" si="10"/>
        <v>0</v>
      </c>
      <c r="AR30" s="123">
        <f t="shared" si="10"/>
        <v>0</v>
      </c>
      <c r="AS30" s="123">
        <f t="shared" si="10"/>
        <v>0</v>
      </c>
      <c r="AT30" s="123">
        <f t="shared" si="10"/>
        <v>0</v>
      </c>
      <c r="AU30" s="123">
        <f t="shared" si="10"/>
        <v>0</v>
      </c>
      <c r="AV30" s="123">
        <f t="shared" si="10"/>
        <v>0</v>
      </c>
      <c r="AW30" s="123">
        <f t="shared" si="10"/>
        <v>0</v>
      </c>
      <c r="AX30" s="123">
        <f t="shared" si="10"/>
        <v>0</v>
      </c>
      <c r="AY30" s="123">
        <f t="shared" si="10"/>
        <v>0</v>
      </c>
      <c r="AZ30" s="147">
        <f t="shared" si="5"/>
        <v>-10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340</v>
      </c>
      <c r="C33" s="130"/>
      <c r="D33" s="130">
        <f>D$21*shipping_manufacturing!$F$27/100</f>
        <v>0</v>
      </c>
      <c r="E33" s="130">
        <f>E$21*shipping_manufacturing!$F$27/100</f>
        <v>0</v>
      </c>
      <c r="F33" s="130">
        <f>F$21*shipping_manufacturing!$F$27/100</f>
        <v>0</v>
      </c>
      <c r="G33" s="130">
        <f>G$21*shipping_manufacturing!$F$27/100</f>
        <v>0</v>
      </c>
      <c r="H33" s="130">
        <f>H$21*shipping_manufacturing!$F$27/100</f>
        <v>0</v>
      </c>
      <c r="I33" s="130">
        <f>I$21*shipping_manufacturing!$F$27/100</f>
        <v>0</v>
      </c>
      <c r="J33" s="130">
        <f>J$21*shipping_manufacturing!$F$27/100</f>
        <v>0</v>
      </c>
      <c r="K33" s="130">
        <f>K$21*shipping_manufacturing!$F$27/100</f>
        <v>0</v>
      </c>
      <c r="L33" s="130">
        <f>L$21*shipping_manufacturing!$F$27/100</f>
        <v>0</v>
      </c>
      <c r="M33" s="130">
        <f>M$21*shipping_manufacturing!$F$27/100</f>
        <v>0</v>
      </c>
      <c r="N33" s="130">
        <f>N$21*shipping_manufacturing!$F$27/100</f>
        <v>0</v>
      </c>
      <c r="O33" s="130">
        <f>O$21*shipping_manufacturing!$F$27/100</f>
        <v>0</v>
      </c>
      <c r="P33" s="130">
        <f>P$21*shipping_manufacturing!$F$27/100</f>
        <v>0</v>
      </c>
      <c r="Q33" s="130">
        <f>Q$21*shipping_manufacturing!$F$27/100</f>
        <v>0</v>
      </c>
      <c r="R33" s="130">
        <f>R$21*shipping_manufacturing!$F$27/100</f>
        <v>0</v>
      </c>
      <c r="S33" s="130">
        <f>S$21*shipping_manufacturing!$F$27/100</f>
        <v>0</v>
      </c>
      <c r="T33" s="130">
        <f>T$21*shipping_manufacturing!$F$27/100</f>
        <v>0</v>
      </c>
      <c r="U33" s="130">
        <f>U$21*shipping_manufacturing!$F$27/100</f>
        <v>0</v>
      </c>
      <c r="V33" s="130">
        <f>V$21*shipping_manufacturing!$F$27/100</f>
        <v>0</v>
      </c>
      <c r="W33" s="130">
        <f>W$21*shipping_manufacturing!$F$27/100</f>
        <v>0</v>
      </c>
      <c r="X33" s="130">
        <f>X$21*shipping_manufacturing!$F$27/100</f>
        <v>0</v>
      </c>
      <c r="Y33" s="130">
        <f>Y$21*shipping_manufacturing!$F$27/100</f>
        <v>0</v>
      </c>
      <c r="Z33" s="130">
        <f>Z$21*shipping_manufacturing!$F$27/100</f>
        <v>0</v>
      </c>
      <c r="AA33" s="130">
        <f>AA$21*shipping_manufacturing!$F$27/100</f>
        <v>0</v>
      </c>
      <c r="AB33" s="130">
        <f>AB$21*shipping_manufacturing!$F$27/100</f>
        <v>0</v>
      </c>
      <c r="AC33" s="130">
        <f>AC$21*shipping_manufacturing!$F$27/100</f>
        <v>0</v>
      </c>
      <c r="AD33" s="130">
        <f>AD$21*shipping_manufacturing!$F$27/100</f>
        <v>0</v>
      </c>
      <c r="AE33" s="130">
        <f>AE$21*shipping_manufacturing!$F$27/100</f>
        <v>0</v>
      </c>
      <c r="AF33" s="130">
        <f>AF$21*shipping_manufacturing!$F$27/100</f>
        <v>0</v>
      </c>
      <c r="AG33" s="130">
        <f>AG$21*shipping_manufacturing!$F$27/100</f>
        <v>0</v>
      </c>
      <c r="AH33" s="130">
        <f>AH$21*shipping_manufacturing!$F$27/100</f>
        <v>0</v>
      </c>
      <c r="AI33" s="130">
        <f>AI$21*shipping_manufacturing!$F$27/100</f>
        <v>0</v>
      </c>
      <c r="AJ33" s="130">
        <f>AJ$21*shipping_manufacturing!$F$27/100</f>
        <v>0</v>
      </c>
      <c r="AK33" s="130">
        <f>AK$21*shipping_manufacturing!$F$27/100</f>
        <v>0</v>
      </c>
      <c r="AL33" s="130">
        <f>AL$21*shipping_manufacturing!$F$27/100</f>
        <v>0</v>
      </c>
      <c r="AM33" s="130">
        <f>AM$21*shipping_manufacturing!$F$27/100</f>
        <v>0</v>
      </c>
      <c r="AN33" s="130">
        <f>AN$21*shipping_manufacturing!$F$27/100</f>
        <v>0</v>
      </c>
      <c r="AO33" s="130">
        <f>AO$21*shipping_manufacturing!$F$27/100</f>
        <v>0</v>
      </c>
      <c r="AP33" s="130">
        <f>AP$21*shipping_manufacturing!$F$27/100</f>
        <v>0</v>
      </c>
      <c r="AQ33" s="130">
        <f>AQ$21*shipping_manufacturing!$F$27/100</f>
        <v>0</v>
      </c>
      <c r="AR33" s="130">
        <f>AR$21*shipping_manufacturing!$F$27/100</f>
        <v>0</v>
      </c>
      <c r="AS33" s="130">
        <f>AS$21*shipping_manufacturing!$F$27/100</f>
        <v>0</v>
      </c>
      <c r="AT33" s="130">
        <f>AT$21*shipping_manufacturing!$F$27/100</f>
        <v>0</v>
      </c>
      <c r="AU33" s="130">
        <f>AU$21*shipping_manufacturing!$F$27/100</f>
        <v>0</v>
      </c>
      <c r="AV33" s="130">
        <f>AV$21*shipping_manufacturing!$F$27/100</f>
        <v>0</v>
      </c>
      <c r="AW33" s="130">
        <f>AW$21*shipping_manufacturing!$F$27/100</f>
        <v>0</v>
      </c>
      <c r="AX33" s="130">
        <f>AX$21*shipping_manufacturing!$F$27/100</f>
        <v>0</v>
      </c>
      <c r="AY33" s="130">
        <f>AY$21*shipping_manufacturing!$F$27/100</f>
        <v>0</v>
      </c>
    </row>
    <row r="34" spans="1:52" x14ac:dyDescent="0.2">
      <c r="A34" s="119" t="s">
        <v>339</v>
      </c>
      <c r="B34" s="171" t="s">
        <v>341</v>
      </c>
      <c r="C34" s="116"/>
      <c r="D34" s="116">
        <f>D$22*shipping_manufacturing!$G$27/100</f>
        <v>0</v>
      </c>
      <c r="E34" s="116">
        <f>E$22*shipping_manufacturing!$G$27/100</f>
        <v>0</v>
      </c>
      <c r="F34" s="116">
        <f>F$22*shipping_manufacturing!$G$27/100</f>
        <v>0</v>
      </c>
      <c r="G34" s="116">
        <f>G$22*shipping_manufacturing!$G$27/100</f>
        <v>0</v>
      </c>
      <c r="H34" s="116">
        <f>H$22*shipping_manufacturing!$G$27/100</f>
        <v>0</v>
      </c>
      <c r="I34" s="116">
        <f>I$22*shipping_manufacturing!$G$27/100</f>
        <v>0</v>
      </c>
      <c r="J34" s="116">
        <f>J$22*shipping_manufacturing!$G$27/100</f>
        <v>0</v>
      </c>
      <c r="K34" s="116">
        <f>K$22*shipping_manufacturing!$G$27/100</f>
        <v>0</v>
      </c>
      <c r="L34" s="116">
        <f>L$22*shipping_manufacturing!$G$27/100</f>
        <v>0</v>
      </c>
      <c r="M34" s="116">
        <f>M$22*shipping_manufacturing!$G$27/100</f>
        <v>0</v>
      </c>
      <c r="N34" s="116">
        <f>N$22*shipping_manufacturing!$G$27/100</f>
        <v>0</v>
      </c>
      <c r="O34" s="116">
        <f>O$22*shipping_manufacturing!$G$27/100</f>
        <v>0</v>
      </c>
      <c r="P34" s="116">
        <f>P$22*shipping_manufacturing!$G$27/100</f>
        <v>0</v>
      </c>
      <c r="Q34" s="116">
        <f>Q$22*shipping_manufacturing!$G$27/100</f>
        <v>0</v>
      </c>
      <c r="R34" s="116">
        <f>R$22*shipping_manufacturing!$G$27/100</f>
        <v>0</v>
      </c>
      <c r="S34" s="116">
        <f>S$22*shipping_manufacturing!$G$27/100</f>
        <v>0</v>
      </c>
      <c r="T34" s="116">
        <f>T$22*shipping_manufacturing!$G$27/100</f>
        <v>0</v>
      </c>
      <c r="U34" s="116">
        <f>U$22*shipping_manufacturing!$G$27/100</f>
        <v>0</v>
      </c>
      <c r="V34" s="116">
        <f>V$22*shipping_manufacturing!$G$27/100</f>
        <v>0</v>
      </c>
      <c r="W34" s="116">
        <f>W$22*shipping_manufacturing!$G$27/100</f>
        <v>0</v>
      </c>
      <c r="X34" s="116">
        <f>X$22*shipping_manufacturing!$G$27/100</f>
        <v>0</v>
      </c>
      <c r="Y34" s="116">
        <f>Y$22*shipping_manufacturing!$G$27/100</f>
        <v>0</v>
      </c>
      <c r="Z34" s="116">
        <f>Z$22*shipping_manufacturing!$G$27/100</f>
        <v>0</v>
      </c>
      <c r="AA34" s="116">
        <f>AA$22*shipping_manufacturing!$G$27/100</f>
        <v>0</v>
      </c>
      <c r="AB34" s="116">
        <f>AB$22*shipping_manufacturing!$G$27/100</f>
        <v>0</v>
      </c>
      <c r="AC34" s="116">
        <f>AC$22*shipping_manufacturing!$G$27/100</f>
        <v>0</v>
      </c>
      <c r="AD34" s="116">
        <f>AD$22*shipping_manufacturing!$G$27/100</f>
        <v>0</v>
      </c>
      <c r="AE34" s="116">
        <f>AE$22*shipping_manufacturing!$G$27/100</f>
        <v>0</v>
      </c>
      <c r="AF34" s="116">
        <f>AF$22*shipping_manufacturing!$G$27/100</f>
        <v>0</v>
      </c>
      <c r="AG34" s="116">
        <f>AG$22*shipping_manufacturing!$G$27/100</f>
        <v>0</v>
      </c>
      <c r="AH34" s="116">
        <f>AH$22*shipping_manufacturing!$G$27/100</f>
        <v>0</v>
      </c>
      <c r="AI34" s="116">
        <f>AI$22*shipping_manufacturing!$G$27/100</f>
        <v>0</v>
      </c>
      <c r="AJ34" s="116">
        <f>AJ$22*shipping_manufacturing!$G$27/100</f>
        <v>0</v>
      </c>
      <c r="AK34" s="116">
        <f>AK$22*shipping_manufacturing!$G$27/100</f>
        <v>0</v>
      </c>
      <c r="AL34" s="116">
        <f>AL$22*shipping_manufacturing!$G$27/100</f>
        <v>0</v>
      </c>
      <c r="AM34" s="116">
        <f>AM$22*shipping_manufacturing!$G$27/100</f>
        <v>0</v>
      </c>
      <c r="AN34" s="116">
        <f>AN$22*shipping_manufacturing!$G$27/100</f>
        <v>0</v>
      </c>
      <c r="AO34" s="116">
        <f>AO$22*shipping_manufacturing!$G$27/100</f>
        <v>0</v>
      </c>
      <c r="AP34" s="116">
        <f>AP$22*shipping_manufacturing!$G$27/100</f>
        <v>0</v>
      </c>
      <c r="AQ34" s="116">
        <f>AQ$22*shipping_manufacturing!$G$27/100</f>
        <v>0</v>
      </c>
      <c r="AR34" s="116">
        <f>AR$22*shipping_manufacturing!$G$27/100</f>
        <v>0</v>
      </c>
      <c r="AS34" s="116">
        <f>AS$22*shipping_manufacturing!$G$27/100</f>
        <v>0</v>
      </c>
      <c r="AT34" s="116">
        <f>AT$22*shipping_manufacturing!$G$27/100</f>
        <v>0</v>
      </c>
      <c r="AU34" s="116">
        <f>AU$22*shipping_manufacturing!$G$27/100</f>
        <v>0</v>
      </c>
      <c r="AV34" s="116">
        <f>AV$22*shipping_manufacturing!$G$27/100</f>
        <v>0</v>
      </c>
      <c r="AW34" s="116">
        <f>AW$22*shipping_manufacturing!$G$27/100</f>
        <v>0</v>
      </c>
      <c r="AX34" s="116">
        <f>AX$22*shipping_manufacturing!$G$27/100</f>
        <v>0</v>
      </c>
      <c r="AY34" s="116">
        <f>AY$22*shipping_manufacturing!$G$27/100</f>
        <v>0</v>
      </c>
    </row>
    <row r="35" spans="1:52" x14ac:dyDescent="0.2">
      <c r="A35" s="116">
        <v>1225</v>
      </c>
      <c r="B35" s="171" t="s">
        <v>342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343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344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345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346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347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348</v>
      </c>
      <c r="C41" s="116"/>
      <c r="D41" s="116">
        <v>1</v>
      </c>
      <c r="E41" s="116">
        <v>1</v>
      </c>
      <c r="F41" s="116">
        <v>1</v>
      </c>
      <c r="G41" s="116">
        <v>1</v>
      </c>
      <c r="H41" s="116">
        <v>1</v>
      </c>
      <c r="I41" s="116">
        <v>1</v>
      </c>
      <c r="J41" s="116">
        <v>1</v>
      </c>
      <c r="K41" s="116">
        <v>1</v>
      </c>
      <c r="L41" s="116">
        <v>1</v>
      </c>
      <c r="M41" s="116">
        <v>1</v>
      </c>
      <c r="N41" s="116">
        <v>2</v>
      </c>
      <c r="O41" s="116">
        <v>1</v>
      </c>
      <c r="P41" s="116">
        <v>2</v>
      </c>
      <c r="Q41" s="116">
        <v>1</v>
      </c>
      <c r="R41" s="116">
        <v>1</v>
      </c>
      <c r="S41" s="116">
        <v>2</v>
      </c>
      <c r="T41" s="116">
        <v>1</v>
      </c>
      <c r="U41" s="116">
        <v>2</v>
      </c>
      <c r="V41" s="116">
        <v>2</v>
      </c>
      <c r="W41" s="116">
        <v>1</v>
      </c>
      <c r="X41" s="116">
        <v>1</v>
      </c>
      <c r="Y41" s="116">
        <v>1</v>
      </c>
      <c r="Z41" s="116">
        <v>2</v>
      </c>
      <c r="AA41" s="116">
        <v>2</v>
      </c>
      <c r="AB41" s="116">
        <v>1</v>
      </c>
      <c r="AC41" s="116">
        <v>1</v>
      </c>
      <c r="AD41" s="116">
        <v>1</v>
      </c>
      <c r="AE41" s="116">
        <v>2</v>
      </c>
      <c r="AF41" s="116">
        <v>2</v>
      </c>
      <c r="AG41" s="116">
        <v>2</v>
      </c>
      <c r="AH41" s="116">
        <v>1</v>
      </c>
      <c r="AI41" s="116">
        <v>1</v>
      </c>
      <c r="AJ41" s="116">
        <v>1</v>
      </c>
      <c r="AK41" s="116">
        <v>2</v>
      </c>
      <c r="AL41" s="116">
        <v>2</v>
      </c>
      <c r="AM41" s="116">
        <v>2</v>
      </c>
      <c r="AN41" s="116">
        <v>1</v>
      </c>
      <c r="AO41" s="116">
        <v>1</v>
      </c>
      <c r="AP41" s="116">
        <v>2</v>
      </c>
      <c r="AQ41" s="116">
        <v>2</v>
      </c>
      <c r="AR41" s="116">
        <v>1</v>
      </c>
      <c r="AS41" s="116">
        <v>1</v>
      </c>
      <c r="AT41" s="116">
        <v>2</v>
      </c>
      <c r="AU41" s="116">
        <v>2</v>
      </c>
      <c r="AV41" s="116">
        <v>2</v>
      </c>
      <c r="AW41" s="116">
        <v>2</v>
      </c>
      <c r="AX41" s="116">
        <v>2</v>
      </c>
      <c r="AY41" s="116">
        <v>2</v>
      </c>
    </row>
    <row r="42" spans="1:52" x14ac:dyDescent="0.2">
      <c r="A42" s="116"/>
      <c r="B42" s="184" t="s">
        <v>349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350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340</v>
      </c>
      <c r="C44" s="130"/>
      <c r="D44" s="130">
        <f>D$21*shipping_manufacturing!$F$28/100</f>
        <v>13</v>
      </c>
      <c r="E44" s="130">
        <f>E$21*shipping_manufacturing!$F$28/100</f>
        <v>6</v>
      </c>
      <c r="F44" s="130">
        <f>F$21*shipping_manufacturing!$F$28/100</f>
        <v>6</v>
      </c>
      <c r="G44" s="130">
        <f>G$21*shipping_manufacturing!$F$28/100</f>
        <v>6</v>
      </c>
      <c r="H44" s="130">
        <f>H$21*shipping_manufacturing!$F$28/100</f>
        <v>6</v>
      </c>
      <c r="I44" s="130">
        <f>I$21*shipping_manufacturing!$F$28/100</f>
        <v>6</v>
      </c>
      <c r="J44" s="130">
        <f>J$21*shipping_manufacturing!$F$28/100</f>
        <v>6</v>
      </c>
      <c r="K44" s="130">
        <f>K$21*shipping_manufacturing!$F$28/100</f>
        <v>6</v>
      </c>
      <c r="L44" s="130">
        <f>L$21*shipping_manufacturing!$F$28/100</f>
        <v>6</v>
      </c>
      <c r="M44" s="130">
        <f>M$21*shipping_manufacturing!$F$28/100</f>
        <v>6</v>
      </c>
      <c r="N44" s="130">
        <f>N$21*shipping_manufacturing!$F$28/100</f>
        <v>6</v>
      </c>
      <c r="O44" s="130">
        <f>O$21*shipping_manufacturing!$F$28/100</f>
        <v>6</v>
      </c>
      <c r="P44" s="130">
        <f>P$21*shipping_manufacturing!$F$28/100</f>
        <v>6</v>
      </c>
      <c r="Q44" s="130">
        <f>Q$21*shipping_manufacturing!$F$28/100</f>
        <v>6</v>
      </c>
      <c r="R44" s="130">
        <f>R$21*shipping_manufacturing!$F$28/100</f>
        <v>6</v>
      </c>
      <c r="S44" s="130">
        <f>S$21*shipping_manufacturing!$F$28/100</f>
        <v>6</v>
      </c>
      <c r="T44" s="130">
        <f>T$21*shipping_manufacturing!$F$28/100</f>
        <v>6</v>
      </c>
      <c r="U44" s="130">
        <f>U$21*shipping_manufacturing!$F$28/100</f>
        <v>6</v>
      </c>
      <c r="V44" s="130">
        <f>V$21*shipping_manufacturing!$F$28/100</f>
        <v>6</v>
      </c>
      <c r="W44" s="130">
        <f>W$21*shipping_manufacturing!$F$28/100</f>
        <v>6</v>
      </c>
      <c r="X44" s="130">
        <f>X$21*shipping_manufacturing!$F$28/100</f>
        <v>6</v>
      </c>
      <c r="Y44" s="130">
        <f>Y$21*shipping_manufacturing!$F$28/100</f>
        <v>6</v>
      </c>
      <c r="Z44" s="130">
        <f>Z$21*shipping_manufacturing!$F$28/100</f>
        <v>6</v>
      </c>
      <c r="AA44" s="130">
        <f>AA$21*shipping_manufacturing!$F$28/100</f>
        <v>6</v>
      </c>
      <c r="AB44" s="130">
        <f>AB$21*shipping_manufacturing!$F$28/100</f>
        <v>6</v>
      </c>
      <c r="AC44" s="130">
        <f>AC$21*shipping_manufacturing!$F$28/100</f>
        <v>6</v>
      </c>
      <c r="AD44" s="130">
        <f>AD$21*shipping_manufacturing!$F$28/100</f>
        <v>6</v>
      </c>
      <c r="AE44" s="130">
        <f>AE$21*shipping_manufacturing!$F$28/100</f>
        <v>6</v>
      </c>
      <c r="AF44" s="130">
        <f>AF$21*shipping_manufacturing!$F$28/100</f>
        <v>6</v>
      </c>
      <c r="AG44" s="130">
        <f>AG$21*shipping_manufacturing!$F$28/100</f>
        <v>6</v>
      </c>
      <c r="AH44" s="130">
        <f>AH$21*shipping_manufacturing!$F$28/100</f>
        <v>6</v>
      </c>
      <c r="AI44" s="130">
        <f>AI$21*shipping_manufacturing!$F$28/100</f>
        <v>6</v>
      </c>
      <c r="AJ44" s="130">
        <f>AJ$21*shipping_manufacturing!$F$28/100</f>
        <v>6</v>
      </c>
      <c r="AK44" s="130">
        <f>AK$21*shipping_manufacturing!$F$28/100</f>
        <v>6</v>
      </c>
      <c r="AL44" s="130">
        <f>AL$21*shipping_manufacturing!$F$28/100</f>
        <v>6</v>
      </c>
      <c r="AM44" s="130">
        <f>AM$21*shipping_manufacturing!$F$28/100</f>
        <v>6</v>
      </c>
      <c r="AN44" s="130">
        <f>AN$21*shipping_manufacturing!$F$28/100</f>
        <v>6</v>
      </c>
      <c r="AO44" s="130">
        <f>AO$21*shipping_manufacturing!$F$28/100</f>
        <v>6</v>
      </c>
      <c r="AP44" s="130">
        <f>AP$21*shipping_manufacturing!$F$28/100</f>
        <v>6</v>
      </c>
      <c r="AQ44" s="130">
        <f>AQ$21*shipping_manufacturing!$F$28/100</f>
        <v>6</v>
      </c>
      <c r="AR44" s="130">
        <f>AR$21*shipping_manufacturing!$F$28/100</f>
        <v>6</v>
      </c>
      <c r="AS44" s="130">
        <f>AS$21*shipping_manufacturing!$F$28/100</f>
        <v>6</v>
      </c>
      <c r="AT44" s="130">
        <f>AT$21*shipping_manufacturing!$F$28/100</f>
        <v>6</v>
      </c>
      <c r="AU44" s="130">
        <f>AU$21*shipping_manufacturing!$F$28/100</f>
        <v>6</v>
      </c>
      <c r="AV44" s="130">
        <f>AV$21*shipping_manufacturing!$F$28/100</f>
        <v>6</v>
      </c>
      <c r="AW44" s="130">
        <f>AW$21*shipping_manufacturing!$F$28/100</f>
        <v>6</v>
      </c>
      <c r="AX44" s="130">
        <f>AX$21*shipping_manufacturing!$F$28/100</f>
        <v>6</v>
      </c>
      <c r="AY44" s="130">
        <f>AY$21*shipping_manufacturing!$F$28/100</f>
        <v>6</v>
      </c>
    </row>
    <row r="45" spans="1:52" x14ac:dyDescent="0.2">
      <c r="A45" s="119" t="s">
        <v>339</v>
      </c>
      <c r="B45" s="171" t="s">
        <v>341</v>
      </c>
      <c r="C45" s="116"/>
      <c r="D45" s="116">
        <f>D$22*shipping_manufacturing!$G$28/100</f>
        <v>0</v>
      </c>
      <c r="E45" s="116">
        <f>E$22*shipping_manufacturing!$G$28/100</f>
        <v>0</v>
      </c>
      <c r="F45" s="116">
        <f>F$22*shipping_manufacturing!$G$28/100</f>
        <v>0</v>
      </c>
      <c r="G45" s="116">
        <f>G$22*shipping_manufacturing!$G$28/100</f>
        <v>0</v>
      </c>
      <c r="H45" s="116">
        <f>H$22*shipping_manufacturing!$G$28/100</f>
        <v>0</v>
      </c>
      <c r="I45" s="116">
        <f>I$22*shipping_manufacturing!$G$28/100</f>
        <v>0</v>
      </c>
      <c r="J45" s="116">
        <f>J$22*shipping_manufacturing!$G$28/100</f>
        <v>0</v>
      </c>
      <c r="K45" s="116">
        <f>K$22*shipping_manufacturing!$G$28/100</f>
        <v>0</v>
      </c>
      <c r="L45" s="116">
        <f>L$22*shipping_manufacturing!$G$28/100</f>
        <v>0</v>
      </c>
      <c r="M45" s="116">
        <f>M$22*shipping_manufacturing!$G$28/100</f>
        <v>0</v>
      </c>
      <c r="N45" s="116">
        <f>N$22*shipping_manufacturing!$G$28/100</f>
        <v>0</v>
      </c>
      <c r="O45" s="116">
        <f>O$22*shipping_manufacturing!$G$28/100</f>
        <v>0</v>
      </c>
      <c r="P45" s="116">
        <f>P$22*shipping_manufacturing!$G$28/100</f>
        <v>0</v>
      </c>
      <c r="Q45" s="116">
        <f>Q$22*shipping_manufacturing!$G$28/100</f>
        <v>0</v>
      </c>
      <c r="R45" s="116">
        <f>R$22*shipping_manufacturing!$G$28/100</f>
        <v>0</v>
      </c>
      <c r="S45" s="116">
        <f>S$22*shipping_manufacturing!$G$28/100</f>
        <v>0</v>
      </c>
      <c r="T45" s="116">
        <f>T$22*shipping_manufacturing!$G$28/100</f>
        <v>0</v>
      </c>
      <c r="U45" s="116">
        <f>U$22*shipping_manufacturing!$G$28/100</f>
        <v>0</v>
      </c>
      <c r="V45" s="116">
        <f>V$22*shipping_manufacturing!$G$28/100</f>
        <v>0</v>
      </c>
      <c r="W45" s="116">
        <f>W$22*shipping_manufacturing!$G$28/100</f>
        <v>0</v>
      </c>
      <c r="X45" s="116">
        <f>X$22*shipping_manufacturing!$G$28/100</f>
        <v>0</v>
      </c>
      <c r="Y45" s="116">
        <f>Y$22*shipping_manufacturing!$G$28/100</f>
        <v>0</v>
      </c>
      <c r="Z45" s="116">
        <f>Z$22*shipping_manufacturing!$G$28/100</f>
        <v>0</v>
      </c>
      <c r="AA45" s="116">
        <f>AA$22*shipping_manufacturing!$G$28/100</f>
        <v>0</v>
      </c>
      <c r="AB45" s="116">
        <f>AB$22*shipping_manufacturing!$G$28/100</f>
        <v>0</v>
      </c>
      <c r="AC45" s="116">
        <f>AC$22*shipping_manufacturing!$G$28/100</f>
        <v>0</v>
      </c>
      <c r="AD45" s="116">
        <f>AD$22*shipping_manufacturing!$G$28/100</f>
        <v>0</v>
      </c>
      <c r="AE45" s="116">
        <f>AE$22*shipping_manufacturing!$G$28/100</f>
        <v>0</v>
      </c>
      <c r="AF45" s="116">
        <f>AF$22*shipping_manufacturing!$G$28/100</f>
        <v>0</v>
      </c>
      <c r="AG45" s="116">
        <f>AG$22*shipping_manufacturing!$G$28/100</f>
        <v>0</v>
      </c>
      <c r="AH45" s="116">
        <f>AH$22*shipping_manufacturing!$G$28/100</f>
        <v>0</v>
      </c>
      <c r="AI45" s="116">
        <f>AI$22*shipping_manufacturing!$G$28/100</f>
        <v>0</v>
      </c>
      <c r="AJ45" s="116">
        <f>AJ$22*shipping_manufacturing!$G$28/100</f>
        <v>0</v>
      </c>
      <c r="AK45" s="116">
        <f>AK$22*shipping_manufacturing!$G$28/100</f>
        <v>0</v>
      </c>
      <c r="AL45" s="116">
        <f>AL$22*shipping_manufacturing!$G$28/100</f>
        <v>0</v>
      </c>
      <c r="AM45" s="116">
        <f>AM$22*shipping_manufacturing!$G$28/100</f>
        <v>0</v>
      </c>
      <c r="AN45" s="116">
        <f>AN$22*shipping_manufacturing!$G$28/100</f>
        <v>0</v>
      </c>
      <c r="AO45" s="116">
        <f>AO$22*shipping_manufacturing!$G$28/100</f>
        <v>0</v>
      </c>
      <c r="AP45" s="116">
        <f>AP$22*shipping_manufacturing!$G$28/100</f>
        <v>0</v>
      </c>
      <c r="AQ45" s="116">
        <f>AQ$22*shipping_manufacturing!$G$28/100</f>
        <v>0</v>
      </c>
      <c r="AR45" s="116">
        <f>AR$22*shipping_manufacturing!$G$28/100</f>
        <v>0</v>
      </c>
      <c r="AS45" s="116">
        <f>AS$22*shipping_manufacturing!$G$28/100</f>
        <v>0</v>
      </c>
      <c r="AT45" s="116">
        <f>AT$22*shipping_manufacturing!$G$28/100</f>
        <v>0</v>
      </c>
      <c r="AU45" s="116">
        <f>AU$22*shipping_manufacturing!$G$28/100</f>
        <v>0</v>
      </c>
      <c r="AV45" s="116">
        <f>AV$22*shipping_manufacturing!$G$28/100</f>
        <v>0</v>
      </c>
      <c r="AW45" s="116">
        <f>AW$22*shipping_manufacturing!$G$28/100</f>
        <v>0</v>
      </c>
      <c r="AX45" s="116">
        <f>AX$22*shipping_manufacturing!$G$28/100</f>
        <v>0</v>
      </c>
      <c r="AY45" s="116">
        <f>AY$22*shipping_manufacturing!$G$28/100</f>
        <v>0</v>
      </c>
    </row>
    <row r="46" spans="1:52" x14ac:dyDescent="0.2">
      <c r="A46" s="116">
        <v>2339</v>
      </c>
      <c r="B46" s="171" t="s">
        <v>342</v>
      </c>
      <c r="C46" s="116"/>
      <c r="D46" s="116">
        <f>SUM(D44:D45)</f>
        <v>13</v>
      </c>
      <c r="E46" s="116">
        <f t="shared" ref="E46:AY46" si="14">SUM(E44:E45)</f>
        <v>6</v>
      </c>
      <c r="F46" s="116">
        <f t="shared" si="14"/>
        <v>6</v>
      </c>
      <c r="G46" s="116">
        <f t="shared" si="14"/>
        <v>6</v>
      </c>
      <c r="H46" s="116">
        <f t="shared" si="14"/>
        <v>6</v>
      </c>
      <c r="I46" s="116">
        <f t="shared" si="14"/>
        <v>6</v>
      </c>
      <c r="J46" s="116">
        <f t="shared" si="14"/>
        <v>6</v>
      </c>
      <c r="K46" s="116">
        <f t="shared" si="14"/>
        <v>6</v>
      </c>
      <c r="L46" s="116">
        <f t="shared" si="14"/>
        <v>6</v>
      </c>
      <c r="M46" s="116">
        <f t="shared" si="14"/>
        <v>6</v>
      </c>
      <c r="N46" s="116">
        <f t="shared" si="14"/>
        <v>6</v>
      </c>
      <c r="O46" s="116">
        <f t="shared" si="14"/>
        <v>6</v>
      </c>
      <c r="P46" s="116">
        <f t="shared" si="14"/>
        <v>6</v>
      </c>
      <c r="Q46" s="116">
        <f t="shared" si="14"/>
        <v>6</v>
      </c>
      <c r="R46" s="116">
        <f t="shared" si="14"/>
        <v>6</v>
      </c>
      <c r="S46" s="116">
        <f t="shared" si="14"/>
        <v>6</v>
      </c>
      <c r="T46" s="116">
        <f t="shared" si="14"/>
        <v>6</v>
      </c>
      <c r="U46" s="116">
        <f t="shared" si="14"/>
        <v>6</v>
      </c>
      <c r="V46" s="116">
        <f t="shared" si="14"/>
        <v>6</v>
      </c>
      <c r="W46" s="116">
        <f t="shared" si="14"/>
        <v>6</v>
      </c>
      <c r="X46" s="116">
        <f t="shared" si="14"/>
        <v>6</v>
      </c>
      <c r="Y46" s="116">
        <f t="shared" si="14"/>
        <v>6</v>
      </c>
      <c r="Z46" s="116">
        <f t="shared" si="14"/>
        <v>6</v>
      </c>
      <c r="AA46" s="116">
        <f t="shared" si="14"/>
        <v>6</v>
      </c>
      <c r="AB46" s="116">
        <f t="shared" si="14"/>
        <v>6</v>
      </c>
      <c r="AC46" s="116">
        <f t="shared" si="14"/>
        <v>6</v>
      </c>
      <c r="AD46" s="116">
        <f t="shared" si="14"/>
        <v>6</v>
      </c>
      <c r="AE46" s="116">
        <f t="shared" si="14"/>
        <v>6</v>
      </c>
      <c r="AF46" s="116">
        <f t="shared" si="14"/>
        <v>6</v>
      </c>
      <c r="AG46" s="116">
        <f t="shared" si="14"/>
        <v>6</v>
      </c>
      <c r="AH46" s="116">
        <f t="shared" si="14"/>
        <v>6</v>
      </c>
      <c r="AI46" s="116">
        <f t="shared" si="14"/>
        <v>6</v>
      </c>
      <c r="AJ46" s="116">
        <f t="shared" si="14"/>
        <v>6</v>
      </c>
      <c r="AK46" s="116">
        <f t="shared" si="14"/>
        <v>6</v>
      </c>
      <c r="AL46" s="116">
        <f t="shared" si="14"/>
        <v>6</v>
      </c>
      <c r="AM46" s="116">
        <f t="shared" si="14"/>
        <v>6</v>
      </c>
      <c r="AN46" s="116">
        <f t="shared" si="14"/>
        <v>6</v>
      </c>
      <c r="AO46" s="116">
        <f t="shared" si="14"/>
        <v>6</v>
      </c>
      <c r="AP46" s="116">
        <f t="shared" si="14"/>
        <v>6</v>
      </c>
      <c r="AQ46" s="116">
        <f t="shared" si="14"/>
        <v>6</v>
      </c>
      <c r="AR46" s="116">
        <f t="shared" si="14"/>
        <v>6</v>
      </c>
      <c r="AS46" s="116">
        <f t="shared" si="14"/>
        <v>6</v>
      </c>
      <c r="AT46" s="116">
        <f t="shared" si="14"/>
        <v>6</v>
      </c>
      <c r="AU46" s="116">
        <f t="shared" si="14"/>
        <v>6</v>
      </c>
      <c r="AV46" s="116">
        <f t="shared" si="14"/>
        <v>6</v>
      </c>
      <c r="AW46" s="116">
        <f t="shared" si="14"/>
        <v>6</v>
      </c>
      <c r="AX46" s="116">
        <f t="shared" si="14"/>
        <v>6</v>
      </c>
      <c r="AY46" s="116">
        <f t="shared" si="14"/>
        <v>6</v>
      </c>
    </row>
    <row r="47" spans="1:52" x14ac:dyDescent="0.2">
      <c r="A47" s="116"/>
      <c r="B47" s="171" t="s">
        <v>343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344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345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346</v>
      </c>
      <c r="C50" s="116"/>
      <c r="D50" s="116">
        <f>D44-D47</f>
        <v>13</v>
      </c>
      <c r="E50" s="116">
        <f t="shared" ref="E50:AY50" si="15">E44-E47</f>
        <v>6</v>
      </c>
      <c r="F50" s="116">
        <f t="shared" si="15"/>
        <v>6</v>
      </c>
      <c r="G50" s="116">
        <f t="shared" si="15"/>
        <v>6</v>
      </c>
      <c r="H50" s="116">
        <f t="shared" si="15"/>
        <v>6</v>
      </c>
      <c r="I50" s="116">
        <f t="shared" si="15"/>
        <v>6</v>
      </c>
      <c r="J50" s="116">
        <f t="shared" si="15"/>
        <v>6</v>
      </c>
      <c r="K50" s="116">
        <f t="shared" si="15"/>
        <v>6</v>
      </c>
      <c r="L50" s="116">
        <f t="shared" si="15"/>
        <v>6</v>
      </c>
      <c r="M50" s="116">
        <f t="shared" si="15"/>
        <v>6</v>
      </c>
      <c r="N50" s="116">
        <f t="shared" si="15"/>
        <v>6</v>
      </c>
      <c r="O50" s="116">
        <f t="shared" si="15"/>
        <v>6</v>
      </c>
      <c r="P50" s="116">
        <f t="shared" si="15"/>
        <v>6</v>
      </c>
      <c r="Q50" s="116">
        <f t="shared" si="15"/>
        <v>6</v>
      </c>
      <c r="R50" s="116">
        <f t="shared" si="15"/>
        <v>6</v>
      </c>
      <c r="S50" s="116">
        <f t="shared" si="15"/>
        <v>6</v>
      </c>
      <c r="T50" s="116">
        <f t="shared" si="15"/>
        <v>6</v>
      </c>
      <c r="U50" s="116">
        <f t="shared" si="15"/>
        <v>6</v>
      </c>
      <c r="V50" s="116">
        <f t="shared" si="15"/>
        <v>6</v>
      </c>
      <c r="W50" s="116">
        <f t="shared" si="15"/>
        <v>6</v>
      </c>
      <c r="X50" s="116">
        <f t="shared" si="15"/>
        <v>6</v>
      </c>
      <c r="Y50" s="116">
        <f t="shared" si="15"/>
        <v>6</v>
      </c>
      <c r="Z50" s="116">
        <f t="shared" si="15"/>
        <v>6</v>
      </c>
      <c r="AA50" s="116">
        <f t="shared" si="15"/>
        <v>6</v>
      </c>
      <c r="AB50" s="116">
        <f t="shared" si="15"/>
        <v>6</v>
      </c>
      <c r="AC50" s="116">
        <f t="shared" si="15"/>
        <v>6</v>
      </c>
      <c r="AD50" s="116">
        <f t="shared" si="15"/>
        <v>6</v>
      </c>
      <c r="AE50" s="116">
        <f t="shared" si="15"/>
        <v>6</v>
      </c>
      <c r="AF50" s="116">
        <f t="shared" si="15"/>
        <v>6</v>
      </c>
      <c r="AG50" s="116">
        <f t="shared" si="15"/>
        <v>6</v>
      </c>
      <c r="AH50" s="116">
        <f t="shared" si="15"/>
        <v>6</v>
      </c>
      <c r="AI50" s="116">
        <f t="shared" si="15"/>
        <v>6</v>
      </c>
      <c r="AJ50" s="116">
        <f t="shared" si="15"/>
        <v>6</v>
      </c>
      <c r="AK50" s="116">
        <f t="shared" si="15"/>
        <v>6</v>
      </c>
      <c r="AL50" s="116">
        <f t="shared" si="15"/>
        <v>6</v>
      </c>
      <c r="AM50" s="116">
        <f t="shared" si="15"/>
        <v>6</v>
      </c>
      <c r="AN50" s="116">
        <f t="shared" si="15"/>
        <v>6</v>
      </c>
      <c r="AO50" s="116">
        <f t="shared" si="15"/>
        <v>6</v>
      </c>
      <c r="AP50" s="116">
        <f t="shared" si="15"/>
        <v>6</v>
      </c>
      <c r="AQ50" s="116">
        <f t="shared" si="15"/>
        <v>6</v>
      </c>
      <c r="AR50" s="116">
        <f t="shared" si="15"/>
        <v>6</v>
      </c>
      <c r="AS50" s="116">
        <f t="shared" si="15"/>
        <v>6</v>
      </c>
      <c r="AT50" s="116">
        <f t="shared" si="15"/>
        <v>6</v>
      </c>
      <c r="AU50" s="116">
        <f t="shared" si="15"/>
        <v>6</v>
      </c>
      <c r="AV50" s="116">
        <f t="shared" si="15"/>
        <v>6</v>
      </c>
      <c r="AW50" s="116">
        <f t="shared" si="15"/>
        <v>6</v>
      </c>
      <c r="AX50" s="116">
        <f t="shared" si="15"/>
        <v>6</v>
      </c>
      <c r="AY50" s="116">
        <f t="shared" si="15"/>
        <v>6</v>
      </c>
    </row>
    <row r="51" spans="1:52" x14ac:dyDescent="0.2">
      <c r="A51" s="116"/>
      <c r="B51" s="171" t="s">
        <v>347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348</v>
      </c>
      <c r="C52" s="116"/>
      <c r="D52" s="116">
        <v>3</v>
      </c>
      <c r="E52" s="116">
        <v>4</v>
      </c>
      <c r="F52" s="116">
        <v>2</v>
      </c>
      <c r="G52" s="116">
        <v>2</v>
      </c>
      <c r="H52" s="116">
        <v>2</v>
      </c>
      <c r="I52" s="116">
        <v>2</v>
      </c>
      <c r="J52" s="116">
        <v>3</v>
      </c>
      <c r="K52" s="116">
        <v>2</v>
      </c>
      <c r="L52" s="116">
        <v>2</v>
      </c>
      <c r="M52" s="116">
        <v>2</v>
      </c>
      <c r="N52" s="116">
        <v>2</v>
      </c>
      <c r="O52" s="116">
        <v>4</v>
      </c>
      <c r="P52" s="116">
        <v>2</v>
      </c>
      <c r="Q52" s="116">
        <v>3</v>
      </c>
      <c r="R52" s="116">
        <v>2</v>
      </c>
      <c r="S52" s="116">
        <v>2</v>
      </c>
      <c r="T52" s="116">
        <v>2</v>
      </c>
      <c r="U52" s="116">
        <v>3</v>
      </c>
      <c r="V52" s="116">
        <v>3</v>
      </c>
      <c r="W52" s="116">
        <v>3</v>
      </c>
      <c r="X52" s="116">
        <v>4</v>
      </c>
      <c r="Y52" s="116">
        <v>2</v>
      </c>
      <c r="Z52" s="116">
        <v>3</v>
      </c>
      <c r="AA52" s="116">
        <v>2</v>
      </c>
      <c r="AB52" s="116">
        <v>2</v>
      </c>
      <c r="AC52" s="116">
        <v>2</v>
      </c>
      <c r="AD52" s="116">
        <v>4</v>
      </c>
      <c r="AE52" s="116">
        <v>3</v>
      </c>
      <c r="AF52" s="116">
        <v>4</v>
      </c>
      <c r="AG52" s="116">
        <v>3</v>
      </c>
      <c r="AH52" s="116">
        <v>2</v>
      </c>
      <c r="AI52" s="116">
        <v>3</v>
      </c>
      <c r="AJ52" s="116">
        <v>2</v>
      </c>
      <c r="AK52" s="116">
        <v>3</v>
      </c>
      <c r="AL52" s="116">
        <v>3</v>
      </c>
      <c r="AM52" s="116">
        <v>2</v>
      </c>
      <c r="AN52" s="116">
        <v>2</v>
      </c>
      <c r="AO52" s="116">
        <v>3</v>
      </c>
      <c r="AP52" s="116">
        <v>4</v>
      </c>
      <c r="AQ52" s="116">
        <v>2</v>
      </c>
      <c r="AR52" s="116">
        <v>2</v>
      </c>
      <c r="AS52" s="116">
        <v>2</v>
      </c>
      <c r="AT52" s="116">
        <v>2</v>
      </c>
      <c r="AU52" s="116">
        <v>4</v>
      </c>
      <c r="AV52" s="116">
        <v>3</v>
      </c>
      <c r="AW52" s="116">
        <v>2</v>
      </c>
      <c r="AX52" s="116">
        <v>2</v>
      </c>
      <c r="AY52" s="116">
        <v>2</v>
      </c>
    </row>
    <row r="53" spans="1:52" x14ac:dyDescent="0.2">
      <c r="A53" s="116"/>
      <c r="B53" s="184" t="s">
        <v>349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350</v>
      </c>
      <c r="C54" s="131"/>
      <c r="D54" s="131">
        <v>19764.55</v>
      </c>
      <c r="E54" s="131">
        <v>9122.1</v>
      </c>
      <c r="F54" s="131">
        <v>9122.1</v>
      </c>
      <c r="G54" s="131">
        <v>9122.1</v>
      </c>
      <c r="H54" s="131">
        <v>9122.1</v>
      </c>
      <c r="I54" s="131">
        <v>9122.1</v>
      </c>
      <c r="J54" s="131">
        <v>9122.1</v>
      </c>
      <c r="K54" s="131">
        <v>9122.1</v>
      </c>
      <c r="L54" s="131">
        <v>9122.1</v>
      </c>
      <c r="M54" s="131">
        <v>9122.1</v>
      </c>
      <c r="N54" s="131">
        <v>9122.1</v>
      </c>
      <c r="O54" s="131">
        <v>9122.1</v>
      </c>
      <c r="P54" s="131">
        <v>9122.1</v>
      </c>
      <c r="Q54" s="131">
        <v>9122.1</v>
      </c>
      <c r="R54" s="131">
        <v>9122.1</v>
      </c>
      <c r="S54" s="131">
        <v>9122.1</v>
      </c>
      <c r="T54" s="131">
        <v>9122.1</v>
      </c>
      <c r="U54" s="131">
        <v>9122.1</v>
      </c>
      <c r="V54" s="131">
        <v>9122.1</v>
      </c>
      <c r="W54" s="131">
        <v>9122.1</v>
      </c>
      <c r="X54" s="131">
        <v>9122.1</v>
      </c>
      <c r="Y54" s="131">
        <v>9122.1</v>
      </c>
      <c r="Z54" s="131">
        <v>9122.1</v>
      </c>
      <c r="AA54" s="131">
        <v>9122.1</v>
      </c>
      <c r="AB54" s="131">
        <v>9122.1</v>
      </c>
      <c r="AC54" s="131">
        <v>9122.1</v>
      </c>
      <c r="AD54" s="131">
        <v>9122.1</v>
      </c>
      <c r="AE54" s="131">
        <v>9122.1</v>
      </c>
      <c r="AF54" s="131">
        <v>9122.1</v>
      </c>
      <c r="AG54" s="131">
        <v>9122.1</v>
      </c>
      <c r="AH54" s="131">
        <v>9122.1</v>
      </c>
      <c r="AI54" s="131">
        <v>9122.1</v>
      </c>
      <c r="AJ54" s="131">
        <v>9122.1</v>
      </c>
      <c r="AK54" s="131">
        <v>9122.1</v>
      </c>
      <c r="AL54" s="131">
        <v>9122.1</v>
      </c>
      <c r="AM54" s="131">
        <v>9122.1</v>
      </c>
      <c r="AN54" s="131">
        <v>9122.1</v>
      </c>
      <c r="AO54" s="131">
        <v>9122.1</v>
      </c>
      <c r="AP54" s="131">
        <v>9122.1</v>
      </c>
      <c r="AQ54" s="131">
        <v>9122.1</v>
      </c>
      <c r="AR54" s="131">
        <v>9122.1</v>
      </c>
      <c r="AS54" s="131">
        <v>9122.1</v>
      </c>
      <c r="AT54" s="131">
        <v>9122.1</v>
      </c>
      <c r="AU54" s="131">
        <v>9122.1</v>
      </c>
      <c r="AV54" s="131">
        <v>9122.1</v>
      </c>
      <c r="AW54" s="131">
        <v>9122.1</v>
      </c>
      <c r="AX54" s="131">
        <v>9122.1</v>
      </c>
      <c r="AY54" s="131">
        <v>9122.1</v>
      </c>
      <c r="AZ54" s="106">
        <f>SUM($D$54:$AY$54)</f>
        <v>448503.24999999965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12</v>
      </c>
      <c r="E2" s="116"/>
    </row>
    <row r="3" spans="1:52" x14ac:dyDescent="0.2">
      <c r="A3" s="106" t="s">
        <v>286</v>
      </c>
      <c r="B3" s="113">
        <v>3813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3838.0605581057753</v>
      </c>
      <c r="E7" s="150">
        <v>3838.0605581057753</v>
      </c>
      <c r="F7" s="150">
        <v>3838.0605581057753</v>
      </c>
      <c r="G7" s="150">
        <v>3838.0605581057753</v>
      </c>
      <c r="H7" s="150">
        <v>3411.6093849829113</v>
      </c>
      <c r="I7" s="150">
        <v>3411.6093849829113</v>
      </c>
      <c r="J7" s="150">
        <v>3411.6093849829113</v>
      </c>
      <c r="K7" s="150">
        <v>3411.6093849829113</v>
      </c>
      <c r="L7" s="150">
        <v>3411.6093849829113</v>
      </c>
      <c r="M7" s="150">
        <v>3411.6093849829113</v>
      </c>
      <c r="N7" s="150">
        <v>3411.6093849829113</v>
      </c>
      <c r="O7" s="150">
        <v>3411.6093849829113</v>
      </c>
      <c r="P7" s="150">
        <v>3838.0605581057753</v>
      </c>
      <c r="Q7" s="150">
        <v>3838.0605581057753</v>
      </c>
      <c r="R7" s="150">
        <v>3838.0605581057753</v>
      </c>
      <c r="S7" s="150">
        <v>3838.0605581057753</v>
      </c>
      <c r="T7" s="150">
        <v>3411.6093849829113</v>
      </c>
      <c r="U7" s="150">
        <v>3411.6093849829113</v>
      </c>
      <c r="V7" s="150">
        <v>3411.6093849829113</v>
      </c>
      <c r="W7" s="150">
        <v>3411.6093849829113</v>
      </c>
      <c r="X7" s="150">
        <v>3411.6093849829113</v>
      </c>
      <c r="Y7" s="150">
        <v>3411.6093849829113</v>
      </c>
      <c r="Z7" s="150">
        <v>3411.6093849829113</v>
      </c>
      <c r="AA7" s="150">
        <v>3411.6093849829113</v>
      </c>
      <c r="AB7" s="150">
        <v>3838.0605581057753</v>
      </c>
      <c r="AC7" s="150">
        <v>3838.0605581057753</v>
      </c>
      <c r="AD7" s="150">
        <v>3838.0605581057753</v>
      </c>
      <c r="AE7" s="150">
        <v>3838.0605581057753</v>
      </c>
      <c r="AF7" s="150">
        <v>3411.6093849829113</v>
      </c>
      <c r="AG7" s="150">
        <v>3411.6093849829113</v>
      </c>
      <c r="AH7" s="150">
        <v>3411.6093849829113</v>
      </c>
      <c r="AI7" s="150">
        <v>3411.6093849829113</v>
      </c>
      <c r="AJ7" s="150">
        <v>3411.6093849829113</v>
      </c>
      <c r="AK7" s="150">
        <v>3411.6093849829113</v>
      </c>
      <c r="AL7" s="150">
        <v>3411.6093849829113</v>
      </c>
      <c r="AM7" s="150">
        <v>3411.6093849829113</v>
      </c>
      <c r="AN7" s="150">
        <v>3838.0605581057753</v>
      </c>
      <c r="AO7" s="150">
        <v>3838.0605581057753</v>
      </c>
      <c r="AP7" s="150">
        <v>3838.0605581057753</v>
      </c>
      <c r="AQ7" s="150">
        <v>3838.0605581057753</v>
      </c>
      <c r="AR7" s="150">
        <v>3411.6093849829113</v>
      </c>
      <c r="AS7" s="150">
        <v>3411.6093849829113</v>
      </c>
      <c r="AT7" s="150">
        <v>3411.6093849829113</v>
      </c>
      <c r="AU7" s="150">
        <v>3411.6093849829113</v>
      </c>
      <c r="AV7" s="150">
        <v>3411.6093849829113</v>
      </c>
      <c r="AW7" s="150">
        <v>3411.6093849829113</v>
      </c>
      <c r="AX7" s="150">
        <v>3411.6093849829113</v>
      </c>
      <c r="AY7" s="150">
        <v>3411.6093849829113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25.060558105775272</v>
      </c>
      <c r="E10" s="150">
        <f t="shared" si="0"/>
        <v>25.060558105775272</v>
      </c>
      <c r="F10" s="150">
        <f t="shared" si="0"/>
        <v>25.060558105775272</v>
      </c>
      <c r="G10" s="150">
        <f t="shared" si="0"/>
        <v>25.060558105775272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25.060558105775272</v>
      </c>
      <c r="Q10" s="150">
        <f t="shared" si="0"/>
        <v>25.060558105775272</v>
      </c>
      <c r="R10" s="150">
        <f t="shared" si="0"/>
        <v>25.060558105775272</v>
      </c>
      <c r="S10" s="150">
        <f t="shared" si="0"/>
        <v>25.060558105775272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25.060558105775272</v>
      </c>
      <c r="AC10" s="150">
        <f t="shared" si="0"/>
        <v>25.060558105775272</v>
      </c>
      <c r="AD10" s="150">
        <f t="shared" si="0"/>
        <v>25.060558105775272</v>
      </c>
      <c r="AE10" s="150">
        <f t="shared" si="0"/>
        <v>25.060558105775272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25.060558105775272</v>
      </c>
      <c r="AO10" s="150">
        <f t="shared" si="0"/>
        <v>25.060558105775272</v>
      </c>
      <c r="AP10" s="150">
        <f t="shared" si="0"/>
        <v>25.060558105775272</v>
      </c>
      <c r="AQ10" s="150">
        <f t="shared" si="0"/>
        <v>25.060558105775272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400.96892969240434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3411.6093849829113</v>
      </c>
      <c r="D13" s="144">
        <f t="shared" ref="D13:AY13" si="1">D$7-D$10</f>
        <v>3813</v>
      </c>
      <c r="E13" s="144">
        <f t="shared" si="1"/>
        <v>3813</v>
      </c>
      <c r="F13" s="144">
        <f t="shared" si="1"/>
        <v>3813</v>
      </c>
      <c r="G13" s="144">
        <f t="shared" si="1"/>
        <v>3813</v>
      </c>
      <c r="H13" s="144">
        <f t="shared" si="1"/>
        <v>3411.6093849829113</v>
      </c>
      <c r="I13" s="144">
        <f t="shared" si="1"/>
        <v>3411.6093849829113</v>
      </c>
      <c r="J13" s="144">
        <f t="shared" si="1"/>
        <v>3411.6093849829113</v>
      </c>
      <c r="K13" s="144">
        <f t="shared" si="1"/>
        <v>3411.6093849829113</v>
      </c>
      <c r="L13" s="144">
        <f t="shared" si="1"/>
        <v>3411.6093849829113</v>
      </c>
      <c r="M13" s="144">
        <f t="shared" si="1"/>
        <v>3411.6093849829113</v>
      </c>
      <c r="N13" s="144">
        <f t="shared" si="1"/>
        <v>3411.6093849829113</v>
      </c>
      <c r="O13" s="144">
        <f t="shared" si="1"/>
        <v>3411.6093849829113</v>
      </c>
      <c r="P13" s="144">
        <f t="shared" si="1"/>
        <v>3813</v>
      </c>
      <c r="Q13" s="144">
        <f t="shared" si="1"/>
        <v>3813</v>
      </c>
      <c r="R13" s="144">
        <f t="shared" si="1"/>
        <v>3813</v>
      </c>
      <c r="S13" s="144">
        <f t="shared" si="1"/>
        <v>3813</v>
      </c>
      <c r="T13" s="144">
        <f t="shared" si="1"/>
        <v>3411.6093849829113</v>
      </c>
      <c r="U13" s="144">
        <f t="shared" si="1"/>
        <v>3411.6093849829113</v>
      </c>
      <c r="V13" s="144">
        <f t="shared" si="1"/>
        <v>3411.6093849829113</v>
      </c>
      <c r="W13" s="144">
        <f t="shared" si="1"/>
        <v>3411.6093849829113</v>
      </c>
      <c r="X13" s="144">
        <f t="shared" si="1"/>
        <v>3411.6093849829113</v>
      </c>
      <c r="Y13" s="144">
        <f t="shared" si="1"/>
        <v>3411.6093849829113</v>
      </c>
      <c r="Z13" s="144">
        <f t="shared" si="1"/>
        <v>3411.6093849829113</v>
      </c>
      <c r="AA13" s="144">
        <f t="shared" si="1"/>
        <v>3411.6093849829113</v>
      </c>
      <c r="AB13" s="144">
        <f t="shared" si="1"/>
        <v>3813</v>
      </c>
      <c r="AC13" s="144">
        <f t="shared" si="1"/>
        <v>3813</v>
      </c>
      <c r="AD13" s="144">
        <f t="shared" si="1"/>
        <v>3813</v>
      </c>
      <c r="AE13" s="144">
        <f t="shared" si="1"/>
        <v>3813</v>
      </c>
      <c r="AF13" s="144">
        <f t="shared" si="1"/>
        <v>3411.6093849829113</v>
      </c>
      <c r="AG13" s="144">
        <f t="shared" si="1"/>
        <v>3411.6093849829113</v>
      </c>
      <c r="AH13" s="144">
        <f t="shared" si="1"/>
        <v>3411.6093849829113</v>
      </c>
      <c r="AI13" s="144">
        <f t="shared" si="1"/>
        <v>3411.6093849829113</v>
      </c>
      <c r="AJ13" s="144">
        <f t="shared" si="1"/>
        <v>3411.6093849829113</v>
      </c>
      <c r="AK13" s="144">
        <f t="shared" si="1"/>
        <v>3411.6093849829113</v>
      </c>
      <c r="AL13" s="144">
        <f t="shared" si="1"/>
        <v>3411.6093849829113</v>
      </c>
      <c r="AM13" s="144">
        <f t="shared" si="1"/>
        <v>3411.6093849829113</v>
      </c>
      <c r="AN13" s="144">
        <f t="shared" si="1"/>
        <v>3813</v>
      </c>
      <c r="AO13" s="144">
        <f t="shared" si="1"/>
        <v>3813</v>
      </c>
      <c r="AP13" s="144">
        <f t="shared" si="1"/>
        <v>3813</v>
      </c>
      <c r="AQ13" s="144">
        <f t="shared" si="1"/>
        <v>3813</v>
      </c>
      <c r="AR13" s="144">
        <f t="shared" si="1"/>
        <v>3411.6093849829113</v>
      </c>
      <c r="AS13" s="144">
        <f t="shared" si="1"/>
        <v>3411.6093849829113</v>
      </c>
      <c r="AT13" s="144">
        <f t="shared" si="1"/>
        <v>3411.6093849829113</v>
      </c>
      <c r="AU13" s="144">
        <f t="shared" si="1"/>
        <v>3411.6093849829113</v>
      </c>
      <c r="AV13" s="144">
        <f t="shared" si="1"/>
        <v>3411.6093849829113</v>
      </c>
      <c r="AW13" s="144">
        <f t="shared" si="1"/>
        <v>3411.6093849829113</v>
      </c>
      <c r="AX13" s="144">
        <f t="shared" si="1"/>
        <v>3411.6093849829113</v>
      </c>
      <c r="AY13" s="144">
        <f t="shared" si="1"/>
        <v>3411.6093849829113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shipping_manufacturing!$G$19/100</f>
        <v>1</v>
      </c>
      <c r="C21" s="162" t="s">
        <v>293</v>
      </c>
      <c r="D21" s="112">
        <f>IF(C$20="Yes",0,SUM(C$13:C$16)*$B$21)</f>
        <v>3411.6093849829113</v>
      </c>
      <c r="E21" s="112">
        <f t="shared" ref="E21:AY21" si="3">IF(D$20="Yes",0,SUM(D$13:D$16)*$B$21)</f>
        <v>3813</v>
      </c>
      <c r="F21" s="112">
        <f t="shared" si="3"/>
        <v>3813</v>
      </c>
      <c r="G21" s="112">
        <f t="shared" si="3"/>
        <v>3813</v>
      </c>
      <c r="H21" s="112">
        <f t="shared" si="3"/>
        <v>3813</v>
      </c>
      <c r="I21" s="112">
        <f t="shared" si="3"/>
        <v>3411.6093849829113</v>
      </c>
      <c r="J21" s="112">
        <f t="shared" si="3"/>
        <v>3411.6093849829113</v>
      </c>
      <c r="K21" s="112">
        <f t="shared" si="3"/>
        <v>3411.6093849829113</v>
      </c>
      <c r="L21" s="112">
        <f t="shared" si="3"/>
        <v>3411.6093849829113</v>
      </c>
      <c r="M21" s="112">
        <f t="shared" si="3"/>
        <v>3411.6093849829113</v>
      </c>
      <c r="N21" s="112">
        <f t="shared" si="3"/>
        <v>3411.6093849829113</v>
      </c>
      <c r="O21" s="112">
        <f t="shared" si="3"/>
        <v>3411.6093849829113</v>
      </c>
      <c r="P21" s="112">
        <f t="shared" si="3"/>
        <v>3411.6093849829113</v>
      </c>
      <c r="Q21" s="112">
        <f t="shared" si="3"/>
        <v>3813</v>
      </c>
      <c r="R21" s="112">
        <f t="shared" si="3"/>
        <v>3813</v>
      </c>
      <c r="S21" s="112">
        <f t="shared" si="3"/>
        <v>3813</v>
      </c>
      <c r="T21" s="112">
        <f t="shared" si="3"/>
        <v>3813</v>
      </c>
      <c r="U21" s="112">
        <f t="shared" si="3"/>
        <v>3411.6093849829113</v>
      </c>
      <c r="V21" s="112">
        <f t="shared" si="3"/>
        <v>3411.6093849829113</v>
      </c>
      <c r="W21" s="112">
        <f t="shared" si="3"/>
        <v>3411.6093849829113</v>
      </c>
      <c r="X21" s="112">
        <f t="shared" si="3"/>
        <v>3411.6093849829113</v>
      </c>
      <c r="Y21" s="112">
        <f t="shared" si="3"/>
        <v>3411.6093849829113</v>
      </c>
      <c r="Z21" s="112">
        <f t="shared" si="3"/>
        <v>3411.6093849829113</v>
      </c>
      <c r="AA21" s="112">
        <f t="shared" si="3"/>
        <v>3411.6093849829113</v>
      </c>
      <c r="AB21" s="112">
        <f t="shared" si="3"/>
        <v>3411.6093849829113</v>
      </c>
      <c r="AC21" s="112">
        <f t="shared" si="3"/>
        <v>3813</v>
      </c>
      <c r="AD21" s="112">
        <f t="shared" si="3"/>
        <v>3813</v>
      </c>
      <c r="AE21" s="112">
        <f t="shared" si="3"/>
        <v>3813</v>
      </c>
      <c r="AF21" s="112">
        <f t="shared" si="3"/>
        <v>3813</v>
      </c>
      <c r="AG21" s="112">
        <f t="shared" si="3"/>
        <v>3411.6093849829113</v>
      </c>
      <c r="AH21" s="112">
        <f t="shared" si="3"/>
        <v>3411.6093849829113</v>
      </c>
      <c r="AI21" s="112">
        <f t="shared" si="3"/>
        <v>3411.6093849829113</v>
      </c>
      <c r="AJ21" s="112">
        <f t="shared" si="3"/>
        <v>3411.6093849829113</v>
      </c>
      <c r="AK21" s="112">
        <f t="shared" si="3"/>
        <v>3411.6093849829113</v>
      </c>
      <c r="AL21" s="112">
        <f t="shared" si="3"/>
        <v>3411.6093849829113</v>
      </c>
      <c r="AM21" s="112">
        <f t="shared" si="3"/>
        <v>3411.6093849829113</v>
      </c>
      <c r="AN21" s="112">
        <f t="shared" si="3"/>
        <v>3411.6093849829113</v>
      </c>
      <c r="AO21" s="112">
        <f t="shared" si="3"/>
        <v>3813</v>
      </c>
      <c r="AP21" s="112">
        <f t="shared" si="3"/>
        <v>3813</v>
      </c>
      <c r="AQ21" s="112">
        <f t="shared" si="3"/>
        <v>3813</v>
      </c>
      <c r="AR21" s="112">
        <f t="shared" si="3"/>
        <v>3813</v>
      </c>
      <c r="AS21" s="112">
        <f t="shared" si="3"/>
        <v>3411.6093849829113</v>
      </c>
      <c r="AT21" s="112">
        <f t="shared" si="3"/>
        <v>3411.6093849829113</v>
      </c>
      <c r="AU21" s="112">
        <f t="shared" si="3"/>
        <v>3411.6093849829113</v>
      </c>
      <c r="AV21" s="112">
        <f t="shared" si="3"/>
        <v>3411.6093849829113</v>
      </c>
      <c r="AW21" s="112">
        <f t="shared" si="3"/>
        <v>3411.6093849829113</v>
      </c>
      <c r="AX21" s="112">
        <f t="shared" si="3"/>
        <v>3411.6093849829113</v>
      </c>
      <c r="AY21" s="112">
        <f t="shared" si="3"/>
        <v>3411.6093849829113</v>
      </c>
      <c r="AZ21" s="163">
        <f>SUM($D21:$AY21)</f>
        <v>170179.50031945301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6823218.7699658228</v>
      </c>
      <c r="E23" s="106">
        <f t="shared" ref="E23:AY23" si="6">E$21*$B$23</f>
        <v>7626000</v>
      </c>
      <c r="F23" s="106">
        <f t="shared" si="6"/>
        <v>7626000</v>
      </c>
      <c r="G23" s="106">
        <f t="shared" si="6"/>
        <v>7626000</v>
      </c>
      <c r="H23" s="106">
        <f t="shared" si="6"/>
        <v>7626000</v>
      </c>
      <c r="I23" s="106">
        <f t="shared" si="6"/>
        <v>6823218.7699658228</v>
      </c>
      <c r="J23" s="106">
        <f t="shared" si="6"/>
        <v>6823218.7699658228</v>
      </c>
      <c r="K23" s="106">
        <f t="shared" si="6"/>
        <v>6823218.7699658228</v>
      </c>
      <c r="L23" s="106">
        <f t="shared" si="6"/>
        <v>6823218.7699658228</v>
      </c>
      <c r="M23" s="106">
        <f t="shared" si="6"/>
        <v>6823218.7699658228</v>
      </c>
      <c r="N23" s="106">
        <f t="shared" si="6"/>
        <v>6823218.7699658228</v>
      </c>
      <c r="O23" s="106">
        <f t="shared" si="6"/>
        <v>6823218.7699658228</v>
      </c>
      <c r="P23" s="106">
        <f t="shared" si="6"/>
        <v>6823218.7699658228</v>
      </c>
      <c r="Q23" s="106">
        <f t="shared" si="6"/>
        <v>7626000</v>
      </c>
      <c r="R23" s="106">
        <f t="shared" si="6"/>
        <v>7626000</v>
      </c>
      <c r="S23" s="106">
        <f t="shared" si="6"/>
        <v>7626000</v>
      </c>
      <c r="T23" s="106">
        <f t="shared" si="6"/>
        <v>7626000</v>
      </c>
      <c r="U23" s="106">
        <f t="shared" si="6"/>
        <v>6823218.7699658228</v>
      </c>
      <c r="V23" s="106">
        <f t="shared" si="6"/>
        <v>6823218.7699658228</v>
      </c>
      <c r="W23" s="106">
        <f t="shared" si="6"/>
        <v>6823218.7699658228</v>
      </c>
      <c r="X23" s="106">
        <f t="shared" si="6"/>
        <v>6823218.7699658228</v>
      </c>
      <c r="Y23" s="106">
        <f t="shared" si="6"/>
        <v>6823218.7699658228</v>
      </c>
      <c r="Z23" s="106">
        <f t="shared" si="6"/>
        <v>6823218.7699658228</v>
      </c>
      <c r="AA23" s="106">
        <f t="shared" si="6"/>
        <v>6823218.7699658228</v>
      </c>
      <c r="AB23" s="106">
        <f t="shared" si="6"/>
        <v>6823218.7699658228</v>
      </c>
      <c r="AC23" s="106">
        <f t="shared" si="6"/>
        <v>7626000</v>
      </c>
      <c r="AD23" s="106">
        <f t="shared" si="6"/>
        <v>7626000</v>
      </c>
      <c r="AE23" s="106">
        <f t="shared" si="6"/>
        <v>7626000</v>
      </c>
      <c r="AF23" s="106">
        <f t="shared" si="6"/>
        <v>7626000</v>
      </c>
      <c r="AG23" s="106">
        <f t="shared" si="6"/>
        <v>6823218.7699658228</v>
      </c>
      <c r="AH23" s="106">
        <f t="shared" si="6"/>
        <v>6823218.7699658228</v>
      </c>
      <c r="AI23" s="106">
        <f t="shared" si="6"/>
        <v>6823218.7699658228</v>
      </c>
      <c r="AJ23" s="106">
        <f t="shared" si="6"/>
        <v>6823218.7699658228</v>
      </c>
      <c r="AK23" s="106">
        <f t="shared" si="6"/>
        <v>6823218.7699658228</v>
      </c>
      <c r="AL23" s="106">
        <f t="shared" si="6"/>
        <v>6823218.7699658228</v>
      </c>
      <c r="AM23" s="106">
        <f t="shared" si="6"/>
        <v>6823218.7699658228</v>
      </c>
      <c r="AN23" s="106">
        <f t="shared" si="6"/>
        <v>6823218.7699658228</v>
      </c>
      <c r="AO23" s="106">
        <f t="shared" si="6"/>
        <v>7626000</v>
      </c>
      <c r="AP23" s="106">
        <f t="shared" si="6"/>
        <v>7626000</v>
      </c>
      <c r="AQ23" s="106">
        <f t="shared" si="6"/>
        <v>7626000</v>
      </c>
      <c r="AR23" s="106">
        <f t="shared" si="6"/>
        <v>7626000</v>
      </c>
      <c r="AS23" s="106">
        <f t="shared" si="6"/>
        <v>6823218.7699658228</v>
      </c>
      <c r="AT23" s="106">
        <f t="shared" si="6"/>
        <v>6823218.7699658228</v>
      </c>
      <c r="AU23" s="106">
        <f t="shared" si="6"/>
        <v>6823218.7699658228</v>
      </c>
      <c r="AV23" s="106">
        <f t="shared" si="6"/>
        <v>6823218.7699658228</v>
      </c>
      <c r="AW23" s="106">
        <f t="shared" si="6"/>
        <v>6823218.7699658228</v>
      </c>
      <c r="AX23" s="106">
        <f t="shared" si="6"/>
        <v>6823218.7699658228</v>
      </c>
      <c r="AY23" s="106">
        <f t="shared" si="6"/>
        <v>6823218.7699658228</v>
      </c>
      <c r="AZ23" s="145">
        <f t="shared" si="5"/>
        <v>340359000.63890642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0</v>
      </c>
      <c r="D27" s="130">
        <f>C$27-C$28+C$29</f>
        <v>-13</v>
      </c>
      <c r="E27" s="130">
        <f t="shared" ref="E27:AY27" si="8">D27-D28+D29</f>
        <v>0</v>
      </c>
      <c r="F27" s="130">
        <f t="shared" si="8"/>
        <v>0</v>
      </c>
      <c r="G27" s="130">
        <f t="shared" si="8"/>
        <v>0</v>
      </c>
      <c r="H27" s="130">
        <f t="shared" si="8"/>
        <v>0</v>
      </c>
      <c r="I27" s="130">
        <f t="shared" si="8"/>
        <v>0</v>
      </c>
      <c r="J27" s="130">
        <f t="shared" si="8"/>
        <v>0</v>
      </c>
      <c r="K27" s="130">
        <f t="shared" si="8"/>
        <v>0</v>
      </c>
      <c r="L27" s="130">
        <f t="shared" si="8"/>
        <v>0</v>
      </c>
      <c r="M27" s="130">
        <f t="shared" si="8"/>
        <v>0</v>
      </c>
      <c r="N27" s="130">
        <f t="shared" si="8"/>
        <v>0</v>
      </c>
      <c r="O27" s="130">
        <f t="shared" si="8"/>
        <v>0</v>
      </c>
      <c r="P27" s="130">
        <f t="shared" si="8"/>
        <v>0</v>
      </c>
      <c r="Q27" s="130">
        <f t="shared" si="8"/>
        <v>0</v>
      </c>
      <c r="R27" s="130">
        <f t="shared" si="8"/>
        <v>0</v>
      </c>
      <c r="S27" s="130">
        <f t="shared" si="8"/>
        <v>0</v>
      </c>
      <c r="T27" s="130">
        <f t="shared" si="8"/>
        <v>0</v>
      </c>
      <c r="U27" s="130">
        <f t="shared" si="8"/>
        <v>0</v>
      </c>
      <c r="V27" s="130">
        <f t="shared" si="8"/>
        <v>0</v>
      </c>
      <c r="W27" s="130">
        <f t="shared" si="8"/>
        <v>0</v>
      </c>
      <c r="X27" s="130">
        <f t="shared" si="8"/>
        <v>0</v>
      </c>
      <c r="Y27" s="130">
        <f t="shared" si="8"/>
        <v>0</v>
      </c>
      <c r="Z27" s="130">
        <f t="shared" si="8"/>
        <v>0</v>
      </c>
      <c r="AA27" s="130">
        <f t="shared" si="8"/>
        <v>0</v>
      </c>
      <c r="AB27" s="130">
        <f t="shared" si="8"/>
        <v>0</v>
      </c>
      <c r="AC27" s="130">
        <f t="shared" si="8"/>
        <v>0</v>
      </c>
      <c r="AD27" s="130">
        <f t="shared" si="8"/>
        <v>0</v>
      </c>
      <c r="AE27" s="130">
        <f t="shared" si="8"/>
        <v>0</v>
      </c>
      <c r="AF27" s="130">
        <f t="shared" si="8"/>
        <v>0</v>
      </c>
      <c r="AG27" s="130">
        <f t="shared" si="8"/>
        <v>0</v>
      </c>
      <c r="AH27" s="130">
        <f t="shared" si="8"/>
        <v>0</v>
      </c>
      <c r="AI27" s="130">
        <f t="shared" si="8"/>
        <v>0</v>
      </c>
      <c r="AJ27" s="130">
        <f t="shared" si="8"/>
        <v>0</v>
      </c>
      <c r="AK27" s="130">
        <f t="shared" si="8"/>
        <v>0</v>
      </c>
      <c r="AL27" s="130">
        <f t="shared" si="8"/>
        <v>0</v>
      </c>
      <c r="AM27" s="130">
        <f t="shared" si="8"/>
        <v>0</v>
      </c>
      <c r="AN27" s="130">
        <f t="shared" si="8"/>
        <v>0</v>
      </c>
      <c r="AO27" s="130">
        <f t="shared" si="8"/>
        <v>0</v>
      </c>
      <c r="AP27" s="130">
        <f t="shared" si="8"/>
        <v>0</v>
      </c>
      <c r="AQ27" s="130">
        <f t="shared" si="8"/>
        <v>0</v>
      </c>
      <c r="AR27" s="130">
        <f t="shared" si="8"/>
        <v>0</v>
      </c>
      <c r="AS27" s="130">
        <f t="shared" si="8"/>
        <v>0</v>
      </c>
      <c r="AT27" s="130">
        <f t="shared" si="8"/>
        <v>0</v>
      </c>
      <c r="AU27" s="130">
        <f t="shared" si="8"/>
        <v>0</v>
      </c>
      <c r="AV27" s="130">
        <f t="shared" si="8"/>
        <v>0</v>
      </c>
      <c r="AW27" s="130">
        <f t="shared" si="8"/>
        <v>0</v>
      </c>
      <c r="AX27" s="130">
        <f t="shared" si="8"/>
        <v>0</v>
      </c>
      <c r="AY27" s="170">
        <f t="shared" si="8"/>
        <v>0</v>
      </c>
      <c r="AZ27" s="112"/>
    </row>
    <row r="28" spans="1:52" x14ac:dyDescent="0.2">
      <c r="B28" s="171" t="s">
        <v>310</v>
      </c>
      <c r="C28" s="116">
        <v>13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72">
        <v>0</v>
      </c>
      <c r="AZ28" s="112"/>
    </row>
    <row r="29" spans="1:52" x14ac:dyDescent="0.2">
      <c r="B29" s="142" t="s">
        <v>311</v>
      </c>
      <c r="C29" s="131">
        <v>0</v>
      </c>
      <c r="D29" s="131">
        <f>C$28</f>
        <v>13</v>
      </c>
      <c r="E29" s="131">
        <f t="shared" ref="E29:AY29" si="9">D$28</f>
        <v>0</v>
      </c>
      <c r="F29" s="131">
        <f t="shared" si="9"/>
        <v>0</v>
      </c>
      <c r="G29" s="131">
        <f t="shared" si="9"/>
        <v>0</v>
      </c>
      <c r="H29" s="131">
        <f t="shared" si="9"/>
        <v>0</v>
      </c>
      <c r="I29" s="131">
        <f t="shared" si="9"/>
        <v>0</v>
      </c>
      <c r="J29" s="131">
        <f t="shared" si="9"/>
        <v>0</v>
      </c>
      <c r="K29" s="131">
        <f t="shared" si="9"/>
        <v>0</v>
      </c>
      <c r="L29" s="131">
        <f t="shared" si="9"/>
        <v>0</v>
      </c>
      <c r="M29" s="131">
        <f t="shared" si="9"/>
        <v>0</v>
      </c>
      <c r="N29" s="131">
        <f t="shared" si="9"/>
        <v>0</v>
      </c>
      <c r="O29" s="131">
        <f t="shared" si="9"/>
        <v>0</v>
      </c>
      <c r="P29" s="131">
        <f t="shared" si="9"/>
        <v>0</v>
      </c>
      <c r="Q29" s="131">
        <f t="shared" si="9"/>
        <v>0</v>
      </c>
      <c r="R29" s="131">
        <f t="shared" si="9"/>
        <v>0</v>
      </c>
      <c r="S29" s="131">
        <f t="shared" si="9"/>
        <v>0</v>
      </c>
      <c r="T29" s="131">
        <f t="shared" si="9"/>
        <v>0</v>
      </c>
      <c r="U29" s="131">
        <f t="shared" si="9"/>
        <v>0</v>
      </c>
      <c r="V29" s="131">
        <f t="shared" si="9"/>
        <v>0</v>
      </c>
      <c r="W29" s="131">
        <f t="shared" si="9"/>
        <v>0</v>
      </c>
      <c r="X29" s="131">
        <f t="shared" si="9"/>
        <v>0</v>
      </c>
      <c r="Y29" s="131">
        <f t="shared" si="9"/>
        <v>0</v>
      </c>
      <c r="Z29" s="131">
        <f t="shared" si="9"/>
        <v>0</v>
      </c>
      <c r="AA29" s="131">
        <f t="shared" si="9"/>
        <v>0</v>
      </c>
      <c r="AB29" s="131">
        <f t="shared" si="9"/>
        <v>0</v>
      </c>
      <c r="AC29" s="131">
        <f t="shared" si="9"/>
        <v>0</v>
      </c>
      <c r="AD29" s="131">
        <f t="shared" si="9"/>
        <v>0</v>
      </c>
      <c r="AE29" s="131">
        <f t="shared" si="9"/>
        <v>0</v>
      </c>
      <c r="AF29" s="131">
        <f t="shared" si="9"/>
        <v>0</v>
      </c>
      <c r="AG29" s="131">
        <f t="shared" si="9"/>
        <v>0</v>
      </c>
      <c r="AH29" s="131">
        <f t="shared" si="9"/>
        <v>0</v>
      </c>
      <c r="AI29" s="131">
        <f t="shared" si="9"/>
        <v>0</v>
      </c>
      <c r="AJ29" s="131">
        <f t="shared" si="9"/>
        <v>0</v>
      </c>
      <c r="AK29" s="131">
        <f t="shared" si="9"/>
        <v>0</v>
      </c>
      <c r="AL29" s="131">
        <f t="shared" si="9"/>
        <v>0</v>
      </c>
      <c r="AM29" s="131">
        <f t="shared" si="9"/>
        <v>0</v>
      </c>
      <c r="AN29" s="131">
        <f t="shared" si="9"/>
        <v>0</v>
      </c>
      <c r="AO29" s="131">
        <f t="shared" si="9"/>
        <v>0</v>
      </c>
      <c r="AP29" s="131">
        <f t="shared" si="9"/>
        <v>0</v>
      </c>
      <c r="AQ29" s="131">
        <f t="shared" si="9"/>
        <v>0</v>
      </c>
      <c r="AR29" s="131">
        <f t="shared" si="9"/>
        <v>0</v>
      </c>
      <c r="AS29" s="131">
        <f t="shared" si="9"/>
        <v>0</v>
      </c>
      <c r="AT29" s="131">
        <f t="shared" si="9"/>
        <v>0</v>
      </c>
      <c r="AU29" s="131">
        <f t="shared" si="9"/>
        <v>0</v>
      </c>
      <c r="AV29" s="131">
        <f t="shared" si="9"/>
        <v>0</v>
      </c>
      <c r="AW29" s="131">
        <f t="shared" si="9"/>
        <v>0</v>
      </c>
      <c r="AX29" s="131">
        <f t="shared" si="9"/>
        <v>0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-130</v>
      </c>
      <c r="E30" s="123">
        <f t="shared" ref="E30:AY30" si="10">E$27*$B$30</f>
        <v>0</v>
      </c>
      <c r="F30" s="123">
        <f t="shared" si="10"/>
        <v>0</v>
      </c>
      <c r="G30" s="123">
        <f t="shared" si="10"/>
        <v>0</v>
      </c>
      <c r="H30" s="123">
        <f t="shared" si="10"/>
        <v>0</v>
      </c>
      <c r="I30" s="123">
        <f t="shared" si="10"/>
        <v>0</v>
      </c>
      <c r="J30" s="123">
        <f t="shared" si="10"/>
        <v>0</v>
      </c>
      <c r="K30" s="123">
        <f t="shared" si="10"/>
        <v>0</v>
      </c>
      <c r="L30" s="123">
        <f t="shared" si="10"/>
        <v>0</v>
      </c>
      <c r="M30" s="123">
        <f t="shared" si="10"/>
        <v>0</v>
      </c>
      <c r="N30" s="123">
        <f t="shared" si="10"/>
        <v>0</v>
      </c>
      <c r="O30" s="123">
        <f t="shared" si="10"/>
        <v>0</v>
      </c>
      <c r="P30" s="123">
        <f t="shared" si="10"/>
        <v>0</v>
      </c>
      <c r="Q30" s="123">
        <f t="shared" si="10"/>
        <v>0</v>
      </c>
      <c r="R30" s="123">
        <f>R$27*$B$30</f>
        <v>0</v>
      </c>
      <c r="S30" s="123">
        <f t="shared" si="10"/>
        <v>0</v>
      </c>
      <c r="T30" s="123">
        <f t="shared" si="10"/>
        <v>0</v>
      </c>
      <c r="U30" s="123">
        <f t="shared" si="10"/>
        <v>0</v>
      </c>
      <c r="V30" s="123">
        <f t="shared" si="10"/>
        <v>0</v>
      </c>
      <c r="W30" s="123">
        <f t="shared" si="10"/>
        <v>0</v>
      </c>
      <c r="X30" s="123">
        <f t="shared" si="10"/>
        <v>0</v>
      </c>
      <c r="Y30" s="123">
        <f t="shared" si="10"/>
        <v>0</v>
      </c>
      <c r="Z30" s="123">
        <f t="shared" si="10"/>
        <v>0</v>
      </c>
      <c r="AA30" s="123">
        <f t="shared" si="10"/>
        <v>0</v>
      </c>
      <c r="AB30" s="123">
        <f t="shared" si="10"/>
        <v>0</v>
      </c>
      <c r="AC30" s="123">
        <f t="shared" si="10"/>
        <v>0</v>
      </c>
      <c r="AD30" s="123">
        <f t="shared" si="10"/>
        <v>0</v>
      </c>
      <c r="AE30" s="123">
        <f>AE$27*$B$30</f>
        <v>0</v>
      </c>
      <c r="AF30" s="123">
        <f t="shared" si="10"/>
        <v>0</v>
      </c>
      <c r="AG30" s="123">
        <f t="shared" si="10"/>
        <v>0</v>
      </c>
      <c r="AH30" s="123">
        <f t="shared" si="10"/>
        <v>0</v>
      </c>
      <c r="AI30" s="123">
        <f t="shared" si="10"/>
        <v>0</v>
      </c>
      <c r="AJ30" s="123">
        <f t="shared" si="10"/>
        <v>0</v>
      </c>
      <c r="AK30" s="123">
        <f t="shared" si="10"/>
        <v>0</v>
      </c>
      <c r="AL30" s="123">
        <f t="shared" si="10"/>
        <v>0</v>
      </c>
      <c r="AM30" s="123">
        <f t="shared" si="10"/>
        <v>0</v>
      </c>
      <c r="AN30" s="123">
        <f t="shared" si="10"/>
        <v>0</v>
      </c>
      <c r="AO30" s="123">
        <f t="shared" si="10"/>
        <v>0</v>
      </c>
      <c r="AP30" s="123">
        <f t="shared" si="10"/>
        <v>0</v>
      </c>
      <c r="AQ30" s="123">
        <f t="shared" si="10"/>
        <v>0</v>
      </c>
      <c r="AR30" s="123">
        <f t="shared" si="10"/>
        <v>0</v>
      </c>
      <c r="AS30" s="123">
        <f t="shared" si="10"/>
        <v>0</v>
      </c>
      <c r="AT30" s="123">
        <f t="shared" si="10"/>
        <v>0</v>
      </c>
      <c r="AU30" s="123">
        <f t="shared" si="10"/>
        <v>0</v>
      </c>
      <c r="AV30" s="123">
        <f t="shared" si="10"/>
        <v>0</v>
      </c>
      <c r="AW30" s="123">
        <f t="shared" si="10"/>
        <v>0</v>
      </c>
      <c r="AX30" s="123">
        <f t="shared" si="10"/>
        <v>0</v>
      </c>
      <c r="AY30" s="123">
        <f t="shared" si="10"/>
        <v>0</v>
      </c>
      <c r="AZ30" s="147">
        <f t="shared" si="5"/>
        <v>-130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340</v>
      </c>
      <c r="C33" s="130"/>
      <c r="D33" s="130">
        <f>D$21*shipping_manufacturing!$H$27/100</f>
        <v>0</v>
      </c>
      <c r="E33" s="130">
        <f>E$21*shipping_manufacturing!$H$27/100</f>
        <v>0</v>
      </c>
      <c r="F33" s="130">
        <f>F$21*shipping_manufacturing!$H$27/100</f>
        <v>0</v>
      </c>
      <c r="G33" s="130">
        <f>G$21*shipping_manufacturing!$H$27/100</f>
        <v>0</v>
      </c>
      <c r="H33" s="130">
        <f>H$21*shipping_manufacturing!$H$27/100</f>
        <v>0</v>
      </c>
      <c r="I33" s="130">
        <f>I$21*shipping_manufacturing!$H$27/100</f>
        <v>0</v>
      </c>
      <c r="J33" s="130">
        <f>J$21*shipping_manufacturing!$H$27/100</f>
        <v>0</v>
      </c>
      <c r="K33" s="130">
        <f>K$21*shipping_manufacturing!$H$27/100</f>
        <v>0</v>
      </c>
      <c r="L33" s="130">
        <f>L$21*shipping_manufacturing!$H$27/100</f>
        <v>0</v>
      </c>
      <c r="M33" s="130">
        <f>M$21*shipping_manufacturing!$H$27/100</f>
        <v>0</v>
      </c>
      <c r="N33" s="130">
        <f>N$21*shipping_manufacturing!$H$27/100</f>
        <v>0</v>
      </c>
      <c r="O33" s="130">
        <f>O$21*shipping_manufacturing!$H$27/100</f>
        <v>0</v>
      </c>
      <c r="P33" s="130">
        <f>P$21*shipping_manufacturing!$H$27/100</f>
        <v>0</v>
      </c>
      <c r="Q33" s="130">
        <f>Q$21*shipping_manufacturing!$H$27/100</f>
        <v>0</v>
      </c>
      <c r="R33" s="130">
        <f>R$21*shipping_manufacturing!$H$27/100</f>
        <v>0</v>
      </c>
      <c r="S33" s="130">
        <f>S$21*shipping_manufacturing!$H$27/100</f>
        <v>0</v>
      </c>
      <c r="T33" s="130">
        <f>T$21*shipping_manufacturing!$H$27/100</f>
        <v>0</v>
      </c>
      <c r="U33" s="130">
        <f>U$21*shipping_manufacturing!$H$27/100</f>
        <v>0</v>
      </c>
      <c r="V33" s="130">
        <f>V$21*shipping_manufacturing!$H$27/100</f>
        <v>0</v>
      </c>
      <c r="W33" s="130">
        <f>W$21*shipping_manufacturing!$H$27/100</f>
        <v>0</v>
      </c>
      <c r="X33" s="130">
        <f>X$21*shipping_manufacturing!$H$27/100</f>
        <v>0</v>
      </c>
      <c r="Y33" s="130">
        <f>Y$21*shipping_manufacturing!$H$27/100</f>
        <v>0</v>
      </c>
      <c r="Z33" s="130">
        <f>Z$21*shipping_manufacturing!$H$27/100</f>
        <v>0</v>
      </c>
      <c r="AA33" s="130">
        <f>AA$21*shipping_manufacturing!$H$27/100</f>
        <v>0</v>
      </c>
      <c r="AB33" s="130">
        <f>AB$21*shipping_manufacturing!$H$27/100</f>
        <v>0</v>
      </c>
      <c r="AC33" s="130">
        <f>AC$21*shipping_manufacturing!$H$27/100</f>
        <v>0</v>
      </c>
      <c r="AD33" s="130">
        <f>AD$21*shipping_manufacturing!$H$27/100</f>
        <v>0</v>
      </c>
      <c r="AE33" s="130">
        <f>AE$21*shipping_manufacturing!$H$27/100</f>
        <v>0</v>
      </c>
      <c r="AF33" s="130">
        <f>AF$21*shipping_manufacturing!$H$27/100</f>
        <v>0</v>
      </c>
      <c r="AG33" s="130">
        <f>AG$21*shipping_manufacturing!$H$27/100</f>
        <v>0</v>
      </c>
      <c r="AH33" s="130">
        <f>AH$21*shipping_manufacturing!$H$27/100</f>
        <v>0</v>
      </c>
      <c r="AI33" s="130">
        <f>AI$21*shipping_manufacturing!$H$27/100</f>
        <v>0</v>
      </c>
      <c r="AJ33" s="130">
        <f>AJ$21*shipping_manufacturing!$H$27/100</f>
        <v>0</v>
      </c>
      <c r="AK33" s="130">
        <f>AK$21*shipping_manufacturing!$H$27/100</f>
        <v>0</v>
      </c>
      <c r="AL33" s="130">
        <f>AL$21*shipping_manufacturing!$H$27/100</f>
        <v>0</v>
      </c>
      <c r="AM33" s="130">
        <f>AM$21*shipping_manufacturing!$H$27/100</f>
        <v>0</v>
      </c>
      <c r="AN33" s="130">
        <f>AN$21*shipping_manufacturing!$H$27/100</f>
        <v>0</v>
      </c>
      <c r="AO33" s="130">
        <f>AO$21*shipping_manufacturing!$H$27/100</f>
        <v>0</v>
      </c>
      <c r="AP33" s="130">
        <f>AP$21*shipping_manufacturing!$H$27/100</f>
        <v>0</v>
      </c>
      <c r="AQ33" s="130">
        <f>AQ$21*shipping_manufacturing!$H$27/100</f>
        <v>0</v>
      </c>
      <c r="AR33" s="130">
        <f>AR$21*shipping_manufacturing!$H$27/100</f>
        <v>0</v>
      </c>
      <c r="AS33" s="130">
        <f>AS$21*shipping_manufacturing!$H$27/100</f>
        <v>0</v>
      </c>
      <c r="AT33" s="130">
        <f>AT$21*shipping_manufacturing!$H$27/100</f>
        <v>0</v>
      </c>
      <c r="AU33" s="130">
        <f>AU$21*shipping_manufacturing!$H$27/100</f>
        <v>0</v>
      </c>
      <c r="AV33" s="130">
        <f>AV$21*shipping_manufacturing!$H$27/100</f>
        <v>0</v>
      </c>
      <c r="AW33" s="130">
        <f>AW$21*shipping_manufacturing!$H$27/100</f>
        <v>0</v>
      </c>
      <c r="AX33" s="130">
        <f>AX$21*shipping_manufacturing!$H$27/100</f>
        <v>0</v>
      </c>
      <c r="AY33" s="130">
        <f>AY$21*shipping_manufacturing!$H$27/100</f>
        <v>0</v>
      </c>
    </row>
    <row r="34" spans="1:52" x14ac:dyDescent="0.2">
      <c r="A34" s="119" t="s">
        <v>339</v>
      </c>
      <c r="B34" s="171" t="s">
        <v>341</v>
      </c>
      <c r="C34" s="116"/>
      <c r="D34" s="116">
        <f>D$22*shipping_manufacturing!$I$27/100</f>
        <v>0</v>
      </c>
      <c r="E34" s="116">
        <f>E$22*shipping_manufacturing!$I$27/100</f>
        <v>0</v>
      </c>
      <c r="F34" s="116">
        <f>F$22*shipping_manufacturing!$I$27/100</f>
        <v>0</v>
      </c>
      <c r="G34" s="116">
        <f>G$22*shipping_manufacturing!$I$27/100</f>
        <v>0</v>
      </c>
      <c r="H34" s="116">
        <f>H$22*shipping_manufacturing!$I$27/100</f>
        <v>0</v>
      </c>
      <c r="I34" s="116">
        <f>I$22*shipping_manufacturing!$I$27/100</f>
        <v>0</v>
      </c>
      <c r="J34" s="116">
        <f>J$22*shipping_manufacturing!$I$27/100</f>
        <v>0</v>
      </c>
      <c r="K34" s="116">
        <f>K$22*shipping_manufacturing!$I$27/100</f>
        <v>0</v>
      </c>
      <c r="L34" s="116">
        <f>L$22*shipping_manufacturing!$I$27/100</f>
        <v>0</v>
      </c>
      <c r="M34" s="116">
        <f>M$22*shipping_manufacturing!$I$27/100</f>
        <v>0</v>
      </c>
      <c r="N34" s="116">
        <f>N$22*shipping_manufacturing!$I$27/100</f>
        <v>0</v>
      </c>
      <c r="O34" s="116">
        <f>O$22*shipping_manufacturing!$I$27/100</f>
        <v>0</v>
      </c>
      <c r="P34" s="116">
        <f>P$22*shipping_manufacturing!$I$27/100</f>
        <v>0</v>
      </c>
      <c r="Q34" s="116">
        <f>Q$22*shipping_manufacturing!$I$27/100</f>
        <v>0</v>
      </c>
      <c r="R34" s="116">
        <f>R$22*shipping_manufacturing!$I$27/100</f>
        <v>0</v>
      </c>
      <c r="S34" s="116">
        <f>S$22*shipping_manufacturing!$I$27/100</f>
        <v>0</v>
      </c>
      <c r="T34" s="116">
        <f>T$22*shipping_manufacturing!$I$27/100</f>
        <v>0</v>
      </c>
      <c r="U34" s="116">
        <f>U$22*shipping_manufacturing!$I$27/100</f>
        <v>0</v>
      </c>
      <c r="V34" s="116">
        <f>V$22*shipping_manufacturing!$I$27/100</f>
        <v>0</v>
      </c>
      <c r="W34" s="116">
        <f>W$22*shipping_manufacturing!$I$27/100</f>
        <v>0</v>
      </c>
      <c r="X34" s="116">
        <f>X$22*shipping_manufacturing!$I$27/100</f>
        <v>0</v>
      </c>
      <c r="Y34" s="116">
        <f>Y$22*shipping_manufacturing!$I$27/100</f>
        <v>0</v>
      </c>
      <c r="Z34" s="116">
        <f>Z$22*shipping_manufacturing!$I$27/100</f>
        <v>0</v>
      </c>
      <c r="AA34" s="116">
        <f>AA$22*shipping_manufacturing!$I$27/100</f>
        <v>0</v>
      </c>
      <c r="AB34" s="116">
        <f>AB$22*shipping_manufacturing!$I$27/100</f>
        <v>0</v>
      </c>
      <c r="AC34" s="116">
        <f>AC$22*shipping_manufacturing!$I$27/100</f>
        <v>0</v>
      </c>
      <c r="AD34" s="116">
        <f>AD$22*shipping_manufacturing!$I$27/100</f>
        <v>0</v>
      </c>
      <c r="AE34" s="116">
        <f>AE$22*shipping_manufacturing!$I$27/100</f>
        <v>0</v>
      </c>
      <c r="AF34" s="116">
        <f>AF$22*shipping_manufacturing!$I$27/100</f>
        <v>0</v>
      </c>
      <c r="AG34" s="116">
        <f>AG$22*shipping_manufacturing!$I$27/100</f>
        <v>0</v>
      </c>
      <c r="AH34" s="116">
        <f>AH$22*shipping_manufacturing!$I$27/100</f>
        <v>0</v>
      </c>
      <c r="AI34" s="116">
        <f>AI$22*shipping_manufacturing!$I$27/100</f>
        <v>0</v>
      </c>
      <c r="AJ34" s="116">
        <f>AJ$22*shipping_manufacturing!$I$27/100</f>
        <v>0</v>
      </c>
      <c r="AK34" s="116">
        <f>AK$22*shipping_manufacturing!$I$27/100</f>
        <v>0</v>
      </c>
      <c r="AL34" s="116">
        <f>AL$22*shipping_manufacturing!$I$27/100</f>
        <v>0</v>
      </c>
      <c r="AM34" s="116">
        <f>AM$22*shipping_manufacturing!$I$27/100</f>
        <v>0</v>
      </c>
      <c r="AN34" s="116">
        <f>AN$22*shipping_manufacturing!$I$27/100</f>
        <v>0</v>
      </c>
      <c r="AO34" s="116">
        <f>AO$22*shipping_manufacturing!$I$27/100</f>
        <v>0</v>
      </c>
      <c r="AP34" s="116">
        <f>AP$22*shipping_manufacturing!$I$27/100</f>
        <v>0</v>
      </c>
      <c r="AQ34" s="116">
        <f>AQ$22*shipping_manufacturing!$I$27/100</f>
        <v>0</v>
      </c>
      <c r="AR34" s="116">
        <f>AR$22*shipping_manufacturing!$I$27/100</f>
        <v>0</v>
      </c>
      <c r="AS34" s="116">
        <f>AS$22*shipping_manufacturing!$I$27/100</f>
        <v>0</v>
      </c>
      <c r="AT34" s="116">
        <f>AT$22*shipping_manufacturing!$I$27/100</f>
        <v>0</v>
      </c>
      <c r="AU34" s="116">
        <f>AU$22*shipping_manufacturing!$I$27/100</f>
        <v>0</v>
      </c>
      <c r="AV34" s="116">
        <f>AV$22*shipping_manufacturing!$I$27/100</f>
        <v>0</v>
      </c>
      <c r="AW34" s="116">
        <f>AW$22*shipping_manufacturing!$I$27/100</f>
        <v>0</v>
      </c>
      <c r="AX34" s="116">
        <f>AX$22*shipping_manufacturing!$I$27/100</f>
        <v>0</v>
      </c>
      <c r="AY34" s="116">
        <f>AY$22*shipping_manufacturing!$I$27/100</f>
        <v>0</v>
      </c>
    </row>
    <row r="35" spans="1:52" x14ac:dyDescent="0.2">
      <c r="A35" s="116">
        <v>1245</v>
      </c>
      <c r="B35" s="171" t="s">
        <v>342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343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344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345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346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347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348</v>
      </c>
      <c r="C41" s="116"/>
      <c r="D41" s="116">
        <v>2</v>
      </c>
      <c r="E41" s="116">
        <v>2</v>
      </c>
      <c r="F41" s="116">
        <v>2</v>
      </c>
      <c r="G41" s="116">
        <v>1</v>
      </c>
      <c r="H41" s="116">
        <v>1</v>
      </c>
      <c r="I41" s="116">
        <v>1</v>
      </c>
      <c r="J41" s="116">
        <v>2</v>
      </c>
      <c r="K41" s="116">
        <v>1</v>
      </c>
      <c r="L41" s="116">
        <v>3</v>
      </c>
      <c r="M41" s="116">
        <v>2</v>
      </c>
      <c r="N41" s="116">
        <v>1</v>
      </c>
      <c r="O41" s="116">
        <v>1</v>
      </c>
      <c r="P41" s="116">
        <v>1</v>
      </c>
      <c r="Q41" s="116">
        <v>1</v>
      </c>
      <c r="R41" s="116">
        <v>2</v>
      </c>
      <c r="S41" s="116">
        <v>1</v>
      </c>
      <c r="T41" s="116">
        <v>3</v>
      </c>
      <c r="U41" s="116">
        <v>1</v>
      </c>
      <c r="V41" s="116">
        <v>1</v>
      </c>
      <c r="W41" s="116">
        <v>1</v>
      </c>
      <c r="X41" s="116">
        <v>3</v>
      </c>
      <c r="Y41" s="116">
        <v>1</v>
      </c>
      <c r="Z41" s="116">
        <v>2</v>
      </c>
      <c r="AA41" s="116">
        <v>1</v>
      </c>
      <c r="AB41" s="116">
        <v>2</v>
      </c>
      <c r="AC41" s="116">
        <v>3</v>
      </c>
      <c r="AD41" s="116">
        <v>1</v>
      </c>
      <c r="AE41" s="116">
        <v>3</v>
      </c>
      <c r="AF41" s="116">
        <v>1</v>
      </c>
      <c r="AG41" s="116">
        <v>1</v>
      </c>
      <c r="AH41" s="116">
        <v>1</v>
      </c>
      <c r="AI41" s="116">
        <v>1</v>
      </c>
      <c r="AJ41" s="116">
        <v>2</v>
      </c>
      <c r="AK41" s="116">
        <v>1</v>
      </c>
      <c r="AL41" s="116">
        <v>1</v>
      </c>
      <c r="AM41" s="116">
        <v>2</v>
      </c>
      <c r="AN41" s="116">
        <v>1</v>
      </c>
      <c r="AO41" s="116">
        <v>1</v>
      </c>
      <c r="AP41" s="116">
        <v>2</v>
      </c>
      <c r="AQ41" s="116">
        <v>2</v>
      </c>
      <c r="AR41" s="116">
        <v>1</v>
      </c>
      <c r="AS41" s="116">
        <v>2</v>
      </c>
      <c r="AT41" s="116">
        <v>1</v>
      </c>
      <c r="AU41" s="116">
        <v>1</v>
      </c>
      <c r="AV41" s="116">
        <v>1</v>
      </c>
      <c r="AW41" s="116">
        <v>1</v>
      </c>
      <c r="AX41" s="116">
        <v>1</v>
      </c>
      <c r="AY41" s="116">
        <v>2</v>
      </c>
    </row>
    <row r="42" spans="1:52" x14ac:dyDescent="0.2">
      <c r="A42" s="116"/>
      <c r="B42" s="184" t="s">
        <v>349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350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340</v>
      </c>
      <c r="C44" s="130"/>
      <c r="D44" s="130">
        <f>D$21*shipping_manufacturing!$H$28/100</f>
        <v>3411.6093849829113</v>
      </c>
      <c r="E44" s="130">
        <f>E$21*shipping_manufacturing!$H$28/100</f>
        <v>3813</v>
      </c>
      <c r="F44" s="130">
        <f>F$21*shipping_manufacturing!$H$28/100</f>
        <v>3813</v>
      </c>
      <c r="G44" s="130">
        <f>G$21*shipping_manufacturing!$H$28/100</f>
        <v>3813</v>
      </c>
      <c r="H44" s="130">
        <f>H$21*shipping_manufacturing!$H$28/100</f>
        <v>3813</v>
      </c>
      <c r="I44" s="130">
        <f>I$21*shipping_manufacturing!$H$28/100</f>
        <v>3411.6093849829113</v>
      </c>
      <c r="J44" s="130">
        <f>J$21*shipping_manufacturing!$H$28/100</f>
        <v>3411.6093849829113</v>
      </c>
      <c r="K44" s="130">
        <f>K$21*shipping_manufacturing!$H$28/100</f>
        <v>3411.6093849829113</v>
      </c>
      <c r="L44" s="130">
        <f>L$21*shipping_manufacturing!$H$28/100</f>
        <v>3411.6093849829113</v>
      </c>
      <c r="M44" s="130">
        <f>M$21*shipping_manufacturing!$H$28/100</f>
        <v>3411.6093849829113</v>
      </c>
      <c r="N44" s="130">
        <f>N$21*shipping_manufacturing!$H$28/100</f>
        <v>3411.6093849829113</v>
      </c>
      <c r="O44" s="130">
        <f>O$21*shipping_manufacturing!$H$28/100</f>
        <v>3411.6093849829113</v>
      </c>
      <c r="P44" s="130">
        <f>P$21*shipping_manufacturing!$H$28/100</f>
        <v>3411.6093849829113</v>
      </c>
      <c r="Q44" s="130">
        <f>Q$21*shipping_manufacturing!$H$28/100</f>
        <v>3813</v>
      </c>
      <c r="R44" s="130">
        <f>R$21*shipping_manufacturing!$H$28/100</f>
        <v>3813</v>
      </c>
      <c r="S44" s="130">
        <f>S$21*shipping_manufacturing!$H$28/100</f>
        <v>3813</v>
      </c>
      <c r="T44" s="130">
        <f>T$21*shipping_manufacturing!$H$28/100</f>
        <v>3813</v>
      </c>
      <c r="U44" s="130">
        <f>U$21*shipping_manufacturing!$H$28/100</f>
        <v>3411.6093849829113</v>
      </c>
      <c r="V44" s="130">
        <f>V$21*shipping_manufacturing!$H$28/100</f>
        <v>3411.6093849829113</v>
      </c>
      <c r="W44" s="130">
        <f>W$21*shipping_manufacturing!$H$28/100</f>
        <v>3411.6093849829113</v>
      </c>
      <c r="X44" s="130">
        <f>X$21*shipping_manufacturing!$H$28/100</f>
        <v>3411.6093849829113</v>
      </c>
      <c r="Y44" s="130">
        <f>Y$21*shipping_manufacturing!$H$28/100</f>
        <v>3411.6093849829113</v>
      </c>
      <c r="Z44" s="130">
        <f>Z$21*shipping_manufacturing!$H$28/100</f>
        <v>3411.6093849829113</v>
      </c>
      <c r="AA44" s="130">
        <f>AA$21*shipping_manufacturing!$H$28/100</f>
        <v>3411.6093849829113</v>
      </c>
      <c r="AB44" s="130">
        <f>AB$21*shipping_manufacturing!$H$28/100</f>
        <v>3411.6093849829113</v>
      </c>
      <c r="AC44" s="130">
        <f>AC$21*shipping_manufacturing!$H$28/100</f>
        <v>3813</v>
      </c>
      <c r="AD44" s="130">
        <f>AD$21*shipping_manufacturing!$H$28/100</f>
        <v>3813</v>
      </c>
      <c r="AE44" s="130">
        <f>AE$21*shipping_manufacturing!$H$28/100</f>
        <v>3813</v>
      </c>
      <c r="AF44" s="130">
        <f>AF$21*shipping_manufacturing!$H$28/100</f>
        <v>3813</v>
      </c>
      <c r="AG44" s="130">
        <f>AG$21*shipping_manufacturing!$H$28/100</f>
        <v>3411.6093849829113</v>
      </c>
      <c r="AH44" s="130">
        <f>AH$21*shipping_manufacturing!$H$28/100</f>
        <v>3411.6093849829113</v>
      </c>
      <c r="AI44" s="130">
        <f>AI$21*shipping_manufacturing!$H$28/100</f>
        <v>3411.6093849829113</v>
      </c>
      <c r="AJ44" s="130">
        <f>AJ$21*shipping_manufacturing!$H$28/100</f>
        <v>3411.6093849829113</v>
      </c>
      <c r="AK44" s="130">
        <f>AK$21*shipping_manufacturing!$H$28/100</f>
        <v>3411.6093849829113</v>
      </c>
      <c r="AL44" s="130">
        <f>AL$21*shipping_manufacturing!$H$28/100</f>
        <v>3411.6093849829113</v>
      </c>
      <c r="AM44" s="130">
        <f>AM$21*shipping_manufacturing!$H$28/100</f>
        <v>3411.6093849829113</v>
      </c>
      <c r="AN44" s="130">
        <f>AN$21*shipping_manufacturing!$H$28/100</f>
        <v>3411.6093849829113</v>
      </c>
      <c r="AO44" s="130">
        <f>AO$21*shipping_manufacturing!$H$28/100</f>
        <v>3813</v>
      </c>
      <c r="AP44" s="130">
        <f>AP$21*shipping_manufacturing!$H$28/100</f>
        <v>3813</v>
      </c>
      <c r="AQ44" s="130">
        <f>AQ$21*shipping_manufacturing!$H$28/100</f>
        <v>3813</v>
      </c>
      <c r="AR44" s="130">
        <f>AR$21*shipping_manufacturing!$H$28/100</f>
        <v>3813</v>
      </c>
      <c r="AS44" s="130">
        <f>AS$21*shipping_manufacturing!$H$28/100</f>
        <v>3411.6093849829113</v>
      </c>
      <c r="AT44" s="130">
        <f>AT$21*shipping_manufacturing!$H$28/100</f>
        <v>3411.6093849829113</v>
      </c>
      <c r="AU44" s="130">
        <f>AU$21*shipping_manufacturing!$H$28/100</f>
        <v>3411.6093849829113</v>
      </c>
      <c r="AV44" s="130">
        <f>AV$21*shipping_manufacturing!$H$28/100</f>
        <v>3411.6093849829113</v>
      </c>
      <c r="AW44" s="130">
        <f>AW$21*shipping_manufacturing!$H$28/100</f>
        <v>3411.6093849829113</v>
      </c>
      <c r="AX44" s="130">
        <f>AX$21*shipping_manufacturing!$H$28/100</f>
        <v>3411.6093849829113</v>
      </c>
      <c r="AY44" s="130">
        <f>AY$21*shipping_manufacturing!$H$28/100</f>
        <v>3411.6093849829113</v>
      </c>
    </row>
    <row r="45" spans="1:52" x14ac:dyDescent="0.2">
      <c r="A45" s="119" t="s">
        <v>339</v>
      </c>
      <c r="B45" s="171" t="s">
        <v>341</v>
      </c>
      <c r="C45" s="116"/>
      <c r="D45" s="116">
        <f>D$22*shipping_manufacturing!$I$28/100</f>
        <v>0</v>
      </c>
      <c r="E45" s="116">
        <f>E$22*shipping_manufacturing!$I$28/100</f>
        <v>0</v>
      </c>
      <c r="F45" s="116">
        <f>F$22*shipping_manufacturing!$I$28/100</f>
        <v>0</v>
      </c>
      <c r="G45" s="116">
        <f>G$22*shipping_manufacturing!$I$28/100</f>
        <v>0</v>
      </c>
      <c r="H45" s="116">
        <f>H$22*shipping_manufacturing!$I$28/100</f>
        <v>0</v>
      </c>
      <c r="I45" s="116">
        <f>I$22*shipping_manufacturing!$I$28/100</f>
        <v>0</v>
      </c>
      <c r="J45" s="116">
        <f>J$22*shipping_manufacturing!$I$28/100</f>
        <v>0</v>
      </c>
      <c r="K45" s="116">
        <f>K$22*shipping_manufacturing!$I$28/100</f>
        <v>0</v>
      </c>
      <c r="L45" s="116">
        <f>L$22*shipping_manufacturing!$I$28/100</f>
        <v>0</v>
      </c>
      <c r="M45" s="116">
        <f>M$22*shipping_manufacturing!$I$28/100</f>
        <v>0</v>
      </c>
      <c r="N45" s="116">
        <f>N$22*shipping_manufacturing!$I$28/100</f>
        <v>0</v>
      </c>
      <c r="O45" s="116">
        <f>O$22*shipping_manufacturing!$I$28/100</f>
        <v>0</v>
      </c>
      <c r="P45" s="116">
        <f>P$22*shipping_manufacturing!$I$28/100</f>
        <v>0</v>
      </c>
      <c r="Q45" s="116">
        <f>Q$22*shipping_manufacturing!$I$28/100</f>
        <v>0</v>
      </c>
      <c r="R45" s="116">
        <f>R$22*shipping_manufacturing!$I$28/100</f>
        <v>0</v>
      </c>
      <c r="S45" s="116">
        <f>S$22*shipping_manufacturing!$I$28/100</f>
        <v>0</v>
      </c>
      <c r="T45" s="116">
        <f>T$22*shipping_manufacturing!$I$28/100</f>
        <v>0</v>
      </c>
      <c r="U45" s="116">
        <f>U$22*shipping_manufacturing!$I$28/100</f>
        <v>0</v>
      </c>
      <c r="V45" s="116">
        <f>V$22*shipping_manufacturing!$I$28/100</f>
        <v>0</v>
      </c>
      <c r="W45" s="116">
        <f>W$22*shipping_manufacturing!$I$28/100</f>
        <v>0</v>
      </c>
      <c r="X45" s="116">
        <f>X$22*shipping_manufacturing!$I$28/100</f>
        <v>0</v>
      </c>
      <c r="Y45" s="116">
        <f>Y$22*shipping_manufacturing!$I$28/100</f>
        <v>0</v>
      </c>
      <c r="Z45" s="116">
        <f>Z$22*shipping_manufacturing!$I$28/100</f>
        <v>0</v>
      </c>
      <c r="AA45" s="116">
        <f>AA$22*shipping_manufacturing!$I$28/100</f>
        <v>0</v>
      </c>
      <c r="AB45" s="116">
        <f>AB$22*shipping_manufacturing!$I$28/100</f>
        <v>0</v>
      </c>
      <c r="AC45" s="116">
        <f>AC$22*shipping_manufacturing!$I$28/100</f>
        <v>0</v>
      </c>
      <c r="AD45" s="116">
        <f>AD$22*shipping_manufacturing!$I$28/100</f>
        <v>0</v>
      </c>
      <c r="AE45" s="116">
        <f>AE$22*shipping_manufacturing!$I$28/100</f>
        <v>0</v>
      </c>
      <c r="AF45" s="116">
        <f>AF$22*shipping_manufacturing!$I$28/100</f>
        <v>0</v>
      </c>
      <c r="AG45" s="116">
        <f>AG$22*shipping_manufacturing!$I$28/100</f>
        <v>0</v>
      </c>
      <c r="AH45" s="116">
        <f>AH$22*shipping_manufacturing!$I$28/100</f>
        <v>0</v>
      </c>
      <c r="AI45" s="116">
        <f>AI$22*shipping_manufacturing!$I$28/100</f>
        <v>0</v>
      </c>
      <c r="AJ45" s="116">
        <f>AJ$22*shipping_manufacturing!$I$28/100</f>
        <v>0</v>
      </c>
      <c r="AK45" s="116">
        <f>AK$22*shipping_manufacturing!$I$28/100</f>
        <v>0</v>
      </c>
      <c r="AL45" s="116">
        <f>AL$22*shipping_manufacturing!$I$28/100</f>
        <v>0</v>
      </c>
      <c r="AM45" s="116">
        <f>AM$22*shipping_manufacturing!$I$28/100</f>
        <v>0</v>
      </c>
      <c r="AN45" s="116">
        <f>AN$22*shipping_manufacturing!$I$28/100</f>
        <v>0</v>
      </c>
      <c r="AO45" s="116">
        <f>AO$22*shipping_manufacturing!$I$28/100</f>
        <v>0</v>
      </c>
      <c r="AP45" s="116">
        <f>AP$22*shipping_manufacturing!$I$28/100</f>
        <v>0</v>
      </c>
      <c r="AQ45" s="116">
        <f>AQ$22*shipping_manufacturing!$I$28/100</f>
        <v>0</v>
      </c>
      <c r="AR45" s="116">
        <f>AR$22*shipping_manufacturing!$I$28/100</f>
        <v>0</v>
      </c>
      <c r="AS45" s="116">
        <f>AS$22*shipping_manufacturing!$I$28/100</f>
        <v>0</v>
      </c>
      <c r="AT45" s="116">
        <f>AT$22*shipping_manufacturing!$I$28/100</f>
        <v>0</v>
      </c>
      <c r="AU45" s="116">
        <f>AU$22*shipping_manufacturing!$I$28/100</f>
        <v>0</v>
      </c>
      <c r="AV45" s="116">
        <f>AV$22*shipping_manufacturing!$I$28/100</f>
        <v>0</v>
      </c>
      <c r="AW45" s="116">
        <f>AW$22*shipping_manufacturing!$I$28/100</f>
        <v>0</v>
      </c>
      <c r="AX45" s="116">
        <f>AX$22*shipping_manufacturing!$I$28/100</f>
        <v>0</v>
      </c>
      <c r="AY45" s="116">
        <f>AY$22*shipping_manufacturing!$I$28/100</f>
        <v>0</v>
      </c>
    </row>
    <row r="46" spans="1:52" x14ac:dyDescent="0.2">
      <c r="A46" s="116">
        <v>495</v>
      </c>
      <c r="B46" s="171" t="s">
        <v>342</v>
      </c>
      <c r="C46" s="116"/>
      <c r="D46" s="116">
        <f>SUM(D44:D45)</f>
        <v>3411.6093849829113</v>
      </c>
      <c r="E46" s="116">
        <f t="shared" ref="E46:AY46" si="14">SUM(E44:E45)</f>
        <v>3813</v>
      </c>
      <c r="F46" s="116">
        <f t="shared" si="14"/>
        <v>3813</v>
      </c>
      <c r="G46" s="116">
        <f t="shared" si="14"/>
        <v>3813</v>
      </c>
      <c r="H46" s="116">
        <f t="shared" si="14"/>
        <v>3813</v>
      </c>
      <c r="I46" s="116">
        <f t="shared" si="14"/>
        <v>3411.6093849829113</v>
      </c>
      <c r="J46" s="116">
        <f t="shared" si="14"/>
        <v>3411.6093849829113</v>
      </c>
      <c r="K46" s="116">
        <f t="shared" si="14"/>
        <v>3411.6093849829113</v>
      </c>
      <c r="L46" s="116">
        <f t="shared" si="14"/>
        <v>3411.6093849829113</v>
      </c>
      <c r="M46" s="116">
        <f t="shared" si="14"/>
        <v>3411.6093849829113</v>
      </c>
      <c r="N46" s="116">
        <f t="shared" si="14"/>
        <v>3411.6093849829113</v>
      </c>
      <c r="O46" s="116">
        <f t="shared" si="14"/>
        <v>3411.6093849829113</v>
      </c>
      <c r="P46" s="116">
        <f t="shared" si="14"/>
        <v>3411.6093849829113</v>
      </c>
      <c r="Q46" s="116">
        <f t="shared" si="14"/>
        <v>3813</v>
      </c>
      <c r="R46" s="116">
        <f t="shared" si="14"/>
        <v>3813</v>
      </c>
      <c r="S46" s="116">
        <f t="shared" si="14"/>
        <v>3813</v>
      </c>
      <c r="T46" s="116">
        <f t="shared" si="14"/>
        <v>3813</v>
      </c>
      <c r="U46" s="116">
        <f t="shared" si="14"/>
        <v>3411.6093849829113</v>
      </c>
      <c r="V46" s="116">
        <f t="shared" si="14"/>
        <v>3411.6093849829113</v>
      </c>
      <c r="W46" s="116">
        <f t="shared" si="14"/>
        <v>3411.6093849829113</v>
      </c>
      <c r="X46" s="116">
        <f t="shared" si="14"/>
        <v>3411.6093849829113</v>
      </c>
      <c r="Y46" s="116">
        <f t="shared" si="14"/>
        <v>3411.6093849829113</v>
      </c>
      <c r="Z46" s="116">
        <f t="shared" si="14"/>
        <v>3411.6093849829113</v>
      </c>
      <c r="AA46" s="116">
        <f t="shared" si="14"/>
        <v>3411.6093849829113</v>
      </c>
      <c r="AB46" s="116">
        <f t="shared" si="14"/>
        <v>3411.6093849829113</v>
      </c>
      <c r="AC46" s="116">
        <f t="shared" si="14"/>
        <v>3813</v>
      </c>
      <c r="AD46" s="116">
        <f t="shared" si="14"/>
        <v>3813</v>
      </c>
      <c r="AE46" s="116">
        <f t="shared" si="14"/>
        <v>3813</v>
      </c>
      <c r="AF46" s="116">
        <f t="shared" si="14"/>
        <v>3813</v>
      </c>
      <c r="AG46" s="116">
        <f t="shared" si="14"/>
        <v>3411.6093849829113</v>
      </c>
      <c r="AH46" s="116">
        <f t="shared" si="14"/>
        <v>3411.6093849829113</v>
      </c>
      <c r="AI46" s="116">
        <f t="shared" si="14"/>
        <v>3411.6093849829113</v>
      </c>
      <c r="AJ46" s="116">
        <f t="shared" si="14"/>
        <v>3411.6093849829113</v>
      </c>
      <c r="AK46" s="116">
        <f t="shared" si="14"/>
        <v>3411.6093849829113</v>
      </c>
      <c r="AL46" s="116">
        <f t="shared" si="14"/>
        <v>3411.6093849829113</v>
      </c>
      <c r="AM46" s="116">
        <f t="shared" si="14"/>
        <v>3411.6093849829113</v>
      </c>
      <c r="AN46" s="116">
        <f t="shared" si="14"/>
        <v>3411.6093849829113</v>
      </c>
      <c r="AO46" s="116">
        <f t="shared" si="14"/>
        <v>3813</v>
      </c>
      <c r="AP46" s="116">
        <f t="shared" si="14"/>
        <v>3813</v>
      </c>
      <c r="AQ46" s="116">
        <f t="shared" si="14"/>
        <v>3813</v>
      </c>
      <c r="AR46" s="116">
        <f t="shared" si="14"/>
        <v>3813</v>
      </c>
      <c r="AS46" s="116">
        <f t="shared" si="14"/>
        <v>3411.6093849829113</v>
      </c>
      <c r="AT46" s="116">
        <f t="shared" si="14"/>
        <v>3411.6093849829113</v>
      </c>
      <c r="AU46" s="116">
        <f t="shared" si="14"/>
        <v>3411.6093849829113</v>
      </c>
      <c r="AV46" s="116">
        <f t="shared" si="14"/>
        <v>3411.6093849829113</v>
      </c>
      <c r="AW46" s="116">
        <f t="shared" si="14"/>
        <v>3411.6093849829113</v>
      </c>
      <c r="AX46" s="116">
        <f t="shared" si="14"/>
        <v>3411.6093849829113</v>
      </c>
      <c r="AY46" s="116">
        <f t="shared" si="14"/>
        <v>3411.6093849829113</v>
      </c>
    </row>
    <row r="47" spans="1:52" x14ac:dyDescent="0.2">
      <c r="A47" s="116"/>
      <c r="B47" s="171" t="s">
        <v>343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344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345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346</v>
      </c>
      <c r="C50" s="116"/>
      <c r="D50" s="116">
        <f>D44-D47</f>
        <v>3411.6093849829113</v>
      </c>
      <c r="E50" s="116">
        <f t="shared" ref="E50:AY50" si="15">E44-E47</f>
        <v>3813</v>
      </c>
      <c r="F50" s="116">
        <f t="shared" si="15"/>
        <v>3813</v>
      </c>
      <c r="G50" s="116">
        <f t="shared" si="15"/>
        <v>3813</v>
      </c>
      <c r="H50" s="116">
        <f t="shared" si="15"/>
        <v>3813</v>
      </c>
      <c r="I50" s="116">
        <f t="shared" si="15"/>
        <v>3411.6093849829113</v>
      </c>
      <c r="J50" s="116">
        <f t="shared" si="15"/>
        <v>3411.6093849829113</v>
      </c>
      <c r="K50" s="116">
        <f t="shared" si="15"/>
        <v>3411.6093849829113</v>
      </c>
      <c r="L50" s="116">
        <f t="shared" si="15"/>
        <v>3411.6093849829113</v>
      </c>
      <c r="M50" s="116">
        <f t="shared" si="15"/>
        <v>3411.6093849829113</v>
      </c>
      <c r="N50" s="116">
        <f t="shared" si="15"/>
        <v>3411.6093849829113</v>
      </c>
      <c r="O50" s="116">
        <f t="shared" si="15"/>
        <v>3411.6093849829113</v>
      </c>
      <c r="P50" s="116">
        <f t="shared" si="15"/>
        <v>3411.6093849829113</v>
      </c>
      <c r="Q50" s="116">
        <f t="shared" si="15"/>
        <v>3813</v>
      </c>
      <c r="R50" s="116">
        <f t="shared" si="15"/>
        <v>3813</v>
      </c>
      <c r="S50" s="116">
        <f t="shared" si="15"/>
        <v>3813</v>
      </c>
      <c r="T50" s="116">
        <f t="shared" si="15"/>
        <v>3813</v>
      </c>
      <c r="U50" s="116">
        <f t="shared" si="15"/>
        <v>3411.6093849829113</v>
      </c>
      <c r="V50" s="116">
        <f t="shared" si="15"/>
        <v>3411.6093849829113</v>
      </c>
      <c r="W50" s="116">
        <f t="shared" si="15"/>
        <v>3411.6093849829113</v>
      </c>
      <c r="X50" s="116">
        <f t="shared" si="15"/>
        <v>3411.6093849829113</v>
      </c>
      <c r="Y50" s="116">
        <f t="shared" si="15"/>
        <v>3411.6093849829113</v>
      </c>
      <c r="Z50" s="116">
        <f t="shared" si="15"/>
        <v>3411.6093849829113</v>
      </c>
      <c r="AA50" s="116">
        <f t="shared" si="15"/>
        <v>3411.6093849829113</v>
      </c>
      <c r="AB50" s="116">
        <f t="shared" si="15"/>
        <v>3411.6093849829113</v>
      </c>
      <c r="AC50" s="116">
        <f t="shared" si="15"/>
        <v>3813</v>
      </c>
      <c r="AD50" s="116">
        <f t="shared" si="15"/>
        <v>3813</v>
      </c>
      <c r="AE50" s="116">
        <f t="shared" si="15"/>
        <v>3813</v>
      </c>
      <c r="AF50" s="116">
        <f t="shared" si="15"/>
        <v>3813</v>
      </c>
      <c r="AG50" s="116">
        <f t="shared" si="15"/>
        <v>3411.6093849829113</v>
      </c>
      <c r="AH50" s="116">
        <f t="shared" si="15"/>
        <v>3411.6093849829113</v>
      </c>
      <c r="AI50" s="116">
        <f t="shared" si="15"/>
        <v>3411.6093849829113</v>
      </c>
      <c r="AJ50" s="116">
        <f t="shared" si="15"/>
        <v>3411.6093849829113</v>
      </c>
      <c r="AK50" s="116">
        <f t="shared" si="15"/>
        <v>3411.6093849829113</v>
      </c>
      <c r="AL50" s="116">
        <f t="shared" si="15"/>
        <v>3411.6093849829113</v>
      </c>
      <c r="AM50" s="116">
        <f t="shared" si="15"/>
        <v>3411.6093849829113</v>
      </c>
      <c r="AN50" s="116">
        <f t="shared" si="15"/>
        <v>3411.6093849829113</v>
      </c>
      <c r="AO50" s="116">
        <f t="shared" si="15"/>
        <v>3813</v>
      </c>
      <c r="AP50" s="116">
        <f t="shared" si="15"/>
        <v>3813</v>
      </c>
      <c r="AQ50" s="116">
        <f t="shared" si="15"/>
        <v>3813</v>
      </c>
      <c r="AR50" s="116">
        <f t="shared" si="15"/>
        <v>3813</v>
      </c>
      <c r="AS50" s="116">
        <f t="shared" si="15"/>
        <v>3411.6093849829113</v>
      </c>
      <c r="AT50" s="116">
        <f t="shared" si="15"/>
        <v>3411.6093849829113</v>
      </c>
      <c r="AU50" s="116">
        <f t="shared" si="15"/>
        <v>3411.6093849829113</v>
      </c>
      <c r="AV50" s="116">
        <f t="shared" si="15"/>
        <v>3411.6093849829113</v>
      </c>
      <c r="AW50" s="116">
        <f t="shared" si="15"/>
        <v>3411.6093849829113</v>
      </c>
      <c r="AX50" s="116">
        <f t="shared" si="15"/>
        <v>3411.6093849829113</v>
      </c>
      <c r="AY50" s="116">
        <f t="shared" si="15"/>
        <v>3411.6093849829113</v>
      </c>
    </row>
    <row r="51" spans="1:52" x14ac:dyDescent="0.2">
      <c r="A51" s="116"/>
      <c r="B51" s="171" t="s">
        <v>347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348</v>
      </c>
      <c r="C52" s="116"/>
      <c r="D52" s="116">
        <v>3</v>
      </c>
      <c r="E52" s="116">
        <v>1</v>
      </c>
      <c r="F52" s="116">
        <v>2</v>
      </c>
      <c r="G52" s="116">
        <v>2</v>
      </c>
      <c r="H52" s="116">
        <v>1</v>
      </c>
      <c r="I52" s="116">
        <v>1</v>
      </c>
      <c r="J52" s="116">
        <v>1</v>
      </c>
      <c r="K52" s="116">
        <v>1</v>
      </c>
      <c r="L52" s="116">
        <v>1</v>
      </c>
      <c r="M52" s="116">
        <v>2</v>
      </c>
      <c r="N52" s="116">
        <v>1</v>
      </c>
      <c r="O52" s="116">
        <v>2</v>
      </c>
      <c r="P52" s="116">
        <v>1</v>
      </c>
      <c r="Q52" s="116">
        <v>2</v>
      </c>
      <c r="R52" s="116">
        <v>1</v>
      </c>
      <c r="S52" s="116">
        <v>2</v>
      </c>
      <c r="T52" s="116">
        <v>2</v>
      </c>
      <c r="U52" s="116">
        <v>2</v>
      </c>
      <c r="V52" s="116">
        <v>2</v>
      </c>
      <c r="W52" s="116">
        <v>2</v>
      </c>
      <c r="X52" s="116">
        <v>1</v>
      </c>
      <c r="Y52" s="116">
        <v>2</v>
      </c>
      <c r="Z52" s="116">
        <v>2</v>
      </c>
      <c r="AA52" s="116">
        <v>3</v>
      </c>
      <c r="AB52" s="116">
        <v>1</v>
      </c>
      <c r="AC52" s="116">
        <v>2</v>
      </c>
      <c r="AD52" s="116">
        <v>1</v>
      </c>
      <c r="AE52" s="116">
        <v>1</v>
      </c>
      <c r="AF52" s="116">
        <v>2</v>
      </c>
      <c r="AG52" s="116">
        <v>1</v>
      </c>
      <c r="AH52" s="116">
        <v>1</v>
      </c>
      <c r="AI52" s="116">
        <v>3</v>
      </c>
      <c r="AJ52" s="116">
        <v>1</v>
      </c>
      <c r="AK52" s="116">
        <v>2</v>
      </c>
      <c r="AL52" s="116">
        <v>2</v>
      </c>
      <c r="AM52" s="116">
        <v>2</v>
      </c>
      <c r="AN52" s="116">
        <v>1</v>
      </c>
      <c r="AO52" s="116">
        <v>1</v>
      </c>
      <c r="AP52" s="116">
        <v>2</v>
      </c>
      <c r="AQ52" s="116">
        <v>1</v>
      </c>
      <c r="AR52" s="116">
        <v>1</v>
      </c>
      <c r="AS52" s="116">
        <v>2</v>
      </c>
      <c r="AT52" s="116">
        <v>1</v>
      </c>
      <c r="AU52" s="116">
        <v>3</v>
      </c>
      <c r="AV52" s="116">
        <v>1</v>
      </c>
      <c r="AW52" s="116">
        <v>1</v>
      </c>
      <c r="AX52" s="116">
        <v>3</v>
      </c>
      <c r="AY52" s="116">
        <v>1</v>
      </c>
    </row>
    <row r="53" spans="1:52" x14ac:dyDescent="0.2">
      <c r="A53" s="116"/>
      <c r="B53" s="184" t="s">
        <v>349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350</v>
      </c>
      <c r="C54" s="131"/>
      <c r="D54" s="131">
        <v>1097685.3196182516</v>
      </c>
      <c r="E54" s="131">
        <v>1226832.75</v>
      </c>
      <c r="F54" s="131">
        <v>1226832.75</v>
      </c>
      <c r="G54" s="131">
        <v>1226832.75</v>
      </c>
      <c r="H54" s="131">
        <v>1226832.75</v>
      </c>
      <c r="I54" s="131">
        <v>1097685.3196182516</v>
      </c>
      <c r="J54" s="131">
        <v>1097685.3196182516</v>
      </c>
      <c r="K54" s="131">
        <v>1097685.3196182516</v>
      </c>
      <c r="L54" s="131">
        <v>1097685.3196182516</v>
      </c>
      <c r="M54" s="131">
        <v>1097685.3196182516</v>
      </c>
      <c r="N54" s="131">
        <v>1097685.3196182516</v>
      </c>
      <c r="O54" s="131">
        <v>1097685.3196182516</v>
      </c>
      <c r="P54" s="131">
        <v>1097685.3196182516</v>
      </c>
      <c r="Q54" s="131">
        <v>1226832.75</v>
      </c>
      <c r="R54" s="131">
        <v>1226832.75</v>
      </c>
      <c r="S54" s="131">
        <v>1226832.75</v>
      </c>
      <c r="T54" s="131">
        <v>1226832.75</v>
      </c>
      <c r="U54" s="131">
        <v>1097685.3196182516</v>
      </c>
      <c r="V54" s="131">
        <v>1097685.3196182516</v>
      </c>
      <c r="W54" s="131">
        <v>1097685.3196182516</v>
      </c>
      <c r="X54" s="131">
        <v>1097685.3196182516</v>
      </c>
      <c r="Y54" s="131">
        <v>1097685.3196182516</v>
      </c>
      <c r="Z54" s="131">
        <v>1097685.3196182516</v>
      </c>
      <c r="AA54" s="131">
        <v>1097685.3196182516</v>
      </c>
      <c r="AB54" s="131">
        <v>1097685.3196182516</v>
      </c>
      <c r="AC54" s="131">
        <v>1226832.75</v>
      </c>
      <c r="AD54" s="131">
        <v>1226832.75</v>
      </c>
      <c r="AE54" s="131">
        <v>1226832.75</v>
      </c>
      <c r="AF54" s="131">
        <v>1226832.75</v>
      </c>
      <c r="AG54" s="131">
        <v>1097685.3196182516</v>
      </c>
      <c r="AH54" s="131">
        <v>1097685.3196182516</v>
      </c>
      <c r="AI54" s="131">
        <v>1097685.3196182516</v>
      </c>
      <c r="AJ54" s="131">
        <v>1097685.3196182516</v>
      </c>
      <c r="AK54" s="131">
        <v>1097685.3196182516</v>
      </c>
      <c r="AL54" s="131">
        <v>1097685.3196182516</v>
      </c>
      <c r="AM54" s="131">
        <v>1097685.3196182516</v>
      </c>
      <c r="AN54" s="131">
        <v>1097685.3196182516</v>
      </c>
      <c r="AO54" s="131">
        <v>1226832.75</v>
      </c>
      <c r="AP54" s="131">
        <v>1226832.75</v>
      </c>
      <c r="AQ54" s="131">
        <v>1226832.75</v>
      </c>
      <c r="AR54" s="131">
        <v>1226832.75</v>
      </c>
      <c r="AS54" s="131">
        <v>1097685.3196182516</v>
      </c>
      <c r="AT54" s="131">
        <v>1097685.3196182516</v>
      </c>
      <c r="AU54" s="131">
        <v>1097685.3196182516</v>
      </c>
      <c r="AV54" s="131">
        <v>1097685.3196182516</v>
      </c>
      <c r="AW54" s="131">
        <v>1097685.3196182516</v>
      </c>
      <c r="AX54" s="131">
        <v>1097685.3196182516</v>
      </c>
      <c r="AY54" s="131">
        <v>1097685.3196182516</v>
      </c>
      <c r="AZ54" s="106">
        <f>SUM($D$54:$AY$54)</f>
        <v>54755254.22778409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284</v>
      </c>
    </row>
    <row r="2" spans="1:53" x14ac:dyDescent="0.2">
      <c r="A2" s="106" t="s">
        <v>285</v>
      </c>
      <c r="B2" s="113" t="s">
        <v>22</v>
      </c>
    </row>
    <row r="3" spans="1:53" x14ac:dyDescent="0.2">
      <c r="A3" s="106" t="s">
        <v>286</v>
      </c>
      <c r="B3" s="114">
        <v>50000</v>
      </c>
      <c r="C3" s="115"/>
    </row>
    <row r="4" spans="1:53" x14ac:dyDescent="0.2">
      <c r="B4" s="116"/>
      <c r="C4" s="116"/>
    </row>
    <row r="5" spans="1:53" x14ac:dyDescent="0.2">
      <c r="C5" s="117" t="s">
        <v>287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3" x14ac:dyDescent="0.2">
      <c r="A8" s="108" t="s">
        <v>292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293</v>
      </c>
      <c r="D9" s="123">
        <v>9225.486563508528</v>
      </c>
      <c r="E9" s="123">
        <v>9225.486563508528</v>
      </c>
      <c r="F9" s="123">
        <v>9225.486563508528</v>
      </c>
      <c r="G9" s="123">
        <v>9225.486563508528</v>
      </c>
      <c r="H9" s="123">
        <v>7969.9139331113547</v>
      </c>
      <c r="I9" s="123">
        <v>8353.9665635085294</v>
      </c>
      <c r="J9" s="123">
        <v>7348.7213244121067</v>
      </c>
      <c r="K9" s="123">
        <v>8353.9665635085294</v>
      </c>
      <c r="L9" s="123">
        <v>8353.9665635085294</v>
      </c>
      <c r="M9" s="123">
        <v>8353.9665635085294</v>
      </c>
      <c r="N9" s="123">
        <v>8353.9665635085294</v>
      </c>
      <c r="O9" s="123">
        <v>8353.9665635085294</v>
      </c>
      <c r="P9" s="123">
        <v>9225.486563508528</v>
      </c>
      <c r="Q9" s="123">
        <v>9225.486563508528</v>
      </c>
      <c r="R9" s="123">
        <v>9225.486563508528</v>
      </c>
      <c r="S9" s="123">
        <v>9225.486563508528</v>
      </c>
      <c r="T9" s="123">
        <v>8353.9665635085294</v>
      </c>
      <c r="U9" s="123">
        <v>8353.9665635085294</v>
      </c>
      <c r="V9" s="123">
        <v>8353.9665635085294</v>
      </c>
      <c r="W9" s="123">
        <v>8353.9665635085294</v>
      </c>
      <c r="X9" s="123">
        <v>8353.9665635085294</v>
      </c>
      <c r="Y9" s="123">
        <v>8353.9665635085294</v>
      </c>
      <c r="Z9" s="123">
        <v>8353.9665635085294</v>
      </c>
      <c r="AA9" s="123">
        <v>8353.9665635085294</v>
      </c>
      <c r="AB9" s="123">
        <v>9225.486563508528</v>
      </c>
      <c r="AC9" s="123">
        <v>9225.486563508528</v>
      </c>
      <c r="AD9" s="123">
        <v>9225.486563508528</v>
      </c>
      <c r="AE9" s="123">
        <v>9225.486563508528</v>
      </c>
      <c r="AF9" s="123">
        <v>8353.9665635085294</v>
      </c>
      <c r="AG9" s="123">
        <v>8353.9665635085294</v>
      </c>
      <c r="AH9" s="123">
        <v>8353.9665635085294</v>
      </c>
      <c r="AI9" s="123">
        <v>8353.9665635085294</v>
      </c>
      <c r="AJ9" s="123">
        <v>7360.0916680580294</v>
      </c>
      <c r="AK9" s="123">
        <v>8353.9665635085294</v>
      </c>
      <c r="AL9" s="123">
        <v>8353.9665635085294</v>
      </c>
      <c r="AM9" s="123">
        <v>8353.9665635085294</v>
      </c>
      <c r="AN9" s="123">
        <v>9225.486563508528</v>
      </c>
      <c r="AO9" s="123">
        <v>9225.486563508528</v>
      </c>
      <c r="AP9" s="123">
        <v>9225.486563508528</v>
      </c>
      <c r="AQ9" s="123">
        <v>8901.9611282685692</v>
      </c>
      <c r="AR9" s="123">
        <v>8032.0361339624278</v>
      </c>
      <c r="AS9" s="123">
        <v>8033.6203524788843</v>
      </c>
      <c r="AT9" s="123">
        <v>8035.1935281820743</v>
      </c>
      <c r="AU9" s="123">
        <v>8036.7554072629819</v>
      </c>
      <c r="AV9" s="123">
        <v>8038.3057377849973</v>
      </c>
      <c r="AW9" s="123">
        <v>7365.3037646949897</v>
      </c>
      <c r="AX9" s="123">
        <v>8353.9665635085294</v>
      </c>
      <c r="AY9" s="123">
        <v>8353.9665635085294</v>
      </c>
    </row>
    <row r="10" spans="1:53" x14ac:dyDescent="0.2">
      <c r="A10" s="124" t="s">
        <v>133</v>
      </c>
      <c r="B10" s="125">
        <v>1</v>
      </c>
      <c r="C10" s="112" t="s">
        <v>293</v>
      </c>
      <c r="D10" s="106">
        <v>0</v>
      </c>
      <c r="E10" s="106">
        <v>121</v>
      </c>
      <c r="F10" s="106">
        <v>0</v>
      </c>
      <c r="G10" s="106">
        <v>21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21</v>
      </c>
      <c r="N10" s="106">
        <v>21</v>
      </c>
      <c r="O10" s="106">
        <v>21</v>
      </c>
      <c r="P10" s="106">
        <v>21</v>
      </c>
      <c r="Q10" s="106">
        <v>0</v>
      </c>
      <c r="R10" s="106">
        <v>0</v>
      </c>
      <c r="S10" s="106">
        <v>21</v>
      </c>
      <c r="T10" s="106">
        <v>21</v>
      </c>
      <c r="U10" s="106">
        <v>21</v>
      </c>
      <c r="V10" s="106">
        <v>0</v>
      </c>
      <c r="W10" s="106">
        <v>21</v>
      </c>
      <c r="X10" s="106">
        <v>21</v>
      </c>
      <c r="Y10" s="106">
        <v>21</v>
      </c>
      <c r="Z10" s="106">
        <v>21</v>
      </c>
      <c r="AA10" s="106">
        <v>21</v>
      </c>
      <c r="AB10" s="106">
        <v>21</v>
      </c>
      <c r="AC10" s="106">
        <v>21</v>
      </c>
      <c r="AD10" s="106">
        <v>0</v>
      </c>
      <c r="AE10" s="106">
        <v>0</v>
      </c>
      <c r="AF10" s="106">
        <v>0</v>
      </c>
      <c r="AG10" s="106">
        <v>21</v>
      </c>
      <c r="AH10" s="106">
        <v>0</v>
      </c>
      <c r="AI10" s="106">
        <v>21</v>
      </c>
      <c r="AJ10" s="106">
        <v>0</v>
      </c>
      <c r="AK10" s="106">
        <v>0</v>
      </c>
      <c r="AL10" s="106">
        <v>21</v>
      </c>
      <c r="AM10" s="106">
        <v>21</v>
      </c>
      <c r="AN10" s="106">
        <v>0</v>
      </c>
      <c r="AO10" s="106">
        <v>21</v>
      </c>
      <c r="AP10" s="106">
        <v>0</v>
      </c>
      <c r="AQ10" s="106">
        <v>21</v>
      </c>
      <c r="AR10" s="106">
        <v>0</v>
      </c>
      <c r="AS10" s="106">
        <v>0</v>
      </c>
      <c r="AT10" s="106">
        <v>0</v>
      </c>
      <c r="AU10" s="106">
        <v>21</v>
      </c>
      <c r="AV10" s="106">
        <v>21</v>
      </c>
      <c r="AW10" s="106">
        <v>21</v>
      </c>
      <c r="AX10" s="106">
        <v>0</v>
      </c>
      <c r="AY10" s="106">
        <v>21</v>
      </c>
      <c r="AZ10" s="106">
        <v>21</v>
      </c>
    </row>
    <row r="11" spans="1:53" x14ac:dyDescent="0.2">
      <c r="B11" s="125">
        <v>2</v>
      </c>
      <c r="C11" s="112" t="s">
        <v>293</v>
      </c>
      <c r="E11" s="106">
        <v>0</v>
      </c>
      <c r="F11" s="106">
        <v>0</v>
      </c>
      <c r="G11" s="106">
        <v>0</v>
      </c>
      <c r="H11" s="106">
        <v>0</v>
      </c>
      <c r="I11" s="106">
        <v>21</v>
      </c>
      <c r="K11" s="106">
        <v>21</v>
      </c>
      <c r="L11" s="106">
        <v>21</v>
      </c>
      <c r="O11" s="106">
        <v>0</v>
      </c>
      <c r="P11" s="106">
        <v>0</v>
      </c>
      <c r="R11" s="106">
        <v>21</v>
      </c>
      <c r="S11" s="106">
        <v>21</v>
      </c>
      <c r="T11" s="106">
        <v>0</v>
      </c>
      <c r="U11" s="106">
        <v>0</v>
      </c>
      <c r="W11" s="106">
        <v>21</v>
      </c>
      <c r="X11" s="106">
        <v>0</v>
      </c>
      <c r="AB11" s="106">
        <v>0</v>
      </c>
      <c r="AC11" s="106">
        <v>0</v>
      </c>
      <c r="AD11" s="106">
        <v>0</v>
      </c>
      <c r="AE11" s="106">
        <v>21</v>
      </c>
      <c r="AF11" s="106">
        <v>21</v>
      </c>
      <c r="AG11" s="106">
        <v>21</v>
      </c>
      <c r="AH11" s="106">
        <v>0</v>
      </c>
      <c r="AI11" s="106">
        <v>0</v>
      </c>
      <c r="AK11" s="106">
        <v>21</v>
      </c>
      <c r="AL11" s="106">
        <v>21</v>
      </c>
      <c r="AM11" s="106">
        <v>0</v>
      </c>
      <c r="AN11" s="106">
        <v>0</v>
      </c>
      <c r="AO11" s="106">
        <v>0</v>
      </c>
      <c r="AQ11" s="106">
        <v>21</v>
      </c>
      <c r="AR11" s="106">
        <v>0</v>
      </c>
      <c r="AS11" s="106">
        <v>0</v>
      </c>
      <c r="AT11" s="106">
        <v>21</v>
      </c>
      <c r="AU11" s="106">
        <v>21</v>
      </c>
      <c r="AV11" s="106">
        <v>0</v>
      </c>
      <c r="AW11" s="106">
        <v>0</v>
      </c>
      <c r="AX11" s="106">
        <v>0</v>
      </c>
      <c r="AY11" s="106">
        <v>21</v>
      </c>
      <c r="AZ11" s="106">
        <v>0</v>
      </c>
      <c r="BA11" s="106">
        <v>0</v>
      </c>
    </row>
    <row r="12" spans="1:53" x14ac:dyDescent="0.2">
      <c r="B12" s="126">
        <v>3</v>
      </c>
      <c r="C12" s="112" t="s">
        <v>293</v>
      </c>
      <c r="F12" s="106">
        <v>121</v>
      </c>
      <c r="H12" s="106">
        <v>21</v>
      </c>
      <c r="K12" s="106">
        <v>21</v>
      </c>
      <c r="N12" s="106">
        <v>21</v>
      </c>
      <c r="O12" s="106">
        <v>0</v>
      </c>
      <c r="W12" s="106">
        <v>0</v>
      </c>
      <c r="AA12" s="106">
        <v>0</v>
      </c>
      <c r="AF12" s="106">
        <v>0</v>
      </c>
      <c r="AH12" s="106">
        <v>0</v>
      </c>
      <c r="AJ12" s="106">
        <v>21</v>
      </c>
      <c r="AP12" s="106">
        <v>21</v>
      </c>
      <c r="AT12" s="106">
        <v>21</v>
      </c>
    </row>
    <row r="13" spans="1:53" x14ac:dyDescent="0.2">
      <c r="B13" s="126">
        <v>4</v>
      </c>
      <c r="C13" s="112" t="s">
        <v>293</v>
      </c>
    </row>
    <row r="14" spans="1:53" x14ac:dyDescent="0.2">
      <c r="A14" s="121" t="s">
        <v>134</v>
      </c>
      <c r="B14" s="127">
        <v>1</v>
      </c>
      <c r="C14" s="123" t="s">
        <v>293</v>
      </c>
      <c r="D14" s="123">
        <v>3402.7446211221691</v>
      </c>
      <c r="E14" s="123">
        <f t="shared" ref="E14:AZ14" si="0">D$172*SUM(D$122:D$169)</f>
        <v>3546.4724663750062</v>
      </c>
      <c r="F14" s="123">
        <f t="shared" si="0"/>
        <v>3603.7985729009406</v>
      </c>
      <c r="G14" s="123">
        <f t="shared" si="0"/>
        <v>3661.1417133660398</v>
      </c>
      <c r="H14" s="123">
        <f t="shared" si="0"/>
        <v>3715.4289462261308</v>
      </c>
      <c r="I14" s="123">
        <f t="shared" si="0"/>
        <v>3617.2968758704396</v>
      </c>
      <c r="J14" s="123">
        <f t="shared" si="0"/>
        <v>3531.3141491855254</v>
      </c>
      <c r="K14" s="123">
        <f t="shared" si="0"/>
        <v>3446.1565596543164</v>
      </c>
      <c r="L14" s="123">
        <f t="shared" si="0"/>
        <v>3366.307791637234</v>
      </c>
      <c r="M14" s="123">
        <f t="shared" si="0"/>
        <v>3334.3101083915817</v>
      </c>
      <c r="N14" s="123">
        <f t="shared" si="0"/>
        <v>3369.4983974019156</v>
      </c>
      <c r="O14" s="123">
        <f t="shared" si="0"/>
        <v>3389.7625761943746</v>
      </c>
      <c r="P14" s="123">
        <f t="shared" si="0"/>
        <v>3424.8200028201272</v>
      </c>
      <c r="Q14" s="123">
        <f t="shared" si="0"/>
        <v>3569.0376796660644</v>
      </c>
      <c r="R14" s="123">
        <f t="shared" si="0"/>
        <v>3650.9829661959784</v>
      </c>
      <c r="S14" s="123">
        <f t="shared" si="0"/>
        <v>3695.2245159813151</v>
      </c>
      <c r="T14" s="123">
        <f t="shared" si="0"/>
        <v>3722.861146176172</v>
      </c>
      <c r="U14" s="123">
        <f t="shared" si="0"/>
        <v>3632.4275584388183</v>
      </c>
      <c r="V14" s="123">
        <f t="shared" si="0"/>
        <v>3513.6380003274953</v>
      </c>
      <c r="W14" s="123">
        <f t="shared" si="0"/>
        <v>3400.5765230168713</v>
      </c>
      <c r="X14" s="123">
        <f t="shared" si="0"/>
        <v>3337.6871110685934</v>
      </c>
      <c r="Y14" s="123">
        <f t="shared" si="0"/>
        <v>3308.0830704562272</v>
      </c>
      <c r="Z14" s="123">
        <f t="shared" si="0"/>
        <v>3135.1239014822872</v>
      </c>
      <c r="AA14" s="123">
        <f t="shared" si="0"/>
        <v>3035.4144382482464</v>
      </c>
      <c r="AB14" s="123">
        <f t="shared" si="0"/>
        <v>2931.7687981303779</v>
      </c>
      <c r="AC14" s="123">
        <f t="shared" si="0"/>
        <v>3075.4470132225219</v>
      </c>
      <c r="AD14" s="123">
        <f t="shared" si="0"/>
        <v>2995.3391319597677</v>
      </c>
      <c r="AE14" s="123">
        <f t="shared" si="0"/>
        <v>2917.1901053489732</v>
      </c>
      <c r="AF14" s="123">
        <f t="shared" si="0"/>
        <v>3012.5996546062393</v>
      </c>
      <c r="AG14" s="123">
        <f t="shared" si="0"/>
        <v>2840.9119542877247</v>
      </c>
      <c r="AH14" s="123">
        <f t="shared" si="0"/>
        <v>3005.9310432598436</v>
      </c>
      <c r="AI14" s="123">
        <f t="shared" si="0"/>
        <v>3134.8842966352304</v>
      </c>
      <c r="AJ14" s="123">
        <f t="shared" si="0"/>
        <v>3235.7751902742243</v>
      </c>
      <c r="AK14" s="123">
        <f t="shared" si="0"/>
        <v>3321.5123042520763</v>
      </c>
      <c r="AL14" s="123">
        <f t="shared" si="0"/>
        <v>3362.1659504640975</v>
      </c>
      <c r="AM14" s="123">
        <f t="shared" si="0"/>
        <v>3414.7538369633253</v>
      </c>
      <c r="AN14" s="123">
        <f t="shared" si="0"/>
        <v>3447.6547663783567</v>
      </c>
      <c r="AO14" s="123">
        <f t="shared" si="0"/>
        <v>3586.696593374103</v>
      </c>
      <c r="AP14" s="123">
        <f t="shared" si="0"/>
        <v>3671.2259185517569</v>
      </c>
      <c r="AQ14" s="123">
        <f t="shared" si="0"/>
        <v>3688.9276842982513</v>
      </c>
      <c r="AR14" s="123">
        <f t="shared" si="0"/>
        <v>3704.7852907878287</v>
      </c>
      <c r="AS14" s="123">
        <f t="shared" si="0"/>
        <v>3572.3930959802615</v>
      </c>
      <c r="AT14" s="123">
        <f t="shared" si="0"/>
        <v>3470.7223105272024</v>
      </c>
      <c r="AU14" s="123">
        <f t="shared" si="0"/>
        <v>3370.6132790928114</v>
      </c>
      <c r="AV14" s="123">
        <f t="shared" si="0"/>
        <v>3305.2748936221369</v>
      </c>
      <c r="AW14" s="123">
        <f t="shared" si="0"/>
        <v>3297.0393859269416</v>
      </c>
      <c r="AX14" s="123">
        <f t="shared" si="0"/>
        <v>3333.6989896640175</v>
      </c>
      <c r="AY14" s="123">
        <f t="shared" si="0"/>
        <v>3364.1132171732038</v>
      </c>
      <c r="AZ14" s="116">
        <f t="shared" si="0"/>
        <v>3380.6676020090999</v>
      </c>
      <c r="BA14" s="113">
        <f>SUM($E14:$AZ14)</f>
        <v>162449.45737787214</v>
      </c>
    </row>
    <row r="15" spans="1:53" x14ac:dyDescent="0.2">
      <c r="A15" s="128" t="s">
        <v>123</v>
      </c>
      <c r="B15" s="129">
        <v>1</v>
      </c>
      <c r="C15" s="130" t="s">
        <v>293</v>
      </c>
      <c r="D15" s="130">
        <v>4206.6256371573927</v>
      </c>
      <c r="E15" s="130">
        <v>4206.6256371573927</v>
      </c>
      <c r="F15" s="130">
        <v>4206.6256371573927</v>
      </c>
      <c r="G15" s="130">
        <v>4206.6256371573927</v>
      </c>
      <c r="H15" s="130">
        <v>3739.222788584349</v>
      </c>
      <c r="I15" s="130">
        <v>3739.222788584349</v>
      </c>
      <c r="J15" s="130">
        <v>3739.222788584349</v>
      </c>
      <c r="K15" s="130">
        <v>3739.222788584349</v>
      </c>
      <c r="L15" s="130">
        <v>3739.222788584349</v>
      </c>
      <c r="M15" s="130">
        <v>3739.222788584349</v>
      </c>
      <c r="N15" s="130">
        <v>3739.222788584349</v>
      </c>
      <c r="O15" s="130">
        <v>3739.222788584349</v>
      </c>
      <c r="P15" s="130">
        <v>4206.6256371573927</v>
      </c>
      <c r="Q15" s="130">
        <v>4206.6256371573927</v>
      </c>
      <c r="R15" s="130">
        <v>4206.6256371573927</v>
      </c>
      <c r="S15" s="130">
        <v>4206.6256371573927</v>
      </c>
      <c r="T15" s="130">
        <v>3739.222788584349</v>
      </c>
      <c r="U15" s="130">
        <v>3739.222788584349</v>
      </c>
      <c r="V15" s="130">
        <v>3739.222788584349</v>
      </c>
      <c r="W15" s="130">
        <v>3739.222788584349</v>
      </c>
      <c r="X15" s="130">
        <v>3739.222788584349</v>
      </c>
      <c r="Y15" s="130">
        <v>3739.222788584349</v>
      </c>
      <c r="Z15" s="130">
        <v>3739.222788584349</v>
      </c>
      <c r="AA15" s="130">
        <v>3739.222788584349</v>
      </c>
      <c r="AB15" s="130">
        <v>4206.6256371573927</v>
      </c>
      <c r="AC15" s="130">
        <v>4206.6256371573927</v>
      </c>
      <c r="AD15" s="130">
        <v>4206.6256371573927</v>
      </c>
      <c r="AE15" s="130">
        <v>4206.6256371573927</v>
      </c>
      <c r="AF15" s="130">
        <v>3739.222788584349</v>
      </c>
      <c r="AG15" s="130">
        <v>3739.222788584349</v>
      </c>
      <c r="AH15" s="130">
        <v>3739.222788584349</v>
      </c>
      <c r="AI15" s="130">
        <v>3739.222788584349</v>
      </c>
      <c r="AJ15" s="130">
        <v>3739.222788584349</v>
      </c>
      <c r="AK15" s="130">
        <v>3739.222788584349</v>
      </c>
      <c r="AL15" s="130">
        <v>3739.222788584349</v>
      </c>
      <c r="AM15" s="130">
        <v>3739.222788584349</v>
      </c>
      <c r="AN15" s="130">
        <v>4206.6256371573927</v>
      </c>
      <c r="AO15" s="130">
        <v>4206.6256371573927</v>
      </c>
      <c r="AP15" s="130">
        <v>4206.6256371573927</v>
      </c>
      <c r="AQ15" s="130">
        <v>4206.6256371573927</v>
      </c>
      <c r="AR15" s="130">
        <v>3739.222788584349</v>
      </c>
      <c r="AS15" s="130">
        <v>3739.222788584349</v>
      </c>
      <c r="AT15" s="130">
        <v>3739.222788584349</v>
      </c>
      <c r="AU15" s="130">
        <v>3739.222788584349</v>
      </c>
      <c r="AV15" s="130">
        <v>3739.222788584349</v>
      </c>
      <c r="AW15" s="130">
        <v>3739.222788584349</v>
      </c>
      <c r="AX15" s="130">
        <v>3739.222788584349</v>
      </c>
      <c r="AY15" s="130">
        <v>3739.222788584349</v>
      </c>
      <c r="AZ15" s="106">
        <v>0</v>
      </c>
    </row>
    <row r="16" spans="1:53" x14ac:dyDescent="0.2">
      <c r="A16" s="116"/>
      <c r="B16" s="125">
        <v>2</v>
      </c>
      <c r="C16" s="115" t="s">
        <v>293</v>
      </c>
      <c r="D16" s="112"/>
      <c r="E16" s="116">
        <v>0</v>
      </c>
      <c r="F16" s="116">
        <v>0</v>
      </c>
      <c r="G16" s="116">
        <v>0</v>
      </c>
      <c r="H16" s="116">
        <v>0</v>
      </c>
      <c r="I16" s="116">
        <v>0</v>
      </c>
      <c r="J16" s="116"/>
      <c r="K16" s="116">
        <v>0</v>
      </c>
      <c r="L16" s="116">
        <v>0</v>
      </c>
      <c r="M16" s="116"/>
      <c r="N16" s="116"/>
      <c r="O16" s="116">
        <v>0</v>
      </c>
      <c r="P16" s="116">
        <v>0</v>
      </c>
      <c r="Q16" s="116"/>
      <c r="R16" s="116">
        <v>0</v>
      </c>
      <c r="S16" s="116">
        <v>0</v>
      </c>
      <c r="T16" s="116">
        <v>0</v>
      </c>
      <c r="U16" s="116">
        <v>0</v>
      </c>
      <c r="V16" s="116"/>
      <c r="W16" s="116">
        <v>0</v>
      </c>
      <c r="X16" s="116">
        <v>0</v>
      </c>
      <c r="Y16" s="116"/>
      <c r="Z16" s="116"/>
      <c r="AA16" s="116"/>
      <c r="AB16" s="116">
        <v>0</v>
      </c>
      <c r="AC16" s="116">
        <v>0</v>
      </c>
      <c r="AD16" s="116">
        <v>0</v>
      </c>
      <c r="AE16" s="116">
        <v>0</v>
      </c>
      <c r="AF16" s="116">
        <v>0</v>
      </c>
      <c r="AG16" s="116">
        <v>0</v>
      </c>
      <c r="AH16" s="116">
        <v>0</v>
      </c>
      <c r="AI16" s="116">
        <v>0</v>
      </c>
      <c r="AJ16" s="116"/>
      <c r="AK16" s="116">
        <v>0</v>
      </c>
      <c r="AL16" s="116">
        <v>0</v>
      </c>
      <c r="AM16" s="116">
        <v>0</v>
      </c>
      <c r="AN16" s="116">
        <v>0</v>
      </c>
      <c r="AO16" s="116">
        <v>0</v>
      </c>
      <c r="AP16" s="116"/>
      <c r="AQ16" s="116">
        <v>0</v>
      </c>
      <c r="AR16" s="116">
        <v>0</v>
      </c>
      <c r="AS16" s="116">
        <v>0</v>
      </c>
      <c r="AT16" s="116">
        <v>0</v>
      </c>
      <c r="AU16" s="116">
        <v>0</v>
      </c>
      <c r="AV16" s="116">
        <v>0</v>
      </c>
      <c r="AW16" s="116">
        <v>0</v>
      </c>
      <c r="AX16" s="116">
        <v>0</v>
      </c>
      <c r="AY16" s="116">
        <v>0</v>
      </c>
      <c r="AZ16" s="106">
        <v>0</v>
      </c>
      <c r="BA16" s="106">
        <v>0</v>
      </c>
    </row>
    <row r="17" spans="1:51" x14ac:dyDescent="0.2">
      <c r="A17" s="116"/>
      <c r="B17" s="125">
        <v>3</v>
      </c>
      <c r="C17" s="115" t="s">
        <v>293</v>
      </c>
      <c r="D17" s="112"/>
      <c r="E17" s="116"/>
      <c r="F17" s="116">
        <v>0</v>
      </c>
      <c r="G17" s="116"/>
      <c r="H17" s="116">
        <v>0</v>
      </c>
      <c r="I17" s="116"/>
      <c r="J17" s="116"/>
      <c r="K17" s="116">
        <v>0</v>
      </c>
      <c r="L17" s="116"/>
      <c r="M17" s="116"/>
      <c r="N17" s="116">
        <v>0</v>
      </c>
      <c r="O17" s="116">
        <v>0</v>
      </c>
      <c r="P17" s="116"/>
      <c r="Q17" s="116"/>
      <c r="R17" s="116"/>
      <c r="S17" s="116"/>
      <c r="T17" s="116"/>
      <c r="U17" s="116"/>
      <c r="V17" s="116"/>
      <c r="W17" s="116">
        <v>0</v>
      </c>
      <c r="X17" s="116"/>
      <c r="Y17" s="116"/>
      <c r="Z17" s="116"/>
      <c r="AA17" s="116">
        <v>0</v>
      </c>
      <c r="AB17" s="116"/>
      <c r="AC17" s="116"/>
      <c r="AD17" s="116"/>
      <c r="AE17" s="116"/>
      <c r="AF17" s="116">
        <v>0</v>
      </c>
      <c r="AG17" s="116"/>
      <c r="AH17" s="116">
        <v>0</v>
      </c>
      <c r="AI17" s="116"/>
      <c r="AJ17" s="116">
        <v>0</v>
      </c>
      <c r="AK17" s="116"/>
      <c r="AL17" s="116"/>
      <c r="AM17" s="116"/>
      <c r="AN17" s="116"/>
      <c r="AO17" s="116"/>
      <c r="AP17" s="116">
        <v>0</v>
      </c>
      <c r="AQ17" s="116"/>
      <c r="AR17" s="116"/>
      <c r="AS17" s="116"/>
      <c r="AT17" s="116">
        <v>0</v>
      </c>
      <c r="AU17" s="116"/>
      <c r="AV17" s="116"/>
      <c r="AW17" s="116"/>
      <c r="AX17" s="116"/>
      <c r="AY17" s="116"/>
    </row>
    <row r="18" spans="1:51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1" x14ac:dyDescent="0.2">
      <c r="A20" s="108" t="s">
        <v>294</v>
      </c>
    </row>
    <row r="21" spans="1:51" x14ac:dyDescent="0.2">
      <c r="A21" s="132" t="s">
        <v>125</v>
      </c>
      <c r="B21" s="129">
        <v>1</v>
      </c>
      <c r="C21" s="130" t="s">
        <v>293</v>
      </c>
      <c r="D21" s="130">
        <v>2167.6589393760837</v>
      </c>
      <c r="E21" s="130">
        <v>2316.0500816444473</v>
      </c>
      <c r="F21" s="130">
        <v>2502.2674302769419</v>
      </c>
      <c r="G21" s="130">
        <v>2725.8637596284339</v>
      </c>
      <c r="H21" s="130">
        <v>1725.8483401026649</v>
      </c>
      <c r="I21" s="130">
        <v>1997.2939112408269</v>
      </c>
      <c r="J21" s="130">
        <v>1155.0945643713465</v>
      </c>
      <c r="K21" s="130">
        <v>1800.289518194721</v>
      </c>
      <c r="L21" s="130">
        <v>1685.9191388859222</v>
      </c>
      <c r="M21" s="130">
        <v>1707.2101818159276</v>
      </c>
      <c r="N21" s="130">
        <v>1641.4633411235875</v>
      </c>
      <c r="O21" s="130">
        <v>1558.7180920076669</v>
      </c>
      <c r="P21" s="130">
        <v>2424.3256715634138</v>
      </c>
      <c r="Q21" s="130">
        <v>2536.3455985291966</v>
      </c>
      <c r="R21" s="130">
        <v>2709.1627925904568</v>
      </c>
      <c r="S21" s="130">
        <v>2935.0504530623202</v>
      </c>
      <c r="T21" s="130">
        <v>2200.5257560249115</v>
      </c>
      <c r="U21" s="130">
        <v>2088.4696916344396</v>
      </c>
      <c r="V21" s="130">
        <v>1902.4853982602167</v>
      </c>
      <c r="W21" s="130">
        <v>1788.7464374445194</v>
      </c>
      <c r="X21" s="130">
        <v>1655.3562417129726</v>
      </c>
      <c r="Y21" s="130">
        <v>1113.511714496118</v>
      </c>
      <c r="Z21" s="130">
        <v>552.01907829395236</v>
      </c>
      <c r="AA21" s="130"/>
      <c r="AB21" s="130">
        <v>307.17073968493543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>
        <v>772.75600482782863</v>
      </c>
      <c r="AO21" s="130">
        <v>1473.4042778704111</v>
      </c>
      <c r="AP21" s="130">
        <v>2128.265868176471</v>
      </c>
      <c r="AQ21" s="130">
        <v>2410.7913030354343</v>
      </c>
      <c r="AR21" s="130">
        <v>1737.1832181193531</v>
      </c>
      <c r="AS21" s="130">
        <v>1702.2546077857835</v>
      </c>
      <c r="AT21" s="130">
        <v>1575.9240758121889</v>
      </c>
      <c r="AU21" s="130">
        <v>1409.3004945583257</v>
      </c>
      <c r="AV21" s="130">
        <v>1294.1878356334441</v>
      </c>
      <c r="AW21" s="130">
        <v>779.27768767162524</v>
      </c>
      <c r="AX21" s="130">
        <v>1378.2014123223278</v>
      </c>
      <c r="AY21" s="130">
        <v>1233.9681527775131</v>
      </c>
    </row>
    <row r="22" spans="1:51" x14ac:dyDescent="0.2">
      <c r="A22" s="115"/>
      <c r="B22" s="126">
        <v>2</v>
      </c>
      <c r="C22" s="116" t="s">
        <v>293</v>
      </c>
      <c r="D22" s="116">
        <v>6582.9585190638227</v>
      </c>
      <c r="E22" s="116">
        <v>6472.8276241324438</v>
      </c>
      <c r="F22" s="116">
        <v>6310.4364818640806</v>
      </c>
      <c r="G22" s="116">
        <v>6240.2191332315861</v>
      </c>
      <c r="H22" s="116">
        <v>5972.6228038800946</v>
      </c>
      <c r="I22" s="116">
        <v>5487.0655930086896</v>
      </c>
      <c r="J22" s="116">
        <v>5750.6726522677027</v>
      </c>
      <c r="K22" s="116">
        <v>5496.62676004076</v>
      </c>
      <c r="L22" s="116">
        <v>5764.6770453138088</v>
      </c>
      <c r="M22" s="116">
        <v>5999.0474246226077</v>
      </c>
      <c r="N22" s="116">
        <v>6116.7563816926013</v>
      </c>
      <c r="O22" s="116">
        <v>6232.5032223849421</v>
      </c>
      <c r="P22" s="116">
        <v>6210.2484715008623</v>
      </c>
      <c r="Q22" s="116">
        <v>6447.1608919451137</v>
      </c>
      <c r="R22" s="116">
        <v>6282.1409649793313</v>
      </c>
      <c r="S22" s="116">
        <v>6180.3237709180712</v>
      </c>
      <c r="T22" s="116">
        <v>5884.4361104462077</v>
      </c>
      <c r="U22" s="116">
        <v>5591.4408074836174</v>
      </c>
      <c r="V22" s="116">
        <v>5644.4968718740893</v>
      </c>
      <c r="W22" s="116">
        <v>5870.4811652483131</v>
      </c>
      <c r="X22" s="116">
        <v>5920.2201260640104</v>
      </c>
      <c r="Y22" s="116">
        <v>6071.610321795557</v>
      </c>
      <c r="Z22" s="116">
        <v>6449.4548490124116</v>
      </c>
      <c r="AA22" s="116">
        <v>7017.0594223141397</v>
      </c>
      <c r="AB22" s="116">
        <v>7696.8546264089664</v>
      </c>
      <c r="AC22" s="116">
        <v>8340.2775571803486</v>
      </c>
      <c r="AD22" s="116">
        <v>8145.5175775858606</v>
      </c>
      <c r="AE22" s="116">
        <v>8000.8690921863217</v>
      </c>
      <c r="AF22" s="116">
        <v>6603.1418233242948</v>
      </c>
      <c r="AG22" s="116">
        <v>5897.7827762033348</v>
      </c>
      <c r="AH22" s="116">
        <v>5980.4323270453715</v>
      </c>
      <c r="AI22" s="116">
        <v>6226.1686330789171</v>
      </c>
      <c r="AJ22" s="116">
        <v>5853.8533410478431</v>
      </c>
      <c r="AK22" s="116">
        <v>6017.5673573882232</v>
      </c>
      <c r="AL22" s="116">
        <v>7324.0130940079189</v>
      </c>
      <c r="AM22" s="116">
        <v>7697.2226279024935</v>
      </c>
      <c r="AN22" s="116">
        <v>8353.9665635085294</v>
      </c>
      <c r="AO22" s="116">
        <v>7864.7305586806997</v>
      </c>
      <c r="AP22" s="116">
        <v>7282.0822856381164</v>
      </c>
      <c r="AQ22" s="116">
        <v>6587.2206953320565</v>
      </c>
      <c r="AR22" s="116">
        <v>6062.1698252331353</v>
      </c>
      <c r="AS22" s="116">
        <v>6014.8529158430747</v>
      </c>
      <c r="AT22" s="116">
        <v>6046.3657446931011</v>
      </c>
      <c r="AU22" s="116">
        <v>6234.2694523698856</v>
      </c>
      <c r="AV22" s="116">
        <v>6330.4549127046557</v>
      </c>
      <c r="AW22" s="116">
        <v>6528.1179021515527</v>
      </c>
      <c r="AX22" s="116">
        <v>6347.0260770233645</v>
      </c>
      <c r="AY22" s="116">
        <v>6774.7651511862014</v>
      </c>
    </row>
    <row r="23" spans="1:51" x14ac:dyDescent="0.2">
      <c r="A23" s="115"/>
      <c r="B23" s="133">
        <v>3</v>
      </c>
      <c r="C23" s="116" t="s">
        <v>293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221.03826664324333</v>
      </c>
      <c r="AE23" s="116">
        <v>940.96898592266734</v>
      </c>
      <c r="AF23" s="116">
        <v>1063.6174713222063</v>
      </c>
      <c r="AG23" s="116">
        <v>2401.3447401842332</v>
      </c>
      <c r="AH23" s="116">
        <v>2245.1837873051945</v>
      </c>
      <c r="AI23" s="116">
        <v>2147.5342364631579</v>
      </c>
      <c r="AJ23" s="116">
        <v>1912.7979304296123</v>
      </c>
      <c r="AK23" s="116">
        <v>2232.1132224606863</v>
      </c>
      <c r="AL23" s="116">
        <v>1112.5243106698063</v>
      </c>
      <c r="AM23" s="116">
        <v>740.95346950061048</v>
      </c>
      <c r="AN23" s="116">
        <v>395.74393560603585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1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1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1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1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1" x14ac:dyDescent="0.2">
      <c r="A28" s="115"/>
      <c r="B28" s="126">
        <v>4</v>
      </c>
      <c r="C28" s="115" t="s">
        <v>293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1" x14ac:dyDescent="0.2">
      <c r="A29" s="115"/>
      <c r="B29" s="133">
        <v>5</v>
      </c>
      <c r="C29" s="115" t="s">
        <v>293</v>
      </c>
      <c r="D29" s="116">
        <v>0</v>
      </c>
      <c r="E29" s="116">
        <v>0</v>
      </c>
      <c r="F29" s="116">
        <v>0</v>
      </c>
      <c r="G29" s="116">
        <v>0</v>
      </c>
      <c r="H29" s="116">
        <v>0</v>
      </c>
      <c r="I29" s="116">
        <v>0</v>
      </c>
      <c r="J29" s="116">
        <v>0</v>
      </c>
      <c r="K29" s="116">
        <v>0</v>
      </c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/>
      <c r="AB29" s="116">
        <v>0</v>
      </c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</row>
    <row r="30" spans="1:51" x14ac:dyDescent="0.2">
      <c r="A30" s="115"/>
      <c r="B30" s="133">
        <v>6</v>
      </c>
      <c r="C30" s="115" t="s">
        <v>293</v>
      </c>
      <c r="D30" s="116">
        <v>0</v>
      </c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</row>
    <row r="31" spans="1:51" x14ac:dyDescent="0.2">
      <c r="A31" s="115"/>
      <c r="B31" s="136">
        <v>7</v>
      </c>
      <c r="C31" s="115" t="s">
        <v>293</v>
      </c>
      <c r="D31" s="116">
        <v>0</v>
      </c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1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293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293</v>
      </c>
      <c r="D41" s="112">
        <v>868.70353020713026</v>
      </c>
      <c r="E41" s="112">
        <v>898.76380639503088</v>
      </c>
      <c r="F41" s="112">
        <v>944.52804634862434</v>
      </c>
      <c r="G41" s="112">
        <v>996.85840029609005</v>
      </c>
      <c r="H41" s="112">
        <v>726.6146713073332</v>
      </c>
      <c r="I41" s="112">
        <v>788.82826633584853</v>
      </c>
      <c r="J41" s="112">
        <v>527.49953158284256</v>
      </c>
      <c r="K41" s="112">
        <v>729.81615310425752</v>
      </c>
      <c r="L41" s="112">
        <v>686.70998834853469</v>
      </c>
      <c r="M41" s="112">
        <v>724.75438560798284</v>
      </c>
      <c r="N41" s="112">
        <v>708.10712506921732</v>
      </c>
      <c r="O41" s="112">
        <v>683.11116433663085</v>
      </c>
      <c r="P41" s="112">
        <v>976.36148654041506</v>
      </c>
      <c r="Q41" s="112">
        <v>994.49659880033289</v>
      </c>
      <c r="R41" s="112">
        <v>1037.0081660260182</v>
      </c>
      <c r="S41" s="112">
        <v>1096.3804783745095</v>
      </c>
      <c r="T41" s="112">
        <v>886.72212677542529</v>
      </c>
      <c r="U41" s="112">
        <v>833.56876651916616</v>
      </c>
      <c r="V41" s="112">
        <v>767.35062940281534</v>
      </c>
      <c r="W41" s="112">
        <v>725.81398140093881</v>
      </c>
      <c r="X41" s="112">
        <v>678.63536744043734</v>
      </c>
      <c r="Y41" s="112">
        <v>475.72195023451485</v>
      </c>
      <c r="Z41" s="112">
        <v>241.25213292929246</v>
      </c>
      <c r="AA41" s="112"/>
      <c r="AB41" s="112">
        <v>123.9559565929646</v>
      </c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>
        <v>252.34489879890464</v>
      </c>
      <c r="AO41" s="112">
        <v>453.72260830748252</v>
      </c>
      <c r="AP41" s="112">
        <v>693.4507353538462</v>
      </c>
      <c r="AQ41" s="112">
        <v>848.97605027180248</v>
      </c>
      <c r="AR41" s="112">
        <v>699.83927666648549</v>
      </c>
      <c r="AS41" s="112">
        <v>703.79970382663578</v>
      </c>
      <c r="AT41" s="112">
        <v>659.41389583569969</v>
      </c>
      <c r="AU41" s="112">
        <v>598.80063873516372</v>
      </c>
      <c r="AV41" s="112">
        <v>555.08125787462757</v>
      </c>
      <c r="AW41" s="112">
        <v>379.48640232084358</v>
      </c>
      <c r="AX41" s="112">
        <v>605.66303533029463</v>
      </c>
      <c r="AY41" s="112">
        <v>544.89316490770921</v>
      </c>
    </row>
    <row r="42" spans="1:51" x14ac:dyDescent="0.2">
      <c r="A42" s="115"/>
      <c r="B42" s="136">
        <v>10</v>
      </c>
      <c r="C42" s="115" t="s">
        <v>293</v>
      </c>
      <c r="D42" s="112">
        <v>1902.7912120188766</v>
      </c>
      <c r="E42" s="112">
        <v>2503.4706884940056</v>
      </c>
      <c r="F42" s="112">
        <v>2339.6561569292676</v>
      </c>
      <c r="G42" s="112">
        <v>2177.4408806211572</v>
      </c>
      <c r="H42" s="112">
        <v>2076.8210124808229</v>
      </c>
      <c r="I42" s="112">
        <v>2229.7369614000754</v>
      </c>
      <c r="J42" s="112">
        <v>2102.4394971275083</v>
      </c>
      <c r="K42" s="112">
        <v>2497.4569207531331</v>
      </c>
      <c r="L42" s="112">
        <v>2247.683690182912</v>
      </c>
      <c r="M42" s="112">
        <v>1779.8919055009069</v>
      </c>
      <c r="N42" s="112">
        <v>2012.5736573265697</v>
      </c>
      <c r="O42" s="112">
        <v>1974.5260222998081</v>
      </c>
      <c r="P42" s="112">
        <v>2258.8845269975855</v>
      </c>
      <c r="Q42" s="112">
        <v>1779.0258079801501</v>
      </c>
      <c r="R42" s="112">
        <v>1670.8002770701069</v>
      </c>
      <c r="S42" s="112">
        <v>1827.2544680079923</v>
      </c>
      <c r="T42" s="112">
        <v>1418.0468037132669</v>
      </c>
      <c r="U42" s="112">
        <v>2082.4612432679783</v>
      </c>
      <c r="V42" s="112">
        <v>2070.6262311890659</v>
      </c>
      <c r="W42" s="112">
        <v>2211.1477679991003</v>
      </c>
      <c r="X42" s="112">
        <v>2308.919572711417</v>
      </c>
      <c r="Y42" s="112">
        <v>2014.023905192691</v>
      </c>
      <c r="Z42" s="112">
        <v>2422.1681670058661</v>
      </c>
      <c r="AA42" s="112">
        <v>2737.8310765677293</v>
      </c>
      <c r="AB42" s="112">
        <v>3029.8188141704795</v>
      </c>
      <c r="AC42" s="112">
        <v>2848.7281543008799</v>
      </c>
      <c r="AD42" s="112">
        <v>2783.4594492203278</v>
      </c>
      <c r="AE42" s="112">
        <v>2962.2741225569316</v>
      </c>
      <c r="AF42" s="112">
        <v>2363.3752629258233</v>
      </c>
      <c r="AG42" s="112">
        <v>2356.3601082632131</v>
      </c>
      <c r="AH42" s="112">
        <v>2368.1884269834895</v>
      </c>
      <c r="AI42" s="112">
        <v>2336.5918390780598</v>
      </c>
      <c r="AJ42" s="112">
        <v>2126.9980931479481</v>
      </c>
      <c r="AK42" s="112">
        <v>2396.9968058418985</v>
      </c>
      <c r="AL42" s="112">
        <v>2479.4353153985162</v>
      </c>
      <c r="AM42" s="112">
        <v>2391.0042860799094</v>
      </c>
      <c r="AN42" s="112">
        <v>2345.0908841315158</v>
      </c>
      <c r="AO42" s="112">
        <v>2192.2547558073347</v>
      </c>
      <c r="AP42" s="112">
        <v>1605.065380463001</v>
      </c>
      <c r="AQ42" s="112">
        <v>1733.3618990253315</v>
      </c>
      <c r="AR42" s="112">
        <v>1511.7498901990441</v>
      </c>
      <c r="AS42" s="112">
        <v>1918.9359136077387</v>
      </c>
      <c r="AT42" s="112">
        <v>2002.7126004254405</v>
      </c>
      <c r="AU42" s="112">
        <v>2046.8964990728421</v>
      </c>
      <c r="AV42" s="112">
        <v>2089.101876299701</v>
      </c>
      <c r="AW42" s="112">
        <v>1532.50245587215</v>
      </c>
      <c r="AX42" s="112">
        <v>1998.1215546896228</v>
      </c>
      <c r="AY42" s="112">
        <v>1955.5628832214625</v>
      </c>
    </row>
    <row r="43" spans="1:51" x14ac:dyDescent="0.2">
      <c r="A43" s="115"/>
      <c r="B43" s="136">
        <v>11</v>
      </c>
      <c r="C43" s="115" t="s">
        <v>293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416.46064636102187</v>
      </c>
      <c r="AH43" s="112">
        <v>405.26919485193707</v>
      </c>
      <c r="AI43" s="112">
        <v>193.8946434727377</v>
      </c>
      <c r="AJ43" s="112">
        <v>32.3990327914712</v>
      </c>
      <c r="AK43" s="112">
        <v>303.32072379852309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293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293</v>
      </c>
      <c r="D89" s="116">
        <v>0</v>
      </c>
      <c r="E89" s="116">
        <v>0</v>
      </c>
      <c r="F89" s="116">
        <v>0</v>
      </c>
      <c r="G89" s="116">
        <v>0</v>
      </c>
      <c r="H89" s="116">
        <v>0</v>
      </c>
      <c r="I89" s="116">
        <v>0</v>
      </c>
      <c r="J89" s="116">
        <v>0</v>
      </c>
      <c r="K89" s="116">
        <v>0</v>
      </c>
      <c r="L89" s="116">
        <v>0</v>
      </c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/>
      <c r="AB89" s="116">
        <v>0</v>
      </c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293</v>
      </c>
      <c r="D90" s="116">
        <v>0</v>
      </c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293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519200.03684297513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6772.9585190638227</v>
      </c>
      <c r="D95" s="116">
        <v>7057.8276241324438</v>
      </c>
      <c r="E95" s="116">
        <v>6909.4364818640806</v>
      </c>
      <c r="F95" s="116">
        <v>6723.2191332315861</v>
      </c>
      <c r="G95" s="116">
        <v>6499.6228038800946</v>
      </c>
      <c r="H95" s="116">
        <v>6244.0655930086896</v>
      </c>
      <c r="I95" s="116">
        <v>6356.6726522677027</v>
      </c>
      <c r="J95" s="116">
        <v>6193.62676004076</v>
      </c>
      <c r="K95" s="116">
        <v>6553.6770453138088</v>
      </c>
      <c r="L95" s="116">
        <v>6668.0474246226077</v>
      </c>
      <c r="M95" s="116">
        <v>6646.7563816926013</v>
      </c>
      <c r="N95" s="116">
        <v>6712.5032223849421</v>
      </c>
      <c r="O95" s="116">
        <v>6795.2484715008623</v>
      </c>
      <c r="P95" s="116">
        <v>6801.1608919451137</v>
      </c>
      <c r="Q95" s="116">
        <v>6689.1409649793313</v>
      </c>
      <c r="R95" s="116">
        <v>6516.3237709180712</v>
      </c>
      <c r="S95" s="116">
        <v>6290.4361104462077</v>
      </c>
      <c r="T95" s="116">
        <v>6153.4408074836174</v>
      </c>
      <c r="U95" s="116">
        <v>6265.4968718740893</v>
      </c>
      <c r="V95" s="116">
        <v>6451.4811652483131</v>
      </c>
      <c r="W95" s="116">
        <v>6565.2201260640104</v>
      </c>
      <c r="X95" s="116">
        <v>6698.610321795557</v>
      </c>
      <c r="Y95" s="116">
        <v>7240.4548490124116</v>
      </c>
      <c r="Z95" s="116">
        <v>7801.9474852145768</v>
      </c>
      <c r="AA95" s="116">
        <v>8353.9665635085294</v>
      </c>
      <c r="AB95" s="116">
        <v>8918.3158238235919</v>
      </c>
      <c r="AC95" s="116">
        <v>9225.486563508528</v>
      </c>
      <c r="AD95" s="116">
        <v>9225.486563508528</v>
      </c>
      <c r="AE95" s="116">
        <v>9225.486563508528</v>
      </c>
      <c r="AF95" s="116">
        <v>8353.9665635085294</v>
      </c>
      <c r="AG95" s="116">
        <v>8353.9665635085294</v>
      </c>
      <c r="AH95" s="116">
        <v>8353.9665635085294</v>
      </c>
      <c r="AI95" s="116">
        <v>8353.9665635085294</v>
      </c>
      <c r="AJ95" s="116">
        <v>7360.0916680580294</v>
      </c>
      <c r="AK95" s="116">
        <v>8353.9665635085294</v>
      </c>
      <c r="AL95" s="116">
        <v>8353.9665635085294</v>
      </c>
      <c r="AM95" s="116">
        <v>8353.9665635085294</v>
      </c>
      <c r="AN95" s="116">
        <v>8452.7305586806997</v>
      </c>
      <c r="AO95" s="116">
        <v>7752.0822856381164</v>
      </c>
      <c r="AP95" s="116">
        <v>7097.2206953320565</v>
      </c>
      <c r="AQ95" s="116">
        <v>6491.1698252331353</v>
      </c>
      <c r="AR95" s="116">
        <v>6294.8529158430747</v>
      </c>
      <c r="AS95" s="116">
        <v>6331.3657446931011</v>
      </c>
      <c r="AT95" s="116">
        <v>6459.2694523698856</v>
      </c>
      <c r="AU95" s="116">
        <v>6627.4549127046557</v>
      </c>
      <c r="AV95" s="116">
        <v>6744.1179021515527</v>
      </c>
      <c r="AW95" s="116">
        <v>6586.0260770233645</v>
      </c>
      <c r="AX95" s="116">
        <v>6975.7651511862014</v>
      </c>
      <c r="AY95" s="116">
        <v>7119.9984107310165</v>
      </c>
    </row>
    <row r="96" spans="1:52" x14ac:dyDescent="0.2">
      <c r="A96" s="115"/>
      <c r="B96" s="126">
        <v>2</v>
      </c>
      <c r="C96" s="116">
        <v>0</v>
      </c>
      <c r="D96" s="116">
        <v>0</v>
      </c>
      <c r="E96" s="116">
        <v>0</v>
      </c>
      <c r="F96" s="116">
        <v>0</v>
      </c>
      <c r="G96" s="116">
        <v>0</v>
      </c>
      <c r="H96" s="116">
        <v>0</v>
      </c>
      <c r="I96" s="116">
        <v>0</v>
      </c>
      <c r="J96" s="116">
        <v>0</v>
      </c>
      <c r="K96" s="116">
        <v>0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142.88806290043703</v>
      </c>
      <c r="AB96" s="116">
        <v>0</v>
      </c>
      <c r="AC96" s="116">
        <v>378.03826664324333</v>
      </c>
      <c r="AD96" s="116">
        <v>1079.9689859226673</v>
      </c>
      <c r="AE96" s="116">
        <v>1224.6174713222063</v>
      </c>
      <c r="AF96" s="116">
        <v>2622.3447401842332</v>
      </c>
      <c r="AG96" s="116">
        <v>2456.1837873051945</v>
      </c>
      <c r="AH96" s="116">
        <v>2373.5342364631579</v>
      </c>
      <c r="AI96" s="116">
        <v>2127.7979304296123</v>
      </c>
      <c r="AJ96" s="116">
        <v>2500.1132224606863</v>
      </c>
      <c r="AK96" s="116">
        <v>1342.5243106698063</v>
      </c>
      <c r="AL96" s="116">
        <v>1029.9534695006105</v>
      </c>
      <c r="AM96" s="116">
        <v>656.74393560603585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>
        <v>0</v>
      </c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296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>
        <v>121</v>
      </c>
      <c r="D100" s="112">
        <v>0</v>
      </c>
      <c r="E100" s="112">
        <v>121</v>
      </c>
      <c r="F100" s="112">
        <v>0</v>
      </c>
      <c r="G100" s="112">
        <v>21</v>
      </c>
      <c r="H100" s="112">
        <v>0</v>
      </c>
      <c r="I100" s="112">
        <v>0</v>
      </c>
      <c r="J100" s="112">
        <v>0</v>
      </c>
      <c r="K100" s="112">
        <v>0</v>
      </c>
      <c r="L100" s="112">
        <v>0</v>
      </c>
      <c r="M100" s="112">
        <v>21</v>
      </c>
      <c r="N100" s="112">
        <v>21</v>
      </c>
      <c r="O100" s="112">
        <v>21</v>
      </c>
      <c r="P100" s="112">
        <v>21</v>
      </c>
      <c r="Q100" s="112">
        <v>0</v>
      </c>
      <c r="R100" s="112">
        <v>0</v>
      </c>
      <c r="S100" s="112">
        <v>21</v>
      </c>
      <c r="T100" s="112">
        <v>21</v>
      </c>
      <c r="U100" s="112">
        <v>21</v>
      </c>
      <c r="V100" s="112">
        <v>0</v>
      </c>
      <c r="W100" s="112">
        <v>21</v>
      </c>
      <c r="X100" s="112">
        <v>21</v>
      </c>
      <c r="Y100" s="112">
        <v>21</v>
      </c>
      <c r="Z100" s="112">
        <v>21</v>
      </c>
      <c r="AA100" s="112">
        <v>21</v>
      </c>
      <c r="AB100" s="112">
        <v>21</v>
      </c>
      <c r="AC100" s="112">
        <v>21</v>
      </c>
      <c r="AD100" s="112">
        <v>0</v>
      </c>
      <c r="AE100" s="112">
        <v>0</v>
      </c>
      <c r="AF100" s="112">
        <v>0</v>
      </c>
      <c r="AG100" s="112">
        <v>21</v>
      </c>
      <c r="AH100" s="112">
        <v>0</v>
      </c>
      <c r="AI100" s="112">
        <v>21</v>
      </c>
      <c r="AJ100" s="112">
        <v>0</v>
      </c>
      <c r="AK100" s="112">
        <v>0</v>
      </c>
      <c r="AL100" s="112">
        <v>21</v>
      </c>
      <c r="AM100" s="112">
        <v>21</v>
      </c>
      <c r="AN100" s="112">
        <v>0</v>
      </c>
      <c r="AO100" s="112">
        <v>21</v>
      </c>
      <c r="AP100" s="112">
        <v>0</v>
      </c>
      <c r="AQ100" s="112">
        <v>21</v>
      </c>
      <c r="AR100" s="112">
        <v>0</v>
      </c>
      <c r="AS100" s="112">
        <v>0</v>
      </c>
      <c r="AT100" s="112">
        <v>0</v>
      </c>
      <c r="AU100" s="112">
        <v>21</v>
      </c>
      <c r="AV100" s="112">
        <v>21</v>
      </c>
      <c r="AW100" s="112">
        <v>21</v>
      </c>
      <c r="AX100" s="112">
        <v>0</v>
      </c>
      <c r="AY100" s="112">
        <v>21</v>
      </c>
    </row>
    <row r="101" spans="1:52" x14ac:dyDescent="0.2">
      <c r="A101" s="115"/>
      <c r="B101" s="125">
        <v>2</v>
      </c>
      <c r="C101" s="112">
        <v>121</v>
      </c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21</v>
      </c>
      <c r="J101" s="112">
        <v>0</v>
      </c>
      <c r="K101" s="112">
        <v>21</v>
      </c>
      <c r="L101" s="112">
        <v>21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21</v>
      </c>
      <c r="S101" s="112">
        <v>21</v>
      </c>
      <c r="T101" s="112">
        <v>0</v>
      </c>
      <c r="U101" s="112">
        <v>0</v>
      </c>
      <c r="V101" s="112">
        <v>0</v>
      </c>
      <c r="W101" s="112">
        <v>21</v>
      </c>
      <c r="X101" s="112">
        <v>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21</v>
      </c>
      <c r="AF101" s="112">
        <v>21</v>
      </c>
      <c r="AG101" s="112">
        <v>21</v>
      </c>
      <c r="AH101" s="112">
        <v>0</v>
      </c>
      <c r="AI101" s="112">
        <v>0</v>
      </c>
      <c r="AJ101" s="112">
        <v>0</v>
      </c>
      <c r="AK101" s="112">
        <v>21</v>
      </c>
      <c r="AL101" s="112">
        <v>21</v>
      </c>
      <c r="AM101" s="112">
        <v>0</v>
      </c>
      <c r="AN101" s="112">
        <v>0</v>
      </c>
      <c r="AO101" s="112">
        <v>0</v>
      </c>
      <c r="AP101" s="112">
        <v>0</v>
      </c>
      <c r="AQ101" s="112">
        <v>21</v>
      </c>
      <c r="AR101" s="112">
        <v>0</v>
      </c>
      <c r="AS101" s="112">
        <v>0</v>
      </c>
      <c r="AT101" s="112">
        <v>21</v>
      </c>
      <c r="AU101" s="112">
        <v>21</v>
      </c>
      <c r="AV101" s="112">
        <v>0</v>
      </c>
      <c r="AW101" s="112">
        <v>0</v>
      </c>
      <c r="AX101" s="112">
        <v>0</v>
      </c>
      <c r="AY101" s="112">
        <v>21</v>
      </c>
    </row>
    <row r="102" spans="1:52" x14ac:dyDescent="0.2">
      <c r="A102" s="115"/>
      <c r="B102" s="126">
        <v>3</v>
      </c>
      <c r="C102" s="112">
        <v>121</v>
      </c>
      <c r="D102" s="112">
        <v>0</v>
      </c>
      <c r="E102" s="112">
        <v>0</v>
      </c>
      <c r="F102" s="112">
        <v>121</v>
      </c>
      <c r="G102" s="112">
        <v>0</v>
      </c>
      <c r="H102" s="112">
        <v>21</v>
      </c>
      <c r="I102" s="112">
        <v>0</v>
      </c>
      <c r="J102" s="112">
        <v>0</v>
      </c>
      <c r="K102" s="112">
        <v>21</v>
      </c>
      <c r="L102" s="112">
        <v>0</v>
      </c>
      <c r="M102" s="112">
        <v>0</v>
      </c>
      <c r="N102" s="112">
        <v>21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21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21</v>
      </c>
      <c r="AQ102" s="112">
        <v>0</v>
      </c>
      <c r="AR102" s="112">
        <v>0</v>
      </c>
      <c r="AS102" s="112">
        <v>0</v>
      </c>
      <c r="AT102" s="112">
        <v>21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3386.5995879680204</v>
      </c>
      <c r="D109" s="112">
        <v>3402.7446211221691</v>
      </c>
      <c r="E109" s="112">
        <v>3546.4724663750062</v>
      </c>
      <c r="F109" s="112">
        <v>3603.7985729009406</v>
      </c>
      <c r="G109" s="112">
        <v>3661.1417133660398</v>
      </c>
      <c r="H109" s="112">
        <v>3715.4289462261308</v>
      </c>
      <c r="I109" s="112">
        <v>3617.2968758704396</v>
      </c>
      <c r="J109" s="112">
        <v>3531.3141491855254</v>
      </c>
      <c r="K109" s="112">
        <v>3446.1565596543164</v>
      </c>
      <c r="L109" s="112">
        <v>3366.307791637234</v>
      </c>
      <c r="M109" s="112">
        <v>3334.3101083915817</v>
      </c>
      <c r="N109" s="112">
        <v>3369.4983974019156</v>
      </c>
      <c r="O109" s="112">
        <v>3389.7625761943746</v>
      </c>
      <c r="P109" s="112">
        <v>3424.8200028201272</v>
      </c>
      <c r="Q109" s="112">
        <v>3569.0376796660644</v>
      </c>
      <c r="R109" s="112">
        <v>3650.9829661959784</v>
      </c>
      <c r="S109" s="112">
        <v>3695.2245159813151</v>
      </c>
      <c r="T109" s="112">
        <v>3722.861146176172</v>
      </c>
      <c r="U109" s="112">
        <v>3632.4275584388183</v>
      </c>
      <c r="V109" s="112">
        <v>3513.6380003274953</v>
      </c>
      <c r="W109" s="112">
        <v>3400.5765230168713</v>
      </c>
      <c r="X109" s="112">
        <v>3337.6871110685934</v>
      </c>
      <c r="Y109" s="112">
        <v>3308.0830704562272</v>
      </c>
      <c r="Z109" s="112">
        <v>3135.1239014822872</v>
      </c>
      <c r="AA109" s="112">
        <v>3035.4144382482464</v>
      </c>
      <c r="AB109" s="112">
        <v>2931.7687981303779</v>
      </c>
      <c r="AC109" s="112">
        <v>3075.4470132225219</v>
      </c>
      <c r="AD109" s="112">
        <v>2995.3391319597677</v>
      </c>
      <c r="AE109" s="112">
        <v>2917.1901053489732</v>
      </c>
      <c r="AF109" s="112">
        <v>3012.5996546062393</v>
      </c>
      <c r="AG109" s="112">
        <v>2840.9119542877247</v>
      </c>
      <c r="AH109" s="112">
        <v>3005.9310432598436</v>
      </c>
      <c r="AI109" s="112">
        <v>3134.8842966352304</v>
      </c>
      <c r="AJ109" s="112">
        <v>3235.7751902742243</v>
      </c>
      <c r="AK109" s="112">
        <v>3321.5123042520763</v>
      </c>
      <c r="AL109" s="112">
        <v>3362.1659504640975</v>
      </c>
      <c r="AM109" s="112">
        <v>3414.7538369633253</v>
      </c>
      <c r="AN109" s="112">
        <v>3447.6547663783567</v>
      </c>
      <c r="AO109" s="112">
        <v>3586.696593374103</v>
      </c>
      <c r="AP109" s="112">
        <v>3671.2259185517569</v>
      </c>
      <c r="AQ109" s="112">
        <v>3688.9276842982513</v>
      </c>
      <c r="AR109" s="112">
        <v>3704.7852907878287</v>
      </c>
      <c r="AS109" s="112">
        <v>3572.3930959802615</v>
      </c>
      <c r="AT109" s="112">
        <v>3470.7223105272024</v>
      </c>
      <c r="AU109" s="112">
        <v>3370.6132790928114</v>
      </c>
      <c r="AV109" s="112">
        <v>3305.2748936221369</v>
      </c>
      <c r="AW109" s="112">
        <v>3297.0393859269416</v>
      </c>
      <c r="AX109" s="112">
        <v>3333.6989896640175</v>
      </c>
      <c r="AY109" s="112">
        <v>3364.1132171732038</v>
      </c>
    </row>
    <row r="110" spans="1:52" x14ac:dyDescent="0.2">
      <c r="A110" s="115"/>
      <c r="B110" s="125">
        <v>2</v>
      </c>
      <c r="C110" s="112">
        <v>3355.9564523359759</v>
      </c>
      <c r="D110" s="112">
        <v>3386.5995879680204</v>
      </c>
      <c r="E110" s="112">
        <v>3402.7446211221691</v>
      </c>
      <c r="F110" s="112">
        <v>3546.4724663750062</v>
      </c>
      <c r="G110" s="112">
        <v>3603.7985729009406</v>
      </c>
      <c r="H110" s="112">
        <v>3661.1417133660398</v>
      </c>
      <c r="I110" s="112">
        <v>3715.4289462261308</v>
      </c>
      <c r="J110" s="112">
        <v>3617.2968758704396</v>
      </c>
      <c r="K110" s="112">
        <v>3531.3141491855254</v>
      </c>
      <c r="L110" s="112">
        <v>3446.1565596543164</v>
      </c>
      <c r="M110" s="112">
        <v>3366.307791637234</v>
      </c>
      <c r="N110" s="112">
        <v>3334.3101083915817</v>
      </c>
      <c r="O110" s="112">
        <v>3369.4983974019156</v>
      </c>
      <c r="P110" s="112">
        <v>3389.7625761943746</v>
      </c>
      <c r="Q110" s="112">
        <v>3424.8200028201272</v>
      </c>
      <c r="R110" s="112">
        <v>3569.0376796660644</v>
      </c>
      <c r="S110" s="112">
        <v>3650.9829661959784</v>
      </c>
      <c r="T110" s="112">
        <v>3695.2245159813151</v>
      </c>
      <c r="U110" s="112">
        <v>3722.861146176172</v>
      </c>
      <c r="V110" s="112">
        <v>3632.4275584388183</v>
      </c>
      <c r="W110" s="112">
        <v>3513.6380003274953</v>
      </c>
      <c r="X110" s="112">
        <v>3400.5765230168713</v>
      </c>
      <c r="Y110" s="112">
        <v>3337.6871110685934</v>
      </c>
      <c r="Z110" s="112">
        <v>3308.0830704562272</v>
      </c>
      <c r="AA110" s="112">
        <v>3135.1239014822872</v>
      </c>
      <c r="AB110" s="112">
        <v>3035.4144382482464</v>
      </c>
      <c r="AC110" s="112">
        <v>2931.7687981303779</v>
      </c>
      <c r="AD110" s="112">
        <v>3075.4470132225219</v>
      </c>
      <c r="AE110" s="112">
        <v>2995.3391319597677</v>
      </c>
      <c r="AF110" s="112">
        <v>2917.1901053489732</v>
      </c>
      <c r="AG110" s="112">
        <v>3012.5996546062393</v>
      </c>
      <c r="AH110" s="112">
        <v>2840.9119542877247</v>
      </c>
      <c r="AI110" s="112">
        <v>3005.9310432598436</v>
      </c>
      <c r="AJ110" s="112">
        <v>3134.8842966352304</v>
      </c>
      <c r="AK110" s="112">
        <v>3235.7751902742243</v>
      </c>
      <c r="AL110" s="112">
        <v>3321.5123042520763</v>
      </c>
      <c r="AM110" s="112">
        <v>3362.1659504640975</v>
      </c>
      <c r="AN110" s="112">
        <v>3414.7538369633253</v>
      </c>
      <c r="AO110" s="112">
        <v>3447.6547663783567</v>
      </c>
      <c r="AP110" s="112">
        <v>3586.696593374103</v>
      </c>
      <c r="AQ110" s="112">
        <v>3671.2259185517569</v>
      </c>
      <c r="AR110" s="112">
        <v>3688.9276842982513</v>
      </c>
      <c r="AS110" s="112">
        <v>3704.7852907878287</v>
      </c>
      <c r="AT110" s="112">
        <v>3572.3930959802615</v>
      </c>
      <c r="AU110" s="112">
        <v>3470.7223105272024</v>
      </c>
      <c r="AV110" s="112">
        <v>3370.6132790928114</v>
      </c>
      <c r="AW110" s="112">
        <v>3305.2748936221369</v>
      </c>
      <c r="AX110" s="112">
        <v>3297.0393859269416</v>
      </c>
      <c r="AY110" s="112">
        <v>3333.6989896640175</v>
      </c>
    </row>
    <row r="111" spans="1:52" x14ac:dyDescent="0.2">
      <c r="A111" s="115"/>
      <c r="B111" s="125">
        <v>3</v>
      </c>
      <c r="C111" s="112">
        <v>3299.3866972868864</v>
      </c>
      <c r="D111" s="112">
        <v>3355.9564523359759</v>
      </c>
      <c r="E111" s="112">
        <v>3386.5995879680204</v>
      </c>
      <c r="F111" s="112">
        <v>3402.7446211221691</v>
      </c>
      <c r="G111" s="112">
        <v>3546.4724663750062</v>
      </c>
      <c r="H111" s="112">
        <v>3603.7985729009406</v>
      </c>
      <c r="I111" s="112">
        <v>3661.1417133660398</v>
      </c>
      <c r="J111" s="112">
        <v>3715.4289462261308</v>
      </c>
      <c r="K111" s="112">
        <v>3617.2968758704396</v>
      </c>
      <c r="L111" s="112">
        <v>3531.3141491855254</v>
      </c>
      <c r="M111" s="112">
        <v>3446.1565596543164</v>
      </c>
      <c r="N111" s="112">
        <v>3366.307791637234</v>
      </c>
      <c r="O111" s="112">
        <v>3334.3101083915817</v>
      </c>
      <c r="P111" s="112">
        <v>3369.4983974019156</v>
      </c>
      <c r="Q111" s="112">
        <v>3389.7625761943746</v>
      </c>
      <c r="R111" s="112">
        <v>3424.8200028201272</v>
      </c>
      <c r="S111" s="112">
        <v>3569.0376796660644</v>
      </c>
      <c r="T111" s="112">
        <v>3650.9829661959784</v>
      </c>
      <c r="U111" s="112">
        <v>3695.2245159813151</v>
      </c>
      <c r="V111" s="112">
        <v>3722.861146176172</v>
      </c>
      <c r="W111" s="112">
        <v>3632.4275584388183</v>
      </c>
      <c r="X111" s="112">
        <v>3513.6380003274953</v>
      </c>
      <c r="Y111" s="112">
        <v>3400.5765230168713</v>
      </c>
      <c r="Z111" s="112">
        <v>3337.6871110685934</v>
      </c>
      <c r="AA111" s="112">
        <v>3308.0830704562272</v>
      </c>
      <c r="AB111" s="112">
        <v>3135.1239014822872</v>
      </c>
      <c r="AC111" s="112">
        <v>3035.4144382482464</v>
      </c>
      <c r="AD111" s="112">
        <v>2931.7687981303779</v>
      </c>
      <c r="AE111" s="112">
        <v>3075.4470132225219</v>
      </c>
      <c r="AF111" s="112">
        <v>2995.3391319597677</v>
      </c>
      <c r="AG111" s="112">
        <v>2917.1901053489732</v>
      </c>
      <c r="AH111" s="112">
        <v>3012.5996546062393</v>
      </c>
      <c r="AI111" s="112">
        <v>2840.9119542877247</v>
      </c>
      <c r="AJ111" s="112">
        <v>3005.9310432598436</v>
      </c>
      <c r="AK111" s="112">
        <v>3134.8842966352304</v>
      </c>
      <c r="AL111" s="112">
        <v>3235.7751902742243</v>
      </c>
      <c r="AM111" s="112">
        <v>3321.5123042520763</v>
      </c>
      <c r="AN111" s="112">
        <v>3362.1659504640975</v>
      </c>
      <c r="AO111" s="112">
        <v>3414.7538369633253</v>
      </c>
      <c r="AP111" s="112">
        <v>3447.6547663783567</v>
      </c>
      <c r="AQ111" s="112">
        <v>3586.696593374103</v>
      </c>
      <c r="AR111" s="112">
        <v>3671.2259185517569</v>
      </c>
      <c r="AS111" s="112">
        <v>3688.9276842982513</v>
      </c>
      <c r="AT111" s="112">
        <v>3704.7852907878287</v>
      </c>
      <c r="AU111" s="112">
        <v>3572.3930959802615</v>
      </c>
      <c r="AV111" s="112">
        <v>3470.7223105272024</v>
      </c>
      <c r="AW111" s="112">
        <v>3370.6132790928114</v>
      </c>
      <c r="AX111" s="112">
        <v>3305.2748936221369</v>
      </c>
      <c r="AY111" s="112">
        <v>3297.0393859269416</v>
      </c>
    </row>
    <row r="112" spans="1:52" x14ac:dyDescent="0.2">
      <c r="A112" s="115"/>
      <c r="B112" s="126">
        <v>4</v>
      </c>
      <c r="C112" s="112">
        <v>3355.4839427611305</v>
      </c>
      <c r="D112" s="112">
        <v>3299.3866972868864</v>
      </c>
      <c r="E112" s="112">
        <v>3355.9564523359759</v>
      </c>
      <c r="F112" s="112">
        <v>3386.5995879680204</v>
      </c>
      <c r="G112" s="112">
        <v>3402.7446211221691</v>
      </c>
      <c r="H112" s="112">
        <v>3546.4724663750062</v>
      </c>
      <c r="I112" s="112">
        <v>3603.7985729009406</v>
      </c>
      <c r="J112" s="112">
        <v>3661.1417133660398</v>
      </c>
      <c r="K112" s="112">
        <v>3715.4289462261308</v>
      </c>
      <c r="L112" s="112">
        <v>3617.2968758704396</v>
      </c>
      <c r="M112" s="112">
        <v>3531.3141491855254</v>
      </c>
      <c r="N112" s="112">
        <v>3446.1565596543164</v>
      </c>
      <c r="O112" s="112">
        <v>3366.307791637234</v>
      </c>
      <c r="P112" s="112">
        <v>3334.3101083915817</v>
      </c>
      <c r="Q112" s="112">
        <v>3369.4983974019156</v>
      </c>
      <c r="R112" s="112">
        <v>3389.7625761943746</v>
      </c>
      <c r="S112" s="112">
        <v>3424.8200028201272</v>
      </c>
      <c r="T112" s="112">
        <v>3569.0376796660644</v>
      </c>
      <c r="U112" s="112">
        <v>3650.9829661959784</v>
      </c>
      <c r="V112" s="112">
        <v>3695.2245159813151</v>
      </c>
      <c r="W112" s="112">
        <v>3722.861146176172</v>
      </c>
      <c r="X112" s="112">
        <v>3632.4275584388183</v>
      </c>
      <c r="Y112" s="112">
        <v>3513.6380003274953</v>
      </c>
      <c r="Z112" s="112">
        <v>3400.5765230168713</v>
      </c>
      <c r="AA112" s="112">
        <v>3337.6871110685934</v>
      </c>
      <c r="AB112" s="112">
        <v>3308.0830704562272</v>
      </c>
      <c r="AC112" s="112">
        <v>3135.1239014822872</v>
      </c>
      <c r="AD112" s="112">
        <v>3035.4144382482464</v>
      </c>
      <c r="AE112" s="112">
        <v>2931.7687981303779</v>
      </c>
      <c r="AF112" s="112">
        <v>3075.4470132225219</v>
      </c>
      <c r="AG112" s="112">
        <v>2995.3391319597677</v>
      </c>
      <c r="AH112" s="112">
        <v>2917.1901053489732</v>
      </c>
      <c r="AI112" s="112">
        <v>3012.5996546062393</v>
      </c>
      <c r="AJ112" s="112">
        <v>2840.9119542877247</v>
      </c>
      <c r="AK112" s="112">
        <v>3005.9310432598436</v>
      </c>
      <c r="AL112" s="112">
        <v>3134.8842966352304</v>
      </c>
      <c r="AM112" s="112">
        <v>3235.7751902742243</v>
      </c>
      <c r="AN112" s="112">
        <v>3321.5123042520763</v>
      </c>
      <c r="AO112" s="112">
        <v>3362.1659504640975</v>
      </c>
      <c r="AP112" s="112">
        <v>3414.7538369633253</v>
      </c>
      <c r="AQ112" s="112">
        <v>3447.6547663783567</v>
      </c>
      <c r="AR112" s="112">
        <v>3586.696593374103</v>
      </c>
      <c r="AS112" s="112">
        <v>3671.2259185517569</v>
      </c>
      <c r="AT112" s="112">
        <v>3688.9276842982513</v>
      </c>
      <c r="AU112" s="112">
        <v>3704.7852907878287</v>
      </c>
      <c r="AV112" s="112">
        <v>3572.3930959802615</v>
      </c>
      <c r="AW112" s="112">
        <v>3470.7223105272024</v>
      </c>
      <c r="AX112" s="112">
        <v>3370.6132790928114</v>
      </c>
      <c r="AY112" s="112">
        <v>3305.2748936221369</v>
      </c>
    </row>
    <row r="113" spans="1:52" x14ac:dyDescent="0.2">
      <c r="A113" s="115"/>
      <c r="B113" s="126">
        <v>5</v>
      </c>
      <c r="C113" s="112">
        <v>3373.7943597393046</v>
      </c>
      <c r="D113" s="112">
        <v>3355.4839427611305</v>
      </c>
      <c r="E113" s="112">
        <v>3299.3866972868864</v>
      </c>
      <c r="F113" s="112">
        <v>3355.9564523359759</v>
      </c>
      <c r="G113" s="112">
        <v>3386.5995879680204</v>
      </c>
      <c r="H113" s="112">
        <v>3402.7446211221691</v>
      </c>
      <c r="I113" s="112">
        <v>3546.4724663750062</v>
      </c>
      <c r="J113" s="112">
        <v>3603.7985729009406</v>
      </c>
      <c r="K113" s="112">
        <v>3661.1417133660398</v>
      </c>
      <c r="L113" s="112">
        <v>3715.4289462261308</v>
      </c>
      <c r="M113" s="112">
        <v>3617.2968758704396</v>
      </c>
      <c r="N113" s="112">
        <v>3531.3141491855254</v>
      </c>
      <c r="O113" s="112">
        <v>3446.1565596543164</v>
      </c>
      <c r="P113" s="112">
        <v>3366.307791637234</v>
      </c>
      <c r="Q113" s="112">
        <v>3334.3101083915817</v>
      </c>
      <c r="R113" s="112">
        <v>3369.4983974019156</v>
      </c>
      <c r="S113" s="112">
        <v>3389.7625761943746</v>
      </c>
      <c r="T113" s="112">
        <v>3424.8200028201272</v>
      </c>
      <c r="U113" s="112">
        <v>3569.0376796660644</v>
      </c>
      <c r="V113" s="112">
        <v>3650.9829661959784</v>
      </c>
      <c r="W113" s="112">
        <v>3695.2245159813151</v>
      </c>
      <c r="X113" s="112">
        <v>3722.861146176172</v>
      </c>
      <c r="Y113" s="112">
        <v>3632.4275584388183</v>
      </c>
      <c r="Z113" s="112">
        <v>3513.6380003274953</v>
      </c>
      <c r="AA113" s="112">
        <v>3400.5765230168713</v>
      </c>
      <c r="AB113" s="112">
        <v>3337.6871110685934</v>
      </c>
      <c r="AC113" s="112">
        <v>3308.0830704562272</v>
      </c>
      <c r="AD113" s="112">
        <v>3135.1239014822872</v>
      </c>
      <c r="AE113" s="112">
        <v>3035.4144382482464</v>
      </c>
      <c r="AF113" s="112">
        <v>2931.7687981303779</v>
      </c>
      <c r="AG113" s="112">
        <v>3075.4470132225219</v>
      </c>
      <c r="AH113" s="112">
        <v>2995.3391319597677</v>
      </c>
      <c r="AI113" s="112">
        <v>2917.1901053489732</v>
      </c>
      <c r="AJ113" s="112">
        <v>3012.5996546062393</v>
      </c>
      <c r="AK113" s="112">
        <v>2840.9119542877247</v>
      </c>
      <c r="AL113" s="112">
        <v>3005.9310432598436</v>
      </c>
      <c r="AM113" s="112">
        <v>3134.8842966352304</v>
      </c>
      <c r="AN113" s="112">
        <v>3235.7751902742243</v>
      </c>
      <c r="AO113" s="112">
        <v>3321.5123042520763</v>
      </c>
      <c r="AP113" s="112">
        <v>3362.1659504640975</v>
      </c>
      <c r="AQ113" s="112">
        <v>3414.7538369633253</v>
      </c>
      <c r="AR113" s="112">
        <v>3447.6547663783567</v>
      </c>
      <c r="AS113" s="112">
        <v>3586.696593374103</v>
      </c>
      <c r="AT113" s="112">
        <v>3671.2259185517569</v>
      </c>
      <c r="AU113" s="112">
        <v>3688.9276842982513</v>
      </c>
      <c r="AV113" s="112">
        <v>3704.7852907878287</v>
      </c>
      <c r="AW113" s="112">
        <v>3572.3930959802615</v>
      </c>
      <c r="AX113" s="112">
        <v>3470.7223105272024</v>
      </c>
      <c r="AY113" s="112">
        <v>3370.6132790928114</v>
      </c>
    </row>
    <row r="114" spans="1:52" x14ac:dyDescent="0.2">
      <c r="A114" s="115"/>
      <c r="B114" s="126">
        <v>6</v>
      </c>
      <c r="C114" s="112">
        <v>3482.3339404141102</v>
      </c>
      <c r="D114" s="112">
        <v>3373.7943597393046</v>
      </c>
      <c r="E114" s="112">
        <v>3355.4839427611305</v>
      </c>
      <c r="F114" s="112">
        <v>3299.3866972868864</v>
      </c>
      <c r="G114" s="112">
        <v>3355.9564523359759</v>
      </c>
      <c r="H114" s="112">
        <v>3386.5995879680204</v>
      </c>
      <c r="I114" s="112">
        <v>3402.7446211221691</v>
      </c>
      <c r="J114" s="112">
        <v>3546.4724663750062</v>
      </c>
      <c r="K114" s="112">
        <v>3603.7985729009406</v>
      </c>
      <c r="L114" s="112">
        <v>3661.1417133660398</v>
      </c>
      <c r="M114" s="112">
        <v>3715.4289462261308</v>
      </c>
      <c r="N114" s="112">
        <v>3617.2968758704396</v>
      </c>
      <c r="O114" s="112">
        <v>3531.3141491855254</v>
      </c>
      <c r="P114" s="112">
        <v>3446.1565596543164</v>
      </c>
      <c r="Q114" s="112">
        <v>3366.307791637234</v>
      </c>
      <c r="R114" s="112">
        <v>3334.3101083915817</v>
      </c>
      <c r="S114" s="112">
        <v>3369.4983974019156</v>
      </c>
      <c r="T114" s="112">
        <v>3389.7625761943746</v>
      </c>
      <c r="U114" s="112">
        <v>3424.8200028201272</v>
      </c>
      <c r="V114" s="112">
        <v>3569.0376796660644</v>
      </c>
      <c r="W114" s="112">
        <v>3650.9829661959784</v>
      </c>
      <c r="X114" s="112">
        <v>3695.2245159813151</v>
      </c>
      <c r="Y114" s="112">
        <v>3722.861146176172</v>
      </c>
      <c r="Z114" s="112">
        <v>3632.4275584388183</v>
      </c>
      <c r="AA114" s="112">
        <v>3513.6380003274953</v>
      </c>
      <c r="AB114" s="112">
        <v>3400.5765230168713</v>
      </c>
      <c r="AC114" s="112">
        <v>3337.6871110685934</v>
      </c>
      <c r="AD114" s="112">
        <v>3308.0830704562272</v>
      </c>
      <c r="AE114" s="112">
        <v>3135.1239014822872</v>
      </c>
      <c r="AF114" s="112">
        <v>3035.4144382482464</v>
      </c>
      <c r="AG114" s="112">
        <v>2931.7687981303779</v>
      </c>
      <c r="AH114" s="112">
        <v>3075.4470132225219</v>
      </c>
      <c r="AI114" s="112">
        <v>2995.3391319597677</v>
      </c>
      <c r="AJ114" s="112">
        <v>2917.1901053489732</v>
      </c>
      <c r="AK114" s="112">
        <v>3012.5996546062393</v>
      </c>
      <c r="AL114" s="112">
        <v>2840.9119542877247</v>
      </c>
      <c r="AM114" s="112">
        <v>3005.9310432598436</v>
      </c>
      <c r="AN114" s="112">
        <v>3134.8842966352304</v>
      </c>
      <c r="AO114" s="112">
        <v>3235.7751902742243</v>
      </c>
      <c r="AP114" s="112">
        <v>3321.5123042520763</v>
      </c>
      <c r="AQ114" s="112">
        <v>3362.1659504640975</v>
      </c>
      <c r="AR114" s="112">
        <v>3414.7538369633253</v>
      </c>
      <c r="AS114" s="112">
        <v>3447.6547663783567</v>
      </c>
      <c r="AT114" s="112">
        <v>3586.696593374103</v>
      </c>
      <c r="AU114" s="112">
        <v>3671.2259185517569</v>
      </c>
      <c r="AV114" s="112">
        <v>3688.9276842982513</v>
      </c>
      <c r="AW114" s="112">
        <v>3704.7852907878287</v>
      </c>
      <c r="AX114" s="112">
        <v>3572.3930959802615</v>
      </c>
      <c r="AY114" s="112">
        <v>3470.7223105272024</v>
      </c>
    </row>
    <row r="115" spans="1:52" x14ac:dyDescent="0.2">
      <c r="A115" s="115"/>
      <c r="B115" s="133">
        <v>7</v>
      </c>
      <c r="C115" s="112">
        <v>3580.0320059477999</v>
      </c>
      <c r="D115" s="112">
        <v>3482.3339404141102</v>
      </c>
      <c r="E115" s="112">
        <v>3373.7943597393046</v>
      </c>
      <c r="F115" s="112">
        <v>3355.4839427611305</v>
      </c>
      <c r="G115" s="112">
        <v>3299.3866972868864</v>
      </c>
      <c r="H115" s="112">
        <v>3355.9564523359759</v>
      </c>
      <c r="I115" s="112">
        <v>3386.5995879680204</v>
      </c>
      <c r="J115" s="112">
        <v>3402.7446211221691</v>
      </c>
      <c r="K115" s="112">
        <v>3546.4724663750062</v>
      </c>
      <c r="L115" s="112">
        <v>3603.7985729009406</v>
      </c>
      <c r="M115" s="112">
        <v>3661.1417133660398</v>
      </c>
      <c r="N115" s="112">
        <v>3715.4289462261308</v>
      </c>
      <c r="O115" s="112">
        <v>3617.2968758704396</v>
      </c>
      <c r="P115" s="112">
        <v>3531.3141491855254</v>
      </c>
      <c r="Q115" s="112">
        <v>3446.1565596543164</v>
      </c>
      <c r="R115" s="112">
        <v>3366.307791637234</v>
      </c>
      <c r="S115" s="112">
        <v>3334.3101083915817</v>
      </c>
      <c r="T115" s="112">
        <v>3369.4983974019156</v>
      </c>
      <c r="U115" s="112">
        <v>3389.7625761943746</v>
      </c>
      <c r="V115" s="112">
        <v>3424.8200028201272</v>
      </c>
      <c r="W115" s="112">
        <v>3569.0376796660644</v>
      </c>
      <c r="X115" s="112">
        <v>3650.9829661959784</v>
      </c>
      <c r="Y115" s="112">
        <v>3695.2245159813151</v>
      </c>
      <c r="Z115" s="112">
        <v>3722.861146176172</v>
      </c>
      <c r="AA115" s="112">
        <v>3632.4275584388183</v>
      </c>
      <c r="AB115" s="112">
        <v>3513.6380003274953</v>
      </c>
      <c r="AC115" s="112">
        <v>3400.5765230168713</v>
      </c>
      <c r="AD115" s="112">
        <v>3337.6871110685934</v>
      </c>
      <c r="AE115" s="112">
        <v>3308.0830704562272</v>
      </c>
      <c r="AF115" s="112">
        <v>3135.1239014822872</v>
      </c>
      <c r="AG115" s="112">
        <v>3035.4144382482464</v>
      </c>
      <c r="AH115" s="112">
        <v>2931.7687981303779</v>
      </c>
      <c r="AI115" s="112">
        <v>3075.4470132225219</v>
      </c>
      <c r="AJ115" s="112">
        <v>2995.3391319597677</v>
      </c>
      <c r="AK115" s="112">
        <v>2917.1901053489732</v>
      </c>
      <c r="AL115" s="112">
        <v>3012.5996546062393</v>
      </c>
      <c r="AM115" s="112">
        <v>2840.9119542877247</v>
      </c>
      <c r="AN115" s="112">
        <v>3005.9310432598436</v>
      </c>
      <c r="AO115" s="112">
        <v>3134.8842966352304</v>
      </c>
      <c r="AP115" s="112">
        <v>3235.7751902742243</v>
      </c>
      <c r="AQ115" s="112">
        <v>3321.5123042520763</v>
      </c>
      <c r="AR115" s="112">
        <v>3362.1659504640975</v>
      </c>
      <c r="AS115" s="112">
        <v>3414.7538369633253</v>
      </c>
      <c r="AT115" s="112">
        <v>3447.6547663783567</v>
      </c>
      <c r="AU115" s="112">
        <v>3586.696593374103</v>
      </c>
      <c r="AV115" s="112">
        <v>3671.2259185517569</v>
      </c>
      <c r="AW115" s="112">
        <v>3688.9276842982513</v>
      </c>
      <c r="AX115" s="112">
        <v>3704.7852907878287</v>
      </c>
      <c r="AY115" s="112">
        <v>3572.3930959802615</v>
      </c>
    </row>
    <row r="116" spans="1:52" x14ac:dyDescent="0.2">
      <c r="A116" s="115"/>
      <c r="B116" s="133">
        <v>8</v>
      </c>
      <c r="C116" s="112">
        <v>3697.1742187011359</v>
      </c>
      <c r="D116" s="112">
        <v>3580.0320059477999</v>
      </c>
      <c r="E116" s="112">
        <v>3482.3339404141102</v>
      </c>
      <c r="F116" s="112">
        <v>3373.7943597393046</v>
      </c>
      <c r="G116" s="112">
        <v>3355.4839427611305</v>
      </c>
      <c r="H116" s="112">
        <v>3299.3866972868864</v>
      </c>
      <c r="I116" s="112">
        <v>3355.9564523359759</v>
      </c>
      <c r="J116" s="112">
        <v>3386.5995879680204</v>
      </c>
      <c r="K116" s="112">
        <v>3402.7446211221691</v>
      </c>
      <c r="L116" s="112">
        <v>3546.4724663750062</v>
      </c>
      <c r="M116" s="112">
        <v>3603.7985729009406</v>
      </c>
      <c r="N116" s="112">
        <v>3661.1417133660398</v>
      </c>
      <c r="O116" s="112">
        <v>3715.4289462261308</v>
      </c>
      <c r="P116" s="112">
        <v>3617.2968758704396</v>
      </c>
      <c r="Q116" s="112">
        <v>3531.3141491855254</v>
      </c>
      <c r="R116" s="112">
        <v>3446.1565596543164</v>
      </c>
      <c r="S116" s="112">
        <v>3366.307791637234</v>
      </c>
      <c r="T116" s="112">
        <v>3334.3101083915817</v>
      </c>
      <c r="U116" s="112">
        <v>3369.4983974019156</v>
      </c>
      <c r="V116" s="112">
        <v>3389.7625761943746</v>
      </c>
      <c r="W116" s="112">
        <v>3424.8200028201272</v>
      </c>
      <c r="X116" s="112">
        <v>3569.0376796660644</v>
      </c>
      <c r="Y116" s="112">
        <v>3650.9829661959784</v>
      </c>
      <c r="Z116" s="112">
        <v>3695.2245159813151</v>
      </c>
      <c r="AA116" s="112">
        <v>3722.861146176172</v>
      </c>
      <c r="AB116" s="112">
        <v>3632.4275584388183</v>
      </c>
      <c r="AC116" s="112">
        <v>3513.6380003274953</v>
      </c>
      <c r="AD116" s="112">
        <v>3400.5765230168713</v>
      </c>
      <c r="AE116" s="112">
        <v>3337.6871110685934</v>
      </c>
      <c r="AF116" s="112">
        <v>3308.0830704562272</v>
      </c>
      <c r="AG116" s="112">
        <v>3135.1239014822872</v>
      </c>
      <c r="AH116" s="112">
        <v>3035.4144382482464</v>
      </c>
      <c r="AI116" s="112">
        <v>2931.7687981303779</v>
      </c>
      <c r="AJ116" s="112">
        <v>3075.4470132225219</v>
      </c>
      <c r="AK116" s="112">
        <v>2995.3391319597677</v>
      </c>
      <c r="AL116" s="112">
        <v>2917.1901053489732</v>
      </c>
      <c r="AM116" s="112">
        <v>3012.5996546062393</v>
      </c>
      <c r="AN116" s="112">
        <v>2840.9119542877247</v>
      </c>
      <c r="AO116" s="112">
        <v>3005.9310432598436</v>
      </c>
      <c r="AP116" s="112">
        <v>3134.8842966352304</v>
      </c>
      <c r="AQ116" s="112">
        <v>3235.7751902742243</v>
      </c>
      <c r="AR116" s="112">
        <v>3321.5123042520763</v>
      </c>
      <c r="AS116" s="112">
        <v>3362.1659504640975</v>
      </c>
      <c r="AT116" s="112">
        <v>3414.7538369633253</v>
      </c>
      <c r="AU116" s="112">
        <v>3447.6547663783567</v>
      </c>
      <c r="AV116" s="112">
        <v>3586.696593374103</v>
      </c>
      <c r="AW116" s="112">
        <v>3671.2259185517569</v>
      </c>
      <c r="AX116" s="112">
        <v>3688.9276842982513</v>
      </c>
      <c r="AY116" s="112">
        <v>3704.7852907878287</v>
      </c>
    </row>
    <row r="117" spans="1:52" x14ac:dyDescent="0.2">
      <c r="A117" s="115"/>
      <c r="B117" s="133">
        <v>9</v>
      </c>
      <c r="C117" s="112">
        <v>2977.7912120188766</v>
      </c>
      <c r="D117" s="112">
        <v>2828.4706884940056</v>
      </c>
      <c r="E117" s="112">
        <v>2681.2681995527691</v>
      </c>
      <c r="F117" s="112">
        <v>2537.805894065486</v>
      </c>
      <c r="G117" s="112">
        <v>2376.9359594432144</v>
      </c>
      <c r="H117" s="112">
        <v>2628.8692714537974</v>
      </c>
      <c r="I117" s="112">
        <v>2510.5584309510377</v>
      </c>
      <c r="J117" s="112">
        <v>2828.4569207531331</v>
      </c>
      <c r="K117" s="112">
        <v>2656.783434863763</v>
      </c>
      <c r="L117" s="112">
        <v>2716.0346327736343</v>
      </c>
      <c r="M117" s="112">
        <v>2821.7180807670234</v>
      </c>
      <c r="N117" s="112">
        <v>2895.6914478317231</v>
      </c>
      <c r="O117" s="112">
        <v>2978.030549029409</v>
      </c>
      <c r="P117" s="112">
        <v>2739.0674596857157</v>
      </c>
      <c r="Q117" s="112">
        <v>2622.8002770701069</v>
      </c>
      <c r="R117" s="112">
        <v>2494.3059831595074</v>
      </c>
      <c r="S117" s="112">
        <v>2349.7760812798069</v>
      </c>
      <c r="T117" s="112">
        <v>2479.5856648618087</v>
      </c>
      <c r="U117" s="112">
        <v>2500.7413418724154</v>
      </c>
      <c r="V117" s="112">
        <v>2602.1477679991003</v>
      </c>
      <c r="W117" s="112">
        <v>2663.9485947934359</v>
      </c>
      <c r="X117" s="112">
        <v>2746.18463537969</v>
      </c>
      <c r="Y117" s="112">
        <v>3093.3157294315497</v>
      </c>
      <c r="Z117" s="112">
        <v>3409.7308332666857</v>
      </c>
      <c r="AA117" s="112">
        <v>3695.2245159813151</v>
      </c>
      <c r="AB117" s="112">
        <v>3598.9051895832076</v>
      </c>
      <c r="AC117" s="112">
        <v>3632.4275584388183</v>
      </c>
      <c r="AD117" s="112">
        <v>3513.6380003274953</v>
      </c>
      <c r="AE117" s="112">
        <v>3400.5765230168713</v>
      </c>
      <c r="AF117" s="112">
        <v>3337.6871110685934</v>
      </c>
      <c r="AG117" s="112">
        <v>3308.0830704562272</v>
      </c>
      <c r="AH117" s="112">
        <v>3135.1239014822872</v>
      </c>
      <c r="AI117" s="112">
        <v>3035.4144382482464</v>
      </c>
      <c r="AJ117" s="112">
        <v>2931.7687981303779</v>
      </c>
      <c r="AK117" s="112">
        <v>3075.4470132225219</v>
      </c>
      <c r="AL117" s="112">
        <v>2995.3391319597677</v>
      </c>
      <c r="AM117" s="112">
        <v>2917.1901053489732</v>
      </c>
      <c r="AN117" s="112">
        <v>2760.2547558073347</v>
      </c>
      <c r="AO117" s="112">
        <v>2387.1893459802423</v>
      </c>
      <c r="AP117" s="112">
        <v>2312.4803079059975</v>
      </c>
      <c r="AQ117" s="112">
        <v>2285.9082463634277</v>
      </c>
      <c r="AR117" s="112">
        <v>2535.9359136077387</v>
      </c>
      <c r="AS117" s="112">
        <v>2617.7126004254405</v>
      </c>
      <c r="AT117" s="112">
        <v>2702.7520546283977</v>
      </c>
      <c r="AU117" s="112">
        <v>2815.9531982281615</v>
      </c>
      <c r="AV117" s="112">
        <v>2892.573508503729</v>
      </c>
      <c r="AW117" s="112">
        <v>3207.2101910532592</v>
      </c>
      <c r="AX117" s="112">
        <v>3065.5628832214625</v>
      </c>
      <c r="AY117" s="112">
        <v>3144.0345193905423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55.750330093451794</v>
      </c>
      <c r="AB118" s="112">
        <v>0</v>
      </c>
      <c r="AC118" s="112">
        <v>129.12379068998189</v>
      </c>
      <c r="AD118" s="112">
        <v>369.04344630022479</v>
      </c>
      <c r="AE118" s="112">
        <v>453.40732407078849</v>
      </c>
      <c r="AF118" s="112">
        <v>938.58118690156243</v>
      </c>
      <c r="AG118" s="112">
        <v>981.32700280538029</v>
      </c>
      <c r="AH118" s="112">
        <v>939.8946434727377</v>
      </c>
      <c r="AI118" s="112">
        <v>798.53206240422742</v>
      </c>
      <c r="AJ118" s="112">
        <v>908.41634510029826</v>
      </c>
      <c r="AK118" s="112">
        <v>534.7719922884794</v>
      </c>
      <c r="AL118" s="112">
        <v>348.6753741041689</v>
      </c>
      <c r="AM118" s="112">
        <v>204.00573567909441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3739.222788584349</v>
      </c>
      <c r="D122" s="112">
        <v>4206.6256371573927</v>
      </c>
      <c r="E122" s="112">
        <v>4206.6256371573927</v>
      </c>
      <c r="F122" s="112">
        <v>4206.6256371573927</v>
      </c>
      <c r="G122" s="112">
        <v>4206.6256371573927</v>
      </c>
      <c r="H122" s="112">
        <v>3739.222788584349</v>
      </c>
      <c r="I122" s="112">
        <v>3739.222788584349</v>
      </c>
      <c r="J122" s="112">
        <v>3739.222788584349</v>
      </c>
      <c r="K122" s="112">
        <v>3739.222788584349</v>
      </c>
      <c r="L122" s="112">
        <v>3739.222788584349</v>
      </c>
      <c r="M122" s="112">
        <v>3739.222788584349</v>
      </c>
      <c r="N122" s="112">
        <v>3739.222788584349</v>
      </c>
      <c r="O122" s="112">
        <v>3739.222788584349</v>
      </c>
      <c r="P122" s="112">
        <v>4206.6256371573927</v>
      </c>
      <c r="Q122" s="112">
        <v>4206.6256371573927</v>
      </c>
      <c r="R122" s="112">
        <v>4206.6256371573927</v>
      </c>
      <c r="S122" s="112">
        <v>4206.6256371573927</v>
      </c>
      <c r="T122" s="112">
        <v>3739.222788584349</v>
      </c>
      <c r="U122" s="112">
        <v>3739.222788584349</v>
      </c>
      <c r="V122" s="112">
        <v>3739.222788584349</v>
      </c>
      <c r="W122" s="112">
        <v>3739.222788584349</v>
      </c>
      <c r="X122" s="112">
        <v>3739.222788584349</v>
      </c>
      <c r="Y122" s="112">
        <v>3739.222788584349</v>
      </c>
      <c r="Z122" s="112">
        <v>3739.222788584349</v>
      </c>
      <c r="AA122" s="112">
        <v>3739.222788584349</v>
      </c>
      <c r="AB122" s="112">
        <v>4206.6256371573927</v>
      </c>
      <c r="AC122" s="112">
        <v>4206.6256371573927</v>
      </c>
      <c r="AD122" s="112">
        <v>4206.6256371573927</v>
      </c>
      <c r="AE122" s="112">
        <v>4206.6256371573927</v>
      </c>
      <c r="AF122" s="112">
        <v>3739.222788584349</v>
      </c>
      <c r="AG122" s="112">
        <v>3739.222788584349</v>
      </c>
      <c r="AH122" s="112">
        <v>3739.222788584349</v>
      </c>
      <c r="AI122" s="112">
        <v>3739.222788584349</v>
      </c>
      <c r="AJ122" s="112">
        <v>3739.222788584349</v>
      </c>
      <c r="AK122" s="112">
        <v>3739.222788584349</v>
      </c>
      <c r="AL122" s="112">
        <v>3739.222788584349</v>
      </c>
      <c r="AM122" s="112">
        <v>3739.222788584349</v>
      </c>
      <c r="AN122" s="112">
        <v>4206.6256371573927</v>
      </c>
      <c r="AO122" s="112">
        <v>4206.6256371573927</v>
      </c>
      <c r="AP122" s="112">
        <v>4206.6256371573927</v>
      </c>
      <c r="AQ122" s="112">
        <v>4206.6256371573927</v>
      </c>
      <c r="AR122" s="112">
        <v>3739.222788584349</v>
      </c>
      <c r="AS122" s="112">
        <v>3739.222788584349</v>
      </c>
      <c r="AT122" s="112">
        <v>3739.222788584349</v>
      </c>
      <c r="AU122" s="112">
        <v>3739.222788584349</v>
      </c>
      <c r="AV122" s="112">
        <v>3739.222788584349</v>
      </c>
      <c r="AW122" s="112">
        <v>3739.222788584349</v>
      </c>
      <c r="AX122" s="112">
        <v>3739.222788584349</v>
      </c>
      <c r="AY122" s="112">
        <v>3739.222788584349</v>
      </c>
    </row>
    <row r="123" spans="1:52" x14ac:dyDescent="0.2">
      <c r="A123" s="115"/>
      <c r="B123" s="125">
        <v>2</v>
      </c>
      <c r="C123" s="112">
        <v>2709.4278395240503</v>
      </c>
      <c r="D123" s="112">
        <v>2709.4278395240503</v>
      </c>
      <c r="E123" s="112">
        <v>3048.1063194645562</v>
      </c>
      <c r="F123" s="112">
        <v>3048.1063194645562</v>
      </c>
      <c r="G123" s="112">
        <v>3048.1063194645562</v>
      </c>
      <c r="H123" s="112">
        <v>3048.1063194645562</v>
      </c>
      <c r="I123" s="112">
        <v>2709.4278395240503</v>
      </c>
      <c r="J123" s="112">
        <v>2709.4278395240503</v>
      </c>
      <c r="K123" s="112">
        <v>2709.4278395240503</v>
      </c>
      <c r="L123" s="112">
        <v>2709.4278395240503</v>
      </c>
      <c r="M123" s="112">
        <v>2709.4278395240503</v>
      </c>
      <c r="N123" s="112">
        <v>2709.4278395240503</v>
      </c>
      <c r="O123" s="112">
        <v>2709.4278395240503</v>
      </c>
      <c r="P123" s="112">
        <v>2709.4278395240503</v>
      </c>
      <c r="Q123" s="112">
        <v>3048.1063194645562</v>
      </c>
      <c r="R123" s="112">
        <v>3048.1063194645562</v>
      </c>
      <c r="S123" s="112">
        <v>3048.1063194645562</v>
      </c>
      <c r="T123" s="112">
        <v>3048.1063194645562</v>
      </c>
      <c r="U123" s="112">
        <v>2709.4278395240503</v>
      </c>
      <c r="V123" s="112">
        <v>2709.4278395240503</v>
      </c>
      <c r="W123" s="112">
        <v>2709.4278395240503</v>
      </c>
      <c r="X123" s="112">
        <v>2709.4278395240503</v>
      </c>
      <c r="Y123" s="112">
        <v>2709.4278395240503</v>
      </c>
      <c r="Z123" s="112">
        <v>2709.4278395240503</v>
      </c>
      <c r="AA123" s="112">
        <v>2709.4278395240503</v>
      </c>
      <c r="AB123" s="112">
        <v>2709.4278395240503</v>
      </c>
      <c r="AC123" s="112">
        <v>3048.1063194645562</v>
      </c>
      <c r="AD123" s="112">
        <v>3048.1063194645562</v>
      </c>
      <c r="AE123" s="112">
        <v>3048.1063194645562</v>
      </c>
      <c r="AF123" s="112">
        <v>3048.1063194645562</v>
      </c>
      <c r="AG123" s="112">
        <v>2709.4278395240503</v>
      </c>
      <c r="AH123" s="112">
        <v>2709.4278395240503</v>
      </c>
      <c r="AI123" s="112">
        <v>2709.4278395240503</v>
      </c>
      <c r="AJ123" s="112">
        <v>2709.4278395240503</v>
      </c>
      <c r="AK123" s="112">
        <v>2709.4278395240503</v>
      </c>
      <c r="AL123" s="112">
        <v>2709.4278395240503</v>
      </c>
      <c r="AM123" s="112">
        <v>2709.4278395240503</v>
      </c>
      <c r="AN123" s="112">
        <v>2709.4278395240503</v>
      </c>
      <c r="AO123" s="112">
        <v>3048.1063194645562</v>
      </c>
      <c r="AP123" s="112">
        <v>3048.1063194645562</v>
      </c>
      <c r="AQ123" s="112">
        <v>3048.1063194645562</v>
      </c>
      <c r="AR123" s="112">
        <v>3048.1063194645562</v>
      </c>
      <c r="AS123" s="112">
        <v>2709.4278395240503</v>
      </c>
      <c r="AT123" s="112">
        <v>2709.4278395240503</v>
      </c>
      <c r="AU123" s="112">
        <v>2709.4278395240503</v>
      </c>
      <c r="AV123" s="112">
        <v>2709.4278395240503</v>
      </c>
      <c r="AW123" s="112">
        <v>2709.4278395240503</v>
      </c>
      <c r="AX123" s="112">
        <v>2709.4278395240503</v>
      </c>
      <c r="AY123" s="112">
        <v>2709.4278395240503</v>
      </c>
    </row>
    <row r="124" spans="1:52" x14ac:dyDescent="0.2">
      <c r="A124" s="115"/>
      <c r="B124" s="125">
        <v>3</v>
      </c>
      <c r="C124" s="112">
        <v>1963.2419977754864</v>
      </c>
      <c r="D124" s="112">
        <v>1963.2419977754864</v>
      </c>
      <c r="E124" s="112">
        <v>1963.2419977754864</v>
      </c>
      <c r="F124" s="112">
        <v>2208.6472474974221</v>
      </c>
      <c r="G124" s="112">
        <v>2208.6472474974221</v>
      </c>
      <c r="H124" s="112">
        <v>2208.6472474974221</v>
      </c>
      <c r="I124" s="112">
        <v>2208.6472474974221</v>
      </c>
      <c r="J124" s="112">
        <v>1963.2419977754864</v>
      </c>
      <c r="K124" s="112">
        <v>1963.2419977754864</v>
      </c>
      <c r="L124" s="112">
        <v>1963.2419977754864</v>
      </c>
      <c r="M124" s="112">
        <v>1963.2419977754864</v>
      </c>
      <c r="N124" s="112">
        <v>1963.2419977754864</v>
      </c>
      <c r="O124" s="112">
        <v>1963.2419977754864</v>
      </c>
      <c r="P124" s="112">
        <v>1963.2419977754864</v>
      </c>
      <c r="Q124" s="112">
        <v>1963.2419977754864</v>
      </c>
      <c r="R124" s="112">
        <v>2208.6472474974221</v>
      </c>
      <c r="S124" s="112">
        <v>2208.6472474974221</v>
      </c>
      <c r="T124" s="112">
        <v>2208.6472474974221</v>
      </c>
      <c r="U124" s="112">
        <v>2208.6472474974221</v>
      </c>
      <c r="V124" s="112">
        <v>1963.2419977754864</v>
      </c>
      <c r="W124" s="112">
        <v>1963.2419977754864</v>
      </c>
      <c r="X124" s="112">
        <v>1963.2419977754864</v>
      </c>
      <c r="Y124" s="112">
        <v>1963.2419977754864</v>
      </c>
      <c r="Z124" s="112">
        <v>1963.2419977754864</v>
      </c>
      <c r="AA124" s="112">
        <v>1963.2419977754864</v>
      </c>
      <c r="AB124" s="112">
        <v>1963.2419977754864</v>
      </c>
      <c r="AC124" s="112">
        <v>1963.2419977754864</v>
      </c>
      <c r="AD124" s="112">
        <v>2208.6472474974221</v>
      </c>
      <c r="AE124" s="112">
        <v>2208.6472474974221</v>
      </c>
      <c r="AF124" s="112">
        <v>2208.6472474974221</v>
      </c>
      <c r="AG124" s="112">
        <v>2208.6472474974221</v>
      </c>
      <c r="AH124" s="112">
        <v>1963.2419977754864</v>
      </c>
      <c r="AI124" s="112">
        <v>1963.2419977754864</v>
      </c>
      <c r="AJ124" s="112">
        <v>1963.2419977754864</v>
      </c>
      <c r="AK124" s="112">
        <v>1963.2419977754864</v>
      </c>
      <c r="AL124" s="112">
        <v>1963.2419977754864</v>
      </c>
      <c r="AM124" s="112">
        <v>1963.2419977754864</v>
      </c>
      <c r="AN124" s="112">
        <v>1963.2419977754864</v>
      </c>
      <c r="AO124" s="112">
        <v>1963.2419977754864</v>
      </c>
      <c r="AP124" s="112">
        <v>2208.6472474974221</v>
      </c>
      <c r="AQ124" s="112">
        <v>2208.6472474974221</v>
      </c>
      <c r="AR124" s="112">
        <v>2208.6472474974221</v>
      </c>
      <c r="AS124" s="112">
        <v>2208.6472474974221</v>
      </c>
      <c r="AT124" s="112">
        <v>1963.2419977754864</v>
      </c>
      <c r="AU124" s="112">
        <v>1963.2419977754864</v>
      </c>
      <c r="AV124" s="112">
        <v>1963.2419977754864</v>
      </c>
      <c r="AW124" s="112">
        <v>1963.2419977754864</v>
      </c>
      <c r="AX124" s="112">
        <v>1963.2419977754864</v>
      </c>
      <c r="AY124" s="112">
        <v>1963.2419977754864</v>
      </c>
    </row>
    <row r="125" spans="1:52" x14ac:dyDescent="0.2">
      <c r="A125" s="115"/>
      <c r="B125" s="125">
        <v>4</v>
      </c>
      <c r="C125" s="112">
        <v>1422.5583296975899</v>
      </c>
      <c r="D125" s="112">
        <v>1422.5583296975899</v>
      </c>
      <c r="E125" s="112">
        <v>1422.5583296975899</v>
      </c>
      <c r="F125" s="112">
        <v>1422.5583296975899</v>
      </c>
      <c r="G125" s="112">
        <v>1600.3781209097885</v>
      </c>
      <c r="H125" s="112">
        <v>1600.3781209097885</v>
      </c>
      <c r="I125" s="112">
        <v>1600.3781209097885</v>
      </c>
      <c r="J125" s="112">
        <v>1600.3781209097885</v>
      </c>
      <c r="K125" s="112">
        <v>1422.5583296975899</v>
      </c>
      <c r="L125" s="112">
        <v>1422.5583296975899</v>
      </c>
      <c r="M125" s="112">
        <v>1422.5583296975899</v>
      </c>
      <c r="N125" s="112">
        <v>1422.5583296975899</v>
      </c>
      <c r="O125" s="112">
        <v>1422.5583296975899</v>
      </c>
      <c r="P125" s="112">
        <v>1422.5583296975899</v>
      </c>
      <c r="Q125" s="112">
        <v>1422.5583296975899</v>
      </c>
      <c r="R125" s="112">
        <v>1422.5583296975899</v>
      </c>
      <c r="S125" s="112">
        <v>1600.3781209097885</v>
      </c>
      <c r="T125" s="112">
        <v>1600.3781209097885</v>
      </c>
      <c r="U125" s="112">
        <v>1600.3781209097885</v>
      </c>
      <c r="V125" s="112">
        <v>1600.3781209097885</v>
      </c>
      <c r="W125" s="112">
        <v>1422.5583296975899</v>
      </c>
      <c r="X125" s="112">
        <v>1422.5583296975899</v>
      </c>
      <c r="Y125" s="112">
        <v>1422.5583296975899</v>
      </c>
      <c r="Z125" s="112">
        <v>1422.5583296975899</v>
      </c>
      <c r="AA125" s="112">
        <v>1422.5583296975899</v>
      </c>
      <c r="AB125" s="112">
        <v>1422.5583296975899</v>
      </c>
      <c r="AC125" s="112">
        <v>1422.5583296975899</v>
      </c>
      <c r="AD125" s="112">
        <v>1129.0438122368159</v>
      </c>
      <c r="AE125" s="112">
        <v>1475.4793440452358</v>
      </c>
      <c r="AF125" s="112">
        <v>1319.4779293361157</v>
      </c>
      <c r="AG125" s="112">
        <v>1600.3781209097885</v>
      </c>
      <c r="AH125" s="112">
        <v>1600.3781209097885</v>
      </c>
      <c r="AI125" s="112">
        <v>1422.5583296975899</v>
      </c>
      <c r="AJ125" s="112">
        <v>1422.5583296975899</v>
      </c>
      <c r="AK125" s="112">
        <v>1422.5583296975899</v>
      </c>
      <c r="AL125" s="112">
        <v>1422.5583296975899</v>
      </c>
      <c r="AM125" s="112">
        <v>1422.5583296975899</v>
      </c>
      <c r="AN125" s="112">
        <v>1422.5583296975899</v>
      </c>
      <c r="AO125" s="112">
        <v>1422.5583296975899</v>
      </c>
      <c r="AP125" s="112">
        <v>1422.5583296975899</v>
      </c>
      <c r="AQ125" s="112">
        <v>1600.3781209097885</v>
      </c>
      <c r="AR125" s="112">
        <v>1600.3781209097885</v>
      </c>
      <c r="AS125" s="112">
        <v>1600.3781209097885</v>
      </c>
      <c r="AT125" s="112">
        <v>1600.3781209097885</v>
      </c>
      <c r="AU125" s="112">
        <v>1422.5583296975899</v>
      </c>
      <c r="AV125" s="112">
        <v>1422.5583296975899</v>
      </c>
      <c r="AW125" s="112">
        <v>1422.5583296975899</v>
      </c>
      <c r="AX125" s="112">
        <v>1422.5583296975899</v>
      </c>
      <c r="AY125" s="112">
        <v>1422.5583296975899</v>
      </c>
    </row>
    <row r="126" spans="1:52" x14ac:dyDescent="0.2">
      <c r="A126" s="115"/>
      <c r="B126" s="125">
        <v>5</v>
      </c>
      <c r="C126" s="112">
        <v>1030.7808225807023</v>
      </c>
      <c r="D126" s="112">
        <v>1030.7808225807023</v>
      </c>
      <c r="E126" s="112">
        <v>1030.7808225807023</v>
      </c>
      <c r="F126" s="112">
        <v>1030.7808225807023</v>
      </c>
      <c r="G126" s="112">
        <v>1030.7808225807023</v>
      </c>
      <c r="H126" s="112">
        <v>1159.6284254032898</v>
      </c>
      <c r="I126" s="112">
        <v>1159.6284254032898</v>
      </c>
      <c r="J126" s="112">
        <v>1159.6284254032898</v>
      </c>
      <c r="K126" s="112">
        <v>1159.6284254032898</v>
      </c>
      <c r="L126" s="112">
        <v>1030.7808225807023</v>
      </c>
      <c r="M126" s="112">
        <v>1030.7808225807023</v>
      </c>
      <c r="N126" s="112">
        <v>1030.7808225807023</v>
      </c>
      <c r="O126" s="112">
        <v>1030.7808225807023</v>
      </c>
      <c r="P126" s="112">
        <v>1030.7808225807023</v>
      </c>
      <c r="Q126" s="112">
        <v>1030.7808225807023</v>
      </c>
      <c r="R126" s="112">
        <v>1030.7808225807023</v>
      </c>
      <c r="S126" s="112">
        <v>1030.7808225807023</v>
      </c>
      <c r="T126" s="112">
        <v>1159.6284254032898</v>
      </c>
      <c r="U126" s="112">
        <v>1159.6284254032898</v>
      </c>
      <c r="V126" s="112">
        <v>1159.6284254032898</v>
      </c>
      <c r="W126" s="112">
        <v>1159.6284254032898</v>
      </c>
      <c r="X126" s="112">
        <v>1030.7808225807023</v>
      </c>
      <c r="Y126" s="112">
        <v>1030.7808225807023</v>
      </c>
      <c r="Z126" s="112">
        <v>1030.7808225807023</v>
      </c>
      <c r="AA126" s="112">
        <v>810.90782272007982</v>
      </c>
      <c r="AB126" s="112">
        <v>865.20578126976432</v>
      </c>
      <c r="AC126" s="112">
        <v>235.65268067178374</v>
      </c>
      <c r="AD126" s="112">
        <v>0</v>
      </c>
      <c r="AE126" s="112">
        <v>0</v>
      </c>
      <c r="AF126" s="112">
        <v>0</v>
      </c>
      <c r="AG126" s="112">
        <v>656.9685821229175</v>
      </c>
      <c r="AH126" s="112">
        <v>1159.6284254032898</v>
      </c>
      <c r="AI126" s="112">
        <v>1159.6284254032898</v>
      </c>
      <c r="AJ126" s="112">
        <v>1030.7808225807023</v>
      </c>
      <c r="AK126" s="112">
        <v>1030.7808225807023</v>
      </c>
      <c r="AL126" s="112">
        <v>1030.7808225807023</v>
      </c>
      <c r="AM126" s="112">
        <v>1030.7808225807023</v>
      </c>
      <c r="AN126" s="112">
        <v>1030.7808225807023</v>
      </c>
      <c r="AO126" s="112">
        <v>1030.7808225807023</v>
      </c>
      <c r="AP126" s="112">
        <v>1030.7808225807023</v>
      </c>
      <c r="AQ126" s="112">
        <v>1030.7808225807023</v>
      </c>
      <c r="AR126" s="112">
        <v>1159.6284254032898</v>
      </c>
      <c r="AS126" s="112">
        <v>1159.6284254032898</v>
      </c>
      <c r="AT126" s="112">
        <v>1159.6284254032898</v>
      </c>
      <c r="AU126" s="112">
        <v>1159.6284254032898</v>
      </c>
      <c r="AV126" s="112">
        <v>1030.7808225807023</v>
      </c>
      <c r="AW126" s="112">
        <v>1030.7808225807023</v>
      </c>
      <c r="AX126" s="112">
        <v>1030.7808225807023</v>
      </c>
      <c r="AY126" s="112">
        <v>1030.7808225807023</v>
      </c>
    </row>
    <row r="127" spans="1:52" x14ac:dyDescent="0.2">
      <c r="A127" s="115"/>
      <c r="B127" s="125">
        <v>6</v>
      </c>
      <c r="C127" s="112">
        <v>746.9002022757262</v>
      </c>
      <c r="D127" s="112">
        <v>746.9002022757262</v>
      </c>
      <c r="E127" s="112">
        <v>746.9002022757262</v>
      </c>
      <c r="F127" s="112">
        <v>746.9002022757262</v>
      </c>
      <c r="G127" s="112">
        <v>746.9002022757262</v>
      </c>
      <c r="H127" s="112">
        <v>746.9002022757262</v>
      </c>
      <c r="I127" s="112">
        <v>840.26272756019182</v>
      </c>
      <c r="J127" s="112">
        <v>840.26272756019182</v>
      </c>
      <c r="K127" s="112">
        <v>840.26272756019182</v>
      </c>
      <c r="L127" s="112">
        <v>840.26272756019182</v>
      </c>
      <c r="M127" s="112">
        <v>746.9002022757262</v>
      </c>
      <c r="N127" s="112">
        <v>746.9002022757262</v>
      </c>
      <c r="O127" s="112">
        <v>746.9002022757262</v>
      </c>
      <c r="P127" s="112">
        <v>746.9002022757262</v>
      </c>
      <c r="Q127" s="112">
        <v>746.9002022757262</v>
      </c>
      <c r="R127" s="112">
        <v>746.9002022757262</v>
      </c>
      <c r="S127" s="112">
        <v>746.9002022757262</v>
      </c>
      <c r="T127" s="112">
        <v>746.9002022757262</v>
      </c>
      <c r="U127" s="112">
        <v>840.26272756019182</v>
      </c>
      <c r="V127" s="112">
        <v>840.26272756019182</v>
      </c>
      <c r="W127" s="112">
        <v>840.26272756019182</v>
      </c>
      <c r="X127" s="112">
        <v>840.26272756019182</v>
      </c>
      <c r="Y127" s="112">
        <v>518.51675173240039</v>
      </c>
      <c r="Z127" s="112">
        <v>156.46807640877921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210.97934381262661</v>
      </c>
      <c r="AI127" s="112">
        <v>755.1376269739452</v>
      </c>
      <c r="AJ127" s="112">
        <v>840.26272756019182</v>
      </c>
      <c r="AK127" s="112">
        <v>746.9002022757262</v>
      </c>
      <c r="AL127" s="112">
        <v>746.9002022757262</v>
      </c>
      <c r="AM127" s="112">
        <v>746.9002022757262</v>
      </c>
      <c r="AN127" s="112">
        <v>746.9002022757262</v>
      </c>
      <c r="AO127" s="112">
        <v>746.9002022757262</v>
      </c>
      <c r="AP127" s="112">
        <v>746.9002022757262</v>
      </c>
      <c r="AQ127" s="112">
        <v>746.9002022757262</v>
      </c>
      <c r="AR127" s="112">
        <v>746.9002022757262</v>
      </c>
      <c r="AS127" s="112">
        <v>840.26272756019182</v>
      </c>
      <c r="AT127" s="112">
        <v>840.26272756019182</v>
      </c>
      <c r="AU127" s="112">
        <v>840.26272756019182</v>
      </c>
      <c r="AV127" s="112">
        <v>840.26272756019182</v>
      </c>
      <c r="AW127" s="112">
        <v>746.9002022757262</v>
      </c>
      <c r="AX127" s="112">
        <v>746.9002022757262</v>
      </c>
      <c r="AY127" s="112">
        <v>746.9002022757262</v>
      </c>
    </row>
    <row r="128" spans="1:52" x14ac:dyDescent="0.2">
      <c r="A128" s="115"/>
      <c r="B128" s="125">
        <v>7</v>
      </c>
      <c r="C128" s="112">
        <v>541.20129123361198</v>
      </c>
      <c r="D128" s="112">
        <v>541.20129123361198</v>
      </c>
      <c r="E128" s="112">
        <v>541.20129123361198</v>
      </c>
      <c r="F128" s="112">
        <v>541.20129123361198</v>
      </c>
      <c r="G128" s="112">
        <v>541.20129123361198</v>
      </c>
      <c r="H128" s="112">
        <v>541.20129123361198</v>
      </c>
      <c r="I128" s="112">
        <v>541.20129123361198</v>
      </c>
      <c r="J128" s="112">
        <v>500.95748643467567</v>
      </c>
      <c r="K128" s="112">
        <v>388.84350657690794</v>
      </c>
      <c r="L128" s="112">
        <v>401.5063616657597</v>
      </c>
      <c r="M128" s="112">
        <v>608.85145263781328</v>
      </c>
      <c r="N128" s="112">
        <v>541.20129123361198</v>
      </c>
      <c r="O128" s="112">
        <v>541.20129123361198</v>
      </c>
      <c r="P128" s="112">
        <v>541.20129123361198</v>
      </c>
      <c r="Q128" s="112">
        <v>541.20129123361198</v>
      </c>
      <c r="R128" s="112">
        <v>541.20129123361198</v>
      </c>
      <c r="S128" s="112">
        <v>541.20129123361198</v>
      </c>
      <c r="T128" s="112">
        <v>541.20129123361198</v>
      </c>
      <c r="U128" s="112">
        <v>500.57979389964282</v>
      </c>
      <c r="V128" s="112">
        <v>335.4547211950831</v>
      </c>
      <c r="W128" s="112">
        <v>284.92077797476065</v>
      </c>
      <c r="X128" s="112">
        <v>306.27503623108555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355.03707093370946</v>
      </c>
      <c r="AK128" s="112">
        <v>596.01445924867335</v>
      </c>
      <c r="AL128" s="112">
        <v>541.20129123361198</v>
      </c>
      <c r="AM128" s="112">
        <v>541.20129123361198</v>
      </c>
      <c r="AN128" s="112">
        <v>541.20129123361198</v>
      </c>
      <c r="AO128" s="112">
        <v>541.20129123361198</v>
      </c>
      <c r="AP128" s="112">
        <v>541.20129123361198</v>
      </c>
      <c r="AQ128" s="112">
        <v>541.20129123361198</v>
      </c>
      <c r="AR128" s="112">
        <v>468.60572134425763</v>
      </c>
      <c r="AS128" s="112">
        <v>344.75136860438704</v>
      </c>
      <c r="AT128" s="112">
        <v>226.65709638347022</v>
      </c>
      <c r="AU128" s="112">
        <v>167.23084153165206</v>
      </c>
      <c r="AV128" s="112">
        <v>266.17501738799194</v>
      </c>
      <c r="AW128" s="112">
        <v>492.64989269828641</v>
      </c>
      <c r="AX128" s="112">
        <v>541.20129123361198</v>
      </c>
      <c r="AY128" s="112">
        <v>541.20129123361198</v>
      </c>
    </row>
    <row r="129" spans="1:51" x14ac:dyDescent="0.2">
      <c r="A129" s="115"/>
      <c r="B129" s="125">
        <v>8</v>
      </c>
      <c r="C129" s="112">
        <v>202.15579209141737</v>
      </c>
      <c r="D129" s="112">
        <v>256.63395955359783</v>
      </c>
      <c r="E129" s="112">
        <v>126.10865039547929</v>
      </c>
      <c r="F129" s="112">
        <v>88.918422306495017</v>
      </c>
      <c r="G129" s="112">
        <v>108.2175414413208</v>
      </c>
      <c r="H129" s="112">
        <v>90.451682587604296</v>
      </c>
      <c r="I129" s="112">
        <v>23.561239903832984</v>
      </c>
      <c r="J129" s="112">
        <v>0</v>
      </c>
      <c r="K129" s="112">
        <v>0</v>
      </c>
      <c r="L129" s="112">
        <v>0</v>
      </c>
      <c r="M129" s="112">
        <v>13.787387232452204</v>
      </c>
      <c r="N129" s="112">
        <v>155.0175163786343</v>
      </c>
      <c r="O129" s="112">
        <v>282.31230323669456</v>
      </c>
      <c r="P129" s="112">
        <v>338.56906696909334</v>
      </c>
      <c r="Q129" s="112">
        <v>297.43689281435127</v>
      </c>
      <c r="R129" s="112">
        <v>212.67431405383056</v>
      </c>
      <c r="S129" s="112">
        <v>135.20412886619482</v>
      </c>
      <c r="T129" s="112">
        <v>145.39173945828873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245.76169012699782</v>
      </c>
      <c r="AM129" s="112">
        <v>365.22615744308939</v>
      </c>
      <c r="AN129" s="112">
        <v>392.15257505687771</v>
      </c>
      <c r="AO129" s="112">
        <v>370.93978659531535</v>
      </c>
      <c r="AP129" s="112">
        <v>189.8102899617752</v>
      </c>
      <c r="AQ129" s="112">
        <v>69.570042728052272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61.883764021370268</v>
      </c>
      <c r="AY129" s="112">
        <v>121.99333543251618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10.536647695652931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0.27540347480877819</v>
      </c>
      <c r="D172" s="140">
        <v>0.27540347480877819</v>
      </c>
      <c r="E172" s="140">
        <v>0.27540347480877819</v>
      </c>
      <c r="F172" s="140">
        <v>0.27540347480877819</v>
      </c>
      <c r="G172" s="140">
        <v>0.27540347480877819</v>
      </c>
      <c r="H172" s="140">
        <v>0.27540347480877819</v>
      </c>
      <c r="I172" s="140">
        <v>0.27540347480877819</v>
      </c>
      <c r="J172" s="140">
        <v>0.27540347480877819</v>
      </c>
      <c r="K172" s="140">
        <v>0.27540347480877819</v>
      </c>
      <c r="L172" s="140">
        <v>0.27540347480877819</v>
      </c>
      <c r="M172" s="140">
        <v>0.27540347480877819</v>
      </c>
      <c r="N172" s="140">
        <v>0.27540347480877819</v>
      </c>
      <c r="O172" s="140">
        <v>0.27540347480877819</v>
      </c>
      <c r="P172" s="140">
        <v>0.27540347480877819</v>
      </c>
      <c r="Q172" s="140">
        <v>0.27540347480877819</v>
      </c>
      <c r="R172" s="140">
        <v>0.27540347480877819</v>
      </c>
      <c r="S172" s="140">
        <v>0.27540347480877819</v>
      </c>
      <c r="T172" s="140">
        <v>0.27540347480877819</v>
      </c>
      <c r="U172" s="140">
        <v>0.27540347480877819</v>
      </c>
      <c r="V172" s="140">
        <v>0.27540347480877819</v>
      </c>
      <c r="W172" s="140">
        <v>0.27540347480877819</v>
      </c>
      <c r="X172" s="140">
        <v>0.27540347480877819</v>
      </c>
      <c r="Y172" s="140">
        <v>0.27540347480877819</v>
      </c>
      <c r="Z172" s="140">
        <v>0.27540347480877819</v>
      </c>
      <c r="AA172" s="140">
        <v>0.27540347480877819</v>
      </c>
      <c r="AB172" s="140">
        <v>0.27540347480877819</v>
      </c>
      <c r="AC172" s="140">
        <v>0.27540347480877819</v>
      </c>
      <c r="AD172" s="140">
        <v>0.27540347480877819</v>
      </c>
      <c r="AE172" s="140">
        <v>0.27540347480877819</v>
      </c>
      <c r="AF172" s="140">
        <v>0.27540347480877819</v>
      </c>
      <c r="AG172" s="140">
        <v>0.27540347480877819</v>
      </c>
      <c r="AH172" s="140">
        <v>0.27540347480877819</v>
      </c>
      <c r="AI172" s="140">
        <v>0.27540347480877819</v>
      </c>
      <c r="AJ172" s="140">
        <v>0.27540347480877819</v>
      </c>
      <c r="AK172" s="140">
        <v>0.27540347480877819</v>
      </c>
      <c r="AL172" s="140">
        <v>0.27540347480877819</v>
      </c>
      <c r="AM172" s="140">
        <v>0.27540347480877819</v>
      </c>
      <c r="AN172" s="140">
        <v>0.27540347480877819</v>
      </c>
      <c r="AO172" s="140">
        <v>0.27540347480877819</v>
      </c>
      <c r="AP172" s="140">
        <v>0.27540347480877819</v>
      </c>
      <c r="AQ172" s="140">
        <v>0.27540347480877819</v>
      </c>
      <c r="AR172" s="140">
        <v>0.27540347480877819</v>
      </c>
      <c r="AS172" s="140">
        <v>0.27540347480877819</v>
      </c>
      <c r="AT172" s="140">
        <v>0.27540347480877819</v>
      </c>
      <c r="AU172" s="140">
        <v>0.27540347480877819</v>
      </c>
      <c r="AV172" s="140">
        <v>0.27540347480877819</v>
      </c>
      <c r="AW172" s="140">
        <v>0.27540347480877819</v>
      </c>
      <c r="AX172" s="140">
        <v>0.27540347480877819</v>
      </c>
      <c r="AY172" s="140">
        <v>0.27540347480877819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7057.8276241324438</v>
      </c>
      <c r="E175" s="130">
        <f t="shared" si="1"/>
        <v>6909.4364818640806</v>
      </c>
      <c r="F175" s="130">
        <f t="shared" si="1"/>
        <v>6723.2191332315861</v>
      </c>
      <c r="G175" s="130">
        <f t="shared" si="1"/>
        <v>6499.6228038800946</v>
      </c>
      <c r="H175" s="130">
        <f t="shared" si="1"/>
        <v>6244.0655930086896</v>
      </c>
      <c r="I175" s="130">
        <f t="shared" si="1"/>
        <v>6356.6726522677027</v>
      </c>
      <c r="J175" s="130">
        <f t="shared" si="1"/>
        <v>6193.62676004076</v>
      </c>
      <c r="K175" s="130">
        <f t="shared" si="1"/>
        <v>6553.6770453138088</v>
      </c>
      <c r="L175" s="130">
        <f t="shared" si="1"/>
        <v>6668.0474246226077</v>
      </c>
      <c r="M175" s="130">
        <f t="shared" si="1"/>
        <v>6646.7563816926013</v>
      </c>
      <c r="N175" s="130">
        <f t="shared" si="1"/>
        <v>6712.5032223849421</v>
      </c>
      <c r="O175" s="130">
        <f t="shared" si="1"/>
        <v>6795.2484715008623</v>
      </c>
      <c r="P175" s="130">
        <f t="shared" si="1"/>
        <v>6801.1608919451137</v>
      </c>
      <c r="Q175" s="130">
        <f t="shared" si="1"/>
        <v>6689.1409649793313</v>
      </c>
      <c r="R175" s="130">
        <f t="shared" si="1"/>
        <v>6516.3237709180712</v>
      </c>
      <c r="S175" s="130">
        <f t="shared" si="1"/>
        <v>6290.4361104462077</v>
      </c>
      <c r="T175" s="130">
        <f t="shared" si="1"/>
        <v>6153.4408074836174</v>
      </c>
      <c r="U175" s="130">
        <f t="shared" si="1"/>
        <v>6265.4968718740893</v>
      </c>
      <c r="V175" s="130">
        <f t="shared" si="1"/>
        <v>6451.4811652483131</v>
      </c>
      <c r="W175" s="130">
        <f t="shared" si="1"/>
        <v>6565.2201260640104</v>
      </c>
      <c r="X175" s="130">
        <f t="shared" si="1"/>
        <v>6698.610321795557</v>
      </c>
      <c r="Y175" s="130">
        <f t="shared" si="1"/>
        <v>7240.4548490124116</v>
      </c>
      <c r="Z175" s="130">
        <f t="shared" si="1"/>
        <v>7801.9474852145768</v>
      </c>
      <c r="AA175" s="130">
        <f t="shared" si="1"/>
        <v>8496.8546264089673</v>
      </c>
      <c r="AB175" s="130">
        <f t="shared" si="1"/>
        <v>8918.3158238235919</v>
      </c>
      <c r="AC175" s="130">
        <f t="shared" si="1"/>
        <v>9603.5248301517713</v>
      </c>
      <c r="AD175" s="130">
        <f t="shared" si="1"/>
        <v>10305.455549431195</v>
      </c>
      <c r="AE175" s="130">
        <f t="shared" si="1"/>
        <v>10450.104034830734</v>
      </c>
      <c r="AF175" s="130">
        <f t="shared" si="1"/>
        <v>10976.311303692763</v>
      </c>
      <c r="AG175" s="130">
        <f t="shared" si="1"/>
        <v>10810.150350813725</v>
      </c>
      <c r="AH175" s="130">
        <f t="shared" si="1"/>
        <v>10727.500799971687</v>
      </c>
      <c r="AI175" s="130">
        <f t="shared" si="1"/>
        <v>10481.764493938143</v>
      </c>
      <c r="AJ175" s="130">
        <f t="shared" si="1"/>
        <v>9860.2048905187148</v>
      </c>
      <c r="AK175" s="130">
        <f t="shared" si="1"/>
        <v>9696.4908741783365</v>
      </c>
      <c r="AL175" s="130">
        <f t="shared" si="1"/>
        <v>9383.9200330091408</v>
      </c>
      <c r="AM175" s="130">
        <f t="shared" si="1"/>
        <v>9010.7104991145643</v>
      </c>
      <c r="AN175" s="130">
        <f t="shared" si="1"/>
        <v>8452.7305586806997</v>
      </c>
      <c r="AO175" s="130">
        <f t="shared" si="1"/>
        <v>7752.0822856381164</v>
      </c>
      <c r="AP175" s="130">
        <f t="shared" si="1"/>
        <v>7097.2206953320565</v>
      </c>
      <c r="AQ175" s="130">
        <f t="shared" si="1"/>
        <v>6491.1698252331353</v>
      </c>
      <c r="AR175" s="130">
        <f t="shared" si="1"/>
        <v>6294.8529158430747</v>
      </c>
      <c r="AS175" s="130">
        <f t="shared" si="1"/>
        <v>6331.3657446931011</v>
      </c>
      <c r="AT175" s="130">
        <f t="shared" si="1"/>
        <v>6459.2694523698856</v>
      </c>
      <c r="AU175" s="130">
        <f t="shared" si="1"/>
        <v>6627.4549127046557</v>
      </c>
      <c r="AV175" s="130">
        <f t="shared" si="1"/>
        <v>6744.1179021515527</v>
      </c>
      <c r="AW175" s="130">
        <f t="shared" si="1"/>
        <v>6586.0260770233645</v>
      </c>
      <c r="AX175" s="130">
        <f t="shared" si="1"/>
        <v>6975.7651511862014</v>
      </c>
      <c r="AY175" s="130">
        <f t="shared" si="1"/>
        <v>7119.9984107310165</v>
      </c>
    </row>
    <row r="176" spans="1:52" x14ac:dyDescent="0.2">
      <c r="A176" s="131"/>
      <c r="B176" s="142" t="s">
        <v>299</v>
      </c>
      <c r="C176" s="131" t="s">
        <v>293</v>
      </c>
      <c r="D176" s="131">
        <v>585</v>
      </c>
      <c r="E176" s="131">
        <v>599</v>
      </c>
      <c r="F176" s="131">
        <v>483</v>
      </c>
      <c r="G176" s="131">
        <v>527</v>
      </c>
      <c r="H176" s="131">
        <v>757</v>
      </c>
      <c r="I176" s="131">
        <v>606</v>
      </c>
      <c r="J176" s="131">
        <v>697</v>
      </c>
      <c r="K176" s="131">
        <v>789</v>
      </c>
      <c r="L176" s="131">
        <v>669</v>
      </c>
      <c r="M176" s="131">
        <v>530</v>
      </c>
      <c r="N176" s="131">
        <v>480</v>
      </c>
      <c r="O176" s="131">
        <v>585</v>
      </c>
      <c r="P176" s="131">
        <v>354</v>
      </c>
      <c r="Q176" s="131">
        <v>407</v>
      </c>
      <c r="R176" s="131">
        <v>336</v>
      </c>
      <c r="S176" s="131">
        <v>406</v>
      </c>
      <c r="T176" s="131">
        <v>562</v>
      </c>
      <c r="U176" s="131">
        <v>621</v>
      </c>
      <c r="V176" s="131">
        <v>581</v>
      </c>
      <c r="W176" s="131">
        <v>645</v>
      </c>
      <c r="X176" s="131">
        <v>627</v>
      </c>
      <c r="Y176" s="131">
        <v>791</v>
      </c>
      <c r="Z176" s="131">
        <v>642</v>
      </c>
      <c r="AA176" s="131">
        <v>800</v>
      </c>
      <c r="AB176" s="131">
        <v>200</v>
      </c>
      <c r="AC176" s="131">
        <v>157</v>
      </c>
      <c r="AD176" s="131">
        <v>139</v>
      </c>
      <c r="AE176" s="131">
        <v>161</v>
      </c>
      <c r="AF176" s="131">
        <v>221</v>
      </c>
      <c r="AG176" s="131">
        <v>211</v>
      </c>
      <c r="AH176" s="131">
        <v>226</v>
      </c>
      <c r="AI176" s="131">
        <v>215</v>
      </c>
      <c r="AJ176" s="131">
        <v>268</v>
      </c>
      <c r="AK176" s="131">
        <v>230</v>
      </c>
      <c r="AL176" s="131">
        <v>289</v>
      </c>
      <c r="AM176" s="131">
        <v>261</v>
      </c>
      <c r="AN176" s="131">
        <v>588</v>
      </c>
      <c r="AO176" s="131">
        <v>470</v>
      </c>
      <c r="AP176" s="131">
        <v>510</v>
      </c>
      <c r="AQ176" s="131">
        <v>429</v>
      </c>
      <c r="AR176" s="131">
        <v>280</v>
      </c>
      <c r="AS176" s="131">
        <v>285</v>
      </c>
      <c r="AT176" s="131">
        <v>225</v>
      </c>
      <c r="AU176" s="131">
        <v>297</v>
      </c>
      <c r="AV176" s="131">
        <v>216</v>
      </c>
      <c r="AW176" s="131">
        <v>239</v>
      </c>
      <c r="AX176" s="131">
        <v>201</v>
      </c>
      <c r="AY176" s="131">
        <v>249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0</v>
      </c>
      <c r="E177" s="130">
        <f t="shared" si="2"/>
        <v>121</v>
      </c>
      <c r="F177" s="130">
        <f t="shared" si="2"/>
        <v>121</v>
      </c>
      <c r="G177" s="130">
        <f t="shared" si="2"/>
        <v>21</v>
      </c>
      <c r="H177" s="130">
        <f t="shared" si="2"/>
        <v>21</v>
      </c>
      <c r="I177" s="130">
        <f t="shared" si="2"/>
        <v>21</v>
      </c>
      <c r="J177" s="130">
        <f t="shared" si="2"/>
        <v>0</v>
      </c>
      <c r="K177" s="130">
        <f t="shared" si="2"/>
        <v>42</v>
      </c>
      <c r="L177" s="130">
        <f t="shared" si="2"/>
        <v>21</v>
      </c>
      <c r="M177" s="130">
        <f t="shared" si="2"/>
        <v>21</v>
      </c>
      <c r="N177" s="130">
        <f t="shared" si="2"/>
        <v>42</v>
      </c>
      <c r="O177" s="130">
        <f t="shared" si="2"/>
        <v>21</v>
      </c>
      <c r="P177" s="130">
        <f t="shared" si="2"/>
        <v>21</v>
      </c>
      <c r="Q177" s="130">
        <f t="shared" si="2"/>
        <v>0</v>
      </c>
      <c r="R177" s="130">
        <f t="shared" si="2"/>
        <v>21</v>
      </c>
      <c r="S177" s="130">
        <f t="shared" si="2"/>
        <v>42</v>
      </c>
      <c r="T177" s="130">
        <f t="shared" si="2"/>
        <v>21</v>
      </c>
      <c r="U177" s="130">
        <f t="shared" si="2"/>
        <v>21</v>
      </c>
      <c r="V177" s="130">
        <f t="shared" si="2"/>
        <v>0</v>
      </c>
      <c r="W177" s="130">
        <f t="shared" si="2"/>
        <v>42</v>
      </c>
      <c r="X177" s="130">
        <f t="shared" si="2"/>
        <v>21</v>
      </c>
      <c r="Y177" s="130">
        <f t="shared" si="2"/>
        <v>21</v>
      </c>
      <c r="Z177" s="130">
        <f t="shared" si="2"/>
        <v>21</v>
      </c>
      <c r="AA177" s="130">
        <f t="shared" si="2"/>
        <v>21</v>
      </c>
      <c r="AB177" s="130">
        <f t="shared" si="2"/>
        <v>21</v>
      </c>
      <c r="AC177" s="130">
        <f t="shared" si="2"/>
        <v>21</v>
      </c>
      <c r="AD177" s="130">
        <f t="shared" si="2"/>
        <v>0</v>
      </c>
      <c r="AE177" s="130">
        <f t="shared" si="2"/>
        <v>21</v>
      </c>
      <c r="AF177" s="130">
        <f t="shared" si="2"/>
        <v>21</v>
      </c>
      <c r="AG177" s="130">
        <f t="shared" si="2"/>
        <v>42</v>
      </c>
      <c r="AH177" s="130">
        <f t="shared" si="2"/>
        <v>0</v>
      </c>
      <c r="AI177" s="130">
        <f t="shared" si="2"/>
        <v>21</v>
      </c>
      <c r="AJ177" s="130">
        <f t="shared" si="2"/>
        <v>21</v>
      </c>
      <c r="AK177" s="130">
        <f t="shared" si="2"/>
        <v>21</v>
      </c>
      <c r="AL177" s="130">
        <f t="shared" si="2"/>
        <v>42</v>
      </c>
      <c r="AM177" s="130">
        <f t="shared" si="2"/>
        <v>21</v>
      </c>
      <c r="AN177" s="130">
        <f t="shared" si="2"/>
        <v>0</v>
      </c>
      <c r="AO177" s="130">
        <f t="shared" si="2"/>
        <v>21</v>
      </c>
      <c r="AP177" s="130">
        <f t="shared" si="2"/>
        <v>21</v>
      </c>
      <c r="AQ177" s="130">
        <f t="shared" si="2"/>
        <v>42</v>
      </c>
      <c r="AR177" s="130">
        <f t="shared" si="2"/>
        <v>0</v>
      </c>
      <c r="AS177" s="130">
        <f t="shared" si="2"/>
        <v>0</v>
      </c>
      <c r="AT177" s="130">
        <f t="shared" si="2"/>
        <v>42</v>
      </c>
      <c r="AU177" s="130">
        <f t="shared" si="2"/>
        <v>42</v>
      </c>
      <c r="AV177" s="130">
        <f t="shared" si="2"/>
        <v>21</v>
      </c>
      <c r="AW177" s="130">
        <f t="shared" si="2"/>
        <v>21</v>
      </c>
      <c r="AX177" s="130">
        <f t="shared" si="2"/>
        <v>0</v>
      </c>
      <c r="AY177" s="130">
        <f t="shared" si="2"/>
        <v>42</v>
      </c>
    </row>
    <row r="178" spans="1:51" x14ac:dyDescent="0.2">
      <c r="A178" s="131"/>
      <c r="B178" s="142" t="s">
        <v>299</v>
      </c>
      <c r="C178" s="131" t="s">
        <v>293</v>
      </c>
      <c r="D178" s="131">
        <v>0</v>
      </c>
      <c r="E178" s="131">
        <v>121</v>
      </c>
      <c r="F178" s="131">
        <v>121</v>
      </c>
      <c r="G178" s="131">
        <v>21</v>
      </c>
      <c r="H178" s="131">
        <v>21</v>
      </c>
      <c r="I178" s="131">
        <v>21</v>
      </c>
      <c r="J178" s="131">
        <v>0</v>
      </c>
      <c r="K178" s="131">
        <v>42</v>
      </c>
      <c r="L178" s="131">
        <v>21</v>
      </c>
      <c r="M178" s="131">
        <v>21</v>
      </c>
      <c r="N178" s="131">
        <v>42</v>
      </c>
      <c r="O178" s="131">
        <v>21</v>
      </c>
      <c r="P178" s="131">
        <v>21</v>
      </c>
      <c r="Q178" s="131">
        <v>0</v>
      </c>
      <c r="R178" s="131">
        <v>21</v>
      </c>
      <c r="S178" s="131">
        <v>42</v>
      </c>
      <c r="T178" s="131">
        <v>21</v>
      </c>
      <c r="U178" s="131">
        <v>21</v>
      </c>
      <c r="V178" s="131">
        <v>0</v>
      </c>
      <c r="W178" s="131">
        <v>42</v>
      </c>
      <c r="X178" s="131">
        <v>21</v>
      </c>
      <c r="Y178" s="131">
        <v>21</v>
      </c>
      <c r="Z178" s="131">
        <v>21</v>
      </c>
      <c r="AA178" s="131">
        <v>21</v>
      </c>
      <c r="AB178" s="131">
        <v>21</v>
      </c>
      <c r="AC178" s="131">
        <v>21</v>
      </c>
      <c r="AD178" s="131">
        <v>0</v>
      </c>
      <c r="AE178" s="131">
        <v>21</v>
      </c>
      <c r="AF178" s="131">
        <v>21</v>
      </c>
      <c r="AG178" s="131">
        <v>42</v>
      </c>
      <c r="AH178" s="131">
        <v>0</v>
      </c>
      <c r="AI178" s="131">
        <v>21</v>
      </c>
      <c r="AJ178" s="131">
        <v>21</v>
      </c>
      <c r="AK178" s="131">
        <v>21</v>
      </c>
      <c r="AL178" s="131">
        <v>42</v>
      </c>
      <c r="AM178" s="131">
        <v>21</v>
      </c>
      <c r="AN178" s="131">
        <v>0</v>
      </c>
      <c r="AO178" s="131">
        <v>21</v>
      </c>
      <c r="AP178" s="131">
        <v>21</v>
      </c>
      <c r="AQ178" s="131">
        <v>42</v>
      </c>
      <c r="AR178" s="131">
        <v>0</v>
      </c>
      <c r="AS178" s="131">
        <v>0</v>
      </c>
      <c r="AT178" s="131">
        <v>42</v>
      </c>
      <c r="AU178" s="131">
        <v>42</v>
      </c>
      <c r="AV178" s="131">
        <v>21</v>
      </c>
      <c r="AW178" s="131">
        <v>21</v>
      </c>
      <c r="AX178" s="131">
        <v>0</v>
      </c>
      <c r="AY178" s="131">
        <v>42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30064.802296069403</v>
      </c>
      <c r="E179" s="130">
        <f t="shared" si="3"/>
        <v>29884.040267555371</v>
      </c>
      <c r="F179" s="130">
        <f t="shared" si="3"/>
        <v>29862.042594554918</v>
      </c>
      <c r="G179" s="130">
        <f t="shared" si="3"/>
        <v>29988.52001355938</v>
      </c>
      <c r="H179" s="130">
        <f t="shared" si="3"/>
        <v>30600.398329034964</v>
      </c>
      <c r="I179" s="130">
        <f t="shared" si="3"/>
        <v>30799.99766711576</v>
      </c>
      <c r="J179" s="130">
        <f t="shared" si="3"/>
        <v>31293.253853767405</v>
      </c>
      <c r="K179" s="130">
        <f t="shared" si="3"/>
        <v>31181.137339564331</v>
      </c>
      <c r="L179" s="130">
        <f t="shared" si="3"/>
        <v>31203.951707989265</v>
      </c>
      <c r="M179" s="130">
        <f t="shared" si="3"/>
        <v>31097.472797999231</v>
      </c>
      <c r="N179" s="130">
        <f t="shared" si="3"/>
        <v>30937.145989564906</v>
      </c>
      <c r="O179" s="130">
        <f t="shared" si="3"/>
        <v>30748.105953590926</v>
      </c>
      <c r="P179" s="130">
        <f t="shared" si="3"/>
        <v>30218.53392084123</v>
      </c>
      <c r="Q179" s="130">
        <f t="shared" si="3"/>
        <v>30054.007542021245</v>
      </c>
      <c r="R179" s="130">
        <f t="shared" si="3"/>
        <v>30045.182065121102</v>
      </c>
      <c r="S179" s="130">
        <f t="shared" si="3"/>
        <v>30149.720119568399</v>
      </c>
      <c r="T179" s="130">
        <f t="shared" si="3"/>
        <v>30636.083057689342</v>
      </c>
      <c r="U179" s="130">
        <f t="shared" si="3"/>
        <v>30955.356184747179</v>
      </c>
      <c r="V179" s="130">
        <f t="shared" si="3"/>
        <v>31200.902213799447</v>
      </c>
      <c r="W179" s="130">
        <f t="shared" si="3"/>
        <v>31273.516987416278</v>
      </c>
      <c r="X179" s="130">
        <f t="shared" si="3"/>
        <v>31268.620136250993</v>
      </c>
      <c r="Y179" s="130">
        <f t="shared" si="3"/>
        <v>31354.796621093017</v>
      </c>
      <c r="Z179" s="130">
        <f t="shared" si="3"/>
        <v>31155.352660214467</v>
      </c>
      <c r="AA179" s="130">
        <f t="shared" si="3"/>
        <v>30836.786595289479</v>
      </c>
      <c r="AB179" s="130">
        <f t="shared" si="3"/>
        <v>29893.624590752126</v>
      </c>
      <c r="AC179" s="130">
        <f t="shared" si="3"/>
        <v>29499.290205081423</v>
      </c>
      <c r="AD179" s="130">
        <f t="shared" si="3"/>
        <v>29102.121434212619</v>
      </c>
      <c r="AE179" s="130">
        <f t="shared" si="3"/>
        <v>28590.037417004656</v>
      </c>
      <c r="AF179" s="130">
        <f t="shared" si="3"/>
        <v>28687.234411424801</v>
      </c>
      <c r="AG179" s="130">
        <f t="shared" si="3"/>
        <v>28233.205070547749</v>
      </c>
      <c r="AH179" s="130">
        <f t="shared" si="3"/>
        <v>27889.620684018719</v>
      </c>
      <c r="AI179" s="130">
        <f t="shared" si="3"/>
        <v>27748.018498103156</v>
      </c>
      <c r="AJ179" s="130">
        <f t="shared" si="3"/>
        <v>28058.263532825204</v>
      </c>
      <c r="AK179" s="130">
        <f t="shared" si="3"/>
        <v>28074.362686135082</v>
      </c>
      <c r="AL179" s="130">
        <f t="shared" si="3"/>
        <v>28174.985005192346</v>
      </c>
      <c r="AM179" s="130">
        <f t="shared" si="3"/>
        <v>28449.730071770828</v>
      </c>
      <c r="AN179" s="130">
        <f t="shared" si="3"/>
        <v>28523.844098322214</v>
      </c>
      <c r="AO179" s="130">
        <f t="shared" si="3"/>
        <v>28896.563327581498</v>
      </c>
      <c r="AP179" s="130">
        <f t="shared" si="3"/>
        <v>29487.149164799164</v>
      </c>
      <c r="AQ179" s="130">
        <f t="shared" si="3"/>
        <v>30014.620490919617</v>
      </c>
      <c r="AR179" s="130">
        <f t="shared" si="3"/>
        <v>30733.658258677537</v>
      </c>
      <c r="AS179" s="130">
        <f t="shared" si="3"/>
        <v>31066.31573722342</v>
      </c>
      <c r="AT179" s="130">
        <f t="shared" si="3"/>
        <v>31259.911551489487</v>
      </c>
      <c r="AU179" s="130">
        <f t="shared" si="3"/>
        <v>31328.972137218734</v>
      </c>
      <c r="AV179" s="130">
        <f t="shared" si="3"/>
        <v>31263.212574738085</v>
      </c>
      <c r="AW179" s="130">
        <f t="shared" si="3"/>
        <v>31288.192049840451</v>
      </c>
      <c r="AX179" s="130">
        <f t="shared" si="3"/>
        <v>30809.01781312091</v>
      </c>
      <c r="AY179" s="130">
        <f t="shared" si="3"/>
        <v>30562.674982164946</v>
      </c>
    </row>
    <row r="180" spans="1:51" x14ac:dyDescent="0.2">
      <c r="A180" s="131"/>
      <c r="B180" s="142" t="s">
        <v>299</v>
      </c>
      <c r="C180" s="131" t="s">
        <v>293</v>
      </c>
      <c r="D180" s="131">
        <v>325</v>
      </c>
      <c r="E180" s="131">
        <v>341.61204262350162</v>
      </c>
      <c r="F180" s="131">
        <v>360.36501344432884</v>
      </c>
      <c r="G180" s="131">
        <v>300.11494696239151</v>
      </c>
      <c r="H180" s="131">
        <v>399.13231005372216</v>
      </c>
      <c r="I180" s="131">
        <v>408.1189338235294</v>
      </c>
      <c r="J180" s="131">
        <v>331</v>
      </c>
      <c r="K180" s="131">
        <v>409.09974468085107</v>
      </c>
      <c r="L180" s="131">
        <v>936.14272727272726</v>
      </c>
      <c r="M180" s="131">
        <v>809.14442344045369</v>
      </c>
      <c r="N180" s="131">
        <v>921.16542553191493</v>
      </c>
      <c r="O180" s="131">
        <v>719.14602203182369</v>
      </c>
      <c r="P180" s="131">
        <v>960.04165170556553</v>
      </c>
      <c r="Q180" s="131">
        <v>952</v>
      </c>
      <c r="R180" s="131">
        <v>667.0515151515151</v>
      </c>
      <c r="S180" s="131">
        <v>931.72927756653996</v>
      </c>
      <c r="T180" s="131">
        <v>397.12442159383033</v>
      </c>
      <c r="U180" s="131">
        <v>430.11511068334937</v>
      </c>
      <c r="V180" s="131">
        <v>391</v>
      </c>
      <c r="W180" s="131">
        <v>355.02902208201891</v>
      </c>
      <c r="X180" s="131">
        <v>732.1607301869991</v>
      </c>
      <c r="Y180" s="131">
        <v>671.14756242568376</v>
      </c>
      <c r="Z180" s="131">
        <v>616.14942660550457</v>
      </c>
      <c r="AA180" s="131">
        <v>721.15603190428715</v>
      </c>
      <c r="AB180" s="131">
        <v>621.05324459234612</v>
      </c>
      <c r="AC180" s="131">
        <v>609.04845360824743</v>
      </c>
      <c r="AD180" s="131">
        <v>467</v>
      </c>
      <c r="AE180" s="131">
        <v>552.02739726027403</v>
      </c>
      <c r="AF180" s="131">
        <v>522.12054054054056</v>
      </c>
      <c r="AG180" s="131">
        <v>576.05780795344322</v>
      </c>
      <c r="AH180" s="131">
        <v>746</v>
      </c>
      <c r="AI180" s="131">
        <v>766.13302961275622</v>
      </c>
      <c r="AJ180" s="131">
        <v>605.09562130177517</v>
      </c>
      <c r="AK180" s="131">
        <v>782.10831600831602</v>
      </c>
      <c r="AL180" s="131">
        <v>749.0044843049327</v>
      </c>
      <c r="AM180" s="131">
        <v>776.1049568965517</v>
      </c>
      <c r="AN180" s="131">
        <v>568</v>
      </c>
      <c r="AO180" s="131">
        <v>782.12396551724134</v>
      </c>
      <c r="AP180" s="131">
        <v>579.11840888066604</v>
      </c>
      <c r="AQ180" s="131">
        <v>774.15835616438358</v>
      </c>
      <c r="AR180" s="131">
        <v>617</v>
      </c>
      <c r="AS180" s="131">
        <v>615</v>
      </c>
      <c r="AT180" s="131">
        <v>655.85555555555561</v>
      </c>
      <c r="AU180" s="131">
        <v>726.85132192846038</v>
      </c>
      <c r="AV180" s="131">
        <v>1360.0710526315791</v>
      </c>
      <c r="AW180" s="131">
        <v>1209.0886363636364</v>
      </c>
      <c r="AX180" s="131">
        <v>1110</v>
      </c>
      <c r="AY180" s="131">
        <v>923.90169491525421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9330.8976134231525</v>
      </c>
      <c r="E181" s="130">
        <f t="shared" si="4"/>
        <v>9481.7246776796055</v>
      </c>
      <c r="F181" s="130">
        <f t="shared" si="4"/>
        <v>9632.5965588474555</v>
      </c>
      <c r="G181" s="130">
        <f t="shared" si="4"/>
        <v>9775.4282363343918</v>
      </c>
      <c r="H181" s="130">
        <f t="shared" si="4"/>
        <v>9517.2392020859097</v>
      </c>
      <c r="I181" s="130">
        <f t="shared" si="4"/>
        <v>9291.0155314310123</v>
      </c>
      <c r="J181" s="130">
        <f t="shared" si="4"/>
        <v>9066.9628265375177</v>
      </c>
      <c r="K181" s="130">
        <f t="shared" si="4"/>
        <v>8856.8778234846304</v>
      </c>
      <c r="L181" s="130">
        <f t="shared" si="4"/>
        <v>8772.6907589965467</v>
      </c>
      <c r="M181" s="130">
        <f t="shared" si="4"/>
        <v>8865.2724229062551</v>
      </c>
      <c r="N181" s="130">
        <f t="shared" si="4"/>
        <v>8918.5882118557747</v>
      </c>
      <c r="O181" s="130">
        <f t="shared" si="4"/>
        <v>9010.8255720880843</v>
      </c>
      <c r="P181" s="130">
        <f t="shared" si="4"/>
        <v>9390.2675075475909</v>
      </c>
      <c r="Q181" s="130">
        <f t="shared" si="4"/>
        <v>9605.8685268034387</v>
      </c>
      <c r="R181" s="130">
        <f t="shared" si="4"/>
        <v>9722.2696479795177</v>
      </c>
      <c r="S181" s="130">
        <f t="shared" si="4"/>
        <v>9794.9826238092228</v>
      </c>
      <c r="T181" s="130">
        <f t="shared" si="4"/>
        <v>9557.048576388217</v>
      </c>
      <c r="U181" s="130">
        <f t="shared" si="4"/>
        <v>9244.508943051238</v>
      </c>
      <c r="V181" s="130">
        <f t="shared" si="4"/>
        <v>8947.040097935369</v>
      </c>
      <c r="W181" s="130">
        <f t="shared" si="4"/>
        <v>8781.5757754511233</v>
      </c>
      <c r="X181" s="130">
        <f t="shared" si="4"/>
        <v>8703.6864714972271</v>
      </c>
      <c r="Y181" s="130">
        <f t="shared" si="4"/>
        <v>8248.6246284122917</v>
      </c>
      <c r="Z181" s="130">
        <f t="shared" si="4"/>
        <v>7986.2854163227103</v>
      </c>
      <c r="AA181" s="130">
        <f t="shared" si="4"/>
        <v>7713.5899801711766</v>
      </c>
      <c r="AB181" s="130">
        <f t="shared" si="4"/>
        <v>8091.6125722017623</v>
      </c>
      <c r="AC181" s="130">
        <f t="shared" si="4"/>
        <v>7880.845832807041</v>
      </c>
      <c r="AD181" s="130">
        <f t="shared" si="4"/>
        <v>7675.2329110072133</v>
      </c>
      <c r="AE181" s="130">
        <f t="shared" si="4"/>
        <v>7926.2588935583672</v>
      </c>
      <c r="AF181" s="130">
        <f t="shared" si="4"/>
        <v>7474.5423305947179</v>
      </c>
      <c r="AG181" s="130">
        <f t="shared" si="4"/>
        <v>7908.7135353786853</v>
      </c>
      <c r="AH181" s="130">
        <f t="shared" si="4"/>
        <v>8247.9942193743627</v>
      </c>
      <c r="AI181" s="130">
        <f t="shared" si="4"/>
        <v>8513.4418176844847</v>
      </c>
      <c r="AJ181" s="130">
        <f t="shared" si="4"/>
        <v>8739.0192724040025</v>
      </c>
      <c r="AK181" s="130">
        <f t="shared" si="4"/>
        <v>8845.9804892224802</v>
      </c>
      <c r="AL181" s="130">
        <f t="shared" si="4"/>
        <v>8984.3411248351895</v>
      </c>
      <c r="AM181" s="130">
        <f t="shared" si="4"/>
        <v>9070.9046627362477</v>
      </c>
      <c r="AN181" s="130">
        <f t="shared" si="4"/>
        <v>9436.7287496229892</v>
      </c>
      <c r="AO181" s="130">
        <f t="shared" si="4"/>
        <v>9659.1284682286259</v>
      </c>
      <c r="AP181" s="130">
        <f t="shared" si="4"/>
        <v>9705.7024555705248</v>
      </c>
      <c r="AQ181" s="130">
        <f t="shared" si="4"/>
        <v>9747.4243930594239</v>
      </c>
      <c r="AR181" s="130">
        <f t="shared" si="4"/>
        <v>9399.0957294991313</v>
      </c>
      <c r="AS181" s="130">
        <f t="shared" si="4"/>
        <v>9131.5962075562766</v>
      </c>
      <c r="AT181" s="130">
        <f t="shared" si="4"/>
        <v>8868.2057170478165</v>
      </c>
      <c r="AU181" s="130">
        <f t="shared" si="4"/>
        <v>8696.2980564544723</v>
      </c>
      <c r="AV181" s="130">
        <f t="shared" si="4"/>
        <v>8674.6301371834197</v>
      </c>
      <c r="AW181" s="130">
        <f t="shared" si="4"/>
        <v>8771.0828834721724</v>
      </c>
      <c r="AX181" s="130">
        <f t="shared" si="4"/>
        <v>8851.103818519683</v>
      </c>
      <c r="AY181" s="130">
        <f t="shared" si="4"/>
        <v>8894.6590050949326</v>
      </c>
    </row>
    <row r="182" spans="1:51" x14ac:dyDescent="0.2">
      <c r="A182" s="131"/>
      <c r="B182" s="142" t="s">
        <v>299</v>
      </c>
      <c r="C182" s="131" t="s">
        <v>293</v>
      </c>
      <c r="D182" s="131">
        <v>452</v>
      </c>
      <c r="E182" s="131">
        <v>394.61204262350162</v>
      </c>
      <c r="F182" s="131">
        <v>348.36501344432884</v>
      </c>
      <c r="G182" s="131">
        <v>380.11494696239151</v>
      </c>
      <c r="H182" s="131">
        <v>434.13231005372216</v>
      </c>
      <c r="I182" s="131">
        <v>517.11893382352946</v>
      </c>
      <c r="J182" s="131">
        <v>583</v>
      </c>
      <c r="K182" s="131">
        <v>489.09974468085107</v>
      </c>
      <c r="L182" s="131">
        <v>277.14272727272726</v>
      </c>
      <c r="M182" s="131">
        <v>296.14442344045369</v>
      </c>
      <c r="N182" s="131">
        <v>222.16542553191491</v>
      </c>
      <c r="O182" s="131">
        <v>258.14602203182375</v>
      </c>
      <c r="P182" s="131">
        <v>340.04165170556553</v>
      </c>
      <c r="Q182" s="131">
        <v>395</v>
      </c>
      <c r="R182" s="131">
        <v>411.05151515151516</v>
      </c>
      <c r="S182" s="131">
        <v>344.72927756653991</v>
      </c>
      <c r="T182" s="131">
        <v>538.12442159383033</v>
      </c>
      <c r="U182" s="131">
        <v>636.11511068334937</v>
      </c>
      <c r="V182" s="131">
        <v>567</v>
      </c>
      <c r="W182" s="131">
        <v>509.02902208201891</v>
      </c>
      <c r="X182" s="131">
        <v>1059.1607301869992</v>
      </c>
      <c r="Y182" s="131">
        <v>966.14756242568376</v>
      </c>
      <c r="Z182" s="131">
        <v>1080.1494266055047</v>
      </c>
      <c r="AA182" s="131">
        <v>753.15603190428715</v>
      </c>
      <c r="AB182" s="131">
        <v>1422.0532445923461</v>
      </c>
      <c r="AC182" s="131">
        <v>1495.0484536082474</v>
      </c>
      <c r="AD182" s="131">
        <v>943</v>
      </c>
      <c r="AE182" s="131">
        <v>1350.027397260274</v>
      </c>
      <c r="AF182" s="131">
        <v>299.12054054054056</v>
      </c>
      <c r="AG182" s="131">
        <v>265.05780795344327</v>
      </c>
      <c r="AH182" s="131">
        <v>238</v>
      </c>
      <c r="AI182" s="131">
        <v>192.13302961275627</v>
      </c>
      <c r="AJ182" s="131">
        <v>270.09562130177517</v>
      </c>
      <c r="AK182" s="131">
        <v>186.108316008316</v>
      </c>
      <c r="AL182" s="131">
        <v>205.00448430493273</v>
      </c>
      <c r="AM182" s="131">
        <v>254.10495689655173</v>
      </c>
      <c r="AN182" s="131">
        <v>313</v>
      </c>
      <c r="AO182" s="131">
        <v>471.1239655172414</v>
      </c>
      <c r="AP182" s="131">
        <v>460.11840888066604</v>
      </c>
      <c r="AQ182" s="131">
        <v>515.15835616438358</v>
      </c>
      <c r="AR182" s="131">
        <v>536</v>
      </c>
      <c r="AS182" s="131">
        <v>632</v>
      </c>
      <c r="AT182" s="131">
        <v>605.85555555555561</v>
      </c>
      <c r="AU182" s="131">
        <v>463.85132192846032</v>
      </c>
      <c r="AV182" s="131">
        <v>309.07105263157894</v>
      </c>
      <c r="AW182" s="131">
        <v>295.08863636363634</v>
      </c>
      <c r="AX182" s="131">
        <v>315</v>
      </c>
      <c r="AY182" s="131">
        <v>369.90169491525421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190</v>
      </c>
      <c r="D185" s="130">
        <v>585</v>
      </c>
      <c r="E185" s="130">
        <v>599</v>
      </c>
      <c r="F185" s="130">
        <v>483</v>
      </c>
      <c r="G185" s="130">
        <v>527</v>
      </c>
      <c r="H185" s="130">
        <v>757</v>
      </c>
      <c r="I185" s="130">
        <v>606</v>
      </c>
      <c r="J185" s="130">
        <v>697</v>
      </c>
      <c r="K185" s="130">
        <v>789</v>
      </c>
      <c r="L185" s="130">
        <v>669</v>
      </c>
      <c r="M185" s="130">
        <v>530</v>
      </c>
      <c r="N185" s="130">
        <v>480</v>
      </c>
      <c r="O185" s="130">
        <v>585</v>
      </c>
      <c r="P185" s="130">
        <v>354</v>
      </c>
      <c r="Q185" s="130">
        <v>407</v>
      </c>
      <c r="R185" s="130">
        <v>336</v>
      </c>
      <c r="S185" s="130">
        <v>406</v>
      </c>
      <c r="T185" s="130">
        <v>562</v>
      </c>
      <c r="U185" s="130">
        <v>621</v>
      </c>
      <c r="V185" s="130">
        <v>581</v>
      </c>
      <c r="W185" s="130">
        <v>645</v>
      </c>
      <c r="X185" s="130">
        <v>627</v>
      </c>
      <c r="Y185" s="130">
        <v>791</v>
      </c>
      <c r="Z185" s="130">
        <v>642</v>
      </c>
      <c r="AA185" s="130">
        <v>657.11193709956297</v>
      </c>
      <c r="AB185" s="130">
        <v>200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588</v>
      </c>
      <c r="AO185" s="130">
        <v>470</v>
      </c>
      <c r="AP185" s="130">
        <v>510</v>
      </c>
      <c r="AQ185" s="130">
        <v>429</v>
      </c>
      <c r="AR185" s="130">
        <v>280</v>
      </c>
      <c r="AS185" s="130">
        <v>285</v>
      </c>
      <c r="AT185" s="130">
        <v>225</v>
      </c>
      <c r="AU185" s="130">
        <v>297</v>
      </c>
      <c r="AV185" s="130">
        <v>216</v>
      </c>
      <c r="AW185" s="130">
        <v>239</v>
      </c>
      <c r="AX185" s="130">
        <v>201</v>
      </c>
      <c r="AY185" s="130">
        <v>249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142.88806290043703</v>
      </c>
      <c r="AB186" s="112">
        <v>0</v>
      </c>
      <c r="AC186" s="112">
        <v>157</v>
      </c>
      <c r="AD186" s="112">
        <v>139</v>
      </c>
      <c r="AE186" s="112">
        <v>161</v>
      </c>
      <c r="AF186" s="112">
        <v>221</v>
      </c>
      <c r="AG186" s="112">
        <v>211</v>
      </c>
      <c r="AH186" s="112">
        <v>226</v>
      </c>
      <c r="AI186" s="112">
        <v>215</v>
      </c>
      <c r="AJ186" s="112">
        <v>268</v>
      </c>
      <c r="AK186" s="112">
        <v>230</v>
      </c>
      <c r="AL186" s="112">
        <v>289</v>
      </c>
      <c r="AM186" s="112">
        <v>261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121</v>
      </c>
      <c r="D189" s="130">
        <v>0</v>
      </c>
      <c r="E189" s="130">
        <v>121</v>
      </c>
      <c r="F189" s="130">
        <v>0</v>
      </c>
      <c r="G189" s="130">
        <v>21</v>
      </c>
      <c r="H189" s="130">
        <v>0</v>
      </c>
      <c r="I189" s="130">
        <v>0</v>
      </c>
      <c r="J189" s="130">
        <v>0</v>
      </c>
      <c r="K189" s="130">
        <v>0</v>
      </c>
      <c r="L189" s="130">
        <v>0</v>
      </c>
      <c r="M189" s="130">
        <v>21</v>
      </c>
      <c r="N189" s="130">
        <v>21</v>
      </c>
      <c r="O189" s="130">
        <v>21</v>
      </c>
      <c r="P189" s="130">
        <v>21</v>
      </c>
      <c r="Q189" s="130">
        <v>0</v>
      </c>
      <c r="R189" s="130">
        <v>0</v>
      </c>
      <c r="S189" s="130">
        <v>21</v>
      </c>
      <c r="T189" s="130">
        <v>21</v>
      </c>
      <c r="U189" s="130">
        <v>21</v>
      </c>
      <c r="V189" s="130">
        <v>0</v>
      </c>
      <c r="W189" s="130">
        <v>21</v>
      </c>
      <c r="X189" s="130">
        <v>21</v>
      </c>
      <c r="Y189" s="130">
        <v>21</v>
      </c>
      <c r="Z189" s="130">
        <v>21</v>
      </c>
      <c r="AA189" s="130">
        <v>21</v>
      </c>
      <c r="AB189" s="130">
        <v>21</v>
      </c>
      <c r="AC189" s="130">
        <v>21</v>
      </c>
      <c r="AD189" s="130">
        <v>0</v>
      </c>
      <c r="AE189" s="130">
        <v>0</v>
      </c>
      <c r="AF189" s="130">
        <v>0</v>
      </c>
      <c r="AG189" s="130">
        <v>21</v>
      </c>
      <c r="AH189" s="130">
        <v>0</v>
      </c>
      <c r="AI189" s="130">
        <v>21</v>
      </c>
      <c r="AJ189" s="130">
        <v>0</v>
      </c>
      <c r="AK189" s="130">
        <v>0</v>
      </c>
      <c r="AL189" s="130">
        <v>21</v>
      </c>
      <c r="AM189" s="130">
        <v>21</v>
      </c>
      <c r="AN189" s="130">
        <v>0</v>
      </c>
      <c r="AO189" s="130">
        <v>21</v>
      </c>
      <c r="AP189" s="130">
        <v>0</v>
      </c>
      <c r="AQ189" s="130">
        <v>21</v>
      </c>
      <c r="AR189" s="130">
        <v>0</v>
      </c>
      <c r="AS189" s="130">
        <v>0</v>
      </c>
      <c r="AT189" s="130">
        <v>0</v>
      </c>
      <c r="AU189" s="130">
        <v>21</v>
      </c>
      <c r="AV189" s="130">
        <v>21</v>
      </c>
      <c r="AW189" s="130">
        <v>21</v>
      </c>
      <c r="AX189" s="130">
        <v>0</v>
      </c>
      <c r="AY189" s="130">
        <v>21</v>
      </c>
    </row>
    <row r="190" spans="1:51" x14ac:dyDescent="0.2">
      <c r="A190" s="115"/>
      <c r="B190" s="125">
        <v>2</v>
      </c>
      <c r="C190" s="112">
        <v>121</v>
      </c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21</v>
      </c>
      <c r="J190" s="112">
        <v>0</v>
      </c>
      <c r="K190" s="112">
        <v>21</v>
      </c>
      <c r="L190" s="112">
        <v>21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21</v>
      </c>
      <c r="S190" s="112">
        <v>21</v>
      </c>
      <c r="T190" s="112">
        <v>0</v>
      </c>
      <c r="U190" s="112">
        <v>0</v>
      </c>
      <c r="V190" s="112">
        <v>0</v>
      </c>
      <c r="W190" s="112">
        <v>21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21</v>
      </c>
      <c r="AF190" s="112">
        <v>21</v>
      </c>
      <c r="AG190" s="112">
        <v>21</v>
      </c>
      <c r="AH190" s="112">
        <v>0</v>
      </c>
      <c r="AI190" s="112">
        <v>0</v>
      </c>
      <c r="AJ190" s="112">
        <v>0</v>
      </c>
      <c r="AK190" s="112">
        <v>21</v>
      </c>
      <c r="AL190" s="112">
        <v>21</v>
      </c>
      <c r="AM190" s="112">
        <v>0</v>
      </c>
      <c r="AN190" s="112">
        <v>0</v>
      </c>
      <c r="AO190" s="112">
        <v>0</v>
      </c>
      <c r="AP190" s="112">
        <v>0</v>
      </c>
      <c r="AQ190" s="112">
        <v>21</v>
      </c>
      <c r="AR190" s="112">
        <v>0</v>
      </c>
      <c r="AS190" s="112">
        <v>0</v>
      </c>
      <c r="AT190" s="112">
        <v>21</v>
      </c>
      <c r="AU190" s="112">
        <v>21</v>
      </c>
      <c r="AV190" s="112">
        <v>0</v>
      </c>
      <c r="AW190" s="112">
        <v>0</v>
      </c>
      <c r="AX190" s="112">
        <v>0</v>
      </c>
      <c r="AY190" s="112">
        <v>21</v>
      </c>
    </row>
    <row r="191" spans="1:51" x14ac:dyDescent="0.2">
      <c r="A191" s="115"/>
      <c r="B191" s="126">
        <v>3</v>
      </c>
      <c r="C191" s="112">
        <v>121</v>
      </c>
      <c r="D191" s="112">
        <v>0</v>
      </c>
      <c r="E191" s="112">
        <v>0</v>
      </c>
      <c r="F191" s="112">
        <v>121</v>
      </c>
      <c r="G191" s="112">
        <v>0</v>
      </c>
      <c r="H191" s="112">
        <v>21</v>
      </c>
      <c r="I191" s="112">
        <v>0</v>
      </c>
      <c r="J191" s="112">
        <v>0</v>
      </c>
      <c r="K191" s="112">
        <v>21</v>
      </c>
      <c r="L191" s="112">
        <v>0</v>
      </c>
      <c r="M191" s="112">
        <v>0</v>
      </c>
      <c r="N191" s="112">
        <v>21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21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21</v>
      </c>
      <c r="AQ191" s="112">
        <v>0</v>
      </c>
      <c r="AR191" s="112">
        <v>0</v>
      </c>
      <c r="AS191" s="112">
        <v>0</v>
      </c>
      <c r="AT191" s="112">
        <v>21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1075</v>
      </c>
      <c r="D205" s="112">
        <v>325</v>
      </c>
      <c r="E205" s="112">
        <v>341.61204262350162</v>
      </c>
      <c r="F205" s="112">
        <v>360.36501344432884</v>
      </c>
      <c r="G205" s="112">
        <v>300.11494696239151</v>
      </c>
      <c r="H205" s="112">
        <v>399.13231005372216</v>
      </c>
      <c r="I205" s="112">
        <v>408.1189338235294</v>
      </c>
      <c r="J205" s="112">
        <v>331</v>
      </c>
      <c r="K205" s="112">
        <v>409.09974468085107</v>
      </c>
      <c r="L205" s="112">
        <v>936.14272727272726</v>
      </c>
      <c r="M205" s="112">
        <v>809.14442344045369</v>
      </c>
      <c r="N205" s="112">
        <v>921.16542553191493</v>
      </c>
      <c r="O205" s="112">
        <v>719.14602203182369</v>
      </c>
      <c r="P205" s="112">
        <v>960.04165170556553</v>
      </c>
      <c r="Q205" s="112">
        <v>952</v>
      </c>
      <c r="R205" s="112">
        <v>667.0515151515151</v>
      </c>
      <c r="S205" s="112">
        <v>931.72927756653996</v>
      </c>
      <c r="T205" s="112">
        <v>397.12442159383033</v>
      </c>
      <c r="U205" s="112">
        <v>430.11511068334937</v>
      </c>
      <c r="V205" s="112">
        <v>391</v>
      </c>
      <c r="W205" s="112">
        <v>355.02902208201891</v>
      </c>
      <c r="X205" s="112">
        <v>732.1607301869991</v>
      </c>
      <c r="Y205" s="112">
        <v>671.14756242568376</v>
      </c>
      <c r="Z205" s="112">
        <v>616.14942660550457</v>
      </c>
      <c r="AA205" s="112">
        <v>665.40570181083535</v>
      </c>
      <c r="AB205" s="112">
        <v>621.05324459234612</v>
      </c>
      <c r="AC205" s="112">
        <v>479.92466291826554</v>
      </c>
      <c r="AD205" s="112">
        <v>97.956553699775213</v>
      </c>
      <c r="AE205" s="112">
        <v>98.620073189485538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247.33632371983663</v>
      </c>
      <c r="AL205" s="112">
        <v>400.32911020076381</v>
      </c>
      <c r="AM205" s="112">
        <v>572.09922121745728</v>
      </c>
      <c r="AN205" s="112">
        <v>568</v>
      </c>
      <c r="AO205" s="112">
        <v>782.12396551724134</v>
      </c>
      <c r="AP205" s="112">
        <v>579.11840888066604</v>
      </c>
      <c r="AQ205" s="112">
        <v>774.15835616438358</v>
      </c>
      <c r="AR205" s="112">
        <v>617</v>
      </c>
      <c r="AS205" s="112">
        <v>615</v>
      </c>
      <c r="AT205" s="112">
        <v>655.85555555555561</v>
      </c>
      <c r="AU205" s="112">
        <v>726.85132192846038</v>
      </c>
      <c r="AV205" s="112">
        <v>1360.0710526315791</v>
      </c>
      <c r="AW205" s="112">
        <v>1209.0886363636364</v>
      </c>
      <c r="AX205" s="112">
        <v>1110</v>
      </c>
      <c r="AY205" s="112">
        <v>923.90169491525421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55.750330093451794</v>
      </c>
      <c r="AB206" s="112">
        <v>0</v>
      </c>
      <c r="AC206" s="112">
        <v>129.12379068998189</v>
      </c>
      <c r="AD206" s="112">
        <v>369.04344630022479</v>
      </c>
      <c r="AE206" s="112">
        <v>453.40732407078849</v>
      </c>
      <c r="AF206" s="112">
        <v>522.12054054054056</v>
      </c>
      <c r="AG206" s="112">
        <v>576.05780795344322</v>
      </c>
      <c r="AH206" s="112">
        <v>746</v>
      </c>
      <c r="AI206" s="112">
        <v>766.13302961275622</v>
      </c>
      <c r="AJ206" s="112">
        <v>605.09562130177517</v>
      </c>
      <c r="AK206" s="112">
        <v>534.7719922884794</v>
      </c>
      <c r="AL206" s="112">
        <v>348.6753741041689</v>
      </c>
      <c r="AM206" s="112">
        <v>204.00573567909441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293.51451746077396</v>
      </c>
      <c r="AD211" s="116">
        <v>124.89877686455281</v>
      </c>
      <c r="AE211" s="116">
        <v>280.90019157367283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219.87299986062249</v>
      </c>
      <c r="AA212" s="116">
        <v>165.57504131093799</v>
      </c>
      <c r="AB212" s="116">
        <v>795.12814190891856</v>
      </c>
      <c r="AC212" s="116">
        <v>1030.7808225807023</v>
      </c>
      <c r="AD212" s="116">
        <v>818.10122313544719</v>
      </c>
      <c r="AE212" s="116">
        <v>1069.1272056866012</v>
      </c>
      <c r="AF212" s="116">
        <v>299.12054054054056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228.38345054332581</v>
      </c>
      <c r="Y213" s="116">
        <v>590.43212586694699</v>
      </c>
      <c r="Z213" s="116">
        <v>746.9002022757262</v>
      </c>
      <c r="AA213" s="116">
        <v>587.58099059334916</v>
      </c>
      <c r="AB213" s="116">
        <v>626.92510268342755</v>
      </c>
      <c r="AC213" s="116">
        <v>170.75311356677111</v>
      </c>
      <c r="AD213" s="116">
        <v>0</v>
      </c>
      <c r="AE213" s="116">
        <v>0</v>
      </c>
      <c r="AF213" s="116">
        <v>0</v>
      </c>
      <c r="AG213" s="116">
        <v>265.05780795344327</v>
      </c>
      <c r="AH213" s="116">
        <v>85.125100586246646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107.89396620313761</v>
      </c>
      <c r="J214" s="116">
        <v>220.00794606090534</v>
      </c>
      <c r="K214" s="116">
        <v>207.34509097205358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40.62149733396916</v>
      </c>
      <c r="U214" s="116">
        <v>273.39673144273019</v>
      </c>
      <c r="V214" s="116">
        <v>323.93067466305263</v>
      </c>
      <c r="W214" s="116">
        <v>302.57641640672773</v>
      </c>
      <c r="X214" s="116">
        <v>608.85145263781328</v>
      </c>
      <c r="Y214" s="116">
        <v>375.71543655873677</v>
      </c>
      <c r="Z214" s="116">
        <v>113.37622446915601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152.87489941375335</v>
      </c>
      <c r="AI214" s="116">
        <v>192.13302961275627</v>
      </c>
      <c r="AJ214" s="116">
        <v>12.836993389139934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72.595569889354351</v>
      </c>
      <c r="AR214" s="116">
        <v>196.44992262922494</v>
      </c>
      <c r="AS214" s="116">
        <v>382.19435625434306</v>
      </c>
      <c r="AT214" s="116">
        <v>441.62061110616122</v>
      </c>
      <c r="AU214" s="116">
        <v>342.67643524982134</v>
      </c>
      <c r="AV214" s="116">
        <v>116.2015599395269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135.51861550327988</v>
      </c>
      <c r="D215" s="116">
        <v>266.04392466139842</v>
      </c>
      <c r="E215" s="116">
        <v>303.23415275038269</v>
      </c>
      <c r="F215" s="116">
        <v>283.9350336155569</v>
      </c>
      <c r="G215" s="116">
        <v>301.70089246927341</v>
      </c>
      <c r="H215" s="116">
        <v>368.59133515304472</v>
      </c>
      <c r="I215" s="116">
        <v>392.15257505687771</v>
      </c>
      <c r="J215" s="116">
        <v>362.99205393909466</v>
      </c>
      <c r="K215" s="116">
        <v>281.75465370879749</v>
      </c>
      <c r="L215" s="116">
        <v>277.14272727272726</v>
      </c>
      <c r="M215" s="116">
        <v>286.154130560353</v>
      </c>
      <c r="N215" s="116">
        <v>109.84027182018318</v>
      </c>
      <c r="O215" s="116">
        <v>53.583508087784338</v>
      </c>
      <c r="P215" s="116">
        <v>94.715682242526412</v>
      </c>
      <c r="Q215" s="116">
        <v>179.47826100304715</v>
      </c>
      <c r="R215" s="116">
        <v>256.94844619068289</v>
      </c>
      <c r="S215" s="116">
        <v>246.76083559858898</v>
      </c>
      <c r="T215" s="116">
        <v>392.15257505687771</v>
      </c>
      <c r="U215" s="116">
        <v>362.71837924061919</v>
      </c>
      <c r="V215" s="116">
        <v>243.06932533694734</v>
      </c>
      <c r="W215" s="116">
        <v>206.45260567529118</v>
      </c>
      <c r="X215" s="116">
        <v>221.92582700586016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257.25862791263523</v>
      </c>
      <c r="AK215" s="116">
        <v>186.108316008316</v>
      </c>
      <c r="AL215" s="116">
        <v>26.926417613788288</v>
      </c>
      <c r="AM215" s="116">
        <v>0</v>
      </c>
      <c r="AN215" s="116">
        <v>21.212788461562354</v>
      </c>
      <c r="AO215" s="116">
        <v>202.34228509510251</v>
      </c>
      <c r="AP215" s="116">
        <v>322.58253232882544</v>
      </c>
      <c r="AQ215" s="116">
        <v>392.15257505687771</v>
      </c>
      <c r="AR215" s="116">
        <v>339.55007737077506</v>
      </c>
      <c r="AS215" s="116">
        <v>249.80564374565694</v>
      </c>
      <c r="AT215" s="116">
        <v>164.23494444939439</v>
      </c>
      <c r="AU215" s="116">
        <v>121.17488667863896</v>
      </c>
      <c r="AV215" s="116">
        <v>192.86949269205203</v>
      </c>
      <c r="AW215" s="116">
        <v>295.08863636363634</v>
      </c>
      <c r="AX215" s="116">
        <v>270.15923962436153</v>
      </c>
      <c r="AY215" s="116">
        <v>281.50574796436581</v>
      </c>
    </row>
    <row r="216" spans="1:51" x14ac:dyDescent="0.2">
      <c r="A216" s="115"/>
      <c r="B216" s="125">
        <v>8</v>
      </c>
      <c r="C216" s="112">
        <v>146.48138449672012</v>
      </c>
      <c r="D216" s="116">
        <v>185.95607533860158</v>
      </c>
      <c r="E216" s="116">
        <v>91.377889873118903</v>
      </c>
      <c r="F216" s="116">
        <v>64.42997982877192</v>
      </c>
      <c r="G216" s="116">
        <v>78.414054493118101</v>
      </c>
      <c r="H216" s="116">
        <v>65.540974900677426</v>
      </c>
      <c r="I216" s="116">
        <v>17.072392563514139</v>
      </c>
      <c r="J216" s="116">
        <v>0</v>
      </c>
      <c r="K216" s="116">
        <v>0</v>
      </c>
      <c r="L216" s="116">
        <v>0</v>
      </c>
      <c r="M216" s="116">
        <v>9.9902928801006841</v>
      </c>
      <c r="N216" s="116">
        <v>112.32515371173173</v>
      </c>
      <c r="O216" s="116">
        <v>204.56251394403941</v>
      </c>
      <c r="P216" s="116">
        <v>245.32596946303912</v>
      </c>
      <c r="Q216" s="116">
        <v>215.52173899695285</v>
      </c>
      <c r="R216" s="116">
        <v>154.10306896083227</v>
      </c>
      <c r="S216" s="116">
        <v>97.968441967950938</v>
      </c>
      <c r="T216" s="116">
        <v>105.35034920298347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178.07806669114444</v>
      </c>
      <c r="AM216" s="116">
        <v>254.10495689655173</v>
      </c>
      <c r="AN216" s="116">
        <v>284.15239323100343</v>
      </c>
      <c r="AO216" s="116">
        <v>268.78168042213889</v>
      </c>
      <c r="AP216" s="116">
        <v>137.53587655184057</v>
      </c>
      <c r="AQ216" s="116">
        <v>50.41021121815151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44.840760375638453</v>
      </c>
      <c r="AY216" s="116">
        <v>88.395946950888387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7.6348183074342089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2305207.1031437539</v>
      </c>
      <c r="E259" s="130">
        <f t="shared" ref="E259:AX259" si="5">F$14*$B$259</f>
        <v>2342469.0723856115</v>
      </c>
      <c r="F259" s="130">
        <f t="shared" si="5"/>
        <v>2379742.113687926</v>
      </c>
      <c r="G259" s="130">
        <f t="shared" si="5"/>
        <v>2415028.8150469852</v>
      </c>
      <c r="H259" s="130">
        <f t="shared" si="5"/>
        <v>2351242.9693157859</v>
      </c>
      <c r="I259" s="130">
        <f t="shared" si="5"/>
        <v>2295354.1969705913</v>
      </c>
      <c r="J259" s="130">
        <f t="shared" si="5"/>
        <v>2240001.7637753058</v>
      </c>
      <c r="K259" s="130">
        <f t="shared" si="5"/>
        <v>2188100.064564202</v>
      </c>
      <c r="L259" s="130">
        <f t="shared" si="5"/>
        <v>2167301.5704545281</v>
      </c>
      <c r="M259" s="130">
        <f t="shared" si="5"/>
        <v>2190173.9583112453</v>
      </c>
      <c r="N259" s="130">
        <f t="shared" si="5"/>
        <v>2203345.6745263436</v>
      </c>
      <c r="O259" s="130">
        <f t="shared" si="5"/>
        <v>2226133.0018330826</v>
      </c>
      <c r="P259" s="130">
        <f t="shared" si="5"/>
        <v>2319874.4917829419</v>
      </c>
      <c r="Q259" s="130">
        <f t="shared" si="5"/>
        <v>2373138.9280273858</v>
      </c>
      <c r="R259" s="130">
        <f t="shared" si="5"/>
        <v>2401895.9353878549</v>
      </c>
      <c r="S259" s="130">
        <f t="shared" si="5"/>
        <v>2419859.745014512</v>
      </c>
      <c r="T259" s="130">
        <f t="shared" si="5"/>
        <v>2361077.9129852317</v>
      </c>
      <c r="U259" s="130">
        <f t="shared" si="5"/>
        <v>2283864.7002128721</v>
      </c>
      <c r="V259" s="130">
        <f t="shared" si="5"/>
        <v>2210374.7399609662</v>
      </c>
      <c r="W259" s="130">
        <f t="shared" si="5"/>
        <v>2169496.6221945859</v>
      </c>
      <c r="X259" s="130">
        <f t="shared" si="5"/>
        <v>2150253.9957965477</v>
      </c>
      <c r="Y259" s="130">
        <f t="shared" si="5"/>
        <v>2037830.5359634866</v>
      </c>
      <c r="Z259" s="130">
        <f t="shared" si="5"/>
        <v>1973019.3848613601</v>
      </c>
      <c r="AA259" s="130">
        <f t="shared" si="5"/>
        <v>1905649.7187847455</v>
      </c>
      <c r="AB259" s="130">
        <f t="shared" si="5"/>
        <v>1999040.5585946392</v>
      </c>
      <c r="AC259" s="130">
        <f t="shared" si="5"/>
        <v>1946970.435773849</v>
      </c>
      <c r="AD259" s="130">
        <f t="shared" si="5"/>
        <v>1896173.5684768327</v>
      </c>
      <c r="AE259" s="130">
        <f t="shared" si="5"/>
        <v>1958189.7754940556</v>
      </c>
      <c r="AF259" s="130">
        <f t="shared" si="5"/>
        <v>1846592.7702870211</v>
      </c>
      <c r="AG259" s="130">
        <f t="shared" si="5"/>
        <v>1953855.1781188983</v>
      </c>
      <c r="AH259" s="130">
        <f t="shared" si="5"/>
        <v>2037674.7928128997</v>
      </c>
      <c r="AI259" s="130">
        <f t="shared" si="5"/>
        <v>2103253.8736782456</v>
      </c>
      <c r="AJ259" s="130">
        <f t="shared" si="5"/>
        <v>2158982.9977638498</v>
      </c>
      <c r="AK259" s="130">
        <f t="shared" si="5"/>
        <v>2185407.8678016635</v>
      </c>
      <c r="AL259" s="130">
        <f t="shared" si="5"/>
        <v>2219589.9940261613</v>
      </c>
      <c r="AM259" s="130">
        <f t="shared" si="5"/>
        <v>2240975.598145932</v>
      </c>
      <c r="AN259" s="130">
        <f t="shared" si="5"/>
        <v>2331352.7856931668</v>
      </c>
      <c r="AO259" s="130">
        <f t="shared" si="5"/>
        <v>2386296.8470586422</v>
      </c>
      <c r="AP259" s="130">
        <f t="shared" si="5"/>
        <v>2397802.9947938635</v>
      </c>
      <c r="AQ259" s="130">
        <f t="shared" si="5"/>
        <v>2408110.4390120888</v>
      </c>
      <c r="AR259" s="130">
        <f t="shared" si="5"/>
        <v>2322055.51238717</v>
      </c>
      <c r="AS259" s="130">
        <f t="shared" si="5"/>
        <v>2255969.5018426813</v>
      </c>
      <c r="AT259" s="130">
        <f t="shared" si="5"/>
        <v>2190898.6314103273</v>
      </c>
      <c r="AU259" s="130">
        <f t="shared" si="5"/>
        <v>2148428.680854389</v>
      </c>
      <c r="AV259" s="130">
        <f t="shared" si="5"/>
        <v>2143075.6008525118</v>
      </c>
      <c r="AW259" s="130">
        <f t="shared" si="5"/>
        <v>2166904.3432816113</v>
      </c>
      <c r="AX259" s="130">
        <f t="shared" si="5"/>
        <v>2186673.5911625824</v>
      </c>
      <c r="AY259" s="130">
        <f>AZ$14*$B$259</f>
        <v>2197433.9413059149</v>
      </c>
      <c r="AZ259" s="145">
        <f>SUM($D259:$AY259)</f>
        <v>105592147.29561685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2705491.6520175003</v>
      </c>
      <c r="E260" s="131">
        <f t="shared" ref="E260:AY260" si="6">(E$175-E$176+E$177-E$178+E$179-E$180+E$181-E$182)*$B$260</f>
        <v>2696398.6405111239</v>
      </c>
      <c r="F260" s="131">
        <f t="shared" si="6"/>
        <v>2701567.6955847181</v>
      </c>
      <c r="G260" s="131">
        <f t="shared" si="6"/>
        <v>2703380.4695909447</v>
      </c>
      <c r="H260" s="131">
        <f t="shared" si="6"/>
        <v>2686286.3102413276</v>
      </c>
      <c r="I260" s="131">
        <f t="shared" si="6"/>
        <v>2694986.8789900453</v>
      </c>
      <c r="J260" s="131">
        <f t="shared" si="6"/>
        <v>2696570.6064207405</v>
      </c>
      <c r="K260" s="131">
        <f t="shared" si="6"/>
        <v>2694269.563140064</v>
      </c>
      <c r="L260" s="131">
        <f t="shared" si="6"/>
        <v>2685744.266223778</v>
      </c>
      <c r="M260" s="131">
        <f t="shared" si="6"/>
        <v>2698452.76534303</v>
      </c>
      <c r="N260" s="131">
        <f t="shared" si="6"/>
        <v>2696694.3943645074</v>
      </c>
      <c r="O260" s="131">
        <f t="shared" si="6"/>
        <v>2699513.2771869735</v>
      </c>
      <c r="P260" s="131">
        <f t="shared" si="6"/>
        <v>2685352.7410153686</v>
      </c>
      <c r="Q260" s="131">
        <f t="shared" si="6"/>
        <v>2675701.0220282408</v>
      </c>
      <c r="R260" s="131">
        <f t="shared" si="6"/>
        <v>2692180.3472229396</v>
      </c>
      <c r="S260" s="131">
        <f t="shared" si="6"/>
        <v>2673160.8179214448</v>
      </c>
      <c r="T260" s="131">
        <f t="shared" si="6"/>
        <v>2690959.4159024111</v>
      </c>
      <c r="U260" s="131">
        <f t="shared" si="6"/>
        <v>2686687.9066983485</v>
      </c>
      <c r="V260" s="131">
        <f t="shared" si="6"/>
        <v>2703625.4086189875</v>
      </c>
      <c r="W260" s="131">
        <f t="shared" si="6"/>
        <v>2706675.2906860425</v>
      </c>
      <c r="X260" s="131">
        <f t="shared" si="6"/>
        <v>2655155.7281501861</v>
      </c>
      <c r="Y260" s="131">
        <f t="shared" si="6"/>
        <v>2664934.8584199809</v>
      </c>
      <c r="Z260" s="131">
        <f t="shared" si="6"/>
        <v>2676317.2025124449</v>
      </c>
      <c r="AA260" s="131">
        <f t="shared" si="6"/>
        <v>2686375.1482836632</v>
      </c>
      <c r="AB260" s="131">
        <f t="shared" si="6"/>
        <v>2679626.7898555668</v>
      </c>
      <c r="AC260" s="131">
        <f t="shared" si="6"/>
        <v>2683353.837649425</v>
      </c>
      <c r="AD260" s="131">
        <f t="shared" si="6"/>
        <v>2732028.5936790616</v>
      </c>
      <c r="AE260" s="131">
        <f t="shared" si="6"/>
        <v>2694200.733052393</v>
      </c>
      <c r="AF260" s="131">
        <f t="shared" si="6"/>
        <v>2765750.8178778719</v>
      </c>
      <c r="AG260" s="131">
        <f t="shared" si="6"/>
        <v>2753997.2004499957</v>
      </c>
      <c r="AH260" s="131">
        <f t="shared" si="6"/>
        <v>2739306.9422018863</v>
      </c>
      <c r="AI260" s="131">
        <f t="shared" si="6"/>
        <v>2734197.5250300164</v>
      </c>
      <c r="AJ260" s="131">
        <f t="shared" si="6"/>
        <v>2730857.7871886618</v>
      </c>
      <c r="AK260" s="131">
        <f t="shared" si="6"/>
        <v>2725117.0450511565</v>
      </c>
      <c r="AL260" s="131">
        <f t="shared" si="6"/>
        <v>2718014.2316656085</v>
      </c>
      <c r="AM260" s="131">
        <f t="shared" si="6"/>
        <v>2714408.1191897118</v>
      </c>
      <c r="AN260" s="131">
        <f t="shared" si="6"/>
        <v>2696658.2043975545</v>
      </c>
      <c r="AO260" s="131">
        <f t="shared" si="6"/>
        <v>2675071.5690248259</v>
      </c>
      <c r="AP260" s="131">
        <f t="shared" si="6"/>
        <v>2684450.1298764241</v>
      </c>
      <c r="AQ260" s="131">
        <f t="shared" si="6"/>
        <v>2672093.8798130043</v>
      </c>
      <c r="AR260" s="131">
        <f t="shared" si="6"/>
        <v>2699676.4142411845</v>
      </c>
      <c r="AS260" s="131">
        <f t="shared" si="6"/>
        <v>2699836.6613683682</v>
      </c>
      <c r="AT260" s="131">
        <f t="shared" si="6"/>
        <v>2706040.5365877645</v>
      </c>
      <c r="AU260" s="131">
        <f t="shared" si="6"/>
        <v>2709901.3477512565</v>
      </c>
      <c r="AV260" s="131">
        <f t="shared" si="6"/>
        <v>2687809.1105285934</v>
      </c>
      <c r="AW260" s="131">
        <f t="shared" si="6"/>
        <v>2694127.4242565227</v>
      </c>
      <c r="AX260" s="131">
        <f t="shared" si="6"/>
        <v>2700593.2069696076</v>
      </c>
      <c r="AY260" s="131">
        <f t="shared" si="6"/>
        <v>2702071.740489623</v>
      </c>
      <c r="AZ260" s="147">
        <f>SUM($D260:$AY260)</f>
        <v>129555672.25527084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284</v>
      </c>
    </row>
    <row r="2" spans="1:53" x14ac:dyDescent="0.2">
      <c r="A2" s="106" t="s">
        <v>285</v>
      </c>
      <c r="B2" s="113" t="s">
        <v>59</v>
      </c>
    </row>
    <row r="3" spans="1:53" x14ac:dyDescent="0.2">
      <c r="A3" s="106" t="s">
        <v>286</v>
      </c>
      <c r="B3" s="114">
        <v>51000</v>
      </c>
      <c r="C3" s="115"/>
    </row>
    <row r="4" spans="1:53" x14ac:dyDescent="0.2">
      <c r="B4" s="116"/>
      <c r="C4" s="116"/>
    </row>
    <row r="5" spans="1:53" x14ac:dyDescent="0.2">
      <c r="C5" s="117" t="s">
        <v>287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3" x14ac:dyDescent="0.2">
      <c r="A8" s="108" t="s">
        <v>292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293</v>
      </c>
      <c r="D9" s="123">
        <v>8671.5072274015638</v>
      </c>
      <c r="E9" s="123">
        <v>8671.5072274015638</v>
      </c>
      <c r="F9" s="123">
        <v>8671.5072274015638</v>
      </c>
      <c r="G9" s="123">
        <v>8671.5072274015638</v>
      </c>
      <c r="H9" s="123">
        <v>7663.6174491966367</v>
      </c>
      <c r="I9" s="123">
        <v>8091.1440239132826</v>
      </c>
      <c r="J9" s="123">
        <v>6972.1071529077199</v>
      </c>
      <c r="K9" s="123">
        <v>8091.1440239132826</v>
      </c>
      <c r="L9" s="123">
        <v>8091.1440239132826</v>
      </c>
      <c r="M9" s="123">
        <v>8091.1440239132826</v>
      </c>
      <c r="N9" s="123">
        <v>8091.1440239132826</v>
      </c>
      <c r="O9" s="123">
        <v>8091.1440239132826</v>
      </c>
      <c r="P9" s="123">
        <v>8671.5072274015638</v>
      </c>
      <c r="Q9" s="123">
        <v>8671.5072274015638</v>
      </c>
      <c r="R9" s="123">
        <v>8671.5072274015638</v>
      </c>
      <c r="S9" s="123">
        <v>8671.5072274015638</v>
      </c>
      <c r="T9" s="123">
        <v>8091.1440239132826</v>
      </c>
      <c r="U9" s="123">
        <v>8091.1440239132826</v>
      </c>
      <c r="V9" s="123">
        <v>8091.1440239132826</v>
      </c>
      <c r="W9" s="123">
        <v>8091.1440239132826</v>
      </c>
      <c r="X9" s="123">
        <v>8091.1440239132826</v>
      </c>
      <c r="Y9" s="123">
        <v>8091.1440239132826</v>
      </c>
      <c r="Z9" s="123">
        <v>8091.1440239132826</v>
      </c>
      <c r="AA9" s="123">
        <v>8091.1440239132826</v>
      </c>
      <c r="AB9" s="123">
        <v>8671.5072274015638</v>
      </c>
      <c r="AC9" s="123">
        <v>8671.5072274015638</v>
      </c>
      <c r="AD9" s="123">
        <v>8671.5072274015638</v>
      </c>
      <c r="AE9" s="123">
        <v>8671.5072274015638</v>
      </c>
      <c r="AF9" s="123">
        <v>8091.1440239132826</v>
      </c>
      <c r="AG9" s="123">
        <v>8091.1440239132826</v>
      </c>
      <c r="AH9" s="123">
        <v>8091.1440239132826</v>
      </c>
      <c r="AI9" s="123">
        <v>8091.1440239132826</v>
      </c>
      <c r="AJ9" s="123">
        <v>6984.76459537144</v>
      </c>
      <c r="AK9" s="123">
        <v>8091.1440239132826</v>
      </c>
      <c r="AL9" s="123">
        <v>8091.1440239132826</v>
      </c>
      <c r="AM9" s="123">
        <v>8091.1440239132826</v>
      </c>
      <c r="AN9" s="123">
        <v>8671.5072274015638</v>
      </c>
      <c r="AO9" s="123">
        <v>8671.5072274015638</v>
      </c>
      <c r="AP9" s="123">
        <v>8671.5072274015638</v>
      </c>
      <c r="AQ9" s="123">
        <v>8311.3593981344911</v>
      </c>
      <c r="AR9" s="123">
        <v>7732.7717516063149</v>
      </c>
      <c r="AS9" s="123">
        <v>7734.5353003033861</v>
      </c>
      <c r="AT9" s="123">
        <v>7736.2865561641174</v>
      </c>
      <c r="AU9" s="123">
        <v>7738.0252366488494</v>
      </c>
      <c r="AV9" s="123">
        <v>7739.7510613022851</v>
      </c>
      <c r="AW9" s="123">
        <v>6990.5666903082392</v>
      </c>
      <c r="AX9" s="123">
        <v>8091.1440239132826</v>
      </c>
      <c r="AY9" s="123">
        <v>8091.1440239132826</v>
      </c>
    </row>
    <row r="10" spans="1:53" x14ac:dyDescent="0.2">
      <c r="A10" s="124" t="s">
        <v>133</v>
      </c>
      <c r="B10" s="125">
        <v>1</v>
      </c>
      <c r="C10" s="112" t="s">
        <v>293</v>
      </c>
      <c r="D10" s="106">
        <v>403</v>
      </c>
      <c r="E10" s="106">
        <v>0</v>
      </c>
      <c r="F10" s="106">
        <v>3813</v>
      </c>
      <c r="G10" s="106">
        <v>0</v>
      </c>
      <c r="H10" s="106">
        <v>0</v>
      </c>
      <c r="I10" s="106">
        <v>3813</v>
      </c>
      <c r="J10" s="106">
        <v>3411.6093849829113</v>
      </c>
      <c r="K10" s="106">
        <v>3411.6093849829113</v>
      </c>
      <c r="L10" s="106">
        <v>3411.6093849829113</v>
      </c>
      <c r="M10" s="106">
        <v>3411.6093849829113</v>
      </c>
      <c r="N10" s="106">
        <v>0</v>
      </c>
      <c r="O10" s="106">
        <v>3411.6093849829113</v>
      </c>
      <c r="P10" s="106">
        <v>0</v>
      </c>
      <c r="Q10" s="106">
        <v>3411.6093849829113</v>
      </c>
      <c r="R10" s="106">
        <v>0</v>
      </c>
      <c r="S10" s="106">
        <v>3813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3411.6093849829113</v>
      </c>
      <c r="Z10" s="106">
        <v>0</v>
      </c>
      <c r="AA10" s="106">
        <v>0</v>
      </c>
      <c r="AB10" s="106">
        <v>0</v>
      </c>
      <c r="AC10" s="106">
        <v>3411.6093849829113</v>
      </c>
      <c r="AD10" s="106">
        <v>0</v>
      </c>
      <c r="AE10" s="106">
        <v>3813</v>
      </c>
      <c r="AF10" s="106">
        <v>3813</v>
      </c>
      <c r="AG10" s="106">
        <v>0</v>
      </c>
      <c r="AH10" s="106">
        <v>3411.6093849829113</v>
      </c>
      <c r="AI10" s="106">
        <v>3411.6093849829113</v>
      </c>
      <c r="AJ10" s="106">
        <v>0</v>
      </c>
      <c r="AK10" s="106">
        <v>3411.6093849829113</v>
      </c>
      <c r="AL10" s="106">
        <v>0</v>
      </c>
      <c r="AM10" s="106">
        <v>0</v>
      </c>
      <c r="AN10" s="106">
        <v>0</v>
      </c>
      <c r="AO10" s="106">
        <v>3411.6093849829113</v>
      </c>
      <c r="AP10" s="106">
        <v>3813</v>
      </c>
      <c r="AQ10" s="106">
        <v>0</v>
      </c>
      <c r="AR10" s="106">
        <v>3813</v>
      </c>
      <c r="AS10" s="106">
        <v>3813</v>
      </c>
      <c r="AT10" s="106">
        <v>0</v>
      </c>
      <c r="AU10" s="106">
        <v>3411.6093849829113</v>
      </c>
      <c r="AV10" s="106">
        <v>0</v>
      </c>
      <c r="AW10" s="106">
        <v>3411.6093849829113</v>
      </c>
      <c r="AX10" s="106">
        <v>3411.6093849829113</v>
      </c>
      <c r="AY10" s="106">
        <v>0</v>
      </c>
      <c r="AZ10" s="106">
        <v>3411.6093849829113</v>
      </c>
    </row>
    <row r="11" spans="1:53" x14ac:dyDescent="0.2">
      <c r="B11" s="125">
        <v>2</v>
      </c>
      <c r="C11" s="112" t="s">
        <v>293</v>
      </c>
      <c r="D11" s="106">
        <v>3411.6093849829113</v>
      </c>
      <c r="E11" s="106">
        <v>0</v>
      </c>
      <c r="F11" s="106">
        <v>0</v>
      </c>
      <c r="H11" s="106">
        <v>3819</v>
      </c>
      <c r="I11" s="106">
        <v>3819</v>
      </c>
      <c r="J11" s="106">
        <v>6</v>
      </c>
      <c r="K11" s="106">
        <v>6</v>
      </c>
      <c r="L11" s="106">
        <v>0</v>
      </c>
      <c r="M11" s="106">
        <v>6</v>
      </c>
      <c r="N11" s="106">
        <v>6</v>
      </c>
      <c r="O11" s="106">
        <v>3417.6093849829113</v>
      </c>
      <c r="P11" s="106">
        <v>6</v>
      </c>
      <c r="Q11" s="106">
        <v>3411.6093849829113</v>
      </c>
      <c r="R11" s="106">
        <v>6</v>
      </c>
      <c r="S11" s="106">
        <v>3813</v>
      </c>
      <c r="T11" s="106">
        <v>6</v>
      </c>
      <c r="U11" s="106">
        <v>3819</v>
      </c>
      <c r="V11" s="106">
        <v>3819</v>
      </c>
      <c r="W11" s="106">
        <v>3411.6093849829113</v>
      </c>
      <c r="X11" s="106">
        <v>3411.6093849829113</v>
      </c>
      <c r="Y11" s="106">
        <v>3411.6093849829113</v>
      </c>
      <c r="AA11" s="106">
        <v>3417.6093849829113</v>
      </c>
      <c r="AB11" s="106">
        <v>3411.6093849829113</v>
      </c>
      <c r="AC11" s="106">
        <v>6</v>
      </c>
      <c r="AD11" s="106">
        <v>6</v>
      </c>
      <c r="AE11" s="106">
        <v>3819</v>
      </c>
      <c r="AF11" s="106">
        <v>0</v>
      </c>
      <c r="AH11" s="106">
        <v>3813</v>
      </c>
      <c r="AJ11" s="106">
        <v>6</v>
      </c>
      <c r="AL11" s="106">
        <v>6</v>
      </c>
      <c r="AM11" s="106">
        <v>3411.6093849829113</v>
      </c>
      <c r="AN11" s="106">
        <v>3411.6093849829113</v>
      </c>
      <c r="AO11" s="106">
        <v>3417.6093849829113</v>
      </c>
      <c r="AP11" s="106">
        <v>6</v>
      </c>
      <c r="AQ11" s="106">
        <v>0</v>
      </c>
      <c r="AR11" s="106">
        <v>3813</v>
      </c>
      <c r="AS11" s="106">
        <v>6</v>
      </c>
      <c r="AT11" s="106">
        <v>6</v>
      </c>
      <c r="AU11" s="106">
        <v>3417.6093849829113</v>
      </c>
      <c r="AV11" s="106">
        <v>6</v>
      </c>
      <c r="AY11" s="106">
        <v>6</v>
      </c>
      <c r="AZ11" s="106">
        <v>6</v>
      </c>
      <c r="BA11" s="106">
        <v>6</v>
      </c>
    </row>
    <row r="12" spans="1:53" x14ac:dyDescent="0.2">
      <c r="B12" s="126">
        <v>3</v>
      </c>
      <c r="C12" s="112" t="s">
        <v>293</v>
      </c>
      <c r="F12" s="106">
        <v>3021.6093849829113</v>
      </c>
      <c r="G12" s="106">
        <v>3424.6093849829113</v>
      </c>
      <c r="M12" s="106">
        <v>6</v>
      </c>
      <c r="Q12" s="106">
        <v>0</v>
      </c>
      <c r="T12" s="106">
        <v>6</v>
      </c>
      <c r="X12" s="106">
        <v>6</v>
      </c>
      <c r="Y12" s="106">
        <v>6</v>
      </c>
      <c r="Z12" s="106">
        <v>6</v>
      </c>
      <c r="AC12" s="106">
        <v>6</v>
      </c>
      <c r="AD12" s="106">
        <v>3411.6093849829113</v>
      </c>
      <c r="AE12" s="106">
        <v>0</v>
      </c>
      <c r="AH12" s="106">
        <v>6</v>
      </c>
      <c r="AJ12" s="106">
        <v>6</v>
      </c>
      <c r="AL12" s="106">
        <v>3417.6093849829113</v>
      </c>
      <c r="AM12" s="106">
        <v>0</v>
      </c>
      <c r="AN12" s="106">
        <v>6</v>
      </c>
      <c r="AO12" s="106">
        <v>6</v>
      </c>
      <c r="AR12" s="106">
        <v>6</v>
      </c>
      <c r="AX12" s="106">
        <v>3411.6093849829113</v>
      </c>
      <c r="AY12" s="106">
        <v>6</v>
      </c>
      <c r="BA12" s="106">
        <v>3411.6093849829113</v>
      </c>
    </row>
    <row r="13" spans="1:53" x14ac:dyDescent="0.2">
      <c r="B13" s="126">
        <v>4</v>
      </c>
      <c r="C13" s="112" t="s">
        <v>293</v>
      </c>
      <c r="F13" s="106">
        <v>0</v>
      </c>
      <c r="I13" s="106">
        <v>6</v>
      </c>
      <c r="S13" s="106">
        <v>6</v>
      </c>
      <c r="AB13" s="106">
        <v>6</v>
      </c>
      <c r="AH13" s="106">
        <v>6</v>
      </c>
      <c r="AJ13" s="106">
        <v>6</v>
      </c>
      <c r="AT13" s="106">
        <v>6</v>
      </c>
      <c r="AY13" s="106">
        <v>6</v>
      </c>
    </row>
    <row r="14" spans="1:53" x14ac:dyDescent="0.2">
      <c r="A14" s="121" t="s">
        <v>134</v>
      </c>
      <c r="B14" s="127">
        <v>1</v>
      </c>
      <c r="C14" s="123" t="s">
        <v>293</v>
      </c>
      <c r="D14" s="123">
        <v>21962.101628950819</v>
      </c>
      <c r="E14" s="123">
        <f t="shared" ref="E14:AZ14" si="0">D$172*SUM(D$122:D$169)</f>
        <v>21962.101628950819</v>
      </c>
      <c r="F14" s="123">
        <f t="shared" si="0"/>
        <v>21962.101628950819</v>
      </c>
      <c r="G14" s="123">
        <f t="shared" si="0"/>
        <v>21962.101628950812</v>
      </c>
      <c r="H14" s="123">
        <f t="shared" si="0"/>
        <v>21962.101628950815</v>
      </c>
      <c r="I14" s="123">
        <f t="shared" si="0"/>
        <v>21962.101628950826</v>
      </c>
      <c r="J14" s="123">
        <f t="shared" si="0"/>
        <v>21962.101628950826</v>
      </c>
      <c r="K14" s="123">
        <f t="shared" si="0"/>
        <v>21962.101628950822</v>
      </c>
      <c r="L14" s="123">
        <f t="shared" si="0"/>
        <v>21962.101628950826</v>
      </c>
      <c r="M14" s="123">
        <f t="shared" si="0"/>
        <v>21962.101628950822</v>
      </c>
      <c r="N14" s="123">
        <f t="shared" si="0"/>
        <v>21962.101628950826</v>
      </c>
      <c r="O14" s="123">
        <f t="shared" si="0"/>
        <v>21962.101628950826</v>
      </c>
      <c r="P14" s="123">
        <f t="shared" si="0"/>
        <v>21962.101628950826</v>
      </c>
      <c r="Q14" s="123">
        <f t="shared" si="0"/>
        <v>21962.101628950826</v>
      </c>
      <c r="R14" s="123">
        <f t="shared" si="0"/>
        <v>21962.101628950826</v>
      </c>
      <c r="S14" s="123">
        <f t="shared" si="0"/>
        <v>21962.101628950826</v>
      </c>
      <c r="T14" s="123">
        <f t="shared" si="0"/>
        <v>21962.101628950826</v>
      </c>
      <c r="U14" s="123">
        <f t="shared" si="0"/>
        <v>21962.101628950826</v>
      </c>
      <c r="V14" s="123">
        <f t="shared" si="0"/>
        <v>21962.101628950826</v>
      </c>
      <c r="W14" s="123">
        <f t="shared" si="0"/>
        <v>21962.101628950826</v>
      </c>
      <c r="X14" s="123">
        <f t="shared" si="0"/>
        <v>21962.101628950822</v>
      </c>
      <c r="Y14" s="123">
        <f t="shared" si="0"/>
        <v>21962.101628950826</v>
      </c>
      <c r="Z14" s="123">
        <f t="shared" si="0"/>
        <v>21962.101628950826</v>
      </c>
      <c r="AA14" s="123">
        <f t="shared" si="0"/>
        <v>21962.101628950826</v>
      </c>
      <c r="AB14" s="123">
        <f t="shared" si="0"/>
        <v>21962.101628950822</v>
      </c>
      <c r="AC14" s="123">
        <f t="shared" si="0"/>
        <v>21962.101628950826</v>
      </c>
      <c r="AD14" s="123">
        <f t="shared" si="0"/>
        <v>21962.10162895083</v>
      </c>
      <c r="AE14" s="123">
        <f t="shared" si="0"/>
        <v>21962.101628950826</v>
      </c>
      <c r="AF14" s="123">
        <f t="shared" si="0"/>
        <v>21962.101628950826</v>
      </c>
      <c r="AG14" s="123">
        <f t="shared" si="0"/>
        <v>21962.101628950826</v>
      </c>
      <c r="AH14" s="123">
        <f t="shared" si="0"/>
        <v>21962.101628950826</v>
      </c>
      <c r="AI14" s="123">
        <f t="shared" si="0"/>
        <v>21962.101628950822</v>
      </c>
      <c r="AJ14" s="123">
        <f t="shared" si="0"/>
        <v>21962.101628950826</v>
      </c>
      <c r="AK14" s="123">
        <f t="shared" si="0"/>
        <v>21962.101628950826</v>
      </c>
      <c r="AL14" s="123">
        <f t="shared" si="0"/>
        <v>21962.101628950822</v>
      </c>
      <c r="AM14" s="123">
        <f t="shared" si="0"/>
        <v>21962.101628950826</v>
      </c>
      <c r="AN14" s="123">
        <f t="shared" si="0"/>
        <v>21962.101628950822</v>
      </c>
      <c r="AO14" s="123">
        <f t="shared" si="0"/>
        <v>21962.101628950826</v>
      </c>
      <c r="AP14" s="123">
        <f t="shared" si="0"/>
        <v>21962.101628950826</v>
      </c>
      <c r="AQ14" s="123">
        <f t="shared" si="0"/>
        <v>21962.101628950826</v>
      </c>
      <c r="AR14" s="123">
        <f t="shared" si="0"/>
        <v>21962.10162895083</v>
      </c>
      <c r="AS14" s="123">
        <f t="shared" si="0"/>
        <v>21962.101628950822</v>
      </c>
      <c r="AT14" s="123">
        <f t="shared" si="0"/>
        <v>21962.101628950826</v>
      </c>
      <c r="AU14" s="123">
        <f t="shared" si="0"/>
        <v>21962.101628950822</v>
      </c>
      <c r="AV14" s="123">
        <f t="shared" si="0"/>
        <v>21962.101628950826</v>
      </c>
      <c r="AW14" s="123">
        <f t="shared" si="0"/>
        <v>21962.101628950815</v>
      </c>
      <c r="AX14" s="123">
        <f t="shared" si="0"/>
        <v>21962.101628950822</v>
      </c>
      <c r="AY14" s="123">
        <f t="shared" si="0"/>
        <v>21962.101628950822</v>
      </c>
      <c r="AZ14" s="116">
        <f t="shared" si="0"/>
        <v>21962.101628950815</v>
      </c>
      <c r="BA14" s="113">
        <f>SUM($E14:$AZ14)</f>
        <v>1054180.8781896387</v>
      </c>
    </row>
    <row r="15" spans="1:53" x14ac:dyDescent="0.2">
      <c r="A15" s="128" t="s">
        <v>123</v>
      </c>
      <c r="B15" s="129">
        <v>1</v>
      </c>
      <c r="C15" s="130" t="s">
        <v>293</v>
      </c>
      <c r="D15" s="130">
        <v>36293.374362842609</v>
      </c>
      <c r="E15" s="130">
        <v>36293.374362842609</v>
      </c>
      <c r="F15" s="130">
        <v>36293.374362842609</v>
      </c>
      <c r="G15" s="130">
        <v>36293.374362842609</v>
      </c>
      <c r="H15" s="130">
        <v>32260.777211415654</v>
      </c>
      <c r="I15" s="130">
        <v>32260.777211415654</v>
      </c>
      <c r="J15" s="130">
        <v>32260.777211415654</v>
      </c>
      <c r="K15" s="130">
        <v>32260.777211415654</v>
      </c>
      <c r="L15" s="130">
        <v>32260.777211415654</v>
      </c>
      <c r="M15" s="130">
        <v>32260.777211415654</v>
      </c>
      <c r="N15" s="130">
        <v>32260.777211415654</v>
      </c>
      <c r="O15" s="130">
        <v>32260.777211415654</v>
      </c>
      <c r="P15" s="130">
        <v>36293.374362842609</v>
      </c>
      <c r="Q15" s="130">
        <v>36293.374362842609</v>
      </c>
      <c r="R15" s="130">
        <v>36293.374362842609</v>
      </c>
      <c r="S15" s="130">
        <v>36293.374362842609</v>
      </c>
      <c r="T15" s="130">
        <v>32260.777211415654</v>
      </c>
      <c r="U15" s="130">
        <v>32260.777211415654</v>
      </c>
      <c r="V15" s="130">
        <v>32260.777211415654</v>
      </c>
      <c r="W15" s="130">
        <v>32260.777211415654</v>
      </c>
      <c r="X15" s="130">
        <v>32260.777211415654</v>
      </c>
      <c r="Y15" s="130">
        <v>32260.777211415654</v>
      </c>
      <c r="Z15" s="130">
        <v>32260.777211415654</v>
      </c>
      <c r="AA15" s="130">
        <v>32260.777211415654</v>
      </c>
      <c r="AB15" s="130">
        <v>36293.374362842609</v>
      </c>
      <c r="AC15" s="130">
        <v>36293.374362842609</v>
      </c>
      <c r="AD15" s="130">
        <v>36293.374362842609</v>
      </c>
      <c r="AE15" s="130">
        <v>36293.374362842609</v>
      </c>
      <c r="AF15" s="130">
        <v>32260.777211415654</v>
      </c>
      <c r="AG15" s="130">
        <v>32260.777211415654</v>
      </c>
      <c r="AH15" s="130">
        <v>32260.777211415654</v>
      </c>
      <c r="AI15" s="130">
        <v>32260.777211415654</v>
      </c>
      <c r="AJ15" s="130">
        <v>32260.777211415654</v>
      </c>
      <c r="AK15" s="130">
        <v>32260.777211415654</v>
      </c>
      <c r="AL15" s="130">
        <v>32260.777211415654</v>
      </c>
      <c r="AM15" s="130">
        <v>32260.777211415654</v>
      </c>
      <c r="AN15" s="130">
        <v>36293.374362842609</v>
      </c>
      <c r="AO15" s="130">
        <v>36293.374362842609</v>
      </c>
      <c r="AP15" s="130">
        <v>36293.374362842609</v>
      </c>
      <c r="AQ15" s="130">
        <v>36293.374362842609</v>
      </c>
      <c r="AR15" s="130">
        <v>32260.777211415654</v>
      </c>
      <c r="AS15" s="130">
        <v>32260.777211415654</v>
      </c>
      <c r="AT15" s="130">
        <v>32260.777211415654</v>
      </c>
      <c r="AU15" s="130">
        <v>32260.777211415654</v>
      </c>
      <c r="AV15" s="130">
        <v>32260.777211415654</v>
      </c>
      <c r="AW15" s="130">
        <v>32260.777211415654</v>
      </c>
      <c r="AX15" s="130">
        <v>32260.777211415654</v>
      </c>
      <c r="AY15" s="130">
        <v>32260.777211415654</v>
      </c>
      <c r="AZ15" s="106">
        <v>0</v>
      </c>
    </row>
    <row r="16" spans="1:53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>
        <v>0</v>
      </c>
      <c r="G16" s="116"/>
      <c r="H16" s="116">
        <v>0</v>
      </c>
      <c r="I16" s="116">
        <v>0</v>
      </c>
      <c r="J16" s="116">
        <v>0</v>
      </c>
      <c r="K16" s="116">
        <v>0</v>
      </c>
      <c r="L16" s="116">
        <v>0</v>
      </c>
      <c r="M16" s="116">
        <v>0</v>
      </c>
      <c r="N16" s="116">
        <v>0</v>
      </c>
      <c r="O16" s="116">
        <v>0</v>
      </c>
      <c r="P16" s="116">
        <v>0</v>
      </c>
      <c r="Q16" s="116">
        <v>0</v>
      </c>
      <c r="R16" s="116">
        <v>0</v>
      </c>
      <c r="S16" s="116">
        <v>0</v>
      </c>
      <c r="T16" s="116">
        <v>0</v>
      </c>
      <c r="U16" s="116">
        <v>0</v>
      </c>
      <c r="V16" s="116">
        <v>0</v>
      </c>
      <c r="W16" s="116">
        <v>0</v>
      </c>
      <c r="X16" s="116">
        <v>0</v>
      </c>
      <c r="Y16" s="116">
        <v>0</v>
      </c>
      <c r="Z16" s="116"/>
      <c r="AA16" s="116">
        <v>0</v>
      </c>
      <c r="AB16" s="116">
        <v>0</v>
      </c>
      <c r="AC16" s="116">
        <v>0</v>
      </c>
      <c r="AD16" s="116">
        <v>0</v>
      </c>
      <c r="AE16" s="116">
        <v>0</v>
      </c>
      <c r="AF16" s="116">
        <v>0</v>
      </c>
      <c r="AG16" s="116"/>
      <c r="AH16" s="116">
        <v>0</v>
      </c>
      <c r="AI16" s="116"/>
      <c r="AJ16" s="116">
        <v>0</v>
      </c>
      <c r="AK16" s="116"/>
      <c r="AL16" s="116">
        <v>0</v>
      </c>
      <c r="AM16" s="116">
        <v>0</v>
      </c>
      <c r="AN16" s="116">
        <v>0</v>
      </c>
      <c r="AO16" s="116">
        <v>0</v>
      </c>
      <c r="AP16" s="116">
        <v>0</v>
      </c>
      <c r="AQ16" s="116">
        <v>0</v>
      </c>
      <c r="AR16" s="116">
        <v>0</v>
      </c>
      <c r="AS16" s="116">
        <v>0</v>
      </c>
      <c r="AT16" s="116">
        <v>0</v>
      </c>
      <c r="AU16" s="116">
        <v>0</v>
      </c>
      <c r="AV16" s="116">
        <v>0</v>
      </c>
      <c r="AW16" s="116"/>
      <c r="AX16" s="116"/>
      <c r="AY16" s="116">
        <v>0</v>
      </c>
      <c r="AZ16" s="106">
        <v>0</v>
      </c>
      <c r="BA16" s="106">
        <v>0</v>
      </c>
    </row>
    <row r="17" spans="1:53" x14ac:dyDescent="0.2">
      <c r="A17" s="116"/>
      <c r="B17" s="125">
        <v>3</v>
      </c>
      <c r="C17" s="115" t="s">
        <v>293</v>
      </c>
      <c r="D17" s="112"/>
      <c r="E17" s="116"/>
      <c r="F17" s="116">
        <v>0</v>
      </c>
      <c r="G17" s="116">
        <v>0</v>
      </c>
      <c r="H17" s="116"/>
      <c r="I17" s="116"/>
      <c r="J17" s="116"/>
      <c r="K17" s="116"/>
      <c r="L17" s="116"/>
      <c r="M17" s="116">
        <v>0</v>
      </c>
      <c r="N17" s="116"/>
      <c r="O17" s="116"/>
      <c r="P17" s="116"/>
      <c r="Q17" s="116">
        <v>0</v>
      </c>
      <c r="R17" s="116"/>
      <c r="S17" s="116"/>
      <c r="T17" s="116">
        <v>0</v>
      </c>
      <c r="U17" s="116"/>
      <c r="V17" s="116"/>
      <c r="W17" s="116"/>
      <c r="X17" s="116">
        <v>0</v>
      </c>
      <c r="Y17" s="116">
        <v>0</v>
      </c>
      <c r="Z17" s="116">
        <v>0</v>
      </c>
      <c r="AA17" s="116"/>
      <c r="AB17" s="116"/>
      <c r="AC17" s="116">
        <v>0</v>
      </c>
      <c r="AD17" s="116">
        <v>0</v>
      </c>
      <c r="AE17" s="116">
        <v>0</v>
      </c>
      <c r="AF17" s="116"/>
      <c r="AG17" s="116"/>
      <c r="AH17" s="116">
        <v>0</v>
      </c>
      <c r="AI17" s="116"/>
      <c r="AJ17" s="116">
        <v>0</v>
      </c>
      <c r="AK17" s="116"/>
      <c r="AL17" s="116">
        <v>0</v>
      </c>
      <c r="AM17" s="116">
        <v>0</v>
      </c>
      <c r="AN17" s="116">
        <v>0</v>
      </c>
      <c r="AO17" s="116">
        <v>0</v>
      </c>
      <c r="AP17" s="116"/>
      <c r="AQ17" s="116"/>
      <c r="AR17" s="116">
        <v>0</v>
      </c>
      <c r="AS17" s="116"/>
      <c r="AT17" s="116"/>
      <c r="AU17" s="116"/>
      <c r="AV17" s="116"/>
      <c r="AW17" s="116"/>
      <c r="AX17" s="116">
        <v>0</v>
      </c>
      <c r="AY17" s="116">
        <v>0</v>
      </c>
      <c r="BA17" s="106">
        <v>0</v>
      </c>
    </row>
    <row r="18" spans="1:53" x14ac:dyDescent="0.2">
      <c r="A18" s="131"/>
      <c r="B18" s="122">
        <v>4</v>
      </c>
      <c r="C18" s="131" t="s">
        <v>293</v>
      </c>
      <c r="D18" s="131"/>
      <c r="E18" s="131"/>
      <c r="F18" s="131">
        <v>0</v>
      </c>
      <c r="G18" s="131"/>
      <c r="H18" s="131"/>
      <c r="I18" s="131">
        <v>0</v>
      </c>
      <c r="J18" s="131"/>
      <c r="K18" s="131"/>
      <c r="L18" s="131"/>
      <c r="M18" s="131"/>
      <c r="N18" s="131"/>
      <c r="O18" s="131"/>
      <c r="P18" s="131"/>
      <c r="Q18" s="131"/>
      <c r="R18" s="131"/>
      <c r="S18" s="131">
        <v>0</v>
      </c>
      <c r="T18" s="131"/>
      <c r="U18" s="131"/>
      <c r="V18" s="131"/>
      <c r="W18" s="131"/>
      <c r="X18" s="131"/>
      <c r="Y18" s="131"/>
      <c r="Z18" s="131"/>
      <c r="AA18" s="131"/>
      <c r="AB18" s="131">
        <v>0</v>
      </c>
      <c r="AC18" s="131"/>
      <c r="AD18" s="131"/>
      <c r="AE18" s="131"/>
      <c r="AF18" s="131"/>
      <c r="AG18" s="131"/>
      <c r="AH18" s="131">
        <v>0</v>
      </c>
      <c r="AI18" s="131"/>
      <c r="AJ18" s="131">
        <v>0</v>
      </c>
      <c r="AK18" s="131"/>
      <c r="AL18" s="131"/>
      <c r="AM18" s="131"/>
      <c r="AN18" s="131"/>
      <c r="AO18" s="131"/>
      <c r="AP18" s="131"/>
      <c r="AQ18" s="131"/>
      <c r="AR18" s="131"/>
      <c r="AS18" s="131"/>
      <c r="AT18" s="131">
        <v>0</v>
      </c>
      <c r="AU18" s="131"/>
      <c r="AV18" s="131"/>
      <c r="AW18" s="131"/>
      <c r="AX18" s="131"/>
      <c r="AY18" s="131">
        <v>0</v>
      </c>
    </row>
    <row r="20" spans="1:53" x14ac:dyDescent="0.2">
      <c r="A20" s="108" t="s">
        <v>294</v>
      </c>
    </row>
    <row r="21" spans="1:53" x14ac:dyDescent="0.2">
      <c r="A21" s="132" t="s">
        <v>125</v>
      </c>
      <c r="B21" s="129">
        <v>1</v>
      </c>
      <c r="C21" s="130" t="s">
        <v>293</v>
      </c>
      <c r="D21" s="130">
        <v>8671.5072274015638</v>
      </c>
      <c r="E21" s="130">
        <v>8671.5072274015638</v>
      </c>
      <c r="F21" s="130">
        <v>8671.5072274015638</v>
      </c>
      <c r="G21" s="130">
        <v>8671.5072274015638</v>
      </c>
      <c r="H21" s="130">
        <v>7663.6174491966367</v>
      </c>
      <c r="I21" s="130">
        <v>8091.1440239132826</v>
      </c>
      <c r="J21" s="130">
        <v>6972.1071529077199</v>
      </c>
      <c r="K21" s="130">
        <v>8091.1440239132826</v>
      </c>
      <c r="L21" s="130">
        <v>8091.1440239132826</v>
      </c>
      <c r="M21" s="130">
        <v>8091.1440239132826</v>
      </c>
      <c r="N21" s="130">
        <v>8091.1440239132826</v>
      </c>
      <c r="O21" s="130">
        <v>8091.1440239132826</v>
      </c>
      <c r="P21" s="130">
        <v>8671.5072274015638</v>
      </c>
      <c r="Q21" s="130">
        <v>8671.5072274015638</v>
      </c>
      <c r="R21" s="130">
        <v>8671.5072274015638</v>
      </c>
      <c r="S21" s="130">
        <v>8671.5072274015638</v>
      </c>
      <c r="T21" s="130">
        <v>8091.1440239132826</v>
      </c>
      <c r="U21" s="130">
        <v>8091.1440239132826</v>
      </c>
      <c r="V21" s="130">
        <v>8091.1440239132826</v>
      </c>
      <c r="W21" s="130">
        <v>8091.1440239132826</v>
      </c>
      <c r="X21" s="130">
        <v>8091.1440239132826</v>
      </c>
      <c r="Y21" s="130">
        <v>8091.1440239132826</v>
      </c>
      <c r="Z21" s="130">
        <v>8091.1440239132826</v>
      </c>
      <c r="AA21" s="130">
        <v>8091.1440239132826</v>
      </c>
      <c r="AB21" s="130">
        <v>8671.5072274015638</v>
      </c>
      <c r="AC21" s="130">
        <v>8671.5072274015638</v>
      </c>
      <c r="AD21" s="130">
        <v>8671.5072274015638</v>
      </c>
      <c r="AE21" s="130">
        <v>8671.5072274015638</v>
      </c>
      <c r="AF21" s="130">
        <v>8091.1440239132826</v>
      </c>
      <c r="AG21" s="130">
        <v>8091.1440239132826</v>
      </c>
      <c r="AH21" s="130">
        <v>8091.1440239132826</v>
      </c>
      <c r="AI21" s="130">
        <v>8091.1440239132826</v>
      </c>
      <c r="AJ21" s="130">
        <v>6984.76459537144</v>
      </c>
      <c r="AK21" s="130">
        <v>8091.1440239132826</v>
      </c>
      <c r="AL21" s="130">
        <v>8091.1440239132826</v>
      </c>
      <c r="AM21" s="130">
        <v>8091.1440239132826</v>
      </c>
      <c r="AN21" s="130">
        <v>8671.5072274015638</v>
      </c>
      <c r="AO21" s="130">
        <v>8671.5072274015638</v>
      </c>
      <c r="AP21" s="130">
        <v>8671.5072274015638</v>
      </c>
      <c r="AQ21" s="130">
        <v>8311.3593981344911</v>
      </c>
      <c r="AR21" s="130">
        <v>7732.7717516063149</v>
      </c>
      <c r="AS21" s="130">
        <v>7734.5353003033861</v>
      </c>
      <c r="AT21" s="130">
        <v>7736.2865561641174</v>
      </c>
      <c r="AU21" s="130">
        <v>7738.0252366488494</v>
      </c>
      <c r="AV21" s="130">
        <v>7739.7510613022851</v>
      </c>
      <c r="AW21" s="130">
        <v>6990.5666903082392</v>
      </c>
      <c r="AX21" s="130">
        <v>8091.1440239132826</v>
      </c>
      <c r="AY21" s="130">
        <v>8091.1440239132826</v>
      </c>
    </row>
    <row r="22" spans="1:53" x14ac:dyDescent="0.2">
      <c r="A22" s="115"/>
      <c r="B22" s="126">
        <v>2</v>
      </c>
      <c r="C22" s="116" t="s">
        <v>293</v>
      </c>
      <c r="D22" s="116">
        <v>0</v>
      </c>
      <c r="E22" s="116">
        <v>0</v>
      </c>
      <c r="F22" s="116">
        <v>0</v>
      </c>
      <c r="G22" s="116">
        <v>0</v>
      </c>
      <c r="H22" s="116">
        <v>0</v>
      </c>
      <c r="I22" s="116">
        <v>0</v>
      </c>
      <c r="J22" s="116">
        <v>0</v>
      </c>
      <c r="K22" s="116">
        <v>0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  <c r="AO22" s="116">
        <v>0</v>
      </c>
      <c r="AP22" s="116">
        <v>0</v>
      </c>
      <c r="AQ22" s="116">
        <v>0</v>
      </c>
      <c r="AR22" s="116">
        <v>0</v>
      </c>
      <c r="AS22" s="116">
        <v>0</v>
      </c>
      <c r="AT22" s="116">
        <v>0</v>
      </c>
      <c r="AU22" s="116">
        <v>0</v>
      </c>
      <c r="AV22" s="116">
        <v>0</v>
      </c>
      <c r="AW22" s="116">
        <v>0</v>
      </c>
      <c r="AX22" s="116">
        <v>0</v>
      </c>
      <c r="AY22" s="116">
        <v>0</v>
      </c>
    </row>
    <row r="23" spans="1:53" x14ac:dyDescent="0.2">
      <c r="A23" s="115"/>
      <c r="B23" s="133">
        <v>3</v>
      </c>
      <c r="C23" s="116" t="s">
        <v>293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3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3" x14ac:dyDescent="0.2">
      <c r="A25" s="132" t="s">
        <v>133</v>
      </c>
      <c r="B25" s="129">
        <v>1</v>
      </c>
      <c r="C25" s="115" t="s">
        <v>293</v>
      </c>
      <c r="D25" s="116">
        <v>403</v>
      </c>
      <c r="E25" s="116">
        <v>0</v>
      </c>
      <c r="F25" s="116">
        <v>3813</v>
      </c>
      <c r="G25" s="116">
        <v>0</v>
      </c>
      <c r="H25" s="116">
        <v>0</v>
      </c>
      <c r="I25" s="116">
        <v>3813</v>
      </c>
      <c r="J25" s="116">
        <v>3411.6093849829113</v>
      </c>
      <c r="K25" s="116">
        <v>3411.6093849829113</v>
      </c>
      <c r="L25" s="116">
        <v>3411.6093849829113</v>
      </c>
      <c r="M25" s="116">
        <v>3411.6093849829113</v>
      </c>
      <c r="N25" s="116">
        <v>0</v>
      </c>
      <c r="O25" s="116">
        <v>3411.6093849829113</v>
      </c>
      <c r="P25" s="116">
        <v>0</v>
      </c>
      <c r="Q25" s="116">
        <v>3411.6093849829113</v>
      </c>
      <c r="R25" s="116">
        <v>0</v>
      </c>
      <c r="S25" s="116">
        <v>3813</v>
      </c>
      <c r="T25" s="116">
        <v>0</v>
      </c>
      <c r="U25" s="116">
        <v>0</v>
      </c>
      <c r="V25" s="116">
        <v>0</v>
      </c>
      <c r="W25" s="116">
        <v>0</v>
      </c>
      <c r="X25" s="116">
        <v>0</v>
      </c>
      <c r="Y25" s="116">
        <v>3411.6093849829113</v>
      </c>
      <c r="Z25" s="116">
        <v>0</v>
      </c>
      <c r="AA25" s="116">
        <v>0</v>
      </c>
      <c r="AB25" s="116">
        <v>0</v>
      </c>
      <c r="AC25" s="116">
        <v>3411.6093849829113</v>
      </c>
      <c r="AD25" s="116">
        <v>0</v>
      </c>
      <c r="AE25" s="116">
        <v>3813</v>
      </c>
      <c r="AF25" s="116">
        <v>3813</v>
      </c>
      <c r="AG25" s="116">
        <v>0</v>
      </c>
      <c r="AH25" s="116">
        <v>3411.6093849829113</v>
      </c>
      <c r="AI25" s="116">
        <v>3411.6093849829113</v>
      </c>
      <c r="AJ25" s="116">
        <v>0</v>
      </c>
      <c r="AK25" s="116">
        <v>3411.6093849829113</v>
      </c>
      <c r="AL25" s="116">
        <v>0</v>
      </c>
      <c r="AM25" s="116">
        <v>0</v>
      </c>
      <c r="AN25" s="116">
        <v>0</v>
      </c>
      <c r="AO25" s="116">
        <v>3411.6093849829113</v>
      </c>
      <c r="AP25" s="116">
        <v>3813</v>
      </c>
      <c r="AQ25" s="116">
        <v>0</v>
      </c>
      <c r="AR25" s="116">
        <v>3813</v>
      </c>
      <c r="AS25" s="116">
        <v>3813</v>
      </c>
      <c r="AT25" s="116">
        <v>0</v>
      </c>
      <c r="AU25" s="116">
        <v>3411.6093849829113</v>
      </c>
      <c r="AV25" s="116">
        <v>0</v>
      </c>
      <c r="AW25" s="116">
        <v>3411.6093849829113</v>
      </c>
      <c r="AX25" s="116">
        <v>3411.6093849829113</v>
      </c>
      <c r="AY25" s="116">
        <v>0</v>
      </c>
    </row>
    <row r="26" spans="1:53" x14ac:dyDescent="0.2">
      <c r="A26" s="115"/>
      <c r="B26" s="125">
        <v>2</v>
      </c>
      <c r="C26" s="115" t="s">
        <v>293</v>
      </c>
      <c r="D26" s="116">
        <v>3411.6093849829113</v>
      </c>
      <c r="E26" s="116">
        <v>0</v>
      </c>
      <c r="F26" s="116">
        <v>0</v>
      </c>
      <c r="G26" s="116">
        <v>0</v>
      </c>
      <c r="H26" s="116">
        <v>3819</v>
      </c>
      <c r="I26" s="116">
        <v>3819</v>
      </c>
      <c r="J26" s="116">
        <v>6</v>
      </c>
      <c r="K26" s="116">
        <v>6</v>
      </c>
      <c r="L26" s="116">
        <v>0</v>
      </c>
      <c r="M26" s="116">
        <v>6</v>
      </c>
      <c r="N26" s="116">
        <v>6</v>
      </c>
      <c r="O26" s="116">
        <v>3417.6093849829113</v>
      </c>
      <c r="P26" s="116">
        <v>6</v>
      </c>
      <c r="Q26" s="116">
        <v>3411.6093849829113</v>
      </c>
      <c r="R26" s="116">
        <v>6</v>
      </c>
      <c r="S26" s="116">
        <v>3813</v>
      </c>
      <c r="T26" s="116">
        <v>6</v>
      </c>
      <c r="U26" s="116">
        <v>3819</v>
      </c>
      <c r="V26" s="116">
        <v>3819</v>
      </c>
      <c r="W26" s="116">
        <v>3411.6093849829113</v>
      </c>
      <c r="X26" s="116">
        <v>3411.6093849829113</v>
      </c>
      <c r="Y26" s="116">
        <v>3411.6093849829113</v>
      </c>
      <c r="Z26" s="116">
        <v>0</v>
      </c>
      <c r="AA26" s="116">
        <v>3417.6093849829113</v>
      </c>
      <c r="AB26" s="116">
        <v>3411.6093849829113</v>
      </c>
      <c r="AC26" s="116">
        <v>6</v>
      </c>
      <c r="AD26" s="116">
        <v>6</v>
      </c>
      <c r="AE26" s="116">
        <v>3819</v>
      </c>
      <c r="AF26" s="116">
        <v>0</v>
      </c>
      <c r="AG26" s="116">
        <v>0</v>
      </c>
      <c r="AH26" s="116">
        <v>3813</v>
      </c>
      <c r="AI26" s="116">
        <v>0</v>
      </c>
      <c r="AJ26" s="116">
        <v>6</v>
      </c>
      <c r="AK26" s="116">
        <v>0</v>
      </c>
      <c r="AL26" s="116">
        <v>6</v>
      </c>
      <c r="AM26" s="116">
        <v>3411.6093849829113</v>
      </c>
      <c r="AN26" s="116">
        <v>3411.6093849829113</v>
      </c>
      <c r="AO26" s="116">
        <v>3417.6093849829113</v>
      </c>
      <c r="AP26" s="116">
        <v>6</v>
      </c>
      <c r="AQ26" s="116">
        <v>0</v>
      </c>
      <c r="AR26" s="116">
        <v>3813</v>
      </c>
      <c r="AS26" s="116">
        <v>6</v>
      </c>
      <c r="AT26" s="116">
        <v>6</v>
      </c>
      <c r="AU26" s="116">
        <v>3417.6093849829113</v>
      </c>
      <c r="AV26" s="116">
        <v>6</v>
      </c>
      <c r="AW26" s="116">
        <v>0</v>
      </c>
      <c r="AX26" s="116">
        <v>0</v>
      </c>
      <c r="AY26" s="116">
        <v>6</v>
      </c>
    </row>
    <row r="27" spans="1:53" x14ac:dyDescent="0.2">
      <c r="A27" s="115"/>
      <c r="B27" s="126">
        <v>3</v>
      </c>
      <c r="C27" s="115" t="s">
        <v>293</v>
      </c>
      <c r="D27" s="116">
        <v>0</v>
      </c>
      <c r="E27" s="116">
        <v>0</v>
      </c>
      <c r="F27" s="116">
        <v>3021.6093849829113</v>
      </c>
      <c r="G27" s="116">
        <v>3424.6093849829113</v>
      </c>
      <c r="H27" s="116">
        <v>0</v>
      </c>
      <c r="I27" s="116">
        <v>0</v>
      </c>
      <c r="J27" s="116">
        <v>0</v>
      </c>
      <c r="K27" s="116">
        <v>0</v>
      </c>
      <c r="L27" s="116">
        <v>0</v>
      </c>
      <c r="M27" s="116">
        <v>6</v>
      </c>
      <c r="N27" s="116">
        <v>0</v>
      </c>
      <c r="O27" s="116">
        <v>0</v>
      </c>
      <c r="P27" s="116">
        <v>0</v>
      </c>
      <c r="Q27" s="116">
        <v>0</v>
      </c>
      <c r="R27" s="116">
        <v>0</v>
      </c>
      <c r="S27" s="116">
        <v>0</v>
      </c>
      <c r="T27" s="116">
        <v>6</v>
      </c>
      <c r="U27" s="116">
        <v>0</v>
      </c>
      <c r="V27" s="116">
        <v>0</v>
      </c>
      <c r="W27" s="116">
        <v>0</v>
      </c>
      <c r="X27" s="116">
        <v>6</v>
      </c>
      <c r="Y27" s="116">
        <v>6</v>
      </c>
      <c r="Z27" s="116">
        <v>6</v>
      </c>
      <c r="AA27" s="116">
        <v>0</v>
      </c>
      <c r="AB27" s="116">
        <v>0</v>
      </c>
      <c r="AC27" s="116">
        <v>6</v>
      </c>
      <c r="AD27" s="116">
        <v>3411.6093849829113</v>
      </c>
      <c r="AE27" s="116">
        <v>0</v>
      </c>
      <c r="AF27" s="116">
        <v>0</v>
      </c>
      <c r="AG27" s="116">
        <v>0</v>
      </c>
      <c r="AH27" s="116">
        <v>6</v>
      </c>
      <c r="AI27" s="116">
        <v>0</v>
      </c>
      <c r="AJ27" s="116">
        <v>6</v>
      </c>
      <c r="AK27" s="116">
        <v>0</v>
      </c>
      <c r="AL27" s="116">
        <v>3417.6093849829113</v>
      </c>
      <c r="AM27" s="116">
        <v>0</v>
      </c>
      <c r="AN27" s="116">
        <v>6</v>
      </c>
      <c r="AO27" s="116">
        <v>6</v>
      </c>
      <c r="AP27" s="116">
        <v>0</v>
      </c>
      <c r="AQ27" s="116">
        <v>0</v>
      </c>
      <c r="AR27" s="116">
        <v>6</v>
      </c>
      <c r="AS27" s="116">
        <v>0</v>
      </c>
      <c r="AT27" s="116">
        <v>0</v>
      </c>
      <c r="AU27" s="116">
        <v>0</v>
      </c>
      <c r="AV27" s="116">
        <v>0</v>
      </c>
      <c r="AW27" s="116">
        <v>0</v>
      </c>
      <c r="AX27" s="116">
        <v>3411.6093849829113</v>
      </c>
      <c r="AY27" s="116">
        <v>6</v>
      </c>
    </row>
    <row r="28" spans="1:53" x14ac:dyDescent="0.2">
      <c r="A28" s="115"/>
      <c r="B28" s="126">
        <v>4</v>
      </c>
      <c r="C28" s="115" t="s">
        <v>293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6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6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6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6</v>
      </c>
      <c r="AI28" s="116">
        <v>0</v>
      </c>
      <c r="AJ28" s="116">
        <v>6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6</v>
      </c>
      <c r="AU28" s="116">
        <v>0</v>
      </c>
      <c r="AV28" s="116">
        <v>0</v>
      </c>
      <c r="AW28" s="116">
        <v>0</v>
      </c>
      <c r="AX28" s="116">
        <v>0</v>
      </c>
      <c r="AY28" s="116">
        <v>6</v>
      </c>
    </row>
    <row r="29" spans="1:53" x14ac:dyDescent="0.2">
      <c r="A29" s="115"/>
      <c r="B29" s="133">
        <v>5</v>
      </c>
      <c r="C29" s="115" t="s">
        <v>293</v>
      </c>
      <c r="D29" s="116">
        <v>0</v>
      </c>
      <c r="E29" s="116">
        <v>0</v>
      </c>
      <c r="F29" s="116">
        <v>0</v>
      </c>
      <c r="G29" s="116">
        <v>0</v>
      </c>
      <c r="H29" s="116">
        <v>0</v>
      </c>
      <c r="I29" s="116">
        <v>0</v>
      </c>
      <c r="J29" s="116">
        <v>0</v>
      </c>
      <c r="K29" s="116">
        <v>0</v>
      </c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>
        <v>0</v>
      </c>
      <c r="AD29" s="116">
        <v>0</v>
      </c>
      <c r="AE29" s="116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</row>
    <row r="30" spans="1:53" x14ac:dyDescent="0.2">
      <c r="A30" s="115"/>
      <c r="B30" s="133">
        <v>6</v>
      </c>
      <c r="C30" s="115" t="s">
        <v>293</v>
      </c>
      <c r="D30" s="116">
        <v>0</v>
      </c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</row>
    <row r="31" spans="1:53" x14ac:dyDescent="0.2">
      <c r="A31" s="115"/>
      <c r="B31" s="136">
        <v>7</v>
      </c>
      <c r="C31" s="115" t="s">
        <v>293</v>
      </c>
      <c r="D31" s="116">
        <v>0</v>
      </c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3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>
        <v>21962.101628950819</v>
      </c>
      <c r="E33" s="112">
        <v>21962.101628950819</v>
      </c>
      <c r="F33" s="112">
        <v>21962.101628950819</v>
      </c>
      <c r="G33" s="112">
        <v>21962.101628950812</v>
      </c>
      <c r="H33" s="112">
        <v>21962.101628950815</v>
      </c>
      <c r="I33" s="112">
        <v>21962.101628950826</v>
      </c>
      <c r="J33" s="112">
        <v>21962.101628950826</v>
      </c>
      <c r="K33" s="112">
        <v>21962.101628950822</v>
      </c>
      <c r="L33" s="112">
        <v>21962.101628950826</v>
      </c>
      <c r="M33" s="112">
        <v>21962.101628950822</v>
      </c>
      <c r="N33" s="112">
        <v>21962.101628950826</v>
      </c>
      <c r="O33" s="112">
        <v>21962.101628950826</v>
      </c>
      <c r="P33" s="112">
        <v>21962.101628950826</v>
      </c>
      <c r="Q33" s="112">
        <v>21962.101628950826</v>
      </c>
      <c r="R33" s="112">
        <v>21962.101628950826</v>
      </c>
      <c r="S33" s="112">
        <v>21962.101628950826</v>
      </c>
      <c r="T33" s="112">
        <v>21962.101628950826</v>
      </c>
      <c r="U33" s="112">
        <v>21962.101628950826</v>
      </c>
      <c r="V33" s="112">
        <v>21962.101628950826</v>
      </c>
      <c r="W33" s="112">
        <v>21962.101628950826</v>
      </c>
      <c r="X33" s="112">
        <v>21962.101628950822</v>
      </c>
      <c r="Y33" s="112">
        <v>21962.101628950826</v>
      </c>
      <c r="Z33" s="112">
        <v>21962.101628950826</v>
      </c>
      <c r="AA33" s="112">
        <v>21962.101628950826</v>
      </c>
      <c r="AB33" s="112">
        <v>21962.101628950822</v>
      </c>
      <c r="AC33" s="112">
        <v>21962.101628950826</v>
      </c>
      <c r="AD33" s="112">
        <v>21962.10162895083</v>
      </c>
      <c r="AE33" s="112">
        <v>21962.101628950826</v>
      </c>
      <c r="AF33" s="112">
        <v>21962.101628950826</v>
      </c>
      <c r="AG33" s="112">
        <v>21962.101628950826</v>
      </c>
      <c r="AH33" s="112">
        <v>21962.101628950826</v>
      </c>
      <c r="AI33" s="112">
        <v>21962.101628950822</v>
      </c>
      <c r="AJ33" s="112">
        <v>21962.101628950826</v>
      </c>
      <c r="AK33" s="112">
        <v>21962.101628950826</v>
      </c>
      <c r="AL33" s="112">
        <v>21962.101628950822</v>
      </c>
      <c r="AM33" s="112">
        <v>21962.101628950826</v>
      </c>
      <c r="AN33" s="112">
        <v>21962.101628950822</v>
      </c>
      <c r="AO33" s="112">
        <v>21962.101628950826</v>
      </c>
      <c r="AP33" s="112">
        <v>21962.101628950826</v>
      </c>
      <c r="AQ33" s="112">
        <v>21962.101628950826</v>
      </c>
      <c r="AR33" s="112">
        <v>21962.10162895083</v>
      </c>
      <c r="AS33" s="112">
        <v>21962.101628950822</v>
      </c>
      <c r="AT33" s="112">
        <v>21962.101628950826</v>
      </c>
      <c r="AU33" s="112">
        <v>21962.101628950822</v>
      </c>
      <c r="AV33" s="112">
        <v>21962.101628950826</v>
      </c>
      <c r="AW33" s="112">
        <v>21962.101628950815</v>
      </c>
      <c r="AX33" s="112">
        <v>21962.101628950822</v>
      </c>
      <c r="AY33" s="112">
        <v>21962.101628950822</v>
      </c>
    </row>
    <row r="34" spans="1:51" x14ac:dyDescent="0.2">
      <c r="A34" s="115"/>
      <c r="B34" s="125">
        <v>2</v>
      </c>
      <c r="C34" s="115" t="s">
        <v>293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0</v>
      </c>
      <c r="AC34" s="112">
        <v>0</v>
      </c>
      <c r="AD34" s="112">
        <v>0</v>
      </c>
      <c r="AE34" s="112">
        <v>0</v>
      </c>
      <c r="AF34" s="112">
        <v>0</v>
      </c>
      <c r="AG34" s="112">
        <v>0</v>
      </c>
      <c r="AH34" s="112">
        <v>0</v>
      </c>
      <c r="AI34" s="112">
        <v>0</v>
      </c>
      <c r="AJ34" s="112">
        <v>0</v>
      </c>
      <c r="AK34" s="112">
        <v>0</v>
      </c>
      <c r="AL34" s="112">
        <v>0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</row>
    <row r="35" spans="1:51" x14ac:dyDescent="0.2">
      <c r="A35" s="115"/>
      <c r="B35" s="125">
        <v>3</v>
      </c>
      <c r="C35" s="115" t="s">
        <v>293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</row>
    <row r="36" spans="1:51" x14ac:dyDescent="0.2">
      <c r="A36" s="115"/>
      <c r="B36" s="126">
        <v>4</v>
      </c>
      <c r="C36" s="115" t="s">
        <v>293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</row>
    <row r="37" spans="1:51" x14ac:dyDescent="0.2">
      <c r="A37" s="115"/>
      <c r="B37" s="126">
        <v>5</v>
      </c>
      <c r="C37" s="115" t="s">
        <v>293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</row>
    <row r="38" spans="1:51" x14ac:dyDescent="0.2">
      <c r="A38" s="115"/>
      <c r="B38" s="126">
        <v>6</v>
      </c>
      <c r="C38" s="115" t="s">
        <v>293</v>
      </c>
      <c r="D38" s="112">
        <v>0</v>
      </c>
      <c r="E38" s="112">
        <v>0</v>
      </c>
      <c r="F38" s="112">
        <v>0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</v>
      </c>
      <c r="AG38" s="112">
        <v>0</v>
      </c>
      <c r="AH38" s="112">
        <v>0</v>
      </c>
      <c r="AI38" s="112">
        <v>0</v>
      </c>
      <c r="AJ38" s="112">
        <v>0</v>
      </c>
      <c r="AK38" s="112">
        <v>0</v>
      </c>
      <c r="AL38" s="112">
        <v>0</v>
      </c>
      <c r="AM38" s="112">
        <v>0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</row>
    <row r="39" spans="1:51" x14ac:dyDescent="0.2">
      <c r="A39" s="115"/>
      <c r="B39" s="133">
        <v>7</v>
      </c>
      <c r="C39" s="115" t="s">
        <v>293</v>
      </c>
      <c r="D39" s="112">
        <v>0</v>
      </c>
      <c r="E39" s="112">
        <v>0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</v>
      </c>
      <c r="AG39" s="112">
        <v>0</v>
      </c>
      <c r="AH39" s="112">
        <v>0</v>
      </c>
      <c r="AI39" s="112">
        <v>0</v>
      </c>
      <c r="AJ39" s="112">
        <v>0</v>
      </c>
      <c r="AK39" s="112">
        <v>0</v>
      </c>
      <c r="AL39" s="112">
        <v>0</v>
      </c>
      <c r="AM39" s="112">
        <v>0</v>
      </c>
      <c r="AN39" s="112">
        <v>0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</row>
    <row r="40" spans="1:51" x14ac:dyDescent="0.2">
      <c r="A40" s="115"/>
      <c r="B40" s="133">
        <v>8</v>
      </c>
      <c r="C40" s="115" t="s">
        <v>293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</row>
    <row r="41" spans="1:51" x14ac:dyDescent="0.2">
      <c r="A41" s="115"/>
      <c r="B41" s="133">
        <v>9</v>
      </c>
      <c r="C41" s="115" t="s">
        <v>293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</row>
    <row r="42" spans="1:51" x14ac:dyDescent="0.2">
      <c r="A42" s="115"/>
      <c r="B42" s="136">
        <v>10</v>
      </c>
      <c r="C42" s="115" t="s">
        <v>293</v>
      </c>
      <c r="D42" s="112">
        <v>0</v>
      </c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0</v>
      </c>
      <c r="Z42" s="112">
        <v>0</v>
      </c>
      <c r="AA42" s="112">
        <v>0</v>
      </c>
      <c r="AB42" s="112">
        <v>0</v>
      </c>
      <c r="AC42" s="112">
        <v>0</v>
      </c>
      <c r="AD42" s="112">
        <v>0</v>
      </c>
      <c r="AE42" s="112">
        <v>0</v>
      </c>
      <c r="AF42" s="112">
        <v>0</v>
      </c>
      <c r="AG42" s="112">
        <v>0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</row>
    <row r="43" spans="1:51" x14ac:dyDescent="0.2">
      <c r="A43" s="115"/>
      <c r="B43" s="136">
        <v>11</v>
      </c>
      <c r="C43" s="115" t="s">
        <v>293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>
        <v>3661.711030218039</v>
      </c>
      <c r="E46" s="116">
        <v>5957.7531136399721</v>
      </c>
      <c r="F46" s="116">
        <v>5957.7531136399812</v>
      </c>
      <c r="G46" s="116">
        <v>5957.7531136399793</v>
      </c>
      <c r="H46" s="116">
        <v>1925.1559622130117</v>
      </c>
      <c r="I46" s="116"/>
      <c r="J46" s="116"/>
      <c r="K46" s="116"/>
      <c r="L46" s="116"/>
      <c r="M46" s="116"/>
      <c r="N46" s="116"/>
      <c r="O46" s="116"/>
      <c r="P46" s="116">
        <v>3661.711030218039</v>
      </c>
      <c r="Q46" s="116">
        <v>5957.7531136399684</v>
      </c>
      <c r="R46" s="116">
        <v>5957.7531136399684</v>
      </c>
      <c r="S46" s="116">
        <v>5957.7531136399684</v>
      </c>
      <c r="T46" s="116">
        <v>1925.1559622130098</v>
      </c>
      <c r="U46" s="116"/>
      <c r="V46" s="116"/>
      <c r="W46" s="116"/>
      <c r="X46" s="116"/>
      <c r="Y46" s="116"/>
      <c r="Z46" s="116"/>
      <c r="AA46" s="116"/>
      <c r="AB46" s="116">
        <v>3661.7110302180408</v>
      </c>
      <c r="AC46" s="116">
        <v>5957.7531136399612</v>
      </c>
      <c r="AD46" s="116">
        <v>5957.7531136399684</v>
      </c>
      <c r="AE46" s="116">
        <v>5957.7531136399684</v>
      </c>
      <c r="AF46" s="116">
        <v>1925.1559622130135</v>
      </c>
      <c r="AG46" s="116"/>
      <c r="AH46" s="116"/>
      <c r="AI46" s="116"/>
      <c r="AJ46" s="116"/>
      <c r="AK46" s="116"/>
      <c r="AL46" s="116"/>
      <c r="AM46" s="116"/>
      <c r="AN46" s="116">
        <v>3661.7110302180408</v>
      </c>
      <c r="AO46" s="116">
        <v>5957.7531136399684</v>
      </c>
      <c r="AP46" s="116">
        <v>5957.7531136399684</v>
      </c>
      <c r="AQ46" s="116">
        <v>5957.7531136399612</v>
      </c>
      <c r="AR46" s="116">
        <v>1925.1559622130208</v>
      </c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>
        <v>10024.561703673744</v>
      </c>
      <c r="E47" s="116">
        <v>8011.5196202518182</v>
      </c>
      <c r="F47" s="116">
        <v>8016.5196202518164</v>
      </c>
      <c r="G47" s="116">
        <v>8053.5196202518109</v>
      </c>
      <c r="H47" s="116">
        <v>7960.5196202518127</v>
      </c>
      <c r="I47" s="116">
        <v>8318.675582464828</v>
      </c>
      <c r="J47" s="116">
        <v>8556.6755824648353</v>
      </c>
      <c r="K47" s="116">
        <v>8011.6755824648244</v>
      </c>
      <c r="L47" s="116">
        <v>8623.6755824648353</v>
      </c>
      <c r="M47" s="116">
        <v>10010.675582464824</v>
      </c>
      <c r="N47" s="116">
        <v>10028.675582464824</v>
      </c>
      <c r="O47" s="116">
        <v>9979.675582464828</v>
      </c>
      <c r="P47" s="116">
        <v>10427.561703673744</v>
      </c>
      <c r="Q47" s="116">
        <v>7179.5196202518146</v>
      </c>
      <c r="R47" s="116">
        <v>6902.5196202518146</v>
      </c>
      <c r="S47" s="116">
        <v>7248.5196202518146</v>
      </c>
      <c r="T47" s="116">
        <v>6807.5196202518146</v>
      </c>
      <c r="U47" s="116">
        <v>9342.675582464828</v>
      </c>
      <c r="V47" s="116">
        <v>9102.675582464828</v>
      </c>
      <c r="W47" s="116">
        <v>9476.6755824648353</v>
      </c>
      <c r="X47" s="116">
        <v>9225.6755824648244</v>
      </c>
      <c r="Y47" s="116">
        <v>9258.675582464828</v>
      </c>
      <c r="Z47" s="116">
        <v>9183.6755824648244</v>
      </c>
      <c r="AA47" s="116">
        <v>9407.6755824648353</v>
      </c>
      <c r="AB47" s="116">
        <v>9937.5617036737385</v>
      </c>
      <c r="AC47" s="116">
        <v>8075.5196202518146</v>
      </c>
      <c r="AD47" s="116">
        <v>8057.5196202518182</v>
      </c>
      <c r="AE47" s="116">
        <v>8060.5196202518146</v>
      </c>
      <c r="AF47" s="116">
        <v>8067.5196202518146</v>
      </c>
      <c r="AG47" s="116">
        <v>9216.6755824648244</v>
      </c>
      <c r="AH47" s="116">
        <v>9236.6755824648353</v>
      </c>
      <c r="AI47" s="116">
        <v>9316.6755824648244</v>
      </c>
      <c r="AJ47" s="116">
        <v>9284.675582464828</v>
      </c>
      <c r="AK47" s="116">
        <v>9150.6755824648353</v>
      </c>
      <c r="AL47" s="116">
        <v>9286.6755824648244</v>
      </c>
      <c r="AM47" s="116">
        <v>9187.6755824648353</v>
      </c>
      <c r="AN47" s="116">
        <v>9691.5617036737385</v>
      </c>
      <c r="AO47" s="116">
        <v>7169.5196202518146</v>
      </c>
      <c r="AP47" s="116">
        <v>6929.5196202518146</v>
      </c>
      <c r="AQ47" s="116">
        <v>6392.5196202518146</v>
      </c>
      <c r="AR47" s="116">
        <v>6417.5196202518182</v>
      </c>
      <c r="AS47" s="116">
        <v>8593.6755824648244</v>
      </c>
      <c r="AT47" s="116">
        <v>8777.6755824648353</v>
      </c>
      <c r="AU47" s="116">
        <v>8781.6755824648244</v>
      </c>
      <c r="AV47" s="116">
        <v>8867.6755824648317</v>
      </c>
      <c r="AW47" s="116">
        <v>9658.6755824648244</v>
      </c>
      <c r="AX47" s="116">
        <v>9570.6755824648317</v>
      </c>
      <c r="AY47" s="116">
        <v>9639.6755824648426</v>
      </c>
    </row>
    <row r="48" spans="1:51" x14ac:dyDescent="0.2">
      <c r="A48" s="115"/>
      <c r="B48" s="125">
        <v>4</v>
      </c>
      <c r="C48" s="115" t="s">
        <v>293</v>
      </c>
      <c r="D48" s="116">
        <v>0</v>
      </c>
      <c r="E48" s="116">
        <v>0</v>
      </c>
      <c r="F48" s="116">
        <v>0</v>
      </c>
      <c r="G48" s="116">
        <v>0</v>
      </c>
      <c r="H48" s="116">
        <v>0</v>
      </c>
      <c r="I48" s="116">
        <v>0</v>
      </c>
      <c r="J48" s="116">
        <v>0</v>
      </c>
      <c r="K48" s="116">
        <v>0</v>
      </c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>
        <v>0</v>
      </c>
      <c r="R48" s="116">
        <v>0</v>
      </c>
      <c r="S48" s="116">
        <v>0</v>
      </c>
      <c r="T48" s="116">
        <v>0</v>
      </c>
      <c r="U48" s="116">
        <v>0</v>
      </c>
      <c r="V48" s="116">
        <v>0</v>
      </c>
      <c r="W48" s="116">
        <v>0</v>
      </c>
      <c r="X48" s="116">
        <v>0</v>
      </c>
      <c r="Y48" s="116">
        <v>0</v>
      </c>
      <c r="Z48" s="116">
        <v>0</v>
      </c>
      <c r="AA48" s="116">
        <v>0</v>
      </c>
      <c r="AB48" s="116">
        <v>0</v>
      </c>
      <c r="AC48" s="116">
        <v>0</v>
      </c>
      <c r="AD48" s="116">
        <v>0</v>
      </c>
      <c r="AE48" s="116">
        <v>0</v>
      </c>
      <c r="AF48" s="116">
        <v>0</v>
      </c>
      <c r="AG48" s="116">
        <v>0</v>
      </c>
      <c r="AH48" s="116">
        <v>0</v>
      </c>
      <c r="AI48" s="116">
        <v>0</v>
      </c>
      <c r="AJ48" s="116">
        <v>0</v>
      </c>
      <c r="AK48" s="116">
        <v>0</v>
      </c>
      <c r="AL48" s="116">
        <v>0</v>
      </c>
      <c r="AM48" s="116">
        <v>0</v>
      </c>
      <c r="AN48" s="116">
        <v>0</v>
      </c>
      <c r="AO48" s="116">
        <v>0</v>
      </c>
      <c r="AP48" s="116">
        <v>0</v>
      </c>
      <c r="AQ48" s="116">
        <v>0</v>
      </c>
      <c r="AR48" s="116">
        <v>0</v>
      </c>
      <c r="AS48" s="116">
        <v>0</v>
      </c>
      <c r="AT48" s="116">
        <v>0</v>
      </c>
      <c r="AU48" s="116">
        <v>0</v>
      </c>
      <c r="AV48" s="116">
        <v>0</v>
      </c>
      <c r="AW48" s="116">
        <v>0</v>
      </c>
      <c r="AX48" s="116">
        <v>0</v>
      </c>
      <c r="AY48" s="116">
        <v>0</v>
      </c>
    </row>
    <row r="49" spans="1:51" x14ac:dyDescent="0.2">
      <c r="A49" s="115"/>
      <c r="B49" s="125">
        <v>5</v>
      </c>
      <c r="C49" s="115" t="s">
        <v>293</v>
      </c>
      <c r="D49" s="116">
        <v>0</v>
      </c>
      <c r="E49" s="116">
        <v>0</v>
      </c>
      <c r="F49" s="116">
        <v>0</v>
      </c>
      <c r="G49" s="116">
        <v>0</v>
      </c>
      <c r="H49" s="116">
        <v>0</v>
      </c>
      <c r="I49" s="116">
        <v>0</v>
      </c>
      <c r="J49" s="116">
        <v>0</v>
      </c>
      <c r="K49" s="116">
        <v>0</v>
      </c>
      <c r="L49" s="116">
        <v>0</v>
      </c>
      <c r="M49" s="116">
        <v>0</v>
      </c>
      <c r="N49" s="116">
        <v>0</v>
      </c>
      <c r="O49" s="116">
        <v>0</v>
      </c>
      <c r="P49" s="116">
        <v>0</v>
      </c>
      <c r="Q49" s="116">
        <v>0</v>
      </c>
      <c r="R49" s="116">
        <v>0</v>
      </c>
      <c r="S49" s="116">
        <v>0</v>
      </c>
      <c r="T49" s="116">
        <v>0</v>
      </c>
      <c r="U49" s="116">
        <v>0</v>
      </c>
      <c r="V49" s="116">
        <v>0</v>
      </c>
      <c r="W49" s="116">
        <v>0</v>
      </c>
      <c r="X49" s="116">
        <v>0</v>
      </c>
      <c r="Y49" s="116">
        <v>0</v>
      </c>
      <c r="Z49" s="116">
        <v>0</v>
      </c>
      <c r="AA49" s="116">
        <v>0</v>
      </c>
      <c r="AB49" s="116">
        <v>0</v>
      </c>
      <c r="AC49" s="116">
        <v>0</v>
      </c>
      <c r="AD49" s="116">
        <v>0</v>
      </c>
      <c r="AE49" s="116">
        <v>0</v>
      </c>
      <c r="AF49" s="116">
        <v>0</v>
      </c>
      <c r="AG49" s="116">
        <v>0</v>
      </c>
      <c r="AH49" s="116">
        <v>0</v>
      </c>
      <c r="AI49" s="116">
        <v>0</v>
      </c>
      <c r="AJ49" s="116">
        <v>0</v>
      </c>
      <c r="AK49" s="116">
        <v>0</v>
      </c>
      <c r="AL49" s="116">
        <v>0</v>
      </c>
      <c r="AM49" s="116">
        <v>0</v>
      </c>
      <c r="AN49" s="116">
        <v>0</v>
      </c>
      <c r="AO49" s="116">
        <v>0</v>
      </c>
      <c r="AP49" s="116">
        <v>0</v>
      </c>
      <c r="AQ49" s="116">
        <v>0</v>
      </c>
      <c r="AR49" s="116">
        <v>0</v>
      </c>
      <c r="AS49" s="116">
        <v>0</v>
      </c>
      <c r="AT49" s="116">
        <v>0</v>
      </c>
      <c r="AU49" s="116">
        <v>0</v>
      </c>
      <c r="AV49" s="116">
        <v>0</v>
      </c>
      <c r="AW49" s="116">
        <v>0</v>
      </c>
      <c r="AX49" s="116">
        <v>0</v>
      </c>
      <c r="AY49" s="116">
        <v>0</v>
      </c>
    </row>
    <row r="50" spans="1:51" x14ac:dyDescent="0.2">
      <c r="A50" s="115"/>
      <c r="B50" s="125">
        <v>6</v>
      </c>
      <c r="C50" s="115" t="s">
        <v>293</v>
      </c>
      <c r="D50" s="116">
        <v>0</v>
      </c>
      <c r="E50" s="116">
        <v>0</v>
      </c>
      <c r="F50" s="116">
        <v>0</v>
      </c>
      <c r="G50" s="116">
        <v>0</v>
      </c>
      <c r="H50" s="116">
        <v>0</v>
      </c>
      <c r="I50" s="116">
        <v>0</v>
      </c>
      <c r="J50" s="116">
        <v>0</v>
      </c>
      <c r="K50" s="116">
        <v>0</v>
      </c>
      <c r="L50" s="116">
        <v>0</v>
      </c>
      <c r="M50" s="116">
        <v>0</v>
      </c>
      <c r="N50" s="116">
        <v>0</v>
      </c>
      <c r="O50" s="116">
        <v>0</v>
      </c>
      <c r="P50" s="116">
        <v>0</v>
      </c>
      <c r="Q50" s="116">
        <v>0</v>
      </c>
      <c r="R50" s="116">
        <v>0</v>
      </c>
      <c r="S50" s="116">
        <v>0</v>
      </c>
      <c r="T50" s="116">
        <v>0</v>
      </c>
      <c r="U50" s="116">
        <v>0</v>
      </c>
      <c r="V50" s="116">
        <v>0</v>
      </c>
      <c r="W50" s="116">
        <v>0</v>
      </c>
      <c r="X50" s="116">
        <v>0</v>
      </c>
      <c r="Y50" s="116">
        <v>0</v>
      </c>
      <c r="Z50" s="116">
        <v>0</v>
      </c>
      <c r="AA50" s="116">
        <v>0</v>
      </c>
      <c r="AB50" s="116">
        <v>0</v>
      </c>
      <c r="AC50" s="116">
        <v>0</v>
      </c>
      <c r="AD50" s="116">
        <v>0</v>
      </c>
      <c r="AE50" s="116">
        <v>0</v>
      </c>
      <c r="AF50" s="116">
        <v>0</v>
      </c>
      <c r="AG50" s="116">
        <v>0</v>
      </c>
      <c r="AH50" s="116">
        <v>0</v>
      </c>
      <c r="AI50" s="116">
        <v>0</v>
      </c>
      <c r="AJ50" s="116">
        <v>0</v>
      </c>
      <c r="AK50" s="116">
        <v>0</v>
      </c>
      <c r="AL50" s="116">
        <v>0</v>
      </c>
      <c r="AM50" s="116">
        <v>0</v>
      </c>
      <c r="AN50" s="116">
        <v>0</v>
      </c>
      <c r="AO50" s="116">
        <v>0</v>
      </c>
      <c r="AP50" s="116">
        <v>0</v>
      </c>
      <c r="AQ50" s="116">
        <v>0</v>
      </c>
      <c r="AR50" s="116">
        <v>0</v>
      </c>
      <c r="AS50" s="116">
        <v>0</v>
      </c>
      <c r="AT50" s="116">
        <v>0</v>
      </c>
      <c r="AU50" s="116">
        <v>0</v>
      </c>
      <c r="AV50" s="116">
        <v>0</v>
      </c>
      <c r="AW50" s="116">
        <v>0</v>
      </c>
      <c r="AX50" s="116">
        <v>0</v>
      </c>
      <c r="AY50" s="116">
        <v>0</v>
      </c>
    </row>
    <row r="51" spans="1:51" x14ac:dyDescent="0.2">
      <c r="A51" s="115"/>
      <c r="B51" s="125">
        <v>7</v>
      </c>
      <c r="C51" s="115" t="s">
        <v>293</v>
      </c>
      <c r="D51" s="116">
        <v>0</v>
      </c>
      <c r="E51" s="116">
        <v>0</v>
      </c>
      <c r="F51" s="116">
        <v>0</v>
      </c>
      <c r="G51" s="116">
        <v>0</v>
      </c>
      <c r="H51" s="116">
        <v>0</v>
      </c>
      <c r="I51" s="116">
        <v>0</v>
      </c>
      <c r="J51" s="116">
        <v>0</v>
      </c>
      <c r="K51" s="116">
        <v>0</v>
      </c>
      <c r="L51" s="116">
        <v>0</v>
      </c>
      <c r="M51" s="116">
        <v>0</v>
      </c>
      <c r="N51" s="116">
        <v>0</v>
      </c>
      <c r="O51" s="116">
        <v>0</v>
      </c>
      <c r="P51" s="116">
        <v>0</v>
      </c>
      <c r="Q51" s="116">
        <v>0</v>
      </c>
      <c r="R51" s="116">
        <v>0</v>
      </c>
      <c r="S51" s="116">
        <v>0</v>
      </c>
      <c r="T51" s="116">
        <v>0</v>
      </c>
      <c r="U51" s="116">
        <v>0</v>
      </c>
      <c r="V51" s="116">
        <v>0</v>
      </c>
      <c r="W51" s="116">
        <v>0</v>
      </c>
      <c r="X51" s="116">
        <v>0</v>
      </c>
      <c r="Y51" s="116">
        <v>0</v>
      </c>
      <c r="Z51" s="116">
        <v>0</v>
      </c>
      <c r="AA51" s="116">
        <v>0</v>
      </c>
      <c r="AB51" s="116">
        <v>0</v>
      </c>
      <c r="AC51" s="116">
        <v>0</v>
      </c>
      <c r="AD51" s="116">
        <v>0</v>
      </c>
      <c r="AE51" s="116">
        <v>0</v>
      </c>
      <c r="AF51" s="116">
        <v>0</v>
      </c>
      <c r="AG51" s="116">
        <v>0</v>
      </c>
      <c r="AH51" s="116">
        <v>0</v>
      </c>
      <c r="AI51" s="116">
        <v>0</v>
      </c>
      <c r="AJ51" s="116">
        <v>0</v>
      </c>
      <c r="AK51" s="116">
        <v>0</v>
      </c>
      <c r="AL51" s="116">
        <v>0</v>
      </c>
      <c r="AM51" s="116">
        <v>0</v>
      </c>
      <c r="AN51" s="116">
        <v>0</v>
      </c>
      <c r="AO51" s="116">
        <v>0</v>
      </c>
      <c r="AP51" s="116">
        <v>0</v>
      </c>
      <c r="AQ51" s="116">
        <v>0</v>
      </c>
      <c r="AR51" s="116">
        <v>0</v>
      </c>
      <c r="AS51" s="116">
        <v>0</v>
      </c>
      <c r="AT51" s="116">
        <v>0</v>
      </c>
      <c r="AU51" s="116">
        <v>0</v>
      </c>
      <c r="AV51" s="116">
        <v>0</v>
      </c>
      <c r="AW51" s="116">
        <v>0</v>
      </c>
      <c r="AX51" s="116">
        <v>0</v>
      </c>
      <c r="AY51" s="116">
        <v>0</v>
      </c>
    </row>
    <row r="52" spans="1:51" x14ac:dyDescent="0.2">
      <c r="A52" s="115"/>
      <c r="B52" s="125">
        <v>8</v>
      </c>
      <c r="C52" s="115" t="s">
        <v>293</v>
      </c>
      <c r="D52" s="116">
        <v>0</v>
      </c>
      <c r="E52" s="116">
        <v>0</v>
      </c>
      <c r="F52" s="116">
        <v>0</v>
      </c>
      <c r="G52" s="116">
        <v>0</v>
      </c>
      <c r="H52" s="116">
        <v>0</v>
      </c>
      <c r="I52" s="116">
        <v>0</v>
      </c>
      <c r="J52" s="116">
        <v>0</v>
      </c>
      <c r="K52" s="116">
        <v>0</v>
      </c>
      <c r="L52" s="116">
        <v>0</v>
      </c>
      <c r="M52" s="116">
        <v>0</v>
      </c>
      <c r="N52" s="116">
        <v>0</v>
      </c>
      <c r="O52" s="116">
        <v>0</v>
      </c>
      <c r="P52" s="116">
        <v>0</v>
      </c>
      <c r="Q52" s="116">
        <v>0</v>
      </c>
      <c r="R52" s="116">
        <v>0</v>
      </c>
      <c r="S52" s="116">
        <v>0</v>
      </c>
      <c r="T52" s="116">
        <v>0</v>
      </c>
      <c r="U52" s="116">
        <v>0</v>
      </c>
      <c r="V52" s="116">
        <v>0</v>
      </c>
      <c r="W52" s="116">
        <v>0</v>
      </c>
      <c r="X52" s="116">
        <v>0</v>
      </c>
      <c r="Y52" s="116">
        <v>0</v>
      </c>
      <c r="Z52" s="116">
        <v>0</v>
      </c>
      <c r="AA52" s="116">
        <v>0</v>
      </c>
      <c r="AB52" s="116">
        <v>0</v>
      </c>
      <c r="AC52" s="116">
        <v>0</v>
      </c>
      <c r="AD52" s="116">
        <v>0</v>
      </c>
      <c r="AE52" s="116">
        <v>0</v>
      </c>
      <c r="AF52" s="116">
        <v>0</v>
      </c>
      <c r="AG52" s="116">
        <v>0</v>
      </c>
      <c r="AH52" s="116">
        <v>0</v>
      </c>
      <c r="AI52" s="116">
        <v>0</v>
      </c>
      <c r="AJ52" s="116">
        <v>0</v>
      </c>
      <c r="AK52" s="116">
        <v>0</v>
      </c>
      <c r="AL52" s="116">
        <v>0</v>
      </c>
      <c r="AM52" s="116">
        <v>0</v>
      </c>
      <c r="AN52" s="116">
        <v>0</v>
      </c>
      <c r="AO52" s="116">
        <v>0</v>
      </c>
      <c r="AP52" s="116">
        <v>0</v>
      </c>
      <c r="AQ52" s="116">
        <v>0</v>
      </c>
      <c r="AR52" s="116">
        <v>0</v>
      </c>
      <c r="AS52" s="116">
        <v>0</v>
      </c>
      <c r="AT52" s="116">
        <v>0</v>
      </c>
      <c r="AU52" s="116">
        <v>0</v>
      </c>
      <c r="AV52" s="116">
        <v>0</v>
      </c>
      <c r="AW52" s="116">
        <v>0</v>
      </c>
      <c r="AX52" s="116">
        <v>0</v>
      </c>
      <c r="AY52" s="116">
        <v>0</v>
      </c>
    </row>
    <row r="53" spans="1:51" x14ac:dyDescent="0.2">
      <c r="A53" s="115"/>
      <c r="B53" s="125">
        <v>9</v>
      </c>
      <c r="C53" s="115" t="s">
        <v>293</v>
      </c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</row>
    <row r="54" spans="1:51" x14ac:dyDescent="0.2">
      <c r="A54" s="115"/>
      <c r="B54" s="125">
        <v>10</v>
      </c>
      <c r="C54" s="115" t="s">
        <v>293</v>
      </c>
      <c r="D54" s="116">
        <v>0</v>
      </c>
      <c r="E54" s="116">
        <v>0</v>
      </c>
      <c r="F54" s="116">
        <v>0</v>
      </c>
      <c r="G54" s="116">
        <v>0</v>
      </c>
      <c r="H54" s="116">
        <v>0</v>
      </c>
      <c r="I54" s="116">
        <v>0</v>
      </c>
      <c r="J54" s="116">
        <v>0</v>
      </c>
      <c r="K54" s="116">
        <v>0</v>
      </c>
      <c r="L54" s="116">
        <v>0</v>
      </c>
      <c r="M54" s="116">
        <v>0</v>
      </c>
      <c r="N54" s="116">
        <v>0</v>
      </c>
      <c r="O54" s="116">
        <v>0</v>
      </c>
      <c r="P54" s="116">
        <v>0</v>
      </c>
      <c r="Q54" s="116">
        <v>0</v>
      </c>
      <c r="R54" s="116">
        <v>0</v>
      </c>
      <c r="S54" s="116">
        <v>0</v>
      </c>
      <c r="T54" s="116">
        <v>0</v>
      </c>
      <c r="U54" s="116">
        <v>0</v>
      </c>
      <c r="V54" s="116">
        <v>0</v>
      </c>
      <c r="W54" s="116">
        <v>0</v>
      </c>
      <c r="X54" s="116">
        <v>0</v>
      </c>
      <c r="Y54" s="116">
        <v>0</v>
      </c>
      <c r="Z54" s="116">
        <v>0</v>
      </c>
      <c r="AA54" s="116">
        <v>0</v>
      </c>
      <c r="AB54" s="116">
        <v>0</v>
      </c>
      <c r="AC54" s="116">
        <v>0</v>
      </c>
      <c r="AD54" s="116">
        <v>0</v>
      </c>
      <c r="AE54" s="116">
        <v>0</v>
      </c>
      <c r="AF54" s="116">
        <v>0</v>
      </c>
      <c r="AG54" s="116">
        <v>0</v>
      </c>
      <c r="AH54" s="116">
        <v>0</v>
      </c>
      <c r="AI54" s="116">
        <v>0</v>
      </c>
      <c r="AJ54" s="116">
        <v>0</v>
      </c>
      <c r="AK54" s="116">
        <v>0</v>
      </c>
      <c r="AL54" s="116">
        <v>0</v>
      </c>
      <c r="AM54" s="116">
        <v>0</v>
      </c>
      <c r="AN54" s="116">
        <v>0</v>
      </c>
      <c r="AO54" s="116">
        <v>0</v>
      </c>
      <c r="AP54" s="116">
        <v>0</v>
      </c>
      <c r="AQ54" s="116">
        <v>0</v>
      </c>
      <c r="AR54" s="116">
        <v>0</v>
      </c>
      <c r="AS54" s="116">
        <v>0</v>
      </c>
      <c r="AT54" s="116">
        <v>0</v>
      </c>
      <c r="AU54" s="116">
        <v>0</v>
      </c>
      <c r="AV54" s="116">
        <v>0</v>
      </c>
      <c r="AW54" s="116">
        <v>0</v>
      </c>
      <c r="AX54" s="116">
        <v>0</v>
      </c>
      <c r="AY54" s="116">
        <v>0</v>
      </c>
    </row>
    <row r="55" spans="1:51" x14ac:dyDescent="0.2">
      <c r="A55" s="115"/>
      <c r="B55" s="125">
        <v>11</v>
      </c>
      <c r="C55" s="115" t="s">
        <v>293</v>
      </c>
      <c r="D55" s="116">
        <v>0</v>
      </c>
      <c r="E55" s="116">
        <v>0</v>
      </c>
      <c r="F55" s="116">
        <v>0</v>
      </c>
      <c r="G55" s="116">
        <v>0</v>
      </c>
      <c r="H55" s="116">
        <v>0</v>
      </c>
      <c r="I55" s="116">
        <v>0</v>
      </c>
      <c r="J55" s="116">
        <v>0</v>
      </c>
      <c r="K55" s="116">
        <v>0</v>
      </c>
      <c r="L55" s="116">
        <v>0</v>
      </c>
      <c r="M55" s="116">
        <v>0</v>
      </c>
      <c r="N55" s="116">
        <v>0</v>
      </c>
      <c r="O55" s="116">
        <v>0</v>
      </c>
      <c r="P55" s="116">
        <v>0</v>
      </c>
      <c r="Q55" s="116">
        <v>0</v>
      </c>
      <c r="R55" s="116">
        <v>0</v>
      </c>
      <c r="S55" s="116">
        <v>0</v>
      </c>
      <c r="T55" s="116">
        <v>0</v>
      </c>
      <c r="U55" s="116">
        <v>0</v>
      </c>
      <c r="V55" s="116">
        <v>0</v>
      </c>
      <c r="W55" s="116">
        <v>0</v>
      </c>
      <c r="X55" s="116">
        <v>0</v>
      </c>
      <c r="Y55" s="116">
        <v>0</v>
      </c>
      <c r="Z55" s="116">
        <v>0</v>
      </c>
      <c r="AA55" s="116">
        <v>0</v>
      </c>
      <c r="AB55" s="116">
        <v>0</v>
      </c>
      <c r="AC55" s="116">
        <v>0</v>
      </c>
      <c r="AD55" s="116">
        <v>0</v>
      </c>
      <c r="AE55" s="116">
        <v>0</v>
      </c>
      <c r="AF55" s="116">
        <v>0</v>
      </c>
      <c r="AG55" s="116">
        <v>0</v>
      </c>
      <c r="AH55" s="116">
        <v>0</v>
      </c>
      <c r="AI55" s="116">
        <v>0</v>
      </c>
      <c r="AJ55" s="116">
        <v>0</v>
      </c>
      <c r="AK55" s="116">
        <v>0</v>
      </c>
      <c r="AL55" s="116">
        <v>0</v>
      </c>
      <c r="AM55" s="116">
        <v>0</v>
      </c>
      <c r="AN55" s="116">
        <v>0</v>
      </c>
      <c r="AO55" s="116">
        <v>0</v>
      </c>
      <c r="AP55" s="116">
        <v>0</v>
      </c>
      <c r="AQ55" s="116">
        <v>0</v>
      </c>
      <c r="AR55" s="116">
        <v>0</v>
      </c>
      <c r="AS55" s="116">
        <v>0</v>
      </c>
      <c r="AT55" s="116">
        <v>0</v>
      </c>
      <c r="AU55" s="116">
        <v>0</v>
      </c>
      <c r="AV55" s="116">
        <v>0</v>
      </c>
      <c r="AW55" s="116">
        <v>0</v>
      </c>
      <c r="AX55" s="116">
        <v>0</v>
      </c>
      <c r="AY55" s="116">
        <v>0</v>
      </c>
    </row>
    <row r="56" spans="1:51" x14ac:dyDescent="0.2">
      <c r="A56" s="115"/>
      <c r="B56" s="125">
        <v>12</v>
      </c>
      <c r="C56" s="115" t="s">
        <v>293</v>
      </c>
      <c r="D56" s="116">
        <v>0</v>
      </c>
      <c r="E56" s="116">
        <v>0</v>
      </c>
      <c r="F56" s="116">
        <v>0</v>
      </c>
      <c r="G56" s="116">
        <v>0</v>
      </c>
      <c r="H56" s="116">
        <v>0</v>
      </c>
      <c r="I56" s="116">
        <v>0</v>
      </c>
      <c r="J56" s="116">
        <v>0</v>
      </c>
      <c r="K56" s="116">
        <v>0</v>
      </c>
      <c r="L56" s="116">
        <v>0</v>
      </c>
      <c r="M56" s="116">
        <v>0</v>
      </c>
      <c r="N56" s="116">
        <v>0</v>
      </c>
      <c r="O56" s="116">
        <v>0</v>
      </c>
      <c r="P56" s="116">
        <v>0</v>
      </c>
      <c r="Q56" s="116">
        <v>0</v>
      </c>
      <c r="R56" s="116">
        <v>0</v>
      </c>
      <c r="S56" s="116">
        <v>0</v>
      </c>
      <c r="T56" s="116">
        <v>0</v>
      </c>
      <c r="U56" s="116">
        <v>0</v>
      </c>
      <c r="V56" s="116">
        <v>0</v>
      </c>
      <c r="W56" s="116">
        <v>0</v>
      </c>
      <c r="X56" s="116">
        <v>0</v>
      </c>
      <c r="Y56" s="116">
        <v>0</v>
      </c>
      <c r="Z56" s="116">
        <v>0</v>
      </c>
      <c r="AA56" s="116">
        <v>0</v>
      </c>
      <c r="AB56" s="116">
        <v>0</v>
      </c>
      <c r="AC56" s="116">
        <v>0</v>
      </c>
      <c r="AD56" s="116">
        <v>0</v>
      </c>
      <c r="AE56" s="116">
        <v>0</v>
      </c>
      <c r="AF56" s="116">
        <v>0</v>
      </c>
      <c r="AG56" s="116">
        <v>0</v>
      </c>
      <c r="AH56" s="116">
        <v>0</v>
      </c>
      <c r="AI56" s="116">
        <v>0</v>
      </c>
      <c r="AJ56" s="116">
        <v>0</v>
      </c>
      <c r="AK56" s="116">
        <v>0</v>
      </c>
      <c r="AL56" s="116">
        <v>0</v>
      </c>
      <c r="AM56" s="116">
        <v>0</v>
      </c>
      <c r="AN56" s="116">
        <v>0</v>
      </c>
      <c r="AO56" s="116">
        <v>0</v>
      </c>
      <c r="AP56" s="116">
        <v>0</v>
      </c>
      <c r="AQ56" s="116">
        <v>0</v>
      </c>
      <c r="AR56" s="116">
        <v>0</v>
      </c>
      <c r="AS56" s="116">
        <v>0</v>
      </c>
      <c r="AT56" s="116">
        <v>0</v>
      </c>
      <c r="AU56" s="116">
        <v>0</v>
      </c>
      <c r="AV56" s="116">
        <v>0</v>
      </c>
      <c r="AW56" s="116">
        <v>0</v>
      </c>
      <c r="AX56" s="116">
        <v>0</v>
      </c>
      <c r="AY56" s="116">
        <v>0</v>
      </c>
    </row>
    <row r="57" spans="1:51" x14ac:dyDescent="0.2">
      <c r="A57" s="115"/>
      <c r="B57" s="126">
        <v>13</v>
      </c>
      <c r="C57" s="115" t="s">
        <v>293</v>
      </c>
      <c r="D57" s="116">
        <v>0</v>
      </c>
      <c r="E57" s="116">
        <v>0</v>
      </c>
      <c r="F57" s="116">
        <v>0</v>
      </c>
      <c r="G57" s="116">
        <v>0</v>
      </c>
      <c r="H57" s="116">
        <v>0</v>
      </c>
      <c r="I57" s="116">
        <v>0</v>
      </c>
      <c r="J57" s="116">
        <v>0</v>
      </c>
      <c r="K57" s="116">
        <v>0</v>
      </c>
      <c r="L57" s="116">
        <v>0</v>
      </c>
      <c r="M57" s="116">
        <v>0</v>
      </c>
      <c r="N57" s="116">
        <v>0</v>
      </c>
      <c r="O57" s="116">
        <v>0</v>
      </c>
      <c r="P57" s="116">
        <v>0</v>
      </c>
      <c r="Q57" s="116">
        <v>0</v>
      </c>
      <c r="R57" s="116">
        <v>0</v>
      </c>
      <c r="S57" s="116">
        <v>0</v>
      </c>
      <c r="T57" s="116">
        <v>0</v>
      </c>
      <c r="U57" s="116">
        <v>0</v>
      </c>
      <c r="V57" s="116">
        <v>0</v>
      </c>
      <c r="W57" s="116">
        <v>0</v>
      </c>
      <c r="X57" s="116">
        <v>0</v>
      </c>
      <c r="Y57" s="116">
        <v>0</v>
      </c>
      <c r="Z57" s="116">
        <v>0</v>
      </c>
      <c r="AA57" s="116">
        <v>0</v>
      </c>
      <c r="AB57" s="116">
        <v>0</v>
      </c>
      <c r="AC57" s="116">
        <v>0</v>
      </c>
      <c r="AD57" s="116">
        <v>0</v>
      </c>
      <c r="AE57" s="116">
        <v>0</v>
      </c>
      <c r="AF57" s="116">
        <v>0</v>
      </c>
      <c r="AG57" s="116">
        <v>0</v>
      </c>
      <c r="AH57" s="116">
        <v>0</v>
      </c>
      <c r="AI57" s="116">
        <v>0</v>
      </c>
      <c r="AJ57" s="116">
        <v>0</v>
      </c>
      <c r="AK57" s="116">
        <v>0</v>
      </c>
      <c r="AL57" s="116">
        <v>0</v>
      </c>
      <c r="AM57" s="116">
        <v>0</v>
      </c>
      <c r="AN57" s="116">
        <v>0</v>
      </c>
      <c r="AO57" s="116">
        <v>0</v>
      </c>
      <c r="AP57" s="116">
        <v>0</v>
      </c>
      <c r="AQ57" s="116">
        <v>0</v>
      </c>
      <c r="AR57" s="116">
        <v>0</v>
      </c>
      <c r="AS57" s="116">
        <v>0</v>
      </c>
      <c r="AT57" s="116">
        <v>0</v>
      </c>
      <c r="AU57" s="116">
        <v>0</v>
      </c>
      <c r="AV57" s="116">
        <v>0</v>
      </c>
      <c r="AW57" s="116">
        <v>0</v>
      </c>
      <c r="AX57" s="116">
        <v>0</v>
      </c>
      <c r="AY57" s="116">
        <v>0</v>
      </c>
    </row>
    <row r="58" spans="1:51" x14ac:dyDescent="0.2">
      <c r="A58" s="115"/>
      <c r="B58" s="126">
        <v>14</v>
      </c>
      <c r="C58" s="115" t="s">
        <v>293</v>
      </c>
      <c r="D58" s="116">
        <v>0</v>
      </c>
      <c r="E58" s="116">
        <v>0</v>
      </c>
      <c r="F58" s="116">
        <v>0</v>
      </c>
      <c r="G58" s="116">
        <v>0</v>
      </c>
      <c r="H58" s="116">
        <v>0</v>
      </c>
      <c r="I58" s="116">
        <v>0</v>
      </c>
      <c r="J58" s="116">
        <v>0</v>
      </c>
      <c r="K58" s="116">
        <v>0</v>
      </c>
      <c r="L58" s="116">
        <v>0</v>
      </c>
      <c r="M58" s="116">
        <v>0</v>
      </c>
      <c r="N58" s="116">
        <v>0</v>
      </c>
      <c r="O58" s="116">
        <v>0</v>
      </c>
      <c r="P58" s="116">
        <v>0</v>
      </c>
      <c r="Q58" s="116">
        <v>0</v>
      </c>
      <c r="R58" s="116">
        <v>0</v>
      </c>
      <c r="S58" s="116">
        <v>0</v>
      </c>
      <c r="T58" s="116">
        <v>0</v>
      </c>
      <c r="U58" s="116">
        <v>0</v>
      </c>
      <c r="V58" s="116">
        <v>0</v>
      </c>
      <c r="W58" s="116">
        <v>0</v>
      </c>
      <c r="X58" s="116">
        <v>0</v>
      </c>
      <c r="Y58" s="116">
        <v>0</v>
      </c>
      <c r="Z58" s="116">
        <v>0</v>
      </c>
      <c r="AA58" s="116">
        <v>0</v>
      </c>
      <c r="AB58" s="116">
        <v>0</v>
      </c>
      <c r="AC58" s="116">
        <v>0</v>
      </c>
      <c r="AD58" s="116">
        <v>0</v>
      </c>
      <c r="AE58" s="116">
        <v>0</v>
      </c>
      <c r="AF58" s="116">
        <v>0</v>
      </c>
      <c r="AG58" s="116">
        <v>0</v>
      </c>
      <c r="AH58" s="116">
        <v>0</v>
      </c>
      <c r="AI58" s="116">
        <v>0</v>
      </c>
      <c r="AJ58" s="116">
        <v>0</v>
      </c>
      <c r="AK58" s="116">
        <v>0</v>
      </c>
      <c r="AL58" s="116">
        <v>0</v>
      </c>
      <c r="AM58" s="116">
        <v>0</v>
      </c>
      <c r="AN58" s="116">
        <v>0</v>
      </c>
      <c r="AO58" s="116">
        <v>0</v>
      </c>
      <c r="AP58" s="116">
        <v>0</v>
      </c>
      <c r="AQ58" s="116">
        <v>0</v>
      </c>
      <c r="AR58" s="116">
        <v>0</v>
      </c>
      <c r="AS58" s="116">
        <v>0</v>
      </c>
      <c r="AT58" s="116">
        <v>0</v>
      </c>
      <c r="AU58" s="116">
        <v>0</v>
      </c>
      <c r="AV58" s="116">
        <v>0</v>
      </c>
      <c r="AW58" s="116">
        <v>0</v>
      </c>
      <c r="AX58" s="116">
        <v>0</v>
      </c>
      <c r="AY58" s="116">
        <v>0</v>
      </c>
    </row>
    <row r="59" spans="1:51" x14ac:dyDescent="0.2">
      <c r="A59" s="115"/>
      <c r="B59" s="126">
        <v>15</v>
      </c>
      <c r="C59" s="115" t="s">
        <v>293</v>
      </c>
      <c r="D59" s="116">
        <v>0</v>
      </c>
      <c r="E59" s="116">
        <v>0</v>
      </c>
      <c r="F59" s="116">
        <v>0</v>
      </c>
      <c r="G59" s="116">
        <v>0</v>
      </c>
      <c r="H59" s="116">
        <v>0</v>
      </c>
      <c r="I59" s="116">
        <v>0</v>
      </c>
      <c r="J59" s="116">
        <v>0</v>
      </c>
      <c r="K59" s="116">
        <v>0</v>
      </c>
      <c r="L59" s="116">
        <v>0</v>
      </c>
      <c r="M59" s="116">
        <v>0</v>
      </c>
      <c r="N59" s="116">
        <v>0</v>
      </c>
      <c r="O59" s="116">
        <v>0</v>
      </c>
      <c r="P59" s="116">
        <v>0</v>
      </c>
      <c r="Q59" s="116">
        <v>0</v>
      </c>
      <c r="R59" s="116">
        <v>0</v>
      </c>
      <c r="S59" s="116">
        <v>0</v>
      </c>
      <c r="T59" s="116">
        <v>0</v>
      </c>
      <c r="U59" s="116">
        <v>0</v>
      </c>
      <c r="V59" s="116">
        <v>0</v>
      </c>
      <c r="W59" s="116">
        <v>0</v>
      </c>
      <c r="X59" s="116">
        <v>0</v>
      </c>
      <c r="Y59" s="116">
        <v>0</v>
      </c>
      <c r="Z59" s="116">
        <v>0</v>
      </c>
      <c r="AA59" s="116">
        <v>0</v>
      </c>
      <c r="AB59" s="116">
        <v>0</v>
      </c>
      <c r="AC59" s="116">
        <v>0</v>
      </c>
      <c r="AD59" s="116">
        <v>0</v>
      </c>
      <c r="AE59" s="116">
        <v>0</v>
      </c>
      <c r="AF59" s="116">
        <v>0</v>
      </c>
      <c r="AG59" s="116">
        <v>0</v>
      </c>
      <c r="AH59" s="116">
        <v>0</v>
      </c>
      <c r="AI59" s="116">
        <v>0</v>
      </c>
      <c r="AJ59" s="116">
        <v>0</v>
      </c>
      <c r="AK59" s="116">
        <v>0</v>
      </c>
      <c r="AL59" s="116">
        <v>0</v>
      </c>
      <c r="AM59" s="116">
        <v>0</v>
      </c>
      <c r="AN59" s="116">
        <v>0</v>
      </c>
      <c r="AO59" s="116">
        <v>0</v>
      </c>
      <c r="AP59" s="116">
        <v>0</v>
      </c>
      <c r="AQ59" s="116">
        <v>0</v>
      </c>
      <c r="AR59" s="116">
        <v>0</v>
      </c>
      <c r="AS59" s="116">
        <v>0</v>
      </c>
      <c r="AT59" s="116">
        <v>0</v>
      </c>
      <c r="AU59" s="116">
        <v>0</v>
      </c>
      <c r="AV59" s="116">
        <v>0</v>
      </c>
      <c r="AW59" s="116">
        <v>0</v>
      </c>
      <c r="AX59" s="116">
        <v>0</v>
      </c>
      <c r="AY59" s="116">
        <v>0</v>
      </c>
    </row>
    <row r="60" spans="1:51" x14ac:dyDescent="0.2">
      <c r="A60" s="115"/>
      <c r="B60" s="126">
        <v>16</v>
      </c>
      <c r="C60" s="115" t="s">
        <v>293</v>
      </c>
      <c r="D60" s="116">
        <v>0</v>
      </c>
      <c r="E60" s="116">
        <v>0</v>
      </c>
      <c r="F60" s="116">
        <v>0</v>
      </c>
      <c r="G60" s="116">
        <v>0</v>
      </c>
      <c r="H60" s="116">
        <v>0</v>
      </c>
      <c r="I60" s="116">
        <v>0</v>
      </c>
      <c r="J60" s="116">
        <v>0</v>
      </c>
      <c r="K60" s="116">
        <v>0</v>
      </c>
      <c r="L60" s="116">
        <v>0</v>
      </c>
      <c r="M60" s="116">
        <v>0</v>
      </c>
      <c r="N60" s="116">
        <v>0</v>
      </c>
      <c r="O60" s="116">
        <v>0</v>
      </c>
      <c r="P60" s="116">
        <v>0</v>
      </c>
      <c r="Q60" s="116">
        <v>0</v>
      </c>
      <c r="R60" s="116">
        <v>0</v>
      </c>
      <c r="S60" s="116">
        <v>0</v>
      </c>
      <c r="T60" s="116">
        <v>0</v>
      </c>
      <c r="U60" s="116">
        <v>0</v>
      </c>
      <c r="V60" s="116">
        <v>0</v>
      </c>
      <c r="W60" s="116">
        <v>0</v>
      </c>
      <c r="X60" s="116">
        <v>0</v>
      </c>
      <c r="Y60" s="116">
        <v>0</v>
      </c>
      <c r="Z60" s="116">
        <v>0</v>
      </c>
      <c r="AA60" s="116">
        <v>0</v>
      </c>
      <c r="AB60" s="116">
        <v>0</v>
      </c>
      <c r="AC60" s="116">
        <v>0</v>
      </c>
      <c r="AD60" s="116">
        <v>0</v>
      </c>
      <c r="AE60" s="116">
        <v>0</v>
      </c>
      <c r="AF60" s="116">
        <v>0</v>
      </c>
      <c r="AG60" s="116">
        <v>0</v>
      </c>
      <c r="AH60" s="116">
        <v>0</v>
      </c>
      <c r="AI60" s="116">
        <v>0</v>
      </c>
      <c r="AJ60" s="116">
        <v>0</v>
      </c>
      <c r="AK60" s="116">
        <v>0</v>
      </c>
      <c r="AL60" s="116">
        <v>0</v>
      </c>
      <c r="AM60" s="116">
        <v>0</v>
      </c>
      <c r="AN60" s="116">
        <v>0</v>
      </c>
      <c r="AO60" s="116">
        <v>0</v>
      </c>
      <c r="AP60" s="116">
        <v>0</v>
      </c>
      <c r="AQ60" s="116">
        <v>0</v>
      </c>
      <c r="AR60" s="116">
        <v>0</v>
      </c>
      <c r="AS60" s="116">
        <v>0</v>
      </c>
      <c r="AT60" s="116">
        <v>0</v>
      </c>
      <c r="AU60" s="116">
        <v>0</v>
      </c>
      <c r="AV60" s="116">
        <v>0</v>
      </c>
      <c r="AW60" s="116">
        <v>0</v>
      </c>
      <c r="AX60" s="116">
        <v>0</v>
      </c>
      <c r="AY60" s="116">
        <v>0</v>
      </c>
    </row>
    <row r="61" spans="1:51" x14ac:dyDescent="0.2">
      <c r="A61" s="115"/>
      <c r="B61" s="126">
        <v>17</v>
      </c>
      <c r="C61" s="115" t="s">
        <v>293</v>
      </c>
      <c r="D61" s="116">
        <v>0</v>
      </c>
      <c r="E61" s="116">
        <v>0</v>
      </c>
      <c r="F61" s="116">
        <v>0</v>
      </c>
      <c r="G61" s="116">
        <v>0</v>
      </c>
      <c r="H61" s="116">
        <v>0</v>
      </c>
      <c r="I61" s="116">
        <v>0</v>
      </c>
      <c r="J61" s="116">
        <v>0</v>
      </c>
      <c r="K61" s="116">
        <v>0</v>
      </c>
      <c r="L61" s="116">
        <v>0</v>
      </c>
      <c r="M61" s="116">
        <v>0</v>
      </c>
      <c r="N61" s="116">
        <v>0</v>
      </c>
      <c r="O61" s="116">
        <v>0</v>
      </c>
      <c r="P61" s="116">
        <v>0</v>
      </c>
      <c r="Q61" s="116">
        <v>0</v>
      </c>
      <c r="R61" s="116">
        <v>0</v>
      </c>
      <c r="S61" s="116">
        <v>0</v>
      </c>
      <c r="T61" s="116">
        <v>0</v>
      </c>
      <c r="U61" s="116">
        <v>0</v>
      </c>
      <c r="V61" s="116">
        <v>0</v>
      </c>
      <c r="W61" s="116">
        <v>0</v>
      </c>
      <c r="X61" s="116">
        <v>0</v>
      </c>
      <c r="Y61" s="116">
        <v>0</v>
      </c>
      <c r="Z61" s="116">
        <v>0</v>
      </c>
      <c r="AA61" s="116">
        <v>0</v>
      </c>
      <c r="AB61" s="116">
        <v>0</v>
      </c>
      <c r="AC61" s="116">
        <v>0</v>
      </c>
      <c r="AD61" s="116">
        <v>0</v>
      </c>
      <c r="AE61" s="116">
        <v>0</v>
      </c>
      <c r="AF61" s="116">
        <v>0</v>
      </c>
      <c r="AG61" s="116">
        <v>0</v>
      </c>
      <c r="AH61" s="116">
        <v>0</v>
      </c>
      <c r="AI61" s="116">
        <v>0</v>
      </c>
      <c r="AJ61" s="116">
        <v>0</v>
      </c>
      <c r="AK61" s="116">
        <v>0</v>
      </c>
      <c r="AL61" s="116">
        <v>0</v>
      </c>
      <c r="AM61" s="116">
        <v>0</v>
      </c>
      <c r="AN61" s="116">
        <v>0</v>
      </c>
      <c r="AO61" s="116">
        <v>0</v>
      </c>
      <c r="AP61" s="116">
        <v>0</v>
      </c>
      <c r="AQ61" s="116">
        <v>0</v>
      </c>
      <c r="AR61" s="116">
        <v>0</v>
      </c>
      <c r="AS61" s="116">
        <v>0</v>
      </c>
      <c r="AT61" s="116">
        <v>0</v>
      </c>
      <c r="AU61" s="116">
        <v>0</v>
      </c>
      <c r="AV61" s="116">
        <v>0</v>
      </c>
      <c r="AW61" s="116">
        <v>0</v>
      </c>
      <c r="AX61" s="116">
        <v>0</v>
      </c>
      <c r="AY61" s="116">
        <v>0</v>
      </c>
    </row>
    <row r="62" spans="1:51" x14ac:dyDescent="0.2">
      <c r="A62" s="115"/>
      <c r="B62" s="126">
        <v>18</v>
      </c>
      <c r="C62" s="115" t="s">
        <v>293</v>
      </c>
      <c r="D62" s="116">
        <v>0</v>
      </c>
      <c r="E62" s="116">
        <v>0</v>
      </c>
      <c r="F62" s="116">
        <v>0</v>
      </c>
      <c r="G62" s="116">
        <v>0</v>
      </c>
      <c r="H62" s="116">
        <v>0</v>
      </c>
      <c r="I62" s="116">
        <v>0</v>
      </c>
      <c r="J62" s="116">
        <v>0</v>
      </c>
      <c r="K62" s="116">
        <v>0</v>
      </c>
      <c r="L62" s="116">
        <v>0</v>
      </c>
      <c r="M62" s="116">
        <v>0</v>
      </c>
      <c r="N62" s="116">
        <v>0</v>
      </c>
      <c r="O62" s="116">
        <v>0</v>
      </c>
      <c r="P62" s="116">
        <v>0</v>
      </c>
      <c r="Q62" s="116">
        <v>0</v>
      </c>
      <c r="R62" s="116">
        <v>0</v>
      </c>
      <c r="S62" s="116">
        <v>0</v>
      </c>
      <c r="T62" s="116">
        <v>0</v>
      </c>
      <c r="U62" s="116">
        <v>0</v>
      </c>
      <c r="V62" s="116">
        <v>0</v>
      </c>
      <c r="W62" s="116">
        <v>0</v>
      </c>
      <c r="X62" s="116">
        <v>0</v>
      </c>
      <c r="Y62" s="116">
        <v>0</v>
      </c>
      <c r="Z62" s="116">
        <v>0</v>
      </c>
      <c r="AA62" s="116">
        <v>0</v>
      </c>
      <c r="AB62" s="116">
        <v>0</v>
      </c>
      <c r="AC62" s="116">
        <v>0</v>
      </c>
      <c r="AD62" s="116">
        <v>0</v>
      </c>
      <c r="AE62" s="116">
        <v>0</v>
      </c>
      <c r="AF62" s="116">
        <v>0</v>
      </c>
      <c r="AG62" s="116">
        <v>0</v>
      </c>
      <c r="AH62" s="116">
        <v>0</v>
      </c>
      <c r="AI62" s="116">
        <v>0</v>
      </c>
      <c r="AJ62" s="116">
        <v>0</v>
      </c>
      <c r="AK62" s="116">
        <v>0</v>
      </c>
      <c r="AL62" s="116">
        <v>0</v>
      </c>
      <c r="AM62" s="116">
        <v>0</v>
      </c>
      <c r="AN62" s="116">
        <v>0</v>
      </c>
      <c r="AO62" s="116">
        <v>0</v>
      </c>
      <c r="AP62" s="116">
        <v>0</v>
      </c>
      <c r="AQ62" s="116">
        <v>0</v>
      </c>
      <c r="AR62" s="116">
        <v>0</v>
      </c>
      <c r="AS62" s="116">
        <v>0</v>
      </c>
      <c r="AT62" s="116">
        <v>0</v>
      </c>
      <c r="AU62" s="116">
        <v>0</v>
      </c>
      <c r="AV62" s="116">
        <v>0</v>
      </c>
      <c r="AW62" s="116">
        <v>0</v>
      </c>
      <c r="AX62" s="116">
        <v>0</v>
      </c>
      <c r="AY62" s="116">
        <v>0</v>
      </c>
    </row>
    <row r="63" spans="1:51" x14ac:dyDescent="0.2">
      <c r="A63" s="115"/>
      <c r="B63" s="126">
        <v>19</v>
      </c>
      <c r="C63" s="115" t="s">
        <v>293</v>
      </c>
      <c r="D63" s="116">
        <v>0</v>
      </c>
      <c r="E63" s="116">
        <v>0</v>
      </c>
      <c r="F63" s="116">
        <v>0</v>
      </c>
      <c r="G63" s="116">
        <v>0</v>
      </c>
      <c r="H63" s="116">
        <v>0</v>
      </c>
      <c r="I63" s="116">
        <v>0</v>
      </c>
      <c r="J63" s="116">
        <v>0</v>
      </c>
      <c r="K63" s="116">
        <v>0</v>
      </c>
      <c r="L63" s="116">
        <v>0</v>
      </c>
      <c r="M63" s="116">
        <v>0</v>
      </c>
      <c r="N63" s="116">
        <v>0</v>
      </c>
      <c r="O63" s="116">
        <v>0</v>
      </c>
      <c r="P63" s="116">
        <v>0</v>
      </c>
      <c r="Q63" s="116">
        <v>0</v>
      </c>
      <c r="R63" s="116">
        <v>0</v>
      </c>
      <c r="S63" s="116">
        <v>0</v>
      </c>
      <c r="T63" s="116">
        <v>0</v>
      </c>
      <c r="U63" s="116">
        <v>0</v>
      </c>
      <c r="V63" s="116">
        <v>0</v>
      </c>
      <c r="W63" s="116">
        <v>0</v>
      </c>
      <c r="X63" s="116">
        <v>0</v>
      </c>
      <c r="Y63" s="116">
        <v>0</v>
      </c>
      <c r="Z63" s="116">
        <v>0</v>
      </c>
      <c r="AA63" s="116">
        <v>0</v>
      </c>
      <c r="AB63" s="116">
        <v>0</v>
      </c>
      <c r="AC63" s="116">
        <v>0</v>
      </c>
      <c r="AD63" s="116">
        <v>0</v>
      </c>
      <c r="AE63" s="116">
        <v>0</v>
      </c>
      <c r="AF63" s="116">
        <v>0</v>
      </c>
      <c r="AG63" s="116">
        <v>0</v>
      </c>
      <c r="AH63" s="116">
        <v>0</v>
      </c>
      <c r="AI63" s="116">
        <v>0</v>
      </c>
      <c r="AJ63" s="116">
        <v>0</v>
      </c>
      <c r="AK63" s="116">
        <v>0</v>
      </c>
      <c r="AL63" s="116">
        <v>0</v>
      </c>
      <c r="AM63" s="116">
        <v>0</v>
      </c>
      <c r="AN63" s="116">
        <v>0</v>
      </c>
      <c r="AO63" s="116">
        <v>0</v>
      </c>
      <c r="AP63" s="116">
        <v>0</v>
      </c>
      <c r="AQ63" s="116">
        <v>0</v>
      </c>
      <c r="AR63" s="116">
        <v>0</v>
      </c>
      <c r="AS63" s="116">
        <v>0</v>
      </c>
      <c r="AT63" s="116">
        <v>0</v>
      </c>
      <c r="AU63" s="116">
        <v>0</v>
      </c>
      <c r="AV63" s="116">
        <v>0</v>
      </c>
      <c r="AW63" s="116">
        <v>0</v>
      </c>
      <c r="AX63" s="116">
        <v>0</v>
      </c>
      <c r="AY63" s="116">
        <v>0</v>
      </c>
    </row>
    <row r="64" spans="1:51" x14ac:dyDescent="0.2">
      <c r="A64" s="115"/>
      <c r="B64" s="126">
        <v>20</v>
      </c>
      <c r="C64" s="115" t="s">
        <v>293</v>
      </c>
      <c r="D64" s="116">
        <v>0</v>
      </c>
      <c r="E64" s="116">
        <v>0</v>
      </c>
      <c r="F64" s="116">
        <v>0</v>
      </c>
      <c r="G64" s="116">
        <v>0</v>
      </c>
      <c r="H64" s="116">
        <v>0</v>
      </c>
      <c r="I64" s="116">
        <v>0</v>
      </c>
      <c r="J64" s="116">
        <v>0</v>
      </c>
      <c r="K64" s="116">
        <v>0</v>
      </c>
      <c r="L64" s="116">
        <v>0</v>
      </c>
      <c r="M64" s="116">
        <v>0</v>
      </c>
      <c r="N64" s="116">
        <v>0</v>
      </c>
      <c r="O64" s="116">
        <v>0</v>
      </c>
      <c r="P64" s="116">
        <v>0</v>
      </c>
      <c r="Q64" s="116">
        <v>0</v>
      </c>
      <c r="R64" s="116">
        <v>0</v>
      </c>
      <c r="S64" s="116">
        <v>0</v>
      </c>
      <c r="T64" s="116">
        <v>0</v>
      </c>
      <c r="U64" s="116">
        <v>0</v>
      </c>
      <c r="V64" s="116">
        <v>0</v>
      </c>
      <c r="W64" s="116">
        <v>0</v>
      </c>
      <c r="X64" s="116">
        <v>0</v>
      </c>
      <c r="Y64" s="116">
        <v>0</v>
      </c>
      <c r="Z64" s="116">
        <v>0</v>
      </c>
      <c r="AA64" s="116">
        <v>0</v>
      </c>
      <c r="AB64" s="116">
        <v>0</v>
      </c>
      <c r="AC64" s="116">
        <v>0</v>
      </c>
      <c r="AD64" s="116">
        <v>0</v>
      </c>
      <c r="AE64" s="116">
        <v>0</v>
      </c>
      <c r="AF64" s="116">
        <v>0</v>
      </c>
      <c r="AG64" s="116">
        <v>0</v>
      </c>
      <c r="AH64" s="116">
        <v>0</v>
      </c>
      <c r="AI64" s="116">
        <v>0</v>
      </c>
      <c r="AJ64" s="116">
        <v>0</v>
      </c>
      <c r="AK64" s="116">
        <v>0</v>
      </c>
      <c r="AL64" s="116">
        <v>0</v>
      </c>
      <c r="AM64" s="116">
        <v>0</v>
      </c>
      <c r="AN64" s="116">
        <v>0</v>
      </c>
      <c r="AO64" s="116">
        <v>0</v>
      </c>
      <c r="AP64" s="116">
        <v>0</v>
      </c>
      <c r="AQ64" s="116">
        <v>0</v>
      </c>
      <c r="AR64" s="116">
        <v>0</v>
      </c>
      <c r="AS64" s="116">
        <v>0</v>
      </c>
      <c r="AT64" s="116">
        <v>0</v>
      </c>
      <c r="AU64" s="116">
        <v>0</v>
      </c>
      <c r="AV64" s="116">
        <v>0</v>
      </c>
      <c r="AW64" s="116">
        <v>0</v>
      </c>
      <c r="AX64" s="116">
        <v>0</v>
      </c>
      <c r="AY64" s="116">
        <v>0</v>
      </c>
    </row>
    <row r="65" spans="1:51" x14ac:dyDescent="0.2">
      <c r="A65" s="115"/>
      <c r="B65" s="126">
        <v>21</v>
      </c>
      <c r="C65" s="115" t="s">
        <v>293</v>
      </c>
      <c r="D65" s="116">
        <v>0</v>
      </c>
      <c r="E65" s="116">
        <v>0</v>
      </c>
      <c r="F65" s="116">
        <v>0</v>
      </c>
      <c r="G65" s="116">
        <v>0</v>
      </c>
      <c r="H65" s="116">
        <v>0</v>
      </c>
      <c r="I65" s="116">
        <v>0</v>
      </c>
      <c r="J65" s="116">
        <v>0</v>
      </c>
      <c r="K65" s="116">
        <v>0</v>
      </c>
      <c r="L65" s="116">
        <v>0</v>
      </c>
      <c r="M65" s="116">
        <v>0</v>
      </c>
      <c r="N65" s="116">
        <v>0</v>
      </c>
      <c r="O65" s="116">
        <v>0</v>
      </c>
      <c r="P65" s="116">
        <v>0</v>
      </c>
      <c r="Q65" s="116">
        <v>0</v>
      </c>
      <c r="R65" s="116">
        <v>0</v>
      </c>
      <c r="S65" s="116">
        <v>0</v>
      </c>
      <c r="T65" s="116">
        <v>0</v>
      </c>
      <c r="U65" s="116">
        <v>0</v>
      </c>
      <c r="V65" s="116">
        <v>0</v>
      </c>
      <c r="W65" s="116">
        <v>0</v>
      </c>
      <c r="X65" s="116">
        <v>0</v>
      </c>
      <c r="Y65" s="116">
        <v>0</v>
      </c>
      <c r="Z65" s="116">
        <v>0</v>
      </c>
      <c r="AA65" s="116">
        <v>0</v>
      </c>
      <c r="AB65" s="116">
        <v>0</v>
      </c>
      <c r="AC65" s="116">
        <v>0</v>
      </c>
      <c r="AD65" s="116">
        <v>0</v>
      </c>
      <c r="AE65" s="116">
        <v>0</v>
      </c>
      <c r="AF65" s="116">
        <v>0</v>
      </c>
      <c r="AG65" s="116">
        <v>0</v>
      </c>
      <c r="AH65" s="116">
        <v>0</v>
      </c>
      <c r="AI65" s="116">
        <v>0</v>
      </c>
      <c r="AJ65" s="116">
        <v>0</v>
      </c>
      <c r="AK65" s="116">
        <v>0</v>
      </c>
      <c r="AL65" s="116">
        <v>0</v>
      </c>
      <c r="AM65" s="116">
        <v>0</v>
      </c>
      <c r="AN65" s="116">
        <v>0</v>
      </c>
      <c r="AO65" s="116">
        <v>0</v>
      </c>
      <c r="AP65" s="116">
        <v>0</v>
      </c>
      <c r="AQ65" s="116">
        <v>0</v>
      </c>
      <c r="AR65" s="116">
        <v>0</v>
      </c>
      <c r="AS65" s="116">
        <v>0</v>
      </c>
      <c r="AT65" s="116">
        <v>0</v>
      </c>
      <c r="AU65" s="116">
        <v>0</v>
      </c>
      <c r="AV65" s="116">
        <v>0</v>
      </c>
      <c r="AW65" s="116">
        <v>0</v>
      </c>
      <c r="AX65" s="116">
        <v>0</v>
      </c>
      <c r="AY65" s="116">
        <v>0</v>
      </c>
    </row>
    <row r="66" spans="1:51" x14ac:dyDescent="0.2">
      <c r="A66" s="115"/>
      <c r="B66" s="126">
        <v>22</v>
      </c>
      <c r="C66" s="115" t="s">
        <v>293</v>
      </c>
      <c r="D66" s="116">
        <v>0</v>
      </c>
      <c r="E66" s="116">
        <v>0</v>
      </c>
      <c r="F66" s="116">
        <v>0</v>
      </c>
      <c r="G66" s="116">
        <v>0</v>
      </c>
      <c r="H66" s="116">
        <v>0</v>
      </c>
      <c r="I66" s="116">
        <v>0</v>
      </c>
      <c r="J66" s="116">
        <v>0</v>
      </c>
      <c r="K66" s="116">
        <v>0</v>
      </c>
      <c r="L66" s="116">
        <v>0</v>
      </c>
      <c r="M66" s="116">
        <v>0</v>
      </c>
      <c r="N66" s="116">
        <v>0</v>
      </c>
      <c r="O66" s="116">
        <v>0</v>
      </c>
      <c r="P66" s="116">
        <v>0</v>
      </c>
      <c r="Q66" s="116">
        <v>0</v>
      </c>
      <c r="R66" s="116">
        <v>0</v>
      </c>
      <c r="S66" s="116">
        <v>0</v>
      </c>
      <c r="T66" s="116">
        <v>0</v>
      </c>
      <c r="U66" s="116">
        <v>0</v>
      </c>
      <c r="V66" s="116">
        <v>0</v>
      </c>
      <c r="W66" s="116">
        <v>0</v>
      </c>
      <c r="X66" s="116">
        <v>0</v>
      </c>
      <c r="Y66" s="116">
        <v>0</v>
      </c>
      <c r="Z66" s="116">
        <v>0</v>
      </c>
      <c r="AA66" s="116">
        <v>0</v>
      </c>
      <c r="AB66" s="116">
        <v>0</v>
      </c>
      <c r="AC66" s="116">
        <v>0</v>
      </c>
      <c r="AD66" s="116">
        <v>0</v>
      </c>
      <c r="AE66" s="116">
        <v>0</v>
      </c>
      <c r="AF66" s="116">
        <v>0</v>
      </c>
      <c r="AG66" s="116">
        <v>0</v>
      </c>
      <c r="AH66" s="116">
        <v>0</v>
      </c>
      <c r="AI66" s="116">
        <v>0</v>
      </c>
      <c r="AJ66" s="116">
        <v>0</v>
      </c>
      <c r="AK66" s="116">
        <v>0</v>
      </c>
      <c r="AL66" s="116">
        <v>0</v>
      </c>
      <c r="AM66" s="116">
        <v>0</v>
      </c>
      <c r="AN66" s="116">
        <v>0</v>
      </c>
      <c r="AO66" s="116">
        <v>0</v>
      </c>
      <c r="AP66" s="116">
        <v>0</v>
      </c>
      <c r="AQ66" s="116">
        <v>0</v>
      </c>
      <c r="AR66" s="116">
        <v>0</v>
      </c>
      <c r="AS66" s="116">
        <v>0</v>
      </c>
      <c r="AT66" s="116">
        <v>0</v>
      </c>
      <c r="AU66" s="116">
        <v>0</v>
      </c>
      <c r="AV66" s="116">
        <v>0</v>
      </c>
      <c r="AW66" s="116">
        <v>0</v>
      </c>
      <c r="AX66" s="116">
        <v>0</v>
      </c>
      <c r="AY66" s="116">
        <v>0</v>
      </c>
    </row>
    <row r="67" spans="1:51" x14ac:dyDescent="0.2">
      <c r="A67" s="115"/>
      <c r="B67" s="126">
        <v>23</v>
      </c>
      <c r="C67" s="115" t="s">
        <v>293</v>
      </c>
      <c r="D67" s="116">
        <v>0</v>
      </c>
      <c r="E67" s="116">
        <v>0</v>
      </c>
      <c r="F67" s="116">
        <v>0</v>
      </c>
      <c r="G67" s="116">
        <v>0</v>
      </c>
      <c r="H67" s="116">
        <v>0</v>
      </c>
      <c r="I67" s="116">
        <v>0</v>
      </c>
      <c r="J67" s="116">
        <v>0</v>
      </c>
      <c r="K67" s="116">
        <v>0</v>
      </c>
      <c r="L67" s="116">
        <v>0</v>
      </c>
      <c r="M67" s="116">
        <v>0</v>
      </c>
      <c r="N67" s="116">
        <v>0</v>
      </c>
      <c r="O67" s="116">
        <v>0</v>
      </c>
      <c r="P67" s="116">
        <v>0</v>
      </c>
      <c r="Q67" s="116">
        <v>0</v>
      </c>
      <c r="R67" s="116">
        <v>0</v>
      </c>
      <c r="S67" s="116">
        <v>0</v>
      </c>
      <c r="T67" s="116">
        <v>0</v>
      </c>
      <c r="U67" s="116">
        <v>0</v>
      </c>
      <c r="V67" s="116">
        <v>0</v>
      </c>
      <c r="W67" s="116">
        <v>0</v>
      </c>
      <c r="X67" s="116">
        <v>0</v>
      </c>
      <c r="Y67" s="116">
        <v>0</v>
      </c>
      <c r="Z67" s="116">
        <v>0</v>
      </c>
      <c r="AA67" s="116">
        <v>0</v>
      </c>
      <c r="AB67" s="116">
        <v>0</v>
      </c>
      <c r="AC67" s="116">
        <v>0</v>
      </c>
      <c r="AD67" s="116">
        <v>0</v>
      </c>
      <c r="AE67" s="116">
        <v>0</v>
      </c>
      <c r="AF67" s="116">
        <v>0</v>
      </c>
      <c r="AG67" s="116">
        <v>0</v>
      </c>
      <c r="AH67" s="116">
        <v>0</v>
      </c>
      <c r="AI67" s="116">
        <v>0</v>
      </c>
      <c r="AJ67" s="116">
        <v>0</v>
      </c>
      <c r="AK67" s="116">
        <v>0</v>
      </c>
      <c r="AL67" s="116">
        <v>0</v>
      </c>
      <c r="AM67" s="116">
        <v>0</v>
      </c>
      <c r="AN67" s="116">
        <v>0</v>
      </c>
      <c r="AO67" s="116">
        <v>0</v>
      </c>
      <c r="AP67" s="116">
        <v>0</v>
      </c>
      <c r="AQ67" s="116">
        <v>0</v>
      </c>
      <c r="AR67" s="116">
        <v>0</v>
      </c>
      <c r="AS67" s="116">
        <v>0</v>
      </c>
      <c r="AT67" s="116">
        <v>0</v>
      </c>
      <c r="AU67" s="116">
        <v>0</v>
      </c>
      <c r="AV67" s="116">
        <v>0</v>
      </c>
      <c r="AW67" s="116">
        <v>0</v>
      </c>
      <c r="AX67" s="116">
        <v>0</v>
      </c>
      <c r="AY67" s="116">
        <v>0</v>
      </c>
    </row>
    <row r="68" spans="1:51" x14ac:dyDescent="0.2">
      <c r="A68" s="115"/>
      <c r="B68" s="126">
        <v>24</v>
      </c>
      <c r="C68" s="115" t="s">
        <v>293</v>
      </c>
      <c r="D68" s="116">
        <v>0</v>
      </c>
      <c r="E68" s="116">
        <v>0</v>
      </c>
      <c r="F68" s="116">
        <v>0</v>
      </c>
      <c r="G68" s="116">
        <v>0</v>
      </c>
      <c r="H68" s="116">
        <v>0</v>
      </c>
      <c r="I68" s="116">
        <v>0</v>
      </c>
      <c r="J68" s="116">
        <v>0</v>
      </c>
      <c r="K68" s="116">
        <v>0</v>
      </c>
      <c r="L68" s="116">
        <v>0</v>
      </c>
      <c r="M68" s="116">
        <v>0</v>
      </c>
      <c r="N68" s="116">
        <v>0</v>
      </c>
      <c r="O68" s="116">
        <v>0</v>
      </c>
      <c r="P68" s="116">
        <v>0</v>
      </c>
      <c r="Q68" s="116">
        <v>0</v>
      </c>
      <c r="R68" s="116">
        <v>0</v>
      </c>
      <c r="S68" s="116">
        <v>0</v>
      </c>
      <c r="T68" s="116">
        <v>0</v>
      </c>
      <c r="U68" s="116">
        <v>0</v>
      </c>
      <c r="V68" s="116">
        <v>0</v>
      </c>
      <c r="W68" s="116">
        <v>0</v>
      </c>
      <c r="X68" s="116">
        <v>0</v>
      </c>
      <c r="Y68" s="116">
        <v>0</v>
      </c>
      <c r="Z68" s="116">
        <v>0</v>
      </c>
      <c r="AA68" s="116">
        <v>0</v>
      </c>
      <c r="AB68" s="116">
        <v>0</v>
      </c>
      <c r="AC68" s="116">
        <v>0</v>
      </c>
      <c r="AD68" s="116">
        <v>0</v>
      </c>
      <c r="AE68" s="116">
        <v>0</v>
      </c>
      <c r="AF68" s="116">
        <v>0</v>
      </c>
      <c r="AG68" s="116">
        <v>0</v>
      </c>
      <c r="AH68" s="116">
        <v>0</v>
      </c>
      <c r="AI68" s="116">
        <v>0</v>
      </c>
      <c r="AJ68" s="116">
        <v>0</v>
      </c>
      <c r="AK68" s="116">
        <v>0</v>
      </c>
      <c r="AL68" s="116">
        <v>0</v>
      </c>
      <c r="AM68" s="116">
        <v>0</v>
      </c>
      <c r="AN68" s="116">
        <v>0</v>
      </c>
      <c r="AO68" s="116">
        <v>0</v>
      </c>
      <c r="AP68" s="116">
        <v>0</v>
      </c>
      <c r="AQ68" s="116">
        <v>0</v>
      </c>
      <c r="AR68" s="116">
        <v>0</v>
      </c>
      <c r="AS68" s="116">
        <v>0</v>
      </c>
      <c r="AT68" s="116">
        <v>0</v>
      </c>
      <c r="AU68" s="116">
        <v>0</v>
      </c>
      <c r="AV68" s="116">
        <v>0</v>
      </c>
      <c r="AW68" s="116">
        <v>0</v>
      </c>
      <c r="AX68" s="116">
        <v>0</v>
      </c>
      <c r="AY68" s="116">
        <v>0</v>
      </c>
    </row>
    <row r="69" spans="1:51" x14ac:dyDescent="0.2">
      <c r="A69" s="115"/>
      <c r="B69" s="133">
        <v>25</v>
      </c>
      <c r="C69" s="115" t="s">
        <v>293</v>
      </c>
      <c r="D69" s="116">
        <v>0</v>
      </c>
      <c r="E69" s="116">
        <v>0</v>
      </c>
      <c r="F69" s="116">
        <v>0</v>
      </c>
      <c r="G69" s="116">
        <v>0</v>
      </c>
      <c r="H69" s="116">
        <v>0</v>
      </c>
      <c r="I69" s="116">
        <v>0</v>
      </c>
      <c r="J69" s="116">
        <v>0</v>
      </c>
      <c r="K69" s="116">
        <v>0</v>
      </c>
      <c r="L69" s="116">
        <v>0</v>
      </c>
      <c r="M69" s="116">
        <v>0</v>
      </c>
      <c r="N69" s="116">
        <v>0</v>
      </c>
      <c r="O69" s="116">
        <v>0</v>
      </c>
      <c r="P69" s="116">
        <v>0</v>
      </c>
      <c r="Q69" s="116">
        <v>0</v>
      </c>
      <c r="R69" s="116">
        <v>0</v>
      </c>
      <c r="S69" s="116">
        <v>0</v>
      </c>
      <c r="T69" s="116">
        <v>0</v>
      </c>
      <c r="U69" s="116">
        <v>0</v>
      </c>
      <c r="V69" s="116">
        <v>0</v>
      </c>
      <c r="W69" s="116">
        <v>0</v>
      </c>
      <c r="X69" s="116">
        <v>0</v>
      </c>
      <c r="Y69" s="116">
        <v>0</v>
      </c>
      <c r="Z69" s="116">
        <v>0</v>
      </c>
      <c r="AA69" s="116">
        <v>0</v>
      </c>
      <c r="AB69" s="116">
        <v>0</v>
      </c>
      <c r="AC69" s="116">
        <v>0</v>
      </c>
      <c r="AD69" s="116">
        <v>0</v>
      </c>
      <c r="AE69" s="116">
        <v>0</v>
      </c>
      <c r="AF69" s="116">
        <v>0</v>
      </c>
      <c r="AG69" s="116">
        <v>0</v>
      </c>
      <c r="AH69" s="116">
        <v>0</v>
      </c>
      <c r="AI69" s="116">
        <v>0</v>
      </c>
      <c r="AJ69" s="116">
        <v>0</v>
      </c>
      <c r="AK69" s="116">
        <v>0</v>
      </c>
      <c r="AL69" s="116">
        <v>0</v>
      </c>
      <c r="AM69" s="116">
        <v>0</v>
      </c>
      <c r="AN69" s="116">
        <v>0</v>
      </c>
      <c r="AO69" s="116">
        <v>0</v>
      </c>
      <c r="AP69" s="116">
        <v>0</v>
      </c>
      <c r="AQ69" s="116">
        <v>0</v>
      </c>
      <c r="AR69" s="116">
        <v>0</v>
      </c>
      <c r="AS69" s="116">
        <v>0</v>
      </c>
      <c r="AT69" s="116">
        <v>0</v>
      </c>
      <c r="AU69" s="116">
        <v>0</v>
      </c>
      <c r="AV69" s="116">
        <v>0</v>
      </c>
      <c r="AW69" s="116">
        <v>0</v>
      </c>
      <c r="AX69" s="116">
        <v>0</v>
      </c>
      <c r="AY69" s="116">
        <v>0</v>
      </c>
    </row>
    <row r="70" spans="1:51" x14ac:dyDescent="0.2">
      <c r="A70" s="115"/>
      <c r="B70" s="133">
        <v>26</v>
      </c>
      <c r="C70" s="115" t="s">
        <v>293</v>
      </c>
      <c r="D70" s="116">
        <v>0</v>
      </c>
      <c r="E70" s="116">
        <v>0</v>
      </c>
      <c r="F70" s="116">
        <v>0</v>
      </c>
      <c r="G70" s="116">
        <v>0</v>
      </c>
      <c r="H70" s="116">
        <v>0</v>
      </c>
      <c r="I70" s="116">
        <v>0</v>
      </c>
      <c r="J70" s="116">
        <v>0</v>
      </c>
      <c r="K70" s="116">
        <v>0</v>
      </c>
      <c r="L70" s="116">
        <v>0</v>
      </c>
      <c r="M70" s="116">
        <v>0</v>
      </c>
      <c r="N70" s="116">
        <v>0</v>
      </c>
      <c r="O70" s="116">
        <v>0</v>
      </c>
      <c r="P70" s="116">
        <v>0</v>
      </c>
      <c r="Q70" s="116">
        <v>0</v>
      </c>
      <c r="R70" s="116">
        <v>0</v>
      </c>
      <c r="S70" s="116">
        <v>0</v>
      </c>
      <c r="T70" s="116">
        <v>0</v>
      </c>
      <c r="U70" s="116">
        <v>0</v>
      </c>
      <c r="V70" s="116">
        <v>0</v>
      </c>
      <c r="W70" s="116">
        <v>0</v>
      </c>
      <c r="X70" s="116">
        <v>0</v>
      </c>
      <c r="Y70" s="116">
        <v>0</v>
      </c>
      <c r="Z70" s="116">
        <v>0</v>
      </c>
      <c r="AA70" s="116">
        <v>0</v>
      </c>
      <c r="AB70" s="116">
        <v>0</v>
      </c>
      <c r="AC70" s="116">
        <v>0</v>
      </c>
      <c r="AD70" s="116">
        <v>0</v>
      </c>
      <c r="AE70" s="116">
        <v>0</v>
      </c>
      <c r="AF70" s="116">
        <v>0</v>
      </c>
      <c r="AG70" s="116">
        <v>0</v>
      </c>
      <c r="AH70" s="116">
        <v>0</v>
      </c>
      <c r="AI70" s="116">
        <v>0</v>
      </c>
      <c r="AJ70" s="116">
        <v>0</v>
      </c>
      <c r="AK70" s="116">
        <v>0</v>
      </c>
      <c r="AL70" s="116">
        <v>0</v>
      </c>
      <c r="AM70" s="116">
        <v>0</v>
      </c>
      <c r="AN70" s="116">
        <v>0</v>
      </c>
      <c r="AO70" s="116">
        <v>0</v>
      </c>
      <c r="AP70" s="116">
        <v>0</v>
      </c>
      <c r="AQ70" s="116">
        <v>0</v>
      </c>
      <c r="AR70" s="116">
        <v>0</v>
      </c>
      <c r="AS70" s="116">
        <v>0</v>
      </c>
      <c r="AT70" s="116">
        <v>0</v>
      </c>
      <c r="AU70" s="116">
        <v>0</v>
      </c>
      <c r="AV70" s="116">
        <v>0</v>
      </c>
      <c r="AW70" s="116">
        <v>0</v>
      </c>
      <c r="AX70" s="116">
        <v>0</v>
      </c>
      <c r="AY70" s="116">
        <v>0</v>
      </c>
    </row>
    <row r="71" spans="1:51" x14ac:dyDescent="0.2">
      <c r="A71" s="115"/>
      <c r="B71" s="133">
        <v>27</v>
      </c>
      <c r="C71" s="115" t="s">
        <v>293</v>
      </c>
      <c r="D71" s="116">
        <v>0</v>
      </c>
      <c r="E71" s="116">
        <v>0</v>
      </c>
      <c r="F71" s="116">
        <v>0</v>
      </c>
      <c r="G71" s="116">
        <v>0</v>
      </c>
      <c r="H71" s="116">
        <v>0</v>
      </c>
      <c r="I71" s="116">
        <v>0</v>
      </c>
      <c r="J71" s="116">
        <v>0</v>
      </c>
      <c r="K71" s="116">
        <v>0</v>
      </c>
      <c r="L71" s="116">
        <v>0</v>
      </c>
      <c r="M71" s="116">
        <v>0</v>
      </c>
      <c r="N71" s="116">
        <v>0</v>
      </c>
      <c r="O71" s="116">
        <v>0</v>
      </c>
      <c r="P71" s="116">
        <v>0</v>
      </c>
      <c r="Q71" s="116">
        <v>0</v>
      </c>
      <c r="R71" s="116">
        <v>0</v>
      </c>
      <c r="S71" s="116">
        <v>0</v>
      </c>
      <c r="T71" s="116">
        <v>0</v>
      </c>
      <c r="U71" s="116">
        <v>0</v>
      </c>
      <c r="V71" s="116">
        <v>0</v>
      </c>
      <c r="W71" s="116">
        <v>0</v>
      </c>
      <c r="X71" s="116">
        <v>0</v>
      </c>
      <c r="Y71" s="116">
        <v>0</v>
      </c>
      <c r="Z71" s="116">
        <v>0</v>
      </c>
      <c r="AA71" s="116">
        <v>0</v>
      </c>
      <c r="AB71" s="116">
        <v>0</v>
      </c>
      <c r="AC71" s="116">
        <v>0</v>
      </c>
      <c r="AD71" s="116">
        <v>0</v>
      </c>
      <c r="AE71" s="116">
        <v>0</v>
      </c>
      <c r="AF71" s="116">
        <v>0</v>
      </c>
      <c r="AG71" s="116">
        <v>0</v>
      </c>
      <c r="AH71" s="116">
        <v>0</v>
      </c>
      <c r="AI71" s="116">
        <v>0</v>
      </c>
      <c r="AJ71" s="116">
        <v>0</v>
      </c>
      <c r="AK71" s="116">
        <v>0</v>
      </c>
      <c r="AL71" s="116">
        <v>0</v>
      </c>
      <c r="AM71" s="116">
        <v>0</v>
      </c>
      <c r="AN71" s="116">
        <v>0</v>
      </c>
      <c r="AO71" s="116">
        <v>0</v>
      </c>
      <c r="AP71" s="116">
        <v>0</v>
      </c>
      <c r="AQ71" s="116">
        <v>0</v>
      </c>
      <c r="AR71" s="116">
        <v>0</v>
      </c>
      <c r="AS71" s="116">
        <v>0</v>
      </c>
      <c r="AT71" s="116">
        <v>0</v>
      </c>
      <c r="AU71" s="116">
        <v>0</v>
      </c>
      <c r="AV71" s="116">
        <v>0</v>
      </c>
      <c r="AW71" s="116">
        <v>0</v>
      </c>
      <c r="AX71" s="116">
        <v>0</v>
      </c>
      <c r="AY71" s="116">
        <v>0</v>
      </c>
    </row>
    <row r="72" spans="1:51" x14ac:dyDescent="0.2">
      <c r="A72" s="115"/>
      <c r="B72" s="133">
        <v>28</v>
      </c>
      <c r="C72" s="115" t="s">
        <v>293</v>
      </c>
      <c r="D72" s="116">
        <v>0</v>
      </c>
      <c r="E72" s="116">
        <v>0</v>
      </c>
      <c r="F72" s="116">
        <v>0</v>
      </c>
      <c r="G72" s="116">
        <v>0</v>
      </c>
      <c r="H72" s="116">
        <v>0</v>
      </c>
      <c r="I72" s="116">
        <v>0</v>
      </c>
      <c r="J72" s="116">
        <v>0</v>
      </c>
      <c r="K72" s="116">
        <v>0</v>
      </c>
      <c r="L72" s="116">
        <v>0</v>
      </c>
      <c r="M72" s="116">
        <v>0</v>
      </c>
      <c r="N72" s="116">
        <v>0</v>
      </c>
      <c r="O72" s="116">
        <v>0</v>
      </c>
      <c r="P72" s="116">
        <v>0</v>
      </c>
      <c r="Q72" s="116">
        <v>0</v>
      </c>
      <c r="R72" s="116">
        <v>0</v>
      </c>
      <c r="S72" s="116">
        <v>0</v>
      </c>
      <c r="T72" s="116">
        <v>0</v>
      </c>
      <c r="U72" s="116">
        <v>0</v>
      </c>
      <c r="V72" s="116">
        <v>0</v>
      </c>
      <c r="W72" s="116">
        <v>0</v>
      </c>
      <c r="X72" s="116">
        <v>0</v>
      </c>
      <c r="Y72" s="116">
        <v>0</v>
      </c>
      <c r="Z72" s="116">
        <v>0</v>
      </c>
      <c r="AA72" s="116">
        <v>0</v>
      </c>
      <c r="AB72" s="116">
        <v>0</v>
      </c>
      <c r="AC72" s="116">
        <v>0</v>
      </c>
      <c r="AD72" s="116">
        <v>0</v>
      </c>
      <c r="AE72" s="116">
        <v>0</v>
      </c>
      <c r="AF72" s="116">
        <v>0</v>
      </c>
      <c r="AG72" s="116">
        <v>0</v>
      </c>
      <c r="AH72" s="116">
        <v>0</v>
      </c>
      <c r="AI72" s="116">
        <v>0</v>
      </c>
      <c r="AJ72" s="116">
        <v>0</v>
      </c>
      <c r="AK72" s="116">
        <v>0</v>
      </c>
      <c r="AL72" s="116">
        <v>0</v>
      </c>
      <c r="AM72" s="116">
        <v>0</v>
      </c>
      <c r="AN72" s="116">
        <v>0</v>
      </c>
      <c r="AO72" s="116">
        <v>0</v>
      </c>
      <c r="AP72" s="116">
        <v>0</v>
      </c>
      <c r="AQ72" s="116">
        <v>0</v>
      </c>
      <c r="AR72" s="116">
        <v>0</v>
      </c>
      <c r="AS72" s="116">
        <v>0</v>
      </c>
      <c r="AT72" s="116">
        <v>0</v>
      </c>
      <c r="AU72" s="116">
        <v>0</v>
      </c>
      <c r="AV72" s="116">
        <v>0</v>
      </c>
      <c r="AW72" s="116">
        <v>0</v>
      </c>
      <c r="AX72" s="116">
        <v>0</v>
      </c>
      <c r="AY72" s="116">
        <v>0</v>
      </c>
    </row>
    <row r="73" spans="1:51" x14ac:dyDescent="0.2">
      <c r="A73" s="115"/>
      <c r="B73" s="133">
        <v>29</v>
      </c>
      <c r="C73" s="115" t="s">
        <v>293</v>
      </c>
      <c r="D73" s="116">
        <v>0</v>
      </c>
      <c r="E73" s="116">
        <v>0</v>
      </c>
      <c r="F73" s="116">
        <v>0</v>
      </c>
      <c r="G73" s="116">
        <v>0</v>
      </c>
      <c r="H73" s="116">
        <v>0</v>
      </c>
      <c r="I73" s="116">
        <v>0</v>
      </c>
      <c r="J73" s="116">
        <v>0</v>
      </c>
      <c r="K73" s="116">
        <v>0</v>
      </c>
      <c r="L73" s="116">
        <v>0</v>
      </c>
      <c r="M73" s="116">
        <v>0</v>
      </c>
      <c r="N73" s="116">
        <v>0</v>
      </c>
      <c r="O73" s="116">
        <v>0</v>
      </c>
      <c r="P73" s="116">
        <v>0</v>
      </c>
      <c r="Q73" s="116">
        <v>0</v>
      </c>
      <c r="R73" s="116">
        <v>0</v>
      </c>
      <c r="S73" s="116">
        <v>0</v>
      </c>
      <c r="T73" s="116">
        <v>0</v>
      </c>
      <c r="U73" s="116">
        <v>0</v>
      </c>
      <c r="V73" s="116">
        <v>0</v>
      </c>
      <c r="W73" s="116">
        <v>0</v>
      </c>
      <c r="X73" s="116">
        <v>0</v>
      </c>
      <c r="Y73" s="116">
        <v>0</v>
      </c>
      <c r="Z73" s="116">
        <v>0</v>
      </c>
      <c r="AA73" s="116">
        <v>0</v>
      </c>
      <c r="AB73" s="116">
        <v>0</v>
      </c>
      <c r="AC73" s="116">
        <v>0</v>
      </c>
      <c r="AD73" s="116">
        <v>0</v>
      </c>
      <c r="AE73" s="116">
        <v>0</v>
      </c>
      <c r="AF73" s="116">
        <v>0</v>
      </c>
      <c r="AG73" s="116">
        <v>0</v>
      </c>
      <c r="AH73" s="116">
        <v>0</v>
      </c>
      <c r="AI73" s="116">
        <v>0</v>
      </c>
      <c r="AJ73" s="116">
        <v>0</v>
      </c>
      <c r="AK73" s="116">
        <v>0</v>
      </c>
      <c r="AL73" s="116">
        <v>0</v>
      </c>
      <c r="AM73" s="116">
        <v>0</v>
      </c>
      <c r="AN73" s="116">
        <v>0</v>
      </c>
      <c r="AO73" s="116">
        <v>0</v>
      </c>
      <c r="AP73" s="116">
        <v>0</v>
      </c>
      <c r="AQ73" s="116">
        <v>0</v>
      </c>
      <c r="AR73" s="116">
        <v>0</v>
      </c>
      <c r="AS73" s="116">
        <v>0</v>
      </c>
      <c r="AT73" s="116">
        <v>0</v>
      </c>
      <c r="AU73" s="116">
        <v>0</v>
      </c>
      <c r="AV73" s="116">
        <v>0</v>
      </c>
      <c r="AW73" s="116">
        <v>0</v>
      </c>
      <c r="AX73" s="116">
        <v>0</v>
      </c>
      <c r="AY73" s="116">
        <v>0</v>
      </c>
    </row>
    <row r="74" spans="1:51" x14ac:dyDescent="0.2">
      <c r="A74" s="115"/>
      <c r="B74" s="133">
        <v>30</v>
      </c>
      <c r="C74" s="115" t="s">
        <v>293</v>
      </c>
      <c r="D74" s="116">
        <v>0</v>
      </c>
      <c r="E74" s="116">
        <v>0</v>
      </c>
      <c r="F74" s="116">
        <v>0</v>
      </c>
      <c r="G74" s="116">
        <v>0</v>
      </c>
      <c r="H74" s="116">
        <v>0</v>
      </c>
      <c r="I74" s="116">
        <v>0</v>
      </c>
      <c r="J74" s="116">
        <v>0</v>
      </c>
      <c r="K74" s="116">
        <v>0</v>
      </c>
      <c r="L74" s="116">
        <v>0</v>
      </c>
      <c r="M74" s="116">
        <v>0</v>
      </c>
      <c r="N74" s="116">
        <v>0</v>
      </c>
      <c r="O74" s="116">
        <v>0</v>
      </c>
      <c r="P74" s="116">
        <v>0</v>
      </c>
      <c r="Q74" s="116">
        <v>0</v>
      </c>
      <c r="R74" s="116">
        <v>0</v>
      </c>
      <c r="S74" s="116">
        <v>0</v>
      </c>
      <c r="T74" s="116">
        <v>0</v>
      </c>
      <c r="U74" s="116">
        <v>0</v>
      </c>
      <c r="V74" s="116">
        <v>0</v>
      </c>
      <c r="W74" s="116">
        <v>0</v>
      </c>
      <c r="X74" s="116">
        <v>0</v>
      </c>
      <c r="Y74" s="116">
        <v>0</v>
      </c>
      <c r="Z74" s="116">
        <v>0</v>
      </c>
      <c r="AA74" s="116">
        <v>0</v>
      </c>
      <c r="AB74" s="116">
        <v>0</v>
      </c>
      <c r="AC74" s="116">
        <v>0</v>
      </c>
      <c r="AD74" s="116">
        <v>0</v>
      </c>
      <c r="AE74" s="116">
        <v>0</v>
      </c>
      <c r="AF74" s="116">
        <v>0</v>
      </c>
      <c r="AG74" s="116">
        <v>0</v>
      </c>
      <c r="AH74" s="116">
        <v>0</v>
      </c>
      <c r="AI74" s="116">
        <v>0</v>
      </c>
      <c r="AJ74" s="116">
        <v>0</v>
      </c>
      <c r="AK74" s="116">
        <v>0</v>
      </c>
      <c r="AL74" s="116">
        <v>0</v>
      </c>
      <c r="AM74" s="116">
        <v>0</v>
      </c>
      <c r="AN74" s="116">
        <v>0</v>
      </c>
      <c r="AO74" s="116">
        <v>0</v>
      </c>
      <c r="AP74" s="116">
        <v>0</v>
      </c>
      <c r="AQ74" s="116">
        <v>0</v>
      </c>
      <c r="AR74" s="116">
        <v>0</v>
      </c>
      <c r="AS74" s="116">
        <v>0</v>
      </c>
      <c r="AT74" s="116">
        <v>0</v>
      </c>
      <c r="AU74" s="116">
        <v>0</v>
      </c>
      <c r="AV74" s="116">
        <v>0</v>
      </c>
      <c r="AW74" s="116">
        <v>0</v>
      </c>
      <c r="AX74" s="116">
        <v>0</v>
      </c>
      <c r="AY74" s="116">
        <v>0</v>
      </c>
    </row>
    <row r="75" spans="1:51" x14ac:dyDescent="0.2">
      <c r="A75" s="115"/>
      <c r="B75" s="133">
        <v>31</v>
      </c>
      <c r="C75" s="115" t="s">
        <v>293</v>
      </c>
      <c r="D75" s="116">
        <v>0</v>
      </c>
      <c r="E75" s="116">
        <v>0</v>
      </c>
      <c r="F75" s="116">
        <v>0</v>
      </c>
      <c r="G75" s="116">
        <v>0</v>
      </c>
      <c r="H75" s="116">
        <v>0</v>
      </c>
      <c r="I75" s="116">
        <v>0</v>
      </c>
      <c r="J75" s="116">
        <v>0</v>
      </c>
      <c r="K75" s="116">
        <v>0</v>
      </c>
      <c r="L75" s="116">
        <v>0</v>
      </c>
      <c r="M75" s="116">
        <v>0</v>
      </c>
      <c r="N75" s="116">
        <v>0</v>
      </c>
      <c r="O75" s="116">
        <v>0</v>
      </c>
      <c r="P75" s="116">
        <v>0</v>
      </c>
      <c r="Q75" s="116">
        <v>0</v>
      </c>
      <c r="R75" s="116">
        <v>0</v>
      </c>
      <c r="S75" s="116">
        <v>0</v>
      </c>
      <c r="T75" s="116">
        <v>0</v>
      </c>
      <c r="U75" s="116">
        <v>0</v>
      </c>
      <c r="V75" s="116">
        <v>0</v>
      </c>
      <c r="W75" s="116">
        <v>0</v>
      </c>
      <c r="X75" s="116">
        <v>0</v>
      </c>
      <c r="Y75" s="116">
        <v>0</v>
      </c>
      <c r="Z75" s="116">
        <v>0</v>
      </c>
      <c r="AA75" s="116">
        <v>0</v>
      </c>
      <c r="AB75" s="116">
        <v>0</v>
      </c>
      <c r="AC75" s="116">
        <v>0</v>
      </c>
      <c r="AD75" s="116">
        <v>0</v>
      </c>
      <c r="AE75" s="116">
        <v>0</v>
      </c>
      <c r="AF75" s="116">
        <v>0</v>
      </c>
      <c r="AG75" s="116">
        <v>0</v>
      </c>
      <c r="AH75" s="116">
        <v>0</v>
      </c>
      <c r="AI75" s="116">
        <v>0</v>
      </c>
      <c r="AJ75" s="116">
        <v>0</v>
      </c>
      <c r="AK75" s="116">
        <v>0</v>
      </c>
      <c r="AL75" s="116">
        <v>0</v>
      </c>
      <c r="AM75" s="116">
        <v>0</v>
      </c>
      <c r="AN75" s="116">
        <v>0</v>
      </c>
      <c r="AO75" s="116">
        <v>0</v>
      </c>
      <c r="AP75" s="116">
        <v>0</v>
      </c>
      <c r="AQ75" s="116">
        <v>0</v>
      </c>
      <c r="AR75" s="116">
        <v>0</v>
      </c>
      <c r="AS75" s="116">
        <v>0</v>
      </c>
      <c r="AT75" s="116">
        <v>0</v>
      </c>
      <c r="AU75" s="116">
        <v>0</v>
      </c>
      <c r="AV75" s="116">
        <v>0</v>
      </c>
      <c r="AW75" s="116">
        <v>0</v>
      </c>
      <c r="AX75" s="116">
        <v>0</v>
      </c>
      <c r="AY75" s="116">
        <v>0</v>
      </c>
    </row>
    <row r="76" spans="1:51" x14ac:dyDescent="0.2">
      <c r="A76" s="115"/>
      <c r="B76" s="133">
        <v>32</v>
      </c>
      <c r="C76" s="115" t="s">
        <v>293</v>
      </c>
      <c r="D76" s="116">
        <v>0</v>
      </c>
      <c r="E76" s="116">
        <v>0</v>
      </c>
      <c r="F76" s="116">
        <v>0</v>
      </c>
      <c r="G76" s="116">
        <v>0</v>
      </c>
      <c r="H76" s="116">
        <v>0</v>
      </c>
      <c r="I76" s="116">
        <v>0</v>
      </c>
      <c r="J76" s="116">
        <v>0</v>
      </c>
      <c r="K76" s="116">
        <v>0</v>
      </c>
      <c r="L76" s="116">
        <v>0</v>
      </c>
      <c r="M76" s="116">
        <v>0</v>
      </c>
      <c r="N76" s="116">
        <v>0</v>
      </c>
      <c r="O76" s="116">
        <v>0</v>
      </c>
      <c r="P76" s="116">
        <v>0</v>
      </c>
      <c r="Q76" s="116">
        <v>0</v>
      </c>
      <c r="R76" s="116">
        <v>0</v>
      </c>
      <c r="S76" s="116">
        <v>0</v>
      </c>
      <c r="T76" s="116">
        <v>0</v>
      </c>
      <c r="U76" s="116">
        <v>0</v>
      </c>
      <c r="V76" s="116">
        <v>0</v>
      </c>
      <c r="W76" s="116">
        <v>0</v>
      </c>
      <c r="X76" s="116">
        <v>0</v>
      </c>
      <c r="Y76" s="116">
        <v>0</v>
      </c>
      <c r="Z76" s="116">
        <v>0</v>
      </c>
      <c r="AA76" s="116">
        <v>0</v>
      </c>
      <c r="AB76" s="116">
        <v>0</v>
      </c>
      <c r="AC76" s="116">
        <v>0</v>
      </c>
      <c r="AD76" s="116">
        <v>0</v>
      </c>
      <c r="AE76" s="116">
        <v>0</v>
      </c>
      <c r="AF76" s="116">
        <v>0</v>
      </c>
      <c r="AG76" s="116">
        <v>0</v>
      </c>
      <c r="AH76" s="116">
        <v>0</v>
      </c>
      <c r="AI76" s="116">
        <v>0</v>
      </c>
      <c r="AJ76" s="116">
        <v>0</v>
      </c>
      <c r="AK76" s="116">
        <v>0</v>
      </c>
      <c r="AL76" s="116">
        <v>0</v>
      </c>
      <c r="AM76" s="116">
        <v>0</v>
      </c>
      <c r="AN76" s="116">
        <v>0</v>
      </c>
      <c r="AO76" s="116">
        <v>0</v>
      </c>
      <c r="AP76" s="116">
        <v>0</v>
      </c>
      <c r="AQ76" s="116">
        <v>0</v>
      </c>
      <c r="AR76" s="116">
        <v>0</v>
      </c>
      <c r="AS76" s="116">
        <v>0</v>
      </c>
      <c r="AT76" s="116">
        <v>0</v>
      </c>
      <c r="AU76" s="116">
        <v>0</v>
      </c>
      <c r="AV76" s="116">
        <v>0</v>
      </c>
      <c r="AW76" s="116">
        <v>0</v>
      </c>
      <c r="AX76" s="116">
        <v>0</v>
      </c>
      <c r="AY76" s="116">
        <v>0</v>
      </c>
    </row>
    <row r="77" spans="1:51" x14ac:dyDescent="0.2">
      <c r="A77" s="115"/>
      <c r="B77" s="133">
        <v>33</v>
      </c>
      <c r="C77" s="115" t="s">
        <v>293</v>
      </c>
      <c r="D77" s="116">
        <v>0</v>
      </c>
      <c r="E77" s="116">
        <v>0</v>
      </c>
      <c r="F77" s="116">
        <v>0</v>
      </c>
      <c r="G77" s="116">
        <v>0</v>
      </c>
      <c r="H77" s="116">
        <v>0</v>
      </c>
      <c r="I77" s="116">
        <v>0</v>
      </c>
      <c r="J77" s="116">
        <v>0</v>
      </c>
      <c r="K77" s="116">
        <v>0</v>
      </c>
      <c r="L77" s="116">
        <v>0</v>
      </c>
      <c r="M77" s="116">
        <v>0</v>
      </c>
      <c r="N77" s="116">
        <v>0</v>
      </c>
      <c r="O77" s="116">
        <v>0</v>
      </c>
      <c r="P77" s="116">
        <v>0</v>
      </c>
      <c r="Q77" s="116">
        <v>0</v>
      </c>
      <c r="R77" s="116">
        <v>0</v>
      </c>
      <c r="S77" s="116">
        <v>0</v>
      </c>
      <c r="T77" s="116">
        <v>0</v>
      </c>
      <c r="U77" s="116">
        <v>0</v>
      </c>
      <c r="V77" s="116">
        <v>0</v>
      </c>
      <c r="W77" s="116">
        <v>0</v>
      </c>
      <c r="X77" s="116">
        <v>0</v>
      </c>
      <c r="Y77" s="116">
        <v>0</v>
      </c>
      <c r="Z77" s="116">
        <v>0</v>
      </c>
      <c r="AA77" s="116">
        <v>0</v>
      </c>
      <c r="AB77" s="116">
        <v>0</v>
      </c>
      <c r="AC77" s="116">
        <v>0</v>
      </c>
      <c r="AD77" s="116">
        <v>0</v>
      </c>
      <c r="AE77" s="116">
        <v>0</v>
      </c>
      <c r="AF77" s="116">
        <v>0</v>
      </c>
      <c r="AG77" s="116">
        <v>0</v>
      </c>
      <c r="AH77" s="116">
        <v>0</v>
      </c>
      <c r="AI77" s="116">
        <v>0</v>
      </c>
      <c r="AJ77" s="116">
        <v>0</v>
      </c>
      <c r="AK77" s="116">
        <v>0</v>
      </c>
      <c r="AL77" s="116">
        <v>0</v>
      </c>
      <c r="AM77" s="116">
        <v>0</v>
      </c>
      <c r="AN77" s="116">
        <v>0</v>
      </c>
      <c r="AO77" s="116">
        <v>0</v>
      </c>
      <c r="AP77" s="116">
        <v>0</v>
      </c>
      <c r="AQ77" s="116">
        <v>0</v>
      </c>
      <c r="AR77" s="116">
        <v>0</v>
      </c>
      <c r="AS77" s="116">
        <v>0</v>
      </c>
      <c r="AT77" s="116">
        <v>0</v>
      </c>
      <c r="AU77" s="116">
        <v>0</v>
      </c>
      <c r="AV77" s="116">
        <v>0</v>
      </c>
      <c r="AW77" s="116">
        <v>0</v>
      </c>
      <c r="AX77" s="116">
        <v>0</v>
      </c>
      <c r="AY77" s="116">
        <v>0</v>
      </c>
    </row>
    <row r="78" spans="1:51" x14ac:dyDescent="0.2">
      <c r="A78" s="115"/>
      <c r="B78" s="133">
        <v>34</v>
      </c>
      <c r="C78" s="115" t="s">
        <v>293</v>
      </c>
      <c r="D78" s="116">
        <v>0</v>
      </c>
      <c r="E78" s="116">
        <v>0</v>
      </c>
      <c r="F78" s="116">
        <v>0</v>
      </c>
      <c r="G78" s="116">
        <v>0</v>
      </c>
      <c r="H78" s="116">
        <v>0</v>
      </c>
      <c r="I78" s="116">
        <v>0</v>
      </c>
      <c r="J78" s="116">
        <v>0</v>
      </c>
      <c r="K78" s="116">
        <v>0</v>
      </c>
      <c r="L78" s="116">
        <v>0</v>
      </c>
      <c r="M78" s="116">
        <v>0</v>
      </c>
      <c r="N78" s="116">
        <v>0</v>
      </c>
      <c r="O78" s="116">
        <v>0</v>
      </c>
      <c r="P78" s="116">
        <v>0</v>
      </c>
      <c r="Q78" s="116">
        <v>0</v>
      </c>
      <c r="R78" s="116">
        <v>0</v>
      </c>
      <c r="S78" s="116">
        <v>0</v>
      </c>
      <c r="T78" s="116">
        <v>0</v>
      </c>
      <c r="U78" s="116">
        <v>0</v>
      </c>
      <c r="V78" s="116">
        <v>0</v>
      </c>
      <c r="W78" s="116">
        <v>0</v>
      </c>
      <c r="X78" s="116">
        <v>0</v>
      </c>
      <c r="Y78" s="116">
        <v>0</v>
      </c>
      <c r="Z78" s="116">
        <v>0</v>
      </c>
      <c r="AA78" s="116">
        <v>0</v>
      </c>
      <c r="AB78" s="116">
        <v>0</v>
      </c>
      <c r="AC78" s="116">
        <v>0</v>
      </c>
      <c r="AD78" s="116">
        <v>0</v>
      </c>
      <c r="AE78" s="116">
        <v>0</v>
      </c>
      <c r="AF78" s="116">
        <v>0</v>
      </c>
      <c r="AG78" s="116">
        <v>0</v>
      </c>
      <c r="AH78" s="116">
        <v>0</v>
      </c>
      <c r="AI78" s="116">
        <v>0</v>
      </c>
      <c r="AJ78" s="116">
        <v>0</v>
      </c>
      <c r="AK78" s="116">
        <v>0</v>
      </c>
      <c r="AL78" s="116">
        <v>0</v>
      </c>
      <c r="AM78" s="116">
        <v>0</v>
      </c>
      <c r="AN78" s="116">
        <v>0</v>
      </c>
      <c r="AO78" s="116">
        <v>0</v>
      </c>
      <c r="AP78" s="116">
        <v>0</v>
      </c>
      <c r="AQ78" s="116">
        <v>0</v>
      </c>
      <c r="AR78" s="116">
        <v>0</v>
      </c>
      <c r="AS78" s="116">
        <v>0</v>
      </c>
      <c r="AT78" s="116">
        <v>0</v>
      </c>
      <c r="AU78" s="116">
        <v>0</v>
      </c>
      <c r="AV78" s="116">
        <v>0</v>
      </c>
      <c r="AW78" s="116">
        <v>0</v>
      </c>
      <c r="AX78" s="116">
        <v>0</v>
      </c>
      <c r="AY78" s="116">
        <v>0</v>
      </c>
    </row>
    <row r="79" spans="1:51" x14ac:dyDescent="0.2">
      <c r="A79" s="115"/>
      <c r="B79" s="133">
        <v>35</v>
      </c>
      <c r="C79" s="115" t="s">
        <v>293</v>
      </c>
      <c r="D79" s="116">
        <v>0</v>
      </c>
      <c r="E79" s="116">
        <v>0</v>
      </c>
      <c r="F79" s="116">
        <v>0</v>
      </c>
      <c r="G79" s="116">
        <v>0</v>
      </c>
      <c r="H79" s="116">
        <v>0</v>
      </c>
      <c r="I79" s="116">
        <v>0</v>
      </c>
      <c r="J79" s="116">
        <v>0</v>
      </c>
      <c r="K79" s="116">
        <v>0</v>
      </c>
      <c r="L79" s="116">
        <v>0</v>
      </c>
      <c r="M79" s="116">
        <v>0</v>
      </c>
      <c r="N79" s="116">
        <v>0</v>
      </c>
      <c r="O79" s="116">
        <v>0</v>
      </c>
      <c r="P79" s="116">
        <v>0</v>
      </c>
      <c r="Q79" s="116">
        <v>0</v>
      </c>
      <c r="R79" s="116">
        <v>0</v>
      </c>
      <c r="S79" s="116">
        <v>0</v>
      </c>
      <c r="T79" s="116">
        <v>0</v>
      </c>
      <c r="U79" s="116">
        <v>0</v>
      </c>
      <c r="V79" s="116">
        <v>0</v>
      </c>
      <c r="W79" s="116">
        <v>0</v>
      </c>
      <c r="X79" s="116">
        <v>0</v>
      </c>
      <c r="Y79" s="116">
        <v>0</v>
      </c>
      <c r="Z79" s="116">
        <v>0</v>
      </c>
      <c r="AA79" s="116">
        <v>0</v>
      </c>
      <c r="AB79" s="116">
        <v>0</v>
      </c>
      <c r="AC79" s="116">
        <v>0</v>
      </c>
      <c r="AD79" s="116">
        <v>0</v>
      </c>
      <c r="AE79" s="116">
        <v>0</v>
      </c>
      <c r="AF79" s="116">
        <v>0</v>
      </c>
      <c r="AG79" s="116">
        <v>0</v>
      </c>
      <c r="AH79" s="116">
        <v>0</v>
      </c>
      <c r="AI79" s="116">
        <v>0</v>
      </c>
      <c r="AJ79" s="116">
        <v>0</v>
      </c>
      <c r="AK79" s="116">
        <v>0</v>
      </c>
      <c r="AL79" s="116">
        <v>0</v>
      </c>
      <c r="AM79" s="116">
        <v>0</v>
      </c>
      <c r="AN79" s="116">
        <v>0</v>
      </c>
      <c r="AO79" s="116">
        <v>0</v>
      </c>
      <c r="AP79" s="116">
        <v>0</v>
      </c>
      <c r="AQ79" s="116">
        <v>0</v>
      </c>
      <c r="AR79" s="116">
        <v>0</v>
      </c>
      <c r="AS79" s="116">
        <v>0</v>
      </c>
      <c r="AT79" s="116">
        <v>0</v>
      </c>
      <c r="AU79" s="116">
        <v>0</v>
      </c>
      <c r="AV79" s="116">
        <v>0</v>
      </c>
      <c r="AW79" s="116">
        <v>0</v>
      </c>
      <c r="AX79" s="116">
        <v>0</v>
      </c>
      <c r="AY79" s="116">
        <v>0</v>
      </c>
    </row>
    <row r="80" spans="1:51" x14ac:dyDescent="0.2">
      <c r="A80" s="115"/>
      <c r="B80" s="133">
        <v>36</v>
      </c>
      <c r="C80" s="115" t="s">
        <v>293</v>
      </c>
      <c r="D80" s="116">
        <v>0</v>
      </c>
      <c r="E80" s="116">
        <v>0</v>
      </c>
      <c r="F80" s="116">
        <v>0</v>
      </c>
      <c r="G80" s="116">
        <v>0</v>
      </c>
      <c r="H80" s="116">
        <v>0</v>
      </c>
      <c r="I80" s="116">
        <v>0</v>
      </c>
      <c r="J80" s="116">
        <v>0</v>
      </c>
      <c r="K80" s="116">
        <v>0</v>
      </c>
      <c r="L80" s="116">
        <v>0</v>
      </c>
      <c r="M80" s="116">
        <v>0</v>
      </c>
      <c r="N80" s="116">
        <v>0</v>
      </c>
      <c r="O80" s="116">
        <v>0</v>
      </c>
      <c r="P80" s="116">
        <v>0</v>
      </c>
      <c r="Q80" s="116">
        <v>0</v>
      </c>
      <c r="R80" s="116">
        <v>0</v>
      </c>
      <c r="S80" s="116">
        <v>0</v>
      </c>
      <c r="T80" s="116">
        <v>0</v>
      </c>
      <c r="U80" s="116">
        <v>0</v>
      </c>
      <c r="V80" s="116">
        <v>0</v>
      </c>
      <c r="W80" s="116">
        <v>0</v>
      </c>
      <c r="X80" s="116">
        <v>0</v>
      </c>
      <c r="Y80" s="116">
        <v>0</v>
      </c>
      <c r="Z80" s="116">
        <v>0</v>
      </c>
      <c r="AA80" s="116">
        <v>0</v>
      </c>
      <c r="AB80" s="116">
        <v>0</v>
      </c>
      <c r="AC80" s="116">
        <v>0</v>
      </c>
      <c r="AD80" s="116">
        <v>0</v>
      </c>
      <c r="AE80" s="116">
        <v>0</v>
      </c>
      <c r="AF80" s="116">
        <v>0</v>
      </c>
      <c r="AG80" s="116">
        <v>0</v>
      </c>
      <c r="AH80" s="116">
        <v>0</v>
      </c>
      <c r="AI80" s="116">
        <v>0</v>
      </c>
      <c r="AJ80" s="116">
        <v>0</v>
      </c>
      <c r="AK80" s="116">
        <v>0</v>
      </c>
      <c r="AL80" s="116">
        <v>0</v>
      </c>
      <c r="AM80" s="116">
        <v>0</v>
      </c>
      <c r="AN80" s="116">
        <v>0</v>
      </c>
      <c r="AO80" s="116">
        <v>0</v>
      </c>
      <c r="AP80" s="116">
        <v>0</v>
      </c>
      <c r="AQ80" s="116">
        <v>0</v>
      </c>
      <c r="AR80" s="116">
        <v>0</v>
      </c>
      <c r="AS80" s="116">
        <v>0</v>
      </c>
      <c r="AT80" s="116">
        <v>0</v>
      </c>
      <c r="AU80" s="116">
        <v>0</v>
      </c>
      <c r="AV80" s="116">
        <v>0</v>
      </c>
      <c r="AW80" s="116">
        <v>0</v>
      </c>
      <c r="AX80" s="116">
        <v>0</v>
      </c>
      <c r="AY80" s="116">
        <v>0</v>
      </c>
    </row>
    <row r="81" spans="1:52" x14ac:dyDescent="0.2">
      <c r="A81" s="115"/>
      <c r="B81" s="136">
        <v>37</v>
      </c>
      <c r="C81" s="115" t="s">
        <v>293</v>
      </c>
      <c r="D81" s="116">
        <v>0</v>
      </c>
      <c r="E81" s="116">
        <v>0</v>
      </c>
      <c r="F81" s="116">
        <v>0</v>
      </c>
      <c r="G81" s="116">
        <v>0</v>
      </c>
      <c r="H81" s="116">
        <v>0</v>
      </c>
      <c r="I81" s="116">
        <v>0</v>
      </c>
      <c r="J81" s="116">
        <v>0</v>
      </c>
      <c r="K81" s="116">
        <v>0</v>
      </c>
      <c r="L81" s="116">
        <v>0</v>
      </c>
      <c r="M81" s="116">
        <v>0</v>
      </c>
      <c r="N81" s="116">
        <v>0</v>
      </c>
      <c r="O81" s="116">
        <v>0</v>
      </c>
      <c r="P81" s="116">
        <v>0</v>
      </c>
      <c r="Q81" s="116">
        <v>0</v>
      </c>
      <c r="R81" s="116">
        <v>0</v>
      </c>
      <c r="S81" s="116">
        <v>0</v>
      </c>
      <c r="T81" s="116">
        <v>0</v>
      </c>
      <c r="U81" s="116">
        <v>0</v>
      </c>
      <c r="V81" s="116">
        <v>0</v>
      </c>
      <c r="W81" s="116">
        <v>0</v>
      </c>
      <c r="X81" s="116">
        <v>0</v>
      </c>
      <c r="Y81" s="116">
        <v>0</v>
      </c>
      <c r="Z81" s="116">
        <v>0</v>
      </c>
      <c r="AA81" s="116">
        <v>0</v>
      </c>
      <c r="AB81" s="116">
        <v>0</v>
      </c>
      <c r="AC81" s="116">
        <v>0</v>
      </c>
      <c r="AD81" s="116">
        <v>0</v>
      </c>
      <c r="AE81" s="116">
        <v>0</v>
      </c>
      <c r="AF81" s="116">
        <v>0</v>
      </c>
      <c r="AG81" s="116">
        <v>0</v>
      </c>
      <c r="AH81" s="116">
        <v>0</v>
      </c>
      <c r="AI81" s="116">
        <v>0</v>
      </c>
      <c r="AJ81" s="116">
        <v>0</v>
      </c>
      <c r="AK81" s="116">
        <v>0</v>
      </c>
      <c r="AL81" s="116">
        <v>0</v>
      </c>
      <c r="AM81" s="116">
        <v>0</v>
      </c>
      <c r="AN81" s="116">
        <v>0</v>
      </c>
      <c r="AO81" s="116">
        <v>0</v>
      </c>
      <c r="AP81" s="116">
        <v>0</v>
      </c>
      <c r="AQ81" s="116">
        <v>0</v>
      </c>
      <c r="AR81" s="116">
        <v>0</v>
      </c>
      <c r="AS81" s="116">
        <v>0</v>
      </c>
      <c r="AT81" s="116">
        <v>0</v>
      </c>
      <c r="AU81" s="116">
        <v>0</v>
      </c>
      <c r="AV81" s="116">
        <v>0</v>
      </c>
      <c r="AW81" s="116">
        <v>0</v>
      </c>
      <c r="AX81" s="116">
        <v>0</v>
      </c>
      <c r="AY81" s="116">
        <v>0</v>
      </c>
    </row>
    <row r="82" spans="1:52" x14ac:dyDescent="0.2">
      <c r="A82" s="115"/>
      <c r="B82" s="136">
        <v>38</v>
      </c>
      <c r="C82" s="115" t="s">
        <v>293</v>
      </c>
      <c r="D82" s="116">
        <v>0</v>
      </c>
      <c r="E82" s="116">
        <v>0</v>
      </c>
      <c r="F82" s="116">
        <v>0</v>
      </c>
      <c r="G82" s="116">
        <v>0</v>
      </c>
      <c r="H82" s="116">
        <v>0</v>
      </c>
      <c r="I82" s="116">
        <v>0</v>
      </c>
      <c r="J82" s="116">
        <v>0</v>
      </c>
      <c r="K82" s="116">
        <v>0</v>
      </c>
      <c r="L82" s="116">
        <v>0</v>
      </c>
      <c r="M82" s="116">
        <v>0</v>
      </c>
      <c r="N82" s="116">
        <v>0</v>
      </c>
      <c r="O82" s="116">
        <v>0</v>
      </c>
      <c r="P82" s="116">
        <v>0</v>
      </c>
      <c r="Q82" s="116">
        <v>0</v>
      </c>
      <c r="R82" s="116">
        <v>0</v>
      </c>
      <c r="S82" s="116">
        <v>0</v>
      </c>
      <c r="T82" s="116">
        <v>0</v>
      </c>
      <c r="U82" s="116">
        <v>0</v>
      </c>
      <c r="V82" s="116">
        <v>0</v>
      </c>
      <c r="W82" s="116">
        <v>0</v>
      </c>
      <c r="X82" s="116">
        <v>0</v>
      </c>
      <c r="Y82" s="116">
        <v>0</v>
      </c>
      <c r="Z82" s="116">
        <v>0</v>
      </c>
      <c r="AA82" s="116">
        <v>0</v>
      </c>
      <c r="AB82" s="116">
        <v>0</v>
      </c>
      <c r="AC82" s="116">
        <v>0</v>
      </c>
      <c r="AD82" s="116">
        <v>0</v>
      </c>
      <c r="AE82" s="116">
        <v>0</v>
      </c>
      <c r="AF82" s="116">
        <v>0</v>
      </c>
      <c r="AG82" s="116">
        <v>0</v>
      </c>
      <c r="AH82" s="116">
        <v>0</v>
      </c>
      <c r="AI82" s="116">
        <v>0</v>
      </c>
      <c r="AJ82" s="116">
        <v>0</v>
      </c>
      <c r="AK82" s="116">
        <v>0</v>
      </c>
      <c r="AL82" s="116">
        <v>0</v>
      </c>
      <c r="AM82" s="116">
        <v>0</v>
      </c>
      <c r="AN82" s="116">
        <v>0</v>
      </c>
      <c r="AO82" s="116">
        <v>0</v>
      </c>
      <c r="AP82" s="116">
        <v>0</v>
      </c>
      <c r="AQ82" s="116">
        <v>0</v>
      </c>
      <c r="AR82" s="116">
        <v>0</v>
      </c>
      <c r="AS82" s="116">
        <v>0</v>
      </c>
      <c r="AT82" s="116">
        <v>0</v>
      </c>
      <c r="AU82" s="116">
        <v>0</v>
      </c>
      <c r="AV82" s="116">
        <v>0</v>
      </c>
      <c r="AW82" s="116">
        <v>0</v>
      </c>
      <c r="AX82" s="116">
        <v>0</v>
      </c>
      <c r="AY82" s="116">
        <v>0</v>
      </c>
    </row>
    <row r="83" spans="1:52" x14ac:dyDescent="0.2">
      <c r="A83" s="115"/>
      <c r="B83" s="136">
        <v>39</v>
      </c>
      <c r="C83" s="115" t="s">
        <v>293</v>
      </c>
      <c r="D83" s="116">
        <v>0</v>
      </c>
      <c r="E83" s="116">
        <v>0</v>
      </c>
      <c r="F83" s="116">
        <v>0</v>
      </c>
      <c r="G83" s="116">
        <v>0</v>
      </c>
      <c r="H83" s="116">
        <v>0</v>
      </c>
      <c r="I83" s="116">
        <v>0</v>
      </c>
      <c r="J83" s="116">
        <v>0</v>
      </c>
      <c r="K83" s="116">
        <v>0</v>
      </c>
      <c r="L83" s="116">
        <v>0</v>
      </c>
      <c r="M83" s="116">
        <v>0</v>
      </c>
      <c r="N83" s="116">
        <v>0</v>
      </c>
      <c r="O83" s="116">
        <v>0</v>
      </c>
      <c r="P83" s="116">
        <v>0</v>
      </c>
      <c r="Q83" s="116">
        <v>0</v>
      </c>
      <c r="R83" s="116">
        <v>0</v>
      </c>
      <c r="S83" s="116">
        <v>0</v>
      </c>
      <c r="T83" s="116">
        <v>0</v>
      </c>
      <c r="U83" s="116">
        <v>0</v>
      </c>
      <c r="V83" s="116">
        <v>0</v>
      </c>
      <c r="W83" s="116">
        <v>0</v>
      </c>
      <c r="X83" s="116">
        <v>0</v>
      </c>
      <c r="Y83" s="116">
        <v>0</v>
      </c>
      <c r="Z83" s="116">
        <v>0</v>
      </c>
      <c r="AA83" s="116">
        <v>0</v>
      </c>
      <c r="AB83" s="116">
        <v>0</v>
      </c>
      <c r="AC83" s="116">
        <v>0</v>
      </c>
      <c r="AD83" s="116">
        <v>0</v>
      </c>
      <c r="AE83" s="116">
        <v>0</v>
      </c>
      <c r="AF83" s="116">
        <v>0</v>
      </c>
      <c r="AG83" s="116">
        <v>0</v>
      </c>
      <c r="AH83" s="116">
        <v>0</v>
      </c>
      <c r="AI83" s="116">
        <v>0</v>
      </c>
      <c r="AJ83" s="116">
        <v>0</v>
      </c>
      <c r="AK83" s="116">
        <v>0</v>
      </c>
      <c r="AL83" s="116">
        <v>0</v>
      </c>
      <c r="AM83" s="116">
        <v>0</v>
      </c>
      <c r="AN83" s="116">
        <v>0</v>
      </c>
      <c r="AO83" s="116">
        <v>0</v>
      </c>
      <c r="AP83" s="116">
        <v>0</v>
      </c>
      <c r="AQ83" s="116">
        <v>0</v>
      </c>
      <c r="AR83" s="116">
        <v>0</v>
      </c>
      <c r="AS83" s="116">
        <v>0</v>
      </c>
      <c r="AT83" s="116">
        <v>0</v>
      </c>
      <c r="AU83" s="116">
        <v>0</v>
      </c>
      <c r="AV83" s="116">
        <v>0</v>
      </c>
      <c r="AW83" s="116">
        <v>0</v>
      </c>
      <c r="AX83" s="116">
        <v>0</v>
      </c>
      <c r="AY83" s="116">
        <v>0</v>
      </c>
    </row>
    <row r="84" spans="1:52" x14ac:dyDescent="0.2">
      <c r="A84" s="115"/>
      <c r="B84" s="136">
        <v>40</v>
      </c>
      <c r="C84" s="115" t="s">
        <v>293</v>
      </c>
      <c r="D84" s="116">
        <v>0</v>
      </c>
      <c r="E84" s="116">
        <v>0</v>
      </c>
      <c r="F84" s="116">
        <v>0</v>
      </c>
      <c r="G84" s="116">
        <v>0</v>
      </c>
      <c r="H84" s="116">
        <v>0</v>
      </c>
      <c r="I84" s="116">
        <v>0</v>
      </c>
      <c r="J84" s="116">
        <v>0</v>
      </c>
      <c r="K84" s="116">
        <v>0</v>
      </c>
      <c r="L84" s="116">
        <v>0</v>
      </c>
      <c r="M84" s="116">
        <v>0</v>
      </c>
      <c r="N84" s="116">
        <v>0</v>
      </c>
      <c r="O84" s="116">
        <v>0</v>
      </c>
      <c r="P84" s="116">
        <v>0</v>
      </c>
      <c r="Q84" s="116">
        <v>0</v>
      </c>
      <c r="R84" s="116">
        <v>0</v>
      </c>
      <c r="S84" s="116">
        <v>0</v>
      </c>
      <c r="T84" s="116">
        <v>0</v>
      </c>
      <c r="U84" s="116">
        <v>0</v>
      </c>
      <c r="V84" s="116">
        <v>0</v>
      </c>
      <c r="W84" s="116">
        <v>0</v>
      </c>
      <c r="X84" s="116">
        <v>0</v>
      </c>
      <c r="Y84" s="116">
        <v>0</v>
      </c>
      <c r="Z84" s="116">
        <v>0</v>
      </c>
      <c r="AA84" s="116">
        <v>0</v>
      </c>
      <c r="AB84" s="116">
        <v>0</v>
      </c>
      <c r="AC84" s="116">
        <v>0</v>
      </c>
      <c r="AD84" s="116">
        <v>0</v>
      </c>
      <c r="AE84" s="116">
        <v>0</v>
      </c>
      <c r="AF84" s="116">
        <v>0</v>
      </c>
      <c r="AG84" s="116">
        <v>0</v>
      </c>
      <c r="AH84" s="116">
        <v>0</v>
      </c>
      <c r="AI84" s="116">
        <v>0</v>
      </c>
      <c r="AJ84" s="116">
        <v>0</v>
      </c>
      <c r="AK84" s="116">
        <v>0</v>
      </c>
      <c r="AL84" s="116">
        <v>0</v>
      </c>
      <c r="AM84" s="116">
        <v>0</v>
      </c>
      <c r="AN84" s="116">
        <v>0</v>
      </c>
      <c r="AO84" s="116">
        <v>0</v>
      </c>
      <c r="AP84" s="116">
        <v>0</v>
      </c>
      <c r="AQ84" s="116">
        <v>0</v>
      </c>
      <c r="AR84" s="116">
        <v>0</v>
      </c>
      <c r="AS84" s="116">
        <v>0</v>
      </c>
      <c r="AT84" s="116">
        <v>0</v>
      </c>
      <c r="AU84" s="116">
        <v>0</v>
      </c>
      <c r="AV84" s="116">
        <v>0</v>
      </c>
      <c r="AW84" s="116">
        <v>0</v>
      </c>
      <c r="AX84" s="116">
        <v>0</v>
      </c>
      <c r="AY84" s="116">
        <v>0</v>
      </c>
    </row>
    <row r="85" spans="1:52" x14ac:dyDescent="0.2">
      <c r="A85" s="115"/>
      <c r="B85" s="136">
        <v>41</v>
      </c>
      <c r="C85" s="115" t="s">
        <v>293</v>
      </c>
      <c r="D85" s="116">
        <v>0</v>
      </c>
      <c r="E85" s="116">
        <v>0</v>
      </c>
      <c r="F85" s="116">
        <v>0</v>
      </c>
      <c r="G85" s="116">
        <v>0</v>
      </c>
      <c r="H85" s="116">
        <v>0</v>
      </c>
      <c r="I85" s="116">
        <v>0</v>
      </c>
      <c r="J85" s="116">
        <v>0</v>
      </c>
      <c r="K85" s="116">
        <v>0</v>
      </c>
      <c r="L85" s="116">
        <v>0</v>
      </c>
      <c r="M85" s="116">
        <v>0</v>
      </c>
      <c r="N85" s="116">
        <v>0</v>
      </c>
      <c r="O85" s="116">
        <v>0</v>
      </c>
      <c r="P85" s="116">
        <v>0</v>
      </c>
      <c r="Q85" s="116">
        <v>0</v>
      </c>
      <c r="R85" s="116">
        <v>0</v>
      </c>
      <c r="S85" s="116">
        <v>0</v>
      </c>
      <c r="T85" s="116">
        <v>0</v>
      </c>
      <c r="U85" s="116">
        <v>0</v>
      </c>
      <c r="V85" s="116">
        <v>0</v>
      </c>
      <c r="W85" s="116">
        <v>0</v>
      </c>
      <c r="X85" s="116">
        <v>0</v>
      </c>
      <c r="Y85" s="116">
        <v>0</v>
      </c>
      <c r="Z85" s="116">
        <v>0</v>
      </c>
      <c r="AA85" s="116">
        <v>0</v>
      </c>
      <c r="AB85" s="116">
        <v>0</v>
      </c>
      <c r="AC85" s="116">
        <v>0</v>
      </c>
      <c r="AD85" s="116">
        <v>0</v>
      </c>
      <c r="AE85" s="116">
        <v>0</v>
      </c>
      <c r="AF85" s="116">
        <v>0</v>
      </c>
      <c r="AG85" s="116">
        <v>0</v>
      </c>
      <c r="AH85" s="116">
        <v>0</v>
      </c>
      <c r="AI85" s="116">
        <v>0</v>
      </c>
      <c r="AJ85" s="116">
        <v>0</v>
      </c>
      <c r="AK85" s="116">
        <v>0</v>
      </c>
      <c r="AL85" s="116">
        <v>0</v>
      </c>
      <c r="AM85" s="116">
        <v>0</v>
      </c>
      <c r="AN85" s="116">
        <v>0</v>
      </c>
      <c r="AO85" s="116">
        <v>0</v>
      </c>
      <c r="AP85" s="116">
        <v>0</v>
      </c>
      <c r="AQ85" s="116">
        <v>0</v>
      </c>
      <c r="AR85" s="116">
        <v>0</v>
      </c>
      <c r="AS85" s="116">
        <v>0</v>
      </c>
      <c r="AT85" s="116">
        <v>0</v>
      </c>
      <c r="AU85" s="116">
        <v>0</v>
      </c>
      <c r="AV85" s="116">
        <v>0</v>
      </c>
      <c r="AW85" s="116">
        <v>0</v>
      </c>
      <c r="AX85" s="116">
        <v>0</v>
      </c>
      <c r="AY85" s="116">
        <v>0</v>
      </c>
    </row>
    <row r="86" spans="1:52" x14ac:dyDescent="0.2">
      <c r="A86" s="115"/>
      <c r="B86" s="136">
        <v>42</v>
      </c>
      <c r="C86" s="115" t="s">
        <v>293</v>
      </c>
      <c r="D86" s="116">
        <v>0</v>
      </c>
      <c r="E86" s="116">
        <v>0</v>
      </c>
      <c r="F86" s="116">
        <v>0</v>
      </c>
      <c r="G86" s="116">
        <v>0</v>
      </c>
      <c r="H86" s="116">
        <v>0</v>
      </c>
      <c r="I86" s="116">
        <v>0</v>
      </c>
      <c r="J86" s="116">
        <v>0</v>
      </c>
      <c r="K86" s="116">
        <v>0</v>
      </c>
      <c r="L86" s="116">
        <v>0</v>
      </c>
      <c r="M86" s="116">
        <v>0</v>
      </c>
      <c r="N86" s="116">
        <v>0</v>
      </c>
      <c r="O86" s="116">
        <v>0</v>
      </c>
      <c r="P86" s="116">
        <v>0</v>
      </c>
      <c r="Q86" s="116">
        <v>0</v>
      </c>
      <c r="R86" s="116">
        <v>0</v>
      </c>
      <c r="S86" s="116">
        <v>0</v>
      </c>
      <c r="T86" s="116">
        <v>0</v>
      </c>
      <c r="U86" s="116">
        <v>0</v>
      </c>
      <c r="V86" s="116">
        <v>0</v>
      </c>
      <c r="W86" s="116">
        <v>0</v>
      </c>
      <c r="X86" s="116">
        <v>0</v>
      </c>
      <c r="Y86" s="116">
        <v>0</v>
      </c>
      <c r="Z86" s="116">
        <v>0</v>
      </c>
      <c r="AA86" s="116">
        <v>0</v>
      </c>
      <c r="AB86" s="116">
        <v>0</v>
      </c>
      <c r="AC86" s="116">
        <v>0</v>
      </c>
      <c r="AD86" s="116">
        <v>0</v>
      </c>
      <c r="AE86" s="116">
        <v>0</v>
      </c>
      <c r="AF86" s="116">
        <v>0</v>
      </c>
      <c r="AG86" s="116">
        <v>0</v>
      </c>
      <c r="AH86" s="116">
        <v>0</v>
      </c>
      <c r="AI86" s="116">
        <v>0</v>
      </c>
      <c r="AJ86" s="116">
        <v>0</v>
      </c>
      <c r="AK86" s="116">
        <v>0</v>
      </c>
      <c r="AL86" s="116">
        <v>0</v>
      </c>
      <c r="AM86" s="116">
        <v>0</v>
      </c>
      <c r="AN86" s="116">
        <v>0</v>
      </c>
      <c r="AO86" s="116">
        <v>0</v>
      </c>
      <c r="AP86" s="116">
        <v>0</v>
      </c>
      <c r="AQ86" s="116">
        <v>0</v>
      </c>
      <c r="AR86" s="116">
        <v>0</v>
      </c>
      <c r="AS86" s="116">
        <v>0</v>
      </c>
      <c r="AT86" s="116">
        <v>0</v>
      </c>
      <c r="AU86" s="116">
        <v>0</v>
      </c>
      <c r="AV86" s="116">
        <v>0</v>
      </c>
      <c r="AW86" s="116">
        <v>0</v>
      </c>
      <c r="AX86" s="116">
        <v>0</v>
      </c>
      <c r="AY86" s="116">
        <v>0</v>
      </c>
    </row>
    <row r="87" spans="1:52" x14ac:dyDescent="0.2">
      <c r="A87" s="115"/>
      <c r="B87" s="136">
        <v>43</v>
      </c>
      <c r="C87" s="115" t="s">
        <v>293</v>
      </c>
      <c r="D87" s="116">
        <v>0</v>
      </c>
      <c r="E87" s="116">
        <v>0</v>
      </c>
      <c r="F87" s="116">
        <v>0</v>
      </c>
      <c r="G87" s="116">
        <v>0</v>
      </c>
      <c r="H87" s="116">
        <v>0</v>
      </c>
      <c r="I87" s="116">
        <v>0</v>
      </c>
      <c r="J87" s="116">
        <v>0</v>
      </c>
      <c r="K87" s="116">
        <v>0</v>
      </c>
      <c r="L87" s="116">
        <v>0</v>
      </c>
      <c r="M87" s="116">
        <v>0</v>
      </c>
      <c r="N87" s="116">
        <v>0</v>
      </c>
      <c r="O87" s="116">
        <v>0</v>
      </c>
      <c r="P87" s="116">
        <v>0</v>
      </c>
      <c r="Q87" s="116">
        <v>0</v>
      </c>
      <c r="R87" s="116">
        <v>0</v>
      </c>
      <c r="S87" s="116">
        <v>0</v>
      </c>
      <c r="T87" s="116">
        <v>0</v>
      </c>
      <c r="U87" s="116">
        <v>0</v>
      </c>
      <c r="V87" s="116">
        <v>0</v>
      </c>
      <c r="W87" s="116">
        <v>0</v>
      </c>
      <c r="X87" s="116">
        <v>0</v>
      </c>
      <c r="Y87" s="116">
        <v>0</v>
      </c>
      <c r="Z87" s="116">
        <v>0</v>
      </c>
      <c r="AA87" s="116">
        <v>0</v>
      </c>
      <c r="AB87" s="116">
        <v>0</v>
      </c>
      <c r="AC87" s="116">
        <v>0</v>
      </c>
      <c r="AD87" s="116">
        <v>0</v>
      </c>
      <c r="AE87" s="116">
        <v>0</v>
      </c>
      <c r="AF87" s="116">
        <v>0</v>
      </c>
      <c r="AG87" s="116">
        <v>0</v>
      </c>
      <c r="AH87" s="116">
        <v>0</v>
      </c>
      <c r="AI87" s="116">
        <v>0</v>
      </c>
      <c r="AJ87" s="116">
        <v>0</v>
      </c>
      <c r="AK87" s="116">
        <v>0</v>
      </c>
      <c r="AL87" s="116">
        <v>0</v>
      </c>
      <c r="AM87" s="116">
        <v>0</v>
      </c>
      <c r="AN87" s="116">
        <v>0</v>
      </c>
      <c r="AO87" s="116">
        <v>0</v>
      </c>
      <c r="AP87" s="116">
        <v>0</v>
      </c>
      <c r="AQ87" s="116">
        <v>0</v>
      </c>
      <c r="AR87" s="116">
        <v>0</v>
      </c>
      <c r="AS87" s="116">
        <v>0</v>
      </c>
      <c r="AT87" s="116">
        <v>0</v>
      </c>
      <c r="AU87" s="116">
        <v>0</v>
      </c>
      <c r="AV87" s="116">
        <v>0</v>
      </c>
      <c r="AW87" s="116">
        <v>0</v>
      </c>
      <c r="AX87" s="116">
        <v>0</v>
      </c>
      <c r="AY87" s="116">
        <v>0</v>
      </c>
    </row>
    <row r="88" spans="1:52" x14ac:dyDescent="0.2">
      <c r="A88" s="115"/>
      <c r="B88" s="136">
        <v>44</v>
      </c>
      <c r="C88" s="115" t="s">
        <v>293</v>
      </c>
      <c r="D88" s="116">
        <v>0</v>
      </c>
      <c r="E88" s="116">
        <v>0</v>
      </c>
      <c r="F88" s="116">
        <v>0</v>
      </c>
      <c r="G88" s="116">
        <v>0</v>
      </c>
      <c r="H88" s="116">
        <v>0</v>
      </c>
      <c r="I88" s="116">
        <v>0</v>
      </c>
      <c r="J88" s="116">
        <v>0</v>
      </c>
      <c r="K88" s="116">
        <v>0</v>
      </c>
      <c r="L88" s="116">
        <v>0</v>
      </c>
      <c r="M88" s="116">
        <v>0</v>
      </c>
      <c r="N88" s="116">
        <v>0</v>
      </c>
      <c r="O88" s="116">
        <v>0</v>
      </c>
      <c r="P88" s="116">
        <v>0</v>
      </c>
      <c r="Q88" s="116">
        <v>0</v>
      </c>
      <c r="R88" s="116">
        <v>0</v>
      </c>
      <c r="S88" s="116">
        <v>0</v>
      </c>
      <c r="T88" s="116">
        <v>0</v>
      </c>
      <c r="U88" s="116">
        <v>0</v>
      </c>
      <c r="V88" s="116">
        <v>0</v>
      </c>
      <c r="W88" s="116">
        <v>0</v>
      </c>
      <c r="X88" s="116">
        <v>0</v>
      </c>
      <c r="Y88" s="116">
        <v>0</v>
      </c>
      <c r="Z88" s="116">
        <v>0</v>
      </c>
      <c r="AA88" s="116">
        <v>0</v>
      </c>
      <c r="AB88" s="116">
        <v>0</v>
      </c>
      <c r="AC88" s="116">
        <v>0</v>
      </c>
      <c r="AD88" s="116">
        <v>0</v>
      </c>
      <c r="AE88" s="116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0</v>
      </c>
      <c r="AM88" s="116">
        <v>0</v>
      </c>
      <c r="AN88" s="116">
        <v>0</v>
      </c>
      <c r="AO88" s="116">
        <v>0</v>
      </c>
      <c r="AP88" s="116">
        <v>0</v>
      </c>
      <c r="AQ88" s="116">
        <v>0</v>
      </c>
      <c r="AR88" s="116">
        <v>0</v>
      </c>
      <c r="AS88" s="116">
        <v>0</v>
      </c>
      <c r="AT88" s="116">
        <v>0</v>
      </c>
      <c r="AU88" s="116">
        <v>0</v>
      </c>
      <c r="AV88" s="116">
        <v>0</v>
      </c>
      <c r="AW88" s="116">
        <v>0</v>
      </c>
      <c r="AX88" s="116">
        <v>0</v>
      </c>
      <c r="AY88" s="116">
        <v>0</v>
      </c>
    </row>
    <row r="89" spans="1:52" x14ac:dyDescent="0.2">
      <c r="A89" s="115"/>
      <c r="B89" s="136">
        <v>45</v>
      </c>
      <c r="C89" s="115" t="s">
        <v>293</v>
      </c>
      <c r="D89" s="116">
        <v>0</v>
      </c>
      <c r="E89" s="116">
        <v>0</v>
      </c>
      <c r="F89" s="116">
        <v>0</v>
      </c>
      <c r="G89" s="116">
        <v>0</v>
      </c>
      <c r="H89" s="116">
        <v>0</v>
      </c>
      <c r="I89" s="116">
        <v>0</v>
      </c>
      <c r="J89" s="116">
        <v>0</v>
      </c>
      <c r="K89" s="116">
        <v>0</v>
      </c>
      <c r="L89" s="116">
        <v>0</v>
      </c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>
        <v>0</v>
      </c>
      <c r="AB89" s="116">
        <v>0</v>
      </c>
      <c r="AC89" s="116">
        <v>0</v>
      </c>
      <c r="AD89" s="116">
        <v>0</v>
      </c>
      <c r="AE89" s="116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293</v>
      </c>
      <c r="D90" s="116">
        <v>0</v>
      </c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293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2126798.0670432071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0</v>
      </c>
      <c r="D95" s="116">
        <v>0</v>
      </c>
      <c r="E95" s="116">
        <v>0</v>
      </c>
      <c r="F95" s="116">
        <v>0</v>
      </c>
      <c r="G95" s="116">
        <v>0</v>
      </c>
      <c r="H95" s="116">
        <v>0</v>
      </c>
      <c r="I95" s="116">
        <v>0</v>
      </c>
      <c r="J95" s="116">
        <v>0</v>
      </c>
      <c r="K95" s="116">
        <v>0</v>
      </c>
      <c r="L95" s="116">
        <v>0</v>
      </c>
      <c r="M95" s="116">
        <v>0</v>
      </c>
      <c r="N95" s="116">
        <v>0</v>
      </c>
      <c r="O95" s="116">
        <v>0</v>
      </c>
      <c r="P95" s="116">
        <v>0</v>
      </c>
      <c r="Q95" s="116">
        <v>0</v>
      </c>
      <c r="R95" s="116">
        <v>0</v>
      </c>
      <c r="S95" s="116">
        <v>0</v>
      </c>
      <c r="T95" s="116">
        <v>0</v>
      </c>
      <c r="U95" s="116">
        <v>0</v>
      </c>
      <c r="V95" s="116">
        <v>0</v>
      </c>
      <c r="W95" s="116">
        <v>0</v>
      </c>
      <c r="X95" s="116">
        <v>0</v>
      </c>
      <c r="Y95" s="116">
        <v>0</v>
      </c>
      <c r="Z95" s="116">
        <v>0</v>
      </c>
      <c r="AA95" s="116">
        <v>0</v>
      </c>
      <c r="AB95" s="116">
        <v>0</v>
      </c>
      <c r="AC95" s="116">
        <v>0</v>
      </c>
      <c r="AD95" s="116">
        <v>0</v>
      </c>
      <c r="AE95" s="116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116">
        <v>0</v>
      </c>
      <c r="AO95" s="116">
        <v>0</v>
      </c>
      <c r="AP95" s="116">
        <v>0</v>
      </c>
      <c r="AQ95" s="116">
        <v>0</v>
      </c>
      <c r="AR95" s="116">
        <v>0</v>
      </c>
      <c r="AS95" s="116">
        <v>0</v>
      </c>
      <c r="AT95" s="116">
        <v>0</v>
      </c>
      <c r="AU95" s="116">
        <v>0</v>
      </c>
      <c r="AV95" s="116">
        <v>0</v>
      </c>
      <c r="AW95" s="116">
        <v>0</v>
      </c>
      <c r="AX95" s="116">
        <v>0</v>
      </c>
      <c r="AY95" s="116">
        <v>0</v>
      </c>
    </row>
    <row r="96" spans="1:52" x14ac:dyDescent="0.2">
      <c r="A96" s="115"/>
      <c r="B96" s="126">
        <v>2</v>
      </c>
      <c r="C96" s="116">
        <v>0</v>
      </c>
      <c r="D96" s="116">
        <v>0</v>
      </c>
      <c r="E96" s="116">
        <v>0</v>
      </c>
      <c r="F96" s="116">
        <v>0</v>
      </c>
      <c r="G96" s="116">
        <v>0</v>
      </c>
      <c r="H96" s="116">
        <v>0</v>
      </c>
      <c r="I96" s="116">
        <v>0</v>
      </c>
      <c r="J96" s="116">
        <v>0</v>
      </c>
      <c r="K96" s="116">
        <v>0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0</v>
      </c>
      <c r="AD96" s="116">
        <v>0</v>
      </c>
      <c r="AE96" s="116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>
        <v>0</v>
      </c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296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>
        <v>0</v>
      </c>
      <c r="D100" s="112">
        <v>0</v>
      </c>
      <c r="E100" s="112">
        <v>0</v>
      </c>
      <c r="F100" s="112">
        <v>0</v>
      </c>
      <c r="G100" s="112">
        <v>0</v>
      </c>
      <c r="H100" s="112">
        <v>0</v>
      </c>
      <c r="I100" s="112">
        <v>0</v>
      </c>
      <c r="J100" s="112">
        <v>0</v>
      </c>
      <c r="K100" s="112">
        <v>0</v>
      </c>
      <c r="L100" s="112">
        <v>0</v>
      </c>
      <c r="M100" s="112">
        <v>0</v>
      </c>
      <c r="N100" s="112">
        <v>0</v>
      </c>
      <c r="O100" s="112">
        <v>0</v>
      </c>
      <c r="P100" s="112">
        <v>0</v>
      </c>
      <c r="Q100" s="112">
        <v>0</v>
      </c>
      <c r="R100" s="112">
        <v>0</v>
      </c>
      <c r="S100" s="112">
        <v>0</v>
      </c>
      <c r="T100" s="112">
        <v>0</v>
      </c>
      <c r="U100" s="112">
        <v>0</v>
      </c>
      <c r="V100" s="112">
        <v>0</v>
      </c>
      <c r="W100" s="112">
        <v>0</v>
      </c>
      <c r="X100" s="112">
        <v>0</v>
      </c>
      <c r="Y100" s="112">
        <v>0</v>
      </c>
      <c r="Z100" s="112">
        <v>0</v>
      </c>
      <c r="AA100" s="112">
        <v>0</v>
      </c>
      <c r="AB100" s="112">
        <v>0</v>
      </c>
      <c r="AC100" s="112">
        <v>0</v>
      </c>
      <c r="AD100" s="112">
        <v>0</v>
      </c>
      <c r="AE100" s="112">
        <v>0</v>
      </c>
      <c r="AF100" s="112">
        <v>0</v>
      </c>
      <c r="AG100" s="112">
        <v>0</v>
      </c>
      <c r="AH100" s="112">
        <v>0</v>
      </c>
      <c r="AI100" s="112">
        <v>0</v>
      </c>
      <c r="AJ100" s="112">
        <v>0</v>
      </c>
      <c r="AK100" s="112">
        <v>0</v>
      </c>
      <c r="AL100" s="112">
        <v>0</v>
      </c>
      <c r="AM100" s="112">
        <v>0</v>
      </c>
      <c r="AN100" s="112">
        <v>0</v>
      </c>
      <c r="AO100" s="112">
        <v>0</v>
      </c>
      <c r="AP100" s="112">
        <v>0</v>
      </c>
      <c r="AQ100" s="112">
        <v>0</v>
      </c>
      <c r="AR100" s="112">
        <v>0</v>
      </c>
      <c r="AS100" s="112">
        <v>0</v>
      </c>
      <c r="AT100" s="112">
        <v>0</v>
      </c>
      <c r="AU100" s="112">
        <v>0</v>
      </c>
      <c r="AV100" s="112">
        <v>0</v>
      </c>
      <c r="AW100" s="112">
        <v>0</v>
      </c>
      <c r="AX100" s="112">
        <v>0</v>
      </c>
      <c r="AY100" s="112">
        <v>0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0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0</v>
      </c>
      <c r="AN101" s="112">
        <v>0</v>
      </c>
      <c r="AO101" s="112">
        <v>0</v>
      </c>
      <c r="AP101" s="112">
        <v>0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0</v>
      </c>
      <c r="D109" s="112">
        <v>0</v>
      </c>
      <c r="E109" s="112">
        <v>0</v>
      </c>
      <c r="F109" s="112">
        <v>0</v>
      </c>
      <c r="G109" s="112">
        <v>0</v>
      </c>
      <c r="H109" s="112">
        <v>0</v>
      </c>
      <c r="I109" s="112">
        <v>0</v>
      </c>
      <c r="J109" s="112">
        <v>0</v>
      </c>
      <c r="K109" s="112">
        <v>0</v>
      </c>
      <c r="L109" s="112">
        <v>0</v>
      </c>
      <c r="M109" s="112">
        <v>0</v>
      </c>
      <c r="N109" s="112">
        <v>0</v>
      </c>
      <c r="O109" s="112">
        <v>0</v>
      </c>
      <c r="P109" s="112">
        <v>0</v>
      </c>
      <c r="Q109" s="112">
        <v>0</v>
      </c>
      <c r="R109" s="112">
        <v>0</v>
      </c>
      <c r="S109" s="112">
        <v>0</v>
      </c>
      <c r="T109" s="112">
        <v>0</v>
      </c>
      <c r="U109" s="112">
        <v>0</v>
      </c>
      <c r="V109" s="112">
        <v>0</v>
      </c>
      <c r="W109" s="112">
        <v>0</v>
      </c>
      <c r="X109" s="112">
        <v>0</v>
      </c>
      <c r="Y109" s="112">
        <v>0</v>
      </c>
      <c r="Z109" s="112">
        <v>0</v>
      </c>
      <c r="AA109" s="112">
        <v>0</v>
      </c>
      <c r="AB109" s="112">
        <v>0</v>
      </c>
      <c r="AC109" s="112">
        <v>0</v>
      </c>
      <c r="AD109" s="112">
        <v>0</v>
      </c>
      <c r="AE109" s="112">
        <v>0</v>
      </c>
      <c r="AF109" s="112">
        <v>0</v>
      </c>
      <c r="AG109" s="112">
        <v>0</v>
      </c>
      <c r="AH109" s="112">
        <v>0</v>
      </c>
      <c r="AI109" s="112">
        <v>0</v>
      </c>
      <c r="AJ109" s="112">
        <v>0</v>
      </c>
      <c r="AK109" s="112">
        <v>0</v>
      </c>
      <c r="AL109" s="112">
        <v>0</v>
      </c>
      <c r="AM109" s="112">
        <v>0</v>
      </c>
      <c r="AN109" s="112">
        <v>0</v>
      </c>
      <c r="AO109" s="112">
        <v>0</v>
      </c>
      <c r="AP109" s="112">
        <v>0</v>
      </c>
      <c r="AQ109" s="112">
        <v>0</v>
      </c>
      <c r="AR109" s="112">
        <v>0</v>
      </c>
      <c r="AS109" s="112">
        <v>0</v>
      </c>
      <c r="AT109" s="112">
        <v>0</v>
      </c>
      <c r="AU109" s="112">
        <v>0</v>
      </c>
      <c r="AV109" s="112">
        <v>0</v>
      </c>
      <c r="AW109" s="112">
        <v>0</v>
      </c>
      <c r="AX109" s="112">
        <v>0</v>
      </c>
      <c r="AY109" s="112">
        <v>0</v>
      </c>
    </row>
    <row r="110" spans="1:52" x14ac:dyDescent="0.2">
      <c r="A110" s="115"/>
      <c r="B110" s="125">
        <v>2</v>
      </c>
      <c r="C110" s="112">
        <v>0</v>
      </c>
      <c r="D110" s="112">
        <v>0</v>
      </c>
      <c r="E110" s="112">
        <v>0</v>
      </c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</v>
      </c>
      <c r="M110" s="112">
        <v>0</v>
      </c>
      <c r="N110" s="112">
        <v>0</v>
      </c>
      <c r="O110" s="112">
        <v>0</v>
      </c>
      <c r="P110" s="112">
        <v>0</v>
      </c>
      <c r="Q110" s="112">
        <v>0</v>
      </c>
      <c r="R110" s="112">
        <v>0</v>
      </c>
      <c r="S110" s="112">
        <v>0</v>
      </c>
      <c r="T110" s="112">
        <v>0</v>
      </c>
      <c r="U110" s="112">
        <v>0</v>
      </c>
      <c r="V110" s="112">
        <v>0</v>
      </c>
      <c r="W110" s="112">
        <v>0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>
        <v>0</v>
      </c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0</v>
      </c>
      <c r="N111" s="112">
        <v>0</v>
      </c>
      <c r="O111" s="112">
        <v>0</v>
      </c>
      <c r="P111" s="112">
        <v>0</v>
      </c>
      <c r="Q111" s="112">
        <v>0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>
        <v>0</v>
      </c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>
        <v>0</v>
      </c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>
        <v>0</v>
      </c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>
        <v>0</v>
      </c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32260.777211415654</v>
      </c>
      <c r="D122" s="112">
        <v>36293.374362842609</v>
      </c>
      <c r="E122" s="112">
        <v>36293.374362842609</v>
      </c>
      <c r="F122" s="112">
        <v>36293.374362842609</v>
      </c>
      <c r="G122" s="112">
        <v>36293.374362842609</v>
      </c>
      <c r="H122" s="112">
        <v>32260.777211415654</v>
      </c>
      <c r="I122" s="112">
        <v>32260.777211415654</v>
      </c>
      <c r="J122" s="112">
        <v>32260.777211415654</v>
      </c>
      <c r="K122" s="112">
        <v>32260.777211415654</v>
      </c>
      <c r="L122" s="112">
        <v>32260.777211415654</v>
      </c>
      <c r="M122" s="112">
        <v>32260.777211415654</v>
      </c>
      <c r="N122" s="112">
        <v>32260.777211415654</v>
      </c>
      <c r="O122" s="112">
        <v>32260.777211415654</v>
      </c>
      <c r="P122" s="112">
        <v>36293.374362842609</v>
      </c>
      <c r="Q122" s="112">
        <v>36293.374362842609</v>
      </c>
      <c r="R122" s="112">
        <v>36293.374362842609</v>
      </c>
      <c r="S122" s="112">
        <v>36293.374362842609</v>
      </c>
      <c r="T122" s="112">
        <v>32260.777211415654</v>
      </c>
      <c r="U122" s="112">
        <v>32260.777211415654</v>
      </c>
      <c r="V122" s="112">
        <v>32260.777211415654</v>
      </c>
      <c r="W122" s="112">
        <v>32260.777211415654</v>
      </c>
      <c r="X122" s="112">
        <v>32260.777211415654</v>
      </c>
      <c r="Y122" s="112">
        <v>32260.777211415654</v>
      </c>
      <c r="Z122" s="112">
        <v>32260.777211415654</v>
      </c>
      <c r="AA122" s="112">
        <v>32260.777211415654</v>
      </c>
      <c r="AB122" s="112">
        <v>36293.374362842609</v>
      </c>
      <c r="AC122" s="112">
        <v>36293.374362842609</v>
      </c>
      <c r="AD122" s="112">
        <v>36293.374362842609</v>
      </c>
      <c r="AE122" s="112">
        <v>36293.374362842609</v>
      </c>
      <c r="AF122" s="112">
        <v>32260.777211415654</v>
      </c>
      <c r="AG122" s="112">
        <v>32260.777211415654</v>
      </c>
      <c r="AH122" s="112">
        <v>32260.777211415654</v>
      </c>
      <c r="AI122" s="112">
        <v>32260.777211415654</v>
      </c>
      <c r="AJ122" s="112">
        <v>32260.777211415654</v>
      </c>
      <c r="AK122" s="112">
        <v>32260.777211415654</v>
      </c>
      <c r="AL122" s="112">
        <v>32260.777211415654</v>
      </c>
      <c r="AM122" s="112">
        <v>32260.777211415654</v>
      </c>
      <c r="AN122" s="112">
        <v>36293.374362842609</v>
      </c>
      <c r="AO122" s="112">
        <v>36293.374362842609</v>
      </c>
      <c r="AP122" s="112">
        <v>36293.374362842609</v>
      </c>
      <c r="AQ122" s="112">
        <v>36293.374362842609</v>
      </c>
      <c r="AR122" s="112">
        <v>32260.777211415654</v>
      </c>
      <c r="AS122" s="112">
        <v>32260.777211415654</v>
      </c>
      <c r="AT122" s="112">
        <v>32260.777211415654</v>
      </c>
      <c r="AU122" s="112">
        <v>32260.777211415654</v>
      </c>
      <c r="AV122" s="112">
        <v>32260.777211415654</v>
      </c>
      <c r="AW122" s="112">
        <v>32260.777211415654</v>
      </c>
      <c r="AX122" s="112">
        <v>32260.777211415654</v>
      </c>
      <c r="AY122" s="112">
        <v>32260.777211415654</v>
      </c>
    </row>
    <row r="123" spans="1:52" x14ac:dyDescent="0.2">
      <c r="A123" s="115"/>
      <c r="B123" s="125">
        <v>2</v>
      </c>
      <c r="C123" s="112">
        <v>18368.336667375432</v>
      </c>
      <c r="D123" s="112">
        <v>14706.625637157393</v>
      </c>
      <c r="E123" s="112">
        <v>14706.625637157389</v>
      </c>
      <c r="F123" s="112">
        <v>14706.62563715738</v>
      </c>
      <c r="G123" s="112">
        <v>14706.625637157382</v>
      </c>
      <c r="H123" s="112">
        <v>18739.222788584349</v>
      </c>
      <c r="I123" s="112">
        <v>18368.336667375428</v>
      </c>
      <c r="J123" s="112">
        <v>18368.336667375428</v>
      </c>
      <c r="K123" s="112">
        <v>18368.336667375428</v>
      </c>
      <c r="L123" s="112">
        <v>18368.336667375428</v>
      </c>
      <c r="M123" s="112">
        <v>18368.336667375428</v>
      </c>
      <c r="N123" s="112">
        <v>18368.336667375428</v>
      </c>
      <c r="O123" s="112">
        <v>18368.336667375428</v>
      </c>
      <c r="P123" s="112">
        <v>14706.625637157389</v>
      </c>
      <c r="Q123" s="112">
        <v>14706.625637157389</v>
      </c>
      <c r="R123" s="112">
        <v>14706.625637157389</v>
      </c>
      <c r="S123" s="112">
        <v>14706.625637157389</v>
      </c>
      <c r="T123" s="112">
        <v>18739.222788584346</v>
      </c>
      <c r="U123" s="112">
        <v>18368.336667375428</v>
      </c>
      <c r="V123" s="112">
        <v>18368.336667375428</v>
      </c>
      <c r="W123" s="112">
        <v>18368.336667375428</v>
      </c>
      <c r="X123" s="112">
        <v>18368.336667375428</v>
      </c>
      <c r="Y123" s="112">
        <v>18368.336667375428</v>
      </c>
      <c r="Z123" s="112">
        <v>18368.336667375428</v>
      </c>
      <c r="AA123" s="112">
        <v>18368.336667375428</v>
      </c>
      <c r="AB123" s="112">
        <v>14706.625637157387</v>
      </c>
      <c r="AC123" s="112">
        <v>14706.625637157396</v>
      </c>
      <c r="AD123" s="112">
        <v>14706.625637157389</v>
      </c>
      <c r="AE123" s="112">
        <v>14706.625637157389</v>
      </c>
      <c r="AF123" s="112">
        <v>18739.222788584346</v>
      </c>
      <c r="AG123" s="112">
        <v>18368.336667375428</v>
      </c>
      <c r="AH123" s="112">
        <v>18368.336667375428</v>
      </c>
      <c r="AI123" s="112">
        <v>18368.336667375428</v>
      </c>
      <c r="AJ123" s="112">
        <v>18368.336667375428</v>
      </c>
      <c r="AK123" s="112">
        <v>18368.336667375428</v>
      </c>
      <c r="AL123" s="112">
        <v>18368.336667375428</v>
      </c>
      <c r="AM123" s="112">
        <v>18368.336667375428</v>
      </c>
      <c r="AN123" s="112">
        <v>14706.625637157387</v>
      </c>
      <c r="AO123" s="112">
        <v>14706.625637157389</v>
      </c>
      <c r="AP123" s="112">
        <v>14706.625637157389</v>
      </c>
      <c r="AQ123" s="112">
        <v>14706.625637157396</v>
      </c>
      <c r="AR123" s="112">
        <v>18739.222788584339</v>
      </c>
      <c r="AS123" s="112">
        <v>18368.336667375428</v>
      </c>
      <c r="AT123" s="112">
        <v>18368.336667375428</v>
      </c>
      <c r="AU123" s="112">
        <v>18368.336667375428</v>
      </c>
      <c r="AV123" s="112">
        <v>18368.336667375428</v>
      </c>
      <c r="AW123" s="112">
        <v>18368.336667375432</v>
      </c>
      <c r="AX123" s="112">
        <v>18368.336667375432</v>
      </c>
      <c r="AY123" s="112">
        <v>18368.336667375432</v>
      </c>
    </row>
    <row r="124" spans="1:52" x14ac:dyDescent="0.2">
      <c r="A124" s="115"/>
      <c r="B124" s="125">
        <v>3</v>
      </c>
      <c r="C124" s="112">
        <v>370.88612120891048</v>
      </c>
      <c r="D124" s="112">
        <v>0</v>
      </c>
      <c r="E124" s="112">
        <v>0</v>
      </c>
      <c r="F124" s="112">
        <v>0</v>
      </c>
      <c r="G124" s="112">
        <v>0</v>
      </c>
      <c r="H124" s="112">
        <v>0</v>
      </c>
      <c r="I124" s="112">
        <v>370.88612120891776</v>
      </c>
      <c r="J124" s="112">
        <v>370.88612120890866</v>
      </c>
      <c r="K124" s="112">
        <v>370.88612120891412</v>
      </c>
      <c r="L124" s="112">
        <v>370.88612120890684</v>
      </c>
      <c r="M124" s="112">
        <v>370.88612120891412</v>
      </c>
      <c r="N124" s="112">
        <v>370.88612120891776</v>
      </c>
      <c r="O124" s="112">
        <v>370.88612120891594</v>
      </c>
      <c r="P124" s="112">
        <v>0</v>
      </c>
      <c r="Q124" s="112">
        <v>0</v>
      </c>
      <c r="R124" s="112">
        <v>0</v>
      </c>
      <c r="S124" s="112">
        <v>0</v>
      </c>
      <c r="T124" s="112">
        <v>0</v>
      </c>
      <c r="U124" s="112">
        <v>370.88612120891594</v>
      </c>
      <c r="V124" s="112">
        <v>370.88612120891594</v>
      </c>
      <c r="W124" s="112">
        <v>370.88612120890866</v>
      </c>
      <c r="X124" s="112">
        <v>370.88612120891412</v>
      </c>
      <c r="Y124" s="112">
        <v>370.88612120891412</v>
      </c>
      <c r="Z124" s="112">
        <v>370.88612120891776</v>
      </c>
      <c r="AA124" s="112">
        <v>370.88612120890866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370.88612120891958</v>
      </c>
      <c r="AH124" s="112">
        <v>370.88612120891048</v>
      </c>
      <c r="AI124" s="112">
        <v>370.88612120891594</v>
      </c>
      <c r="AJ124" s="112">
        <v>370.88612120891594</v>
      </c>
      <c r="AK124" s="112">
        <v>370.88612120890866</v>
      </c>
      <c r="AL124" s="112">
        <v>370.88612120891412</v>
      </c>
      <c r="AM124" s="112">
        <v>370.88612120890684</v>
      </c>
      <c r="AN124" s="112">
        <v>0</v>
      </c>
      <c r="AO124" s="112">
        <v>0</v>
      </c>
      <c r="AP124" s="112">
        <v>0</v>
      </c>
      <c r="AQ124" s="112">
        <v>0</v>
      </c>
      <c r="AR124" s="112">
        <v>0</v>
      </c>
      <c r="AS124" s="112">
        <v>370.88612120891412</v>
      </c>
      <c r="AT124" s="112">
        <v>370.88612120890684</v>
      </c>
      <c r="AU124" s="112">
        <v>370.88612120891412</v>
      </c>
      <c r="AV124" s="112">
        <v>370.88612120891048</v>
      </c>
      <c r="AW124" s="112">
        <v>370.88612120891776</v>
      </c>
      <c r="AX124" s="112">
        <v>370.88612120891594</v>
      </c>
      <c r="AY124" s="112">
        <v>370.88612120890502</v>
      </c>
    </row>
    <row r="125" spans="1:52" x14ac:dyDescent="0.2">
      <c r="A125" s="115"/>
      <c r="B125" s="125">
        <v>4</v>
      </c>
      <c r="C125" s="112">
        <v>0</v>
      </c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>
        <v>0</v>
      </c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0</v>
      </c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0.43062944370491801</v>
      </c>
      <c r="D172" s="140">
        <v>0.43062944370491801</v>
      </c>
      <c r="E172" s="140">
        <v>0.43062944370491801</v>
      </c>
      <c r="F172" s="140">
        <v>0.43062944370491801</v>
      </c>
      <c r="G172" s="140">
        <v>0.43062944370491801</v>
      </c>
      <c r="H172" s="140">
        <v>0.43062944370491818</v>
      </c>
      <c r="I172" s="140">
        <v>0.43062944370491818</v>
      </c>
      <c r="J172" s="140">
        <v>0.43062944370491818</v>
      </c>
      <c r="K172" s="140">
        <v>0.43062944370491818</v>
      </c>
      <c r="L172" s="140">
        <v>0.43062944370491818</v>
      </c>
      <c r="M172" s="140">
        <v>0.43062944370491818</v>
      </c>
      <c r="N172" s="140">
        <v>0.43062944370491818</v>
      </c>
      <c r="O172" s="140">
        <v>0.43062944370491818</v>
      </c>
      <c r="P172" s="140">
        <v>0.43062944370491818</v>
      </c>
      <c r="Q172" s="140">
        <v>0.43062944370491818</v>
      </c>
      <c r="R172" s="140">
        <v>0.43062944370491818</v>
      </c>
      <c r="S172" s="140">
        <v>0.43062944370491818</v>
      </c>
      <c r="T172" s="140">
        <v>0.43062944370491818</v>
      </c>
      <c r="U172" s="140">
        <v>0.43062944370491818</v>
      </c>
      <c r="V172" s="140">
        <v>0.43062944370491818</v>
      </c>
      <c r="W172" s="140">
        <v>0.43062944370491818</v>
      </c>
      <c r="X172" s="140">
        <v>0.43062944370491818</v>
      </c>
      <c r="Y172" s="140">
        <v>0.43062944370491818</v>
      </c>
      <c r="Z172" s="140">
        <v>0.43062944370491818</v>
      </c>
      <c r="AA172" s="140">
        <v>0.43062944370491818</v>
      </c>
      <c r="AB172" s="140">
        <v>0.43062944370491818</v>
      </c>
      <c r="AC172" s="140">
        <v>0.43062944370491818</v>
      </c>
      <c r="AD172" s="140">
        <v>0.43062944370491818</v>
      </c>
      <c r="AE172" s="140">
        <v>0.43062944370491818</v>
      </c>
      <c r="AF172" s="140">
        <v>0.43062944370491818</v>
      </c>
      <c r="AG172" s="140">
        <v>0.43062944370491818</v>
      </c>
      <c r="AH172" s="140">
        <v>0.43062944370491818</v>
      </c>
      <c r="AI172" s="140">
        <v>0.43062944370491818</v>
      </c>
      <c r="AJ172" s="140">
        <v>0.43062944370491818</v>
      </c>
      <c r="AK172" s="140">
        <v>0.43062944370491818</v>
      </c>
      <c r="AL172" s="140">
        <v>0.43062944370491818</v>
      </c>
      <c r="AM172" s="140">
        <v>0.43062944370491818</v>
      </c>
      <c r="AN172" s="140">
        <v>0.43062944370491818</v>
      </c>
      <c r="AO172" s="140">
        <v>0.43062944370491818</v>
      </c>
      <c r="AP172" s="140">
        <v>0.43062944370491818</v>
      </c>
      <c r="AQ172" s="140">
        <v>0.43062944370491818</v>
      </c>
      <c r="AR172" s="140">
        <v>0.43062944370491818</v>
      </c>
      <c r="AS172" s="140">
        <v>0.43062944370491818</v>
      </c>
      <c r="AT172" s="140">
        <v>0.43062944370491818</v>
      </c>
      <c r="AU172" s="140">
        <v>0.43062944370491818</v>
      </c>
      <c r="AV172" s="140">
        <v>0.43062944370491801</v>
      </c>
      <c r="AW172" s="140">
        <v>0.43062944370491801</v>
      </c>
      <c r="AX172" s="140">
        <v>0.43062944370491801</v>
      </c>
      <c r="AY172" s="140">
        <v>0.43062944370491801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0</v>
      </c>
      <c r="E175" s="130">
        <f t="shared" si="1"/>
        <v>0</v>
      </c>
      <c r="F175" s="130">
        <f t="shared" si="1"/>
        <v>0</v>
      </c>
      <c r="G175" s="130">
        <f t="shared" si="1"/>
        <v>0</v>
      </c>
      <c r="H175" s="130">
        <f t="shared" si="1"/>
        <v>0</v>
      </c>
      <c r="I175" s="130">
        <f t="shared" si="1"/>
        <v>0</v>
      </c>
      <c r="J175" s="130">
        <f t="shared" si="1"/>
        <v>0</v>
      </c>
      <c r="K175" s="130">
        <f t="shared" si="1"/>
        <v>0</v>
      </c>
      <c r="L175" s="130">
        <f t="shared" si="1"/>
        <v>0</v>
      </c>
      <c r="M175" s="130">
        <f t="shared" si="1"/>
        <v>0</v>
      </c>
      <c r="N175" s="130">
        <f t="shared" si="1"/>
        <v>0</v>
      </c>
      <c r="O175" s="130">
        <f t="shared" si="1"/>
        <v>0</v>
      </c>
      <c r="P175" s="130">
        <f t="shared" si="1"/>
        <v>0</v>
      </c>
      <c r="Q175" s="130">
        <f t="shared" si="1"/>
        <v>0</v>
      </c>
      <c r="R175" s="130">
        <f t="shared" si="1"/>
        <v>0</v>
      </c>
      <c r="S175" s="130">
        <f t="shared" si="1"/>
        <v>0</v>
      </c>
      <c r="T175" s="130">
        <f t="shared" si="1"/>
        <v>0</v>
      </c>
      <c r="U175" s="130">
        <f t="shared" si="1"/>
        <v>0</v>
      </c>
      <c r="V175" s="130">
        <f t="shared" si="1"/>
        <v>0</v>
      </c>
      <c r="W175" s="130">
        <f t="shared" si="1"/>
        <v>0</v>
      </c>
      <c r="X175" s="130">
        <f t="shared" si="1"/>
        <v>0</v>
      </c>
      <c r="Y175" s="130">
        <f t="shared" si="1"/>
        <v>0</v>
      </c>
      <c r="Z175" s="130">
        <f t="shared" si="1"/>
        <v>0</v>
      </c>
      <c r="AA175" s="130">
        <f t="shared" si="1"/>
        <v>0</v>
      </c>
      <c r="AB175" s="130">
        <f t="shared" si="1"/>
        <v>0</v>
      </c>
      <c r="AC175" s="130">
        <f t="shared" si="1"/>
        <v>0</v>
      </c>
      <c r="AD175" s="130">
        <f t="shared" si="1"/>
        <v>0</v>
      </c>
      <c r="AE175" s="130">
        <f t="shared" si="1"/>
        <v>0</v>
      </c>
      <c r="AF175" s="130">
        <f t="shared" si="1"/>
        <v>0</v>
      </c>
      <c r="AG175" s="130">
        <f t="shared" si="1"/>
        <v>0</v>
      </c>
      <c r="AH175" s="130">
        <f t="shared" si="1"/>
        <v>0</v>
      </c>
      <c r="AI175" s="130">
        <f t="shared" si="1"/>
        <v>0</v>
      </c>
      <c r="AJ175" s="130">
        <f t="shared" si="1"/>
        <v>0</v>
      </c>
      <c r="AK175" s="130">
        <f t="shared" si="1"/>
        <v>0</v>
      </c>
      <c r="AL175" s="130">
        <f t="shared" si="1"/>
        <v>0</v>
      </c>
      <c r="AM175" s="130">
        <f t="shared" si="1"/>
        <v>0</v>
      </c>
      <c r="AN175" s="130">
        <f t="shared" si="1"/>
        <v>0</v>
      </c>
      <c r="AO175" s="130">
        <f t="shared" si="1"/>
        <v>0</v>
      </c>
      <c r="AP175" s="130">
        <f t="shared" si="1"/>
        <v>0</v>
      </c>
      <c r="AQ175" s="130">
        <f t="shared" si="1"/>
        <v>0</v>
      </c>
      <c r="AR175" s="130">
        <f t="shared" si="1"/>
        <v>0</v>
      </c>
      <c r="AS175" s="130">
        <f t="shared" si="1"/>
        <v>0</v>
      </c>
      <c r="AT175" s="130">
        <f t="shared" si="1"/>
        <v>0</v>
      </c>
      <c r="AU175" s="130">
        <f t="shared" si="1"/>
        <v>0</v>
      </c>
      <c r="AV175" s="130">
        <f t="shared" si="1"/>
        <v>0</v>
      </c>
      <c r="AW175" s="130">
        <f t="shared" si="1"/>
        <v>0</v>
      </c>
      <c r="AX175" s="130">
        <f t="shared" si="1"/>
        <v>0</v>
      </c>
      <c r="AY175" s="130">
        <f t="shared" si="1"/>
        <v>0</v>
      </c>
    </row>
    <row r="176" spans="1:52" x14ac:dyDescent="0.2">
      <c r="A176" s="131"/>
      <c r="B176" s="142" t="s">
        <v>299</v>
      </c>
      <c r="C176" s="131" t="s">
        <v>293</v>
      </c>
      <c r="D176" s="131">
        <v>0</v>
      </c>
      <c r="E176" s="131">
        <v>0</v>
      </c>
      <c r="F176" s="131">
        <v>0</v>
      </c>
      <c r="G176" s="131">
        <v>0</v>
      </c>
      <c r="H176" s="131">
        <v>0</v>
      </c>
      <c r="I176" s="131">
        <v>0</v>
      </c>
      <c r="J176" s="131">
        <v>0</v>
      </c>
      <c r="K176" s="131">
        <v>0</v>
      </c>
      <c r="L176" s="131">
        <v>0</v>
      </c>
      <c r="M176" s="131">
        <v>0</v>
      </c>
      <c r="N176" s="131">
        <v>0</v>
      </c>
      <c r="O176" s="131">
        <v>0</v>
      </c>
      <c r="P176" s="131">
        <v>0</v>
      </c>
      <c r="Q176" s="131">
        <v>0</v>
      </c>
      <c r="R176" s="131">
        <v>0</v>
      </c>
      <c r="S176" s="131">
        <v>0</v>
      </c>
      <c r="T176" s="131">
        <v>0</v>
      </c>
      <c r="U176" s="131">
        <v>0</v>
      </c>
      <c r="V176" s="131">
        <v>0</v>
      </c>
      <c r="W176" s="131">
        <v>0</v>
      </c>
      <c r="X176" s="131">
        <v>0</v>
      </c>
      <c r="Y176" s="131">
        <v>0</v>
      </c>
      <c r="Z176" s="131">
        <v>0</v>
      </c>
      <c r="AA176" s="131">
        <v>0</v>
      </c>
      <c r="AB176" s="131">
        <v>0</v>
      </c>
      <c r="AC176" s="131">
        <v>0</v>
      </c>
      <c r="AD176" s="131">
        <v>0</v>
      </c>
      <c r="AE176" s="131">
        <v>0</v>
      </c>
      <c r="AF176" s="131">
        <v>0</v>
      </c>
      <c r="AG176" s="131">
        <v>0</v>
      </c>
      <c r="AH176" s="131">
        <v>0</v>
      </c>
      <c r="AI176" s="131">
        <v>0</v>
      </c>
      <c r="AJ176" s="131">
        <v>0</v>
      </c>
      <c r="AK176" s="131">
        <v>0</v>
      </c>
      <c r="AL176" s="131">
        <v>0</v>
      </c>
      <c r="AM176" s="131">
        <v>0</v>
      </c>
      <c r="AN176" s="131">
        <v>0</v>
      </c>
      <c r="AO176" s="131">
        <v>0</v>
      </c>
      <c r="AP176" s="131">
        <v>0</v>
      </c>
      <c r="AQ176" s="131">
        <v>0</v>
      </c>
      <c r="AR176" s="131">
        <v>0</v>
      </c>
      <c r="AS176" s="131">
        <v>0</v>
      </c>
      <c r="AT176" s="131">
        <v>0</v>
      </c>
      <c r="AU176" s="131">
        <v>0</v>
      </c>
      <c r="AV176" s="131">
        <v>0</v>
      </c>
      <c r="AW176" s="131">
        <v>0</v>
      </c>
      <c r="AX176" s="131">
        <v>0</v>
      </c>
      <c r="AY176" s="131">
        <v>0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0</v>
      </c>
      <c r="G177" s="130">
        <f t="shared" si="2"/>
        <v>0</v>
      </c>
      <c r="H177" s="130">
        <f t="shared" si="2"/>
        <v>0</v>
      </c>
      <c r="I177" s="130">
        <f t="shared" si="2"/>
        <v>0</v>
      </c>
      <c r="J177" s="130">
        <f t="shared" si="2"/>
        <v>0</v>
      </c>
      <c r="K177" s="130">
        <f t="shared" si="2"/>
        <v>0</v>
      </c>
      <c r="L177" s="130">
        <f t="shared" si="2"/>
        <v>0</v>
      </c>
      <c r="M177" s="130">
        <f t="shared" si="2"/>
        <v>0</v>
      </c>
      <c r="N177" s="130">
        <f t="shared" si="2"/>
        <v>0</v>
      </c>
      <c r="O177" s="130">
        <f t="shared" si="2"/>
        <v>0</v>
      </c>
      <c r="P177" s="130">
        <f t="shared" si="2"/>
        <v>0</v>
      </c>
      <c r="Q177" s="130">
        <f t="shared" si="2"/>
        <v>0</v>
      </c>
      <c r="R177" s="130">
        <f t="shared" si="2"/>
        <v>0</v>
      </c>
      <c r="S177" s="130">
        <f t="shared" si="2"/>
        <v>0</v>
      </c>
      <c r="T177" s="130">
        <f t="shared" si="2"/>
        <v>0</v>
      </c>
      <c r="U177" s="130">
        <f t="shared" si="2"/>
        <v>0</v>
      </c>
      <c r="V177" s="130">
        <f t="shared" si="2"/>
        <v>0</v>
      </c>
      <c r="W177" s="130">
        <f t="shared" si="2"/>
        <v>0</v>
      </c>
      <c r="X177" s="130">
        <f t="shared" si="2"/>
        <v>0</v>
      </c>
      <c r="Y177" s="130">
        <f t="shared" si="2"/>
        <v>0</v>
      </c>
      <c r="Z177" s="130">
        <f t="shared" si="2"/>
        <v>0</v>
      </c>
      <c r="AA177" s="130">
        <f t="shared" si="2"/>
        <v>0</v>
      </c>
      <c r="AB177" s="130">
        <f t="shared" si="2"/>
        <v>0</v>
      </c>
      <c r="AC177" s="130">
        <f t="shared" si="2"/>
        <v>0</v>
      </c>
      <c r="AD177" s="130">
        <f t="shared" si="2"/>
        <v>0</v>
      </c>
      <c r="AE177" s="130">
        <f t="shared" si="2"/>
        <v>0</v>
      </c>
      <c r="AF177" s="130">
        <f t="shared" si="2"/>
        <v>0</v>
      </c>
      <c r="AG177" s="130">
        <f t="shared" si="2"/>
        <v>0</v>
      </c>
      <c r="AH177" s="130">
        <f t="shared" si="2"/>
        <v>0</v>
      </c>
      <c r="AI177" s="130">
        <f t="shared" si="2"/>
        <v>0</v>
      </c>
      <c r="AJ177" s="130">
        <f t="shared" si="2"/>
        <v>0</v>
      </c>
      <c r="AK177" s="130">
        <f t="shared" si="2"/>
        <v>0</v>
      </c>
      <c r="AL177" s="130">
        <f t="shared" si="2"/>
        <v>0</v>
      </c>
      <c r="AM177" s="130">
        <f t="shared" si="2"/>
        <v>0</v>
      </c>
      <c r="AN177" s="130">
        <f t="shared" si="2"/>
        <v>0</v>
      </c>
      <c r="AO177" s="130">
        <f t="shared" si="2"/>
        <v>0</v>
      </c>
      <c r="AP177" s="130">
        <f t="shared" si="2"/>
        <v>0</v>
      </c>
      <c r="AQ177" s="130">
        <f t="shared" si="2"/>
        <v>0</v>
      </c>
      <c r="AR177" s="130">
        <f t="shared" si="2"/>
        <v>0</v>
      </c>
      <c r="AS177" s="130">
        <f t="shared" si="2"/>
        <v>0</v>
      </c>
      <c r="AT177" s="130">
        <f t="shared" si="2"/>
        <v>0</v>
      </c>
      <c r="AU177" s="130">
        <f t="shared" si="2"/>
        <v>0</v>
      </c>
      <c r="AV177" s="130">
        <f t="shared" si="2"/>
        <v>0</v>
      </c>
      <c r="AW177" s="130">
        <f t="shared" si="2"/>
        <v>0</v>
      </c>
      <c r="AX177" s="130">
        <f t="shared" si="2"/>
        <v>0</v>
      </c>
      <c r="AY177" s="130">
        <f t="shared" si="2"/>
        <v>0</v>
      </c>
    </row>
    <row r="178" spans="1:51" x14ac:dyDescent="0.2">
      <c r="A178" s="131"/>
      <c r="B178" s="142" t="s">
        <v>299</v>
      </c>
      <c r="C178" s="131" t="s">
        <v>293</v>
      </c>
      <c r="D178" s="131">
        <v>0</v>
      </c>
      <c r="E178" s="131">
        <v>0</v>
      </c>
      <c r="F178" s="131">
        <v>0</v>
      </c>
      <c r="G178" s="131">
        <v>0</v>
      </c>
      <c r="H178" s="131">
        <v>0</v>
      </c>
      <c r="I178" s="131">
        <v>0</v>
      </c>
      <c r="J178" s="131">
        <v>0</v>
      </c>
      <c r="K178" s="131">
        <v>0</v>
      </c>
      <c r="L178" s="131">
        <v>0</v>
      </c>
      <c r="M178" s="131">
        <v>0</v>
      </c>
      <c r="N178" s="131">
        <v>0</v>
      </c>
      <c r="O178" s="131">
        <v>0</v>
      </c>
      <c r="P178" s="131">
        <v>0</v>
      </c>
      <c r="Q178" s="131">
        <v>0</v>
      </c>
      <c r="R178" s="131">
        <v>0</v>
      </c>
      <c r="S178" s="131">
        <v>0</v>
      </c>
      <c r="T178" s="131">
        <v>0</v>
      </c>
      <c r="U178" s="131">
        <v>0</v>
      </c>
      <c r="V178" s="131">
        <v>0</v>
      </c>
      <c r="W178" s="131">
        <v>0</v>
      </c>
      <c r="X178" s="131">
        <v>0</v>
      </c>
      <c r="Y178" s="131">
        <v>0</v>
      </c>
      <c r="Z178" s="131">
        <v>0</v>
      </c>
      <c r="AA178" s="131">
        <v>0</v>
      </c>
      <c r="AB178" s="131">
        <v>0</v>
      </c>
      <c r="AC178" s="131">
        <v>0</v>
      </c>
      <c r="AD178" s="131">
        <v>0</v>
      </c>
      <c r="AE178" s="131">
        <v>0</v>
      </c>
      <c r="AF178" s="131">
        <v>0</v>
      </c>
      <c r="AG178" s="131">
        <v>0</v>
      </c>
      <c r="AH178" s="131">
        <v>0</v>
      </c>
      <c r="AI178" s="131">
        <v>0</v>
      </c>
      <c r="AJ178" s="131">
        <v>0</v>
      </c>
      <c r="AK178" s="131">
        <v>0</v>
      </c>
      <c r="AL178" s="131">
        <v>0</v>
      </c>
      <c r="AM178" s="131">
        <v>0</v>
      </c>
      <c r="AN178" s="131">
        <v>0</v>
      </c>
      <c r="AO178" s="131">
        <v>0</v>
      </c>
      <c r="AP178" s="131">
        <v>0</v>
      </c>
      <c r="AQ178" s="131">
        <v>0</v>
      </c>
      <c r="AR178" s="131">
        <v>0</v>
      </c>
      <c r="AS178" s="131">
        <v>0</v>
      </c>
      <c r="AT178" s="131">
        <v>0</v>
      </c>
      <c r="AU178" s="131">
        <v>0</v>
      </c>
      <c r="AV178" s="131">
        <v>0</v>
      </c>
      <c r="AW178" s="131">
        <v>0</v>
      </c>
      <c r="AX178" s="131">
        <v>0</v>
      </c>
      <c r="AY178" s="131">
        <v>0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0</v>
      </c>
      <c r="E179" s="130">
        <f t="shared" si="3"/>
        <v>0</v>
      </c>
      <c r="F179" s="130">
        <f t="shared" si="3"/>
        <v>0</v>
      </c>
      <c r="G179" s="130">
        <f t="shared" si="3"/>
        <v>0</v>
      </c>
      <c r="H179" s="130">
        <f t="shared" si="3"/>
        <v>0</v>
      </c>
      <c r="I179" s="130">
        <f t="shared" si="3"/>
        <v>0</v>
      </c>
      <c r="J179" s="130">
        <f t="shared" si="3"/>
        <v>0</v>
      </c>
      <c r="K179" s="130">
        <f t="shared" si="3"/>
        <v>0</v>
      </c>
      <c r="L179" s="130">
        <f t="shared" si="3"/>
        <v>0</v>
      </c>
      <c r="M179" s="130">
        <f t="shared" si="3"/>
        <v>0</v>
      </c>
      <c r="N179" s="130">
        <f t="shared" si="3"/>
        <v>0</v>
      </c>
      <c r="O179" s="130">
        <f t="shared" si="3"/>
        <v>0</v>
      </c>
      <c r="P179" s="130">
        <f t="shared" si="3"/>
        <v>0</v>
      </c>
      <c r="Q179" s="130">
        <f t="shared" si="3"/>
        <v>0</v>
      </c>
      <c r="R179" s="130">
        <f t="shared" si="3"/>
        <v>0</v>
      </c>
      <c r="S179" s="130">
        <f t="shared" si="3"/>
        <v>0</v>
      </c>
      <c r="T179" s="130">
        <f t="shared" si="3"/>
        <v>0</v>
      </c>
      <c r="U179" s="130">
        <f t="shared" si="3"/>
        <v>0</v>
      </c>
      <c r="V179" s="130">
        <f t="shared" si="3"/>
        <v>0</v>
      </c>
      <c r="W179" s="130">
        <f t="shared" si="3"/>
        <v>0</v>
      </c>
      <c r="X179" s="130">
        <f t="shared" si="3"/>
        <v>0</v>
      </c>
      <c r="Y179" s="130">
        <f t="shared" si="3"/>
        <v>0</v>
      </c>
      <c r="Z179" s="130">
        <f t="shared" si="3"/>
        <v>0</v>
      </c>
      <c r="AA179" s="130">
        <f t="shared" si="3"/>
        <v>0</v>
      </c>
      <c r="AB179" s="130">
        <f t="shared" si="3"/>
        <v>0</v>
      </c>
      <c r="AC179" s="130">
        <f t="shared" si="3"/>
        <v>0</v>
      </c>
      <c r="AD179" s="130">
        <f t="shared" si="3"/>
        <v>0</v>
      </c>
      <c r="AE179" s="130">
        <f t="shared" si="3"/>
        <v>0</v>
      </c>
      <c r="AF179" s="130">
        <f t="shared" si="3"/>
        <v>0</v>
      </c>
      <c r="AG179" s="130">
        <f t="shared" si="3"/>
        <v>0</v>
      </c>
      <c r="AH179" s="130">
        <f t="shared" si="3"/>
        <v>0</v>
      </c>
      <c r="AI179" s="130">
        <f t="shared" si="3"/>
        <v>0</v>
      </c>
      <c r="AJ179" s="130">
        <f t="shared" si="3"/>
        <v>0</v>
      </c>
      <c r="AK179" s="130">
        <f t="shared" si="3"/>
        <v>0</v>
      </c>
      <c r="AL179" s="130">
        <f t="shared" si="3"/>
        <v>0</v>
      </c>
      <c r="AM179" s="130">
        <f t="shared" si="3"/>
        <v>0</v>
      </c>
      <c r="AN179" s="130">
        <f t="shared" si="3"/>
        <v>0</v>
      </c>
      <c r="AO179" s="130">
        <f t="shared" si="3"/>
        <v>0</v>
      </c>
      <c r="AP179" s="130">
        <f t="shared" si="3"/>
        <v>0</v>
      </c>
      <c r="AQ179" s="130">
        <f t="shared" si="3"/>
        <v>0</v>
      </c>
      <c r="AR179" s="130">
        <f t="shared" si="3"/>
        <v>0</v>
      </c>
      <c r="AS179" s="130">
        <f t="shared" si="3"/>
        <v>0</v>
      </c>
      <c r="AT179" s="130">
        <f t="shared" si="3"/>
        <v>0</v>
      </c>
      <c r="AU179" s="130">
        <f t="shared" si="3"/>
        <v>0</v>
      </c>
      <c r="AV179" s="130">
        <f t="shared" si="3"/>
        <v>0</v>
      </c>
      <c r="AW179" s="130">
        <f t="shared" si="3"/>
        <v>0</v>
      </c>
      <c r="AX179" s="130">
        <f t="shared" si="3"/>
        <v>0</v>
      </c>
      <c r="AY179" s="130">
        <f t="shared" si="3"/>
        <v>0</v>
      </c>
    </row>
    <row r="180" spans="1:51" x14ac:dyDescent="0.2">
      <c r="A180" s="131"/>
      <c r="B180" s="142" t="s">
        <v>299</v>
      </c>
      <c r="C180" s="131" t="s">
        <v>293</v>
      </c>
      <c r="D180" s="131">
        <v>0</v>
      </c>
      <c r="E180" s="131">
        <v>0</v>
      </c>
      <c r="F180" s="131">
        <v>0</v>
      </c>
      <c r="G180" s="131">
        <v>0</v>
      </c>
      <c r="H180" s="131">
        <v>0</v>
      </c>
      <c r="I180" s="131">
        <v>0</v>
      </c>
      <c r="J180" s="131">
        <v>0</v>
      </c>
      <c r="K180" s="131">
        <v>0</v>
      </c>
      <c r="L180" s="131">
        <v>0</v>
      </c>
      <c r="M180" s="131">
        <v>0</v>
      </c>
      <c r="N180" s="131">
        <v>0</v>
      </c>
      <c r="O180" s="131">
        <v>0</v>
      </c>
      <c r="P180" s="131">
        <v>0</v>
      </c>
      <c r="Q180" s="131">
        <v>0</v>
      </c>
      <c r="R180" s="131">
        <v>0</v>
      </c>
      <c r="S180" s="131">
        <v>0</v>
      </c>
      <c r="T180" s="131">
        <v>0</v>
      </c>
      <c r="U180" s="131">
        <v>0</v>
      </c>
      <c r="V180" s="131">
        <v>0</v>
      </c>
      <c r="W180" s="131">
        <v>0</v>
      </c>
      <c r="X180" s="131">
        <v>0</v>
      </c>
      <c r="Y180" s="131">
        <v>0</v>
      </c>
      <c r="Z180" s="131">
        <v>0</v>
      </c>
      <c r="AA180" s="131">
        <v>0</v>
      </c>
      <c r="AB180" s="131">
        <v>0</v>
      </c>
      <c r="AC180" s="131">
        <v>0</v>
      </c>
      <c r="AD180" s="131">
        <v>0</v>
      </c>
      <c r="AE180" s="131">
        <v>0</v>
      </c>
      <c r="AF180" s="131">
        <v>0</v>
      </c>
      <c r="AG180" s="131">
        <v>0</v>
      </c>
      <c r="AH180" s="131">
        <v>0</v>
      </c>
      <c r="AI180" s="131">
        <v>0</v>
      </c>
      <c r="AJ180" s="131">
        <v>0</v>
      </c>
      <c r="AK180" s="131">
        <v>0</v>
      </c>
      <c r="AL180" s="131">
        <v>0</v>
      </c>
      <c r="AM180" s="131">
        <v>0</v>
      </c>
      <c r="AN180" s="131">
        <v>0</v>
      </c>
      <c r="AO180" s="131">
        <v>0</v>
      </c>
      <c r="AP180" s="131">
        <v>0</v>
      </c>
      <c r="AQ180" s="131">
        <v>0</v>
      </c>
      <c r="AR180" s="131">
        <v>0</v>
      </c>
      <c r="AS180" s="131">
        <v>0</v>
      </c>
      <c r="AT180" s="131">
        <v>0</v>
      </c>
      <c r="AU180" s="131">
        <v>0</v>
      </c>
      <c r="AV180" s="131">
        <v>0</v>
      </c>
      <c r="AW180" s="131">
        <v>0</v>
      </c>
      <c r="AX180" s="131">
        <v>0</v>
      </c>
      <c r="AY180" s="131">
        <v>0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29037.898371049178</v>
      </c>
      <c r="E181" s="130">
        <f t="shared" si="4"/>
        <v>29037.898371049178</v>
      </c>
      <c r="F181" s="130">
        <f t="shared" si="4"/>
        <v>29037.89837104917</v>
      </c>
      <c r="G181" s="130">
        <f t="shared" si="4"/>
        <v>29037.898371049174</v>
      </c>
      <c r="H181" s="130">
        <f t="shared" si="4"/>
        <v>29037.898371049174</v>
      </c>
      <c r="I181" s="130">
        <f t="shared" si="4"/>
        <v>29037.898371049174</v>
      </c>
      <c r="J181" s="130">
        <f t="shared" si="4"/>
        <v>29037.89837104917</v>
      </c>
      <c r="K181" s="130">
        <f t="shared" si="4"/>
        <v>29037.898371049174</v>
      </c>
      <c r="L181" s="130">
        <f t="shared" si="4"/>
        <v>29037.898371049163</v>
      </c>
      <c r="M181" s="130">
        <f t="shared" si="4"/>
        <v>29037.898371049174</v>
      </c>
      <c r="N181" s="130">
        <f t="shared" si="4"/>
        <v>29037.898371049174</v>
      </c>
      <c r="O181" s="130">
        <f t="shared" si="4"/>
        <v>29037.898371049174</v>
      </c>
      <c r="P181" s="130">
        <f t="shared" si="4"/>
        <v>29037.898371049174</v>
      </c>
      <c r="Q181" s="130">
        <f t="shared" si="4"/>
        <v>29037.898371049174</v>
      </c>
      <c r="R181" s="130">
        <f t="shared" si="4"/>
        <v>29037.898371049174</v>
      </c>
      <c r="S181" s="130">
        <f t="shared" si="4"/>
        <v>29037.898371049174</v>
      </c>
      <c r="T181" s="130">
        <f t="shared" si="4"/>
        <v>29037.898371049174</v>
      </c>
      <c r="U181" s="130">
        <f t="shared" si="4"/>
        <v>29037.898371049174</v>
      </c>
      <c r="V181" s="130">
        <f t="shared" si="4"/>
        <v>29037.898371049174</v>
      </c>
      <c r="W181" s="130">
        <f t="shared" si="4"/>
        <v>29037.89837104917</v>
      </c>
      <c r="X181" s="130">
        <f t="shared" si="4"/>
        <v>29037.898371049174</v>
      </c>
      <c r="Y181" s="130">
        <f t="shared" si="4"/>
        <v>29037.898371049174</v>
      </c>
      <c r="Z181" s="130">
        <f t="shared" si="4"/>
        <v>29037.898371049174</v>
      </c>
      <c r="AA181" s="130">
        <f t="shared" si="4"/>
        <v>29037.89837104917</v>
      </c>
      <c r="AB181" s="130">
        <f t="shared" si="4"/>
        <v>29037.898371049174</v>
      </c>
      <c r="AC181" s="130">
        <f t="shared" si="4"/>
        <v>29037.898371049178</v>
      </c>
      <c r="AD181" s="130">
        <f t="shared" si="4"/>
        <v>29037.898371049174</v>
      </c>
      <c r="AE181" s="130">
        <f t="shared" si="4"/>
        <v>29037.898371049174</v>
      </c>
      <c r="AF181" s="130">
        <f t="shared" si="4"/>
        <v>29037.898371049174</v>
      </c>
      <c r="AG181" s="130">
        <f t="shared" si="4"/>
        <v>29037.898371049174</v>
      </c>
      <c r="AH181" s="130">
        <f t="shared" si="4"/>
        <v>29037.89837104917</v>
      </c>
      <c r="AI181" s="130">
        <f t="shared" si="4"/>
        <v>29037.898371049174</v>
      </c>
      <c r="AJ181" s="130">
        <f t="shared" si="4"/>
        <v>29037.898371049174</v>
      </c>
      <c r="AK181" s="130">
        <f t="shared" si="4"/>
        <v>29037.89837104917</v>
      </c>
      <c r="AL181" s="130">
        <f t="shared" si="4"/>
        <v>29037.898371049174</v>
      </c>
      <c r="AM181" s="130">
        <f t="shared" si="4"/>
        <v>29037.898371049163</v>
      </c>
      <c r="AN181" s="130">
        <f t="shared" si="4"/>
        <v>29037.898371049174</v>
      </c>
      <c r="AO181" s="130">
        <f t="shared" si="4"/>
        <v>29037.898371049174</v>
      </c>
      <c r="AP181" s="130">
        <f t="shared" si="4"/>
        <v>29037.898371049174</v>
      </c>
      <c r="AQ181" s="130">
        <f t="shared" si="4"/>
        <v>29037.898371049178</v>
      </c>
      <c r="AR181" s="130">
        <f t="shared" si="4"/>
        <v>29037.89837104917</v>
      </c>
      <c r="AS181" s="130">
        <f t="shared" si="4"/>
        <v>29037.898371049174</v>
      </c>
      <c r="AT181" s="130">
        <f t="shared" si="4"/>
        <v>29037.898371049163</v>
      </c>
      <c r="AU181" s="130">
        <f t="shared" si="4"/>
        <v>29037.898371049174</v>
      </c>
      <c r="AV181" s="130">
        <f t="shared" si="4"/>
        <v>29037.898371049174</v>
      </c>
      <c r="AW181" s="130">
        <f t="shared" si="4"/>
        <v>29037.898371049181</v>
      </c>
      <c r="AX181" s="130">
        <f t="shared" si="4"/>
        <v>29037.898371049181</v>
      </c>
      <c r="AY181" s="130">
        <f t="shared" si="4"/>
        <v>29037.898371049174</v>
      </c>
    </row>
    <row r="182" spans="1:51" x14ac:dyDescent="0.2">
      <c r="A182" s="131"/>
      <c r="B182" s="142" t="s">
        <v>299</v>
      </c>
      <c r="C182" s="131" t="s">
        <v>293</v>
      </c>
      <c r="D182" s="131">
        <v>362</v>
      </c>
      <c r="E182" s="131">
        <v>357</v>
      </c>
      <c r="F182" s="131">
        <v>320</v>
      </c>
      <c r="G182" s="131">
        <v>413</v>
      </c>
      <c r="H182" s="131">
        <v>1980</v>
      </c>
      <c r="I182" s="131">
        <v>1742</v>
      </c>
      <c r="J182" s="131">
        <v>2287</v>
      </c>
      <c r="K182" s="131">
        <v>1675</v>
      </c>
      <c r="L182" s="131">
        <v>288</v>
      </c>
      <c r="M182" s="131">
        <v>270</v>
      </c>
      <c r="N182" s="131">
        <v>319</v>
      </c>
      <c r="O182" s="131">
        <v>242</v>
      </c>
      <c r="P182" s="131">
        <v>1194</v>
      </c>
      <c r="Q182" s="131">
        <v>1471</v>
      </c>
      <c r="R182" s="131">
        <v>1125</v>
      </c>
      <c r="S182" s="131">
        <v>1566</v>
      </c>
      <c r="T182" s="131">
        <v>956</v>
      </c>
      <c r="U182" s="131">
        <v>1196</v>
      </c>
      <c r="V182" s="131">
        <v>822</v>
      </c>
      <c r="W182" s="131">
        <v>1073</v>
      </c>
      <c r="X182" s="131">
        <v>1040</v>
      </c>
      <c r="Y182" s="131">
        <v>1115</v>
      </c>
      <c r="Z182" s="131">
        <v>891</v>
      </c>
      <c r="AA182" s="131">
        <v>732</v>
      </c>
      <c r="AB182" s="131">
        <v>298</v>
      </c>
      <c r="AC182" s="131">
        <v>316</v>
      </c>
      <c r="AD182" s="131">
        <v>313</v>
      </c>
      <c r="AE182" s="131">
        <v>306</v>
      </c>
      <c r="AF182" s="131">
        <v>1082</v>
      </c>
      <c r="AG182" s="131">
        <v>1062</v>
      </c>
      <c r="AH182" s="131">
        <v>982</v>
      </c>
      <c r="AI182" s="131">
        <v>1014</v>
      </c>
      <c r="AJ182" s="131">
        <v>1148</v>
      </c>
      <c r="AK182" s="131">
        <v>1012</v>
      </c>
      <c r="AL182" s="131">
        <v>1111</v>
      </c>
      <c r="AM182" s="131">
        <v>978</v>
      </c>
      <c r="AN182" s="131">
        <v>1204</v>
      </c>
      <c r="AO182" s="131">
        <v>1444</v>
      </c>
      <c r="AP182" s="131">
        <v>1981</v>
      </c>
      <c r="AQ182" s="131">
        <v>1956</v>
      </c>
      <c r="AR182" s="131">
        <v>1705</v>
      </c>
      <c r="AS182" s="131">
        <v>1521</v>
      </c>
      <c r="AT182" s="131">
        <v>1517</v>
      </c>
      <c r="AU182" s="131">
        <v>1431</v>
      </c>
      <c r="AV182" s="131">
        <v>640</v>
      </c>
      <c r="AW182" s="131">
        <v>728</v>
      </c>
      <c r="AX182" s="131">
        <v>659</v>
      </c>
      <c r="AY182" s="131">
        <v>598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0</v>
      </c>
      <c r="D189" s="130">
        <v>0</v>
      </c>
      <c r="E189" s="130">
        <v>0</v>
      </c>
      <c r="F189" s="130">
        <v>0</v>
      </c>
      <c r="G189" s="130">
        <v>0</v>
      </c>
      <c r="H189" s="130">
        <v>0</v>
      </c>
      <c r="I189" s="130">
        <v>0</v>
      </c>
      <c r="J189" s="130">
        <v>0</v>
      </c>
      <c r="K189" s="130">
        <v>0</v>
      </c>
      <c r="L189" s="130">
        <v>0</v>
      </c>
      <c r="M189" s="130">
        <v>0</v>
      </c>
      <c r="N189" s="130">
        <v>0</v>
      </c>
      <c r="O189" s="130">
        <v>0</v>
      </c>
      <c r="P189" s="130">
        <v>0</v>
      </c>
      <c r="Q189" s="130">
        <v>0</v>
      </c>
      <c r="R189" s="130">
        <v>0</v>
      </c>
      <c r="S189" s="130">
        <v>0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0</v>
      </c>
      <c r="AI189" s="130">
        <v>0</v>
      </c>
      <c r="AJ189" s="130">
        <v>0</v>
      </c>
      <c r="AK189" s="130">
        <v>0</v>
      </c>
      <c r="AL189" s="130">
        <v>0</v>
      </c>
      <c r="AM189" s="130">
        <v>0</v>
      </c>
      <c r="AN189" s="130">
        <v>0</v>
      </c>
      <c r="AO189" s="130">
        <v>0</v>
      </c>
      <c r="AP189" s="130">
        <v>0</v>
      </c>
      <c r="AQ189" s="130">
        <v>0</v>
      </c>
      <c r="AR189" s="130">
        <v>0</v>
      </c>
      <c r="AS189" s="130">
        <v>0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433.82836284515747</v>
      </c>
      <c r="D210" s="116">
        <v>362</v>
      </c>
      <c r="E210" s="116">
        <v>357</v>
      </c>
      <c r="F210" s="116">
        <v>320</v>
      </c>
      <c r="G210" s="116">
        <v>413</v>
      </c>
      <c r="H210" s="116">
        <v>1980</v>
      </c>
      <c r="I210" s="116">
        <v>1530.8283628451534</v>
      </c>
      <c r="J210" s="116">
        <v>2075.8283628451586</v>
      </c>
      <c r="K210" s="116">
        <v>1463.8283628451554</v>
      </c>
      <c r="L210" s="116">
        <v>76.828362845159575</v>
      </c>
      <c r="M210" s="116">
        <v>58.828362845155425</v>
      </c>
      <c r="N210" s="116">
        <v>107.82836284515335</v>
      </c>
      <c r="O210" s="116">
        <v>30.828362845154402</v>
      </c>
      <c r="P210" s="116">
        <v>1194</v>
      </c>
      <c r="Q210" s="116">
        <v>1471</v>
      </c>
      <c r="R210" s="116">
        <v>1125</v>
      </c>
      <c r="S210" s="116">
        <v>1566</v>
      </c>
      <c r="T210" s="116">
        <v>956</v>
      </c>
      <c r="U210" s="116">
        <v>984.8283628451544</v>
      </c>
      <c r="V210" s="116">
        <v>610.8283628451544</v>
      </c>
      <c r="W210" s="116">
        <v>861.82836284515849</v>
      </c>
      <c r="X210" s="116">
        <v>828.82836284515543</v>
      </c>
      <c r="Y210" s="116">
        <v>903.82836284515543</v>
      </c>
      <c r="Z210" s="116">
        <v>679.82836284515338</v>
      </c>
      <c r="AA210" s="116">
        <v>520.82836284515849</v>
      </c>
      <c r="AB210" s="116">
        <v>298</v>
      </c>
      <c r="AC210" s="116">
        <v>316</v>
      </c>
      <c r="AD210" s="116">
        <v>313</v>
      </c>
      <c r="AE210" s="116">
        <v>306</v>
      </c>
      <c r="AF210" s="116">
        <v>1082</v>
      </c>
      <c r="AG210" s="116">
        <v>850.82836284515236</v>
      </c>
      <c r="AH210" s="116">
        <v>770.82836284515747</v>
      </c>
      <c r="AI210" s="116">
        <v>802.8283628451544</v>
      </c>
      <c r="AJ210" s="116">
        <v>936.8283628451544</v>
      </c>
      <c r="AK210" s="116">
        <v>800.82836284515849</v>
      </c>
      <c r="AL210" s="116">
        <v>899.82836284515543</v>
      </c>
      <c r="AM210" s="116">
        <v>766.82836284515952</v>
      </c>
      <c r="AN210" s="116">
        <v>1204</v>
      </c>
      <c r="AO210" s="116">
        <v>1444</v>
      </c>
      <c r="AP210" s="116">
        <v>1981</v>
      </c>
      <c r="AQ210" s="116">
        <v>1956</v>
      </c>
      <c r="AR210" s="116">
        <v>1705</v>
      </c>
      <c r="AS210" s="116">
        <v>1309.8283628451554</v>
      </c>
      <c r="AT210" s="116">
        <v>1305.8283628451595</v>
      </c>
      <c r="AU210" s="116">
        <v>1219.8283628451554</v>
      </c>
      <c r="AV210" s="116">
        <v>428.82836284515747</v>
      </c>
      <c r="AW210" s="116">
        <v>516.82836284515338</v>
      </c>
      <c r="AX210" s="116">
        <v>447.82836284515434</v>
      </c>
      <c r="AY210" s="116">
        <v>386.82836284516054</v>
      </c>
    </row>
    <row r="211" spans="1:51" x14ac:dyDescent="0.2">
      <c r="A211" s="115"/>
      <c r="B211" s="125">
        <v>3</v>
      </c>
      <c r="C211" s="112">
        <v>211.17163715484256</v>
      </c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211.17163715484665</v>
      </c>
      <c r="J211" s="116">
        <v>211.17163715484148</v>
      </c>
      <c r="K211" s="116">
        <v>211.17163715484457</v>
      </c>
      <c r="L211" s="116">
        <v>211.17163715484043</v>
      </c>
      <c r="M211" s="116">
        <v>211.17163715484457</v>
      </c>
      <c r="N211" s="116">
        <v>211.17163715484665</v>
      </c>
      <c r="O211" s="116">
        <v>211.1716371548456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211.1716371548456</v>
      </c>
      <c r="V211" s="116">
        <v>211.1716371548456</v>
      </c>
      <c r="W211" s="116">
        <v>211.17163715484148</v>
      </c>
      <c r="X211" s="116">
        <v>211.17163715484457</v>
      </c>
      <c r="Y211" s="116">
        <v>211.17163715484457</v>
      </c>
      <c r="Z211" s="116">
        <v>211.17163715484665</v>
      </c>
      <c r="AA211" s="116">
        <v>211.17163715484148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211.17163715484767</v>
      </c>
      <c r="AH211" s="116">
        <v>211.1716371548425</v>
      </c>
      <c r="AI211" s="116">
        <v>211.1716371548456</v>
      </c>
      <c r="AJ211" s="116">
        <v>211.1716371548456</v>
      </c>
      <c r="AK211" s="116">
        <v>211.17163715484148</v>
      </c>
      <c r="AL211" s="116">
        <v>211.17163715484457</v>
      </c>
      <c r="AM211" s="116">
        <v>211.17163715484043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211.17163715484457</v>
      </c>
      <c r="AT211" s="116">
        <v>211.17163715484043</v>
      </c>
      <c r="AU211" s="116">
        <v>211.17163715484457</v>
      </c>
      <c r="AV211" s="116">
        <v>211.17163715484256</v>
      </c>
      <c r="AW211" s="116">
        <v>211.17163715484668</v>
      </c>
      <c r="AX211" s="116">
        <v>211.17163715484566</v>
      </c>
      <c r="AY211" s="116">
        <v>211.17163715483943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14275366.058818033</v>
      </c>
      <c r="E259" s="130">
        <f t="shared" ref="E259:AX259" si="5">F$14*$B$259</f>
        <v>14275366.058818033</v>
      </c>
      <c r="F259" s="130">
        <f t="shared" si="5"/>
        <v>14275366.058818027</v>
      </c>
      <c r="G259" s="130">
        <f t="shared" si="5"/>
        <v>14275366.058818029</v>
      </c>
      <c r="H259" s="130">
        <f t="shared" si="5"/>
        <v>14275366.058818037</v>
      </c>
      <c r="I259" s="130">
        <f t="shared" si="5"/>
        <v>14275366.058818037</v>
      </c>
      <c r="J259" s="130">
        <f t="shared" si="5"/>
        <v>14275366.058818035</v>
      </c>
      <c r="K259" s="130">
        <f t="shared" si="5"/>
        <v>14275366.058818037</v>
      </c>
      <c r="L259" s="130">
        <f t="shared" si="5"/>
        <v>14275366.058818035</v>
      </c>
      <c r="M259" s="130">
        <f t="shared" si="5"/>
        <v>14275366.058818037</v>
      </c>
      <c r="N259" s="130">
        <f t="shared" si="5"/>
        <v>14275366.058818037</v>
      </c>
      <c r="O259" s="130">
        <f t="shared" si="5"/>
        <v>14275366.058818037</v>
      </c>
      <c r="P259" s="130">
        <f t="shared" si="5"/>
        <v>14275366.058818037</v>
      </c>
      <c r="Q259" s="130">
        <f t="shared" si="5"/>
        <v>14275366.058818037</v>
      </c>
      <c r="R259" s="130">
        <f t="shared" si="5"/>
        <v>14275366.058818037</v>
      </c>
      <c r="S259" s="130">
        <f t="shared" si="5"/>
        <v>14275366.058818037</v>
      </c>
      <c r="T259" s="130">
        <f t="shared" si="5"/>
        <v>14275366.058818037</v>
      </c>
      <c r="U259" s="130">
        <f t="shared" si="5"/>
        <v>14275366.058818037</v>
      </c>
      <c r="V259" s="130">
        <f t="shared" si="5"/>
        <v>14275366.058818037</v>
      </c>
      <c r="W259" s="130">
        <f t="shared" si="5"/>
        <v>14275366.058818035</v>
      </c>
      <c r="X259" s="130">
        <f t="shared" si="5"/>
        <v>14275366.058818037</v>
      </c>
      <c r="Y259" s="130">
        <f t="shared" si="5"/>
        <v>14275366.058818037</v>
      </c>
      <c r="Z259" s="130">
        <f t="shared" si="5"/>
        <v>14275366.058818037</v>
      </c>
      <c r="AA259" s="130">
        <f t="shared" si="5"/>
        <v>14275366.058818035</v>
      </c>
      <c r="AB259" s="130">
        <f t="shared" si="5"/>
        <v>14275366.058818037</v>
      </c>
      <c r="AC259" s="130">
        <f t="shared" si="5"/>
        <v>14275366.058818039</v>
      </c>
      <c r="AD259" s="130">
        <f t="shared" si="5"/>
        <v>14275366.058818037</v>
      </c>
      <c r="AE259" s="130">
        <f t="shared" si="5"/>
        <v>14275366.058818037</v>
      </c>
      <c r="AF259" s="130">
        <f t="shared" si="5"/>
        <v>14275366.058818037</v>
      </c>
      <c r="AG259" s="130">
        <f t="shared" si="5"/>
        <v>14275366.058818037</v>
      </c>
      <c r="AH259" s="130">
        <f t="shared" si="5"/>
        <v>14275366.058818035</v>
      </c>
      <c r="AI259" s="130">
        <f t="shared" si="5"/>
        <v>14275366.058818037</v>
      </c>
      <c r="AJ259" s="130">
        <f t="shared" si="5"/>
        <v>14275366.058818037</v>
      </c>
      <c r="AK259" s="130">
        <f t="shared" si="5"/>
        <v>14275366.058818035</v>
      </c>
      <c r="AL259" s="130">
        <f t="shared" si="5"/>
        <v>14275366.058818037</v>
      </c>
      <c r="AM259" s="130">
        <f t="shared" si="5"/>
        <v>14275366.058818035</v>
      </c>
      <c r="AN259" s="130">
        <f t="shared" si="5"/>
        <v>14275366.058818037</v>
      </c>
      <c r="AO259" s="130">
        <f t="shared" si="5"/>
        <v>14275366.058818037</v>
      </c>
      <c r="AP259" s="130">
        <f t="shared" si="5"/>
        <v>14275366.058818037</v>
      </c>
      <c r="AQ259" s="130">
        <f t="shared" si="5"/>
        <v>14275366.058818039</v>
      </c>
      <c r="AR259" s="130">
        <f t="shared" si="5"/>
        <v>14275366.058818035</v>
      </c>
      <c r="AS259" s="130">
        <f t="shared" si="5"/>
        <v>14275366.058818037</v>
      </c>
      <c r="AT259" s="130">
        <f t="shared" si="5"/>
        <v>14275366.058818035</v>
      </c>
      <c r="AU259" s="130">
        <f t="shared" si="5"/>
        <v>14275366.058818037</v>
      </c>
      <c r="AV259" s="130">
        <f t="shared" si="5"/>
        <v>14275366.058818029</v>
      </c>
      <c r="AW259" s="130">
        <f t="shared" si="5"/>
        <v>14275366.058818035</v>
      </c>
      <c r="AX259" s="130">
        <f t="shared" si="5"/>
        <v>14275366.058818035</v>
      </c>
      <c r="AY259" s="130">
        <f>AZ$14*$B$259</f>
        <v>14275366.058818029</v>
      </c>
      <c r="AZ259" s="145">
        <f>SUM($D259:$AY259)</f>
        <v>685217570.82326531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1720553.9022629505</v>
      </c>
      <c r="E260" s="131">
        <f t="shared" ref="E260:AY260" si="6">(E$175-E$176+E$177-E$178+E$179-E$180+E$181-E$182)*$B$260</f>
        <v>1720853.9022629505</v>
      </c>
      <c r="F260" s="131">
        <f t="shared" si="6"/>
        <v>1723073.9022629503</v>
      </c>
      <c r="G260" s="131">
        <f t="shared" si="6"/>
        <v>1717493.9022629503</v>
      </c>
      <c r="H260" s="131">
        <f t="shared" si="6"/>
        <v>1623473.9022629503</v>
      </c>
      <c r="I260" s="131">
        <f t="shared" si="6"/>
        <v>1637753.9022629503</v>
      </c>
      <c r="J260" s="131">
        <f t="shared" si="6"/>
        <v>1605053.9022629503</v>
      </c>
      <c r="K260" s="131">
        <f t="shared" si="6"/>
        <v>1641773.9022629503</v>
      </c>
      <c r="L260" s="131">
        <f t="shared" si="6"/>
        <v>1724993.9022629499</v>
      </c>
      <c r="M260" s="131">
        <f t="shared" si="6"/>
        <v>1726073.9022629503</v>
      </c>
      <c r="N260" s="131">
        <f t="shared" si="6"/>
        <v>1723133.9022629503</v>
      </c>
      <c r="O260" s="131">
        <f t="shared" si="6"/>
        <v>1727753.9022629503</v>
      </c>
      <c r="P260" s="131">
        <f t="shared" si="6"/>
        <v>1670633.9022629503</v>
      </c>
      <c r="Q260" s="131">
        <f t="shared" si="6"/>
        <v>1654013.9022629503</v>
      </c>
      <c r="R260" s="131">
        <f t="shared" si="6"/>
        <v>1674773.9022629503</v>
      </c>
      <c r="S260" s="131">
        <f t="shared" si="6"/>
        <v>1648313.9022629503</v>
      </c>
      <c r="T260" s="131">
        <f t="shared" si="6"/>
        <v>1684913.9022629503</v>
      </c>
      <c r="U260" s="131">
        <f t="shared" si="6"/>
        <v>1670513.9022629503</v>
      </c>
      <c r="V260" s="131">
        <f t="shared" si="6"/>
        <v>1692953.9022629503</v>
      </c>
      <c r="W260" s="131">
        <f t="shared" si="6"/>
        <v>1677893.9022629503</v>
      </c>
      <c r="X260" s="131">
        <f t="shared" si="6"/>
        <v>1679873.9022629503</v>
      </c>
      <c r="Y260" s="131">
        <f t="shared" si="6"/>
        <v>1675373.9022629503</v>
      </c>
      <c r="Z260" s="131">
        <f t="shared" si="6"/>
        <v>1688813.9022629503</v>
      </c>
      <c r="AA260" s="131">
        <f t="shared" si="6"/>
        <v>1698353.9022629503</v>
      </c>
      <c r="AB260" s="131">
        <f t="shared" si="6"/>
        <v>1724393.9022629503</v>
      </c>
      <c r="AC260" s="131">
        <f t="shared" si="6"/>
        <v>1723313.9022629505</v>
      </c>
      <c r="AD260" s="131">
        <f t="shared" si="6"/>
        <v>1723493.9022629503</v>
      </c>
      <c r="AE260" s="131">
        <f t="shared" si="6"/>
        <v>1723913.9022629503</v>
      </c>
      <c r="AF260" s="131">
        <f t="shared" si="6"/>
        <v>1677353.9022629503</v>
      </c>
      <c r="AG260" s="131">
        <f t="shared" si="6"/>
        <v>1678553.9022629503</v>
      </c>
      <c r="AH260" s="131">
        <f t="shared" si="6"/>
        <v>1683353.9022629503</v>
      </c>
      <c r="AI260" s="131">
        <f t="shared" si="6"/>
        <v>1681433.9022629503</v>
      </c>
      <c r="AJ260" s="131">
        <f t="shared" si="6"/>
        <v>1673393.9022629503</v>
      </c>
      <c r="AK260" s="131">
        <f t="shared" si="6"/>
        <v>1681553.9022629503</v>
      </c>
      <c r="AL260" s="131">
        <f t="shared" si="6"/>
        <v>1675613.9022629503</v>
      </c>
      <c r="AM260" s="131">
        <f t="shared" si="6"/>
        <v>1683593.9022629499</v>
      </c>
      <c r="AN260" s="131">
        <f t="shared" si="6"/>
        <v>1670033.9022629503</v>
      </c>
      <c r="AO260" s="131">
        <f t="shared" si="6"/>
        <v>1655633.9022629503</v>
      </c>
      <c r="AP260" s="131">
        <f t="shared" si="6"/>
        <v>1623413.9022629503</v>
      </c>
      <c r="AQ260" s="131">
        <f t="shared" si="6"/>
        <v>1624913.9022629505</v>
      </c>
      <c r="AR260" s="131">
        <f t="shared" si="6"/>
        <v>1639973.9022629503</v>
      </c>
      <c r="AS260" s="131">
        <f t="shared" si="6"/>
        <v>1651013.9022629503</v>
      </c>
      <c r="AT260" s="131">
        <f t="shared" si="6"/>
        <v>1651253.9022629499</v>
      </c>
      <c r="AU260" s="131">
        <f t="shared" si="6"/>
        <v>1656413.9022629503</v>
      </c>
      <c r="AV260" s="131">
        <f t="shared" si="6"/>
        <v>1703873.9022629503</v>
      </c>
      <c r="AW260" s="131">
        <f t="shared" si="6"/>
        <v>1698593.9022629508</v>
      </c>
      <c r="AX260" s="131">
        <f t="shared" si="6"/>
        <v>1702733.9022629508</v>
      </c>
      <c r="AY260" s="131">
        <f t="shared" si="6"/>
        <v>1706393.9022629503</v>
      </c>
      <c r="AZ260" s="147">
        <f>SUM($D260:$AY260)</f>
        <v>80722627.308621615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4</v>
      </c>
      <c r="E49" s="106">
        <v>3940.7999999999997</v>
      </c>
      <c r="F49" s="106">
        <v>3</v>
      </c>
      <c r="G49" s="106">
        <v>2955.6</v>
      </c>
      <c r="H49" s="106">
        <v>3</v>
      </c>
      <c r="I49" s="106">
        <v>2955.6</v>
      </c>
      <c r="J49" s="106">
        <v>3</v>
      </c>
      <c r="K49" s="106">
        <v>2955.6</v>
      </c>
      <c r="L49" s="106">
        <v>4</v>
      </c>
      <c r="M49" s="106">
        <v>3940.7999999999997</v>
      </c>
      <c r="N49" s="106">
        <v>4</v>
      </c>
      <c r="O49" s="106">
        <v>3940.7999999999997</v>
      </c>
      <c r="P49" s="106">
        <v>3</v>
      </c>
      <c r="Q49" s="106">
        <v>2955.6</v>
      </c>
      <c r="R49" s="106">
        <v>5</v>
      </c>
      <c r="S49" s="106">
        <v>4926</v>
      </c>
      <c r="T49" s="106">
        <v>57</v>
      </c>
      <c r="U49" s="106">
        <v>56156.399999999994</v>
      </c>
      <c r="V49" s="106">
        <v>44</v>
      </c>
      <c r="W49" s="106">
        <v>43348.799999999996</v>
      </c>
      <c r="X49" s="106">
        <v>58</v>
      </c>
      <c r="Y49" s="106">
        <v>57141.599999999999</v>
      </c>
      <c r="Z49" s="106">
        <v>39</v>
      </c>
      <c r="AA49" s="106">
        <v>38422.799999999996</v>
      </c>
      <c r="AB49" s="106">
        <v>7</v>
      </c>
      <c r="AC49" s="106">
        <v>6896.4</v>
      </c>
      <c r="AD49" s="106">
        <v>11</v>
      </c>
      <c r="AE49" s="106">
        <v>10837.199999999999</v>
      </c>
      <c r="AF49" s="106">
        <v>8</v>
      </c>
      <c r="AG49" s="106">
        <v>7881.5999999999995</v>
      </c>
      <c r="AH49" s="106">
        <v>10</v>
      </c>
      <c r="AI49" s="106">
        <v>9852</v>
      </c>
      <c r="AJ49" s="106">
        <v>10</v>
      </c>
      <c r="AK49" s="106">
        <v>9852</v>
      </c>
      <c r="AL49" s="106">
        <v>16</v>
      </c>
      <c r="AM49" s="106">
        <v>15763.199999999999</v>
      </c>
      <c r="AN49" s="106">
        <v>9</v>
      </c>
      <c r="AO49" s="106">
        <v>8866.7999999999993</v>
      </c>
      <c r="AP49" s="106">
        <v>17</v>
      </c>
      <c r="AQ49" s="106">
        <v>16748.399999999998</v>
      </c>
      <c r="AR49" s="106">
        <v>5</v>
      </c>
      <c r="AS49" s="106">
        <v>4926</v>
      </c>
      <c r="AT49" s="106">
        <v>2</v>
      </c>
      <c r="AU49" s="106">
        <v>1970.3999999999999</v>
      </c>
      <c r="AV49" s="106">
        <v>4</v>
      </c>
      <c r="AW49" s="106">
        <v>3940.7999999999997</v>
      </c>
      <c r="AX49" s="106">
        <v>4</v>
      </c>
      <c r="AY49" s="106">
        <v>3940.7999999999997</v>
      </c>
      <c r="AZ49" s="106">
        <v>4</v>
      </c>
      <c r="BA49" s="106">
        <v>3940.7999999999997</v>
      </c>
      <c r="BB49" s="106">
        <v>3</v>
      </c>
      <c r="BC49" s="106">
        <v>2955.6</v>
      </c>
      <c r="BD49" s="106">
        <v>5</v>
      </c>
      <c r="BE49" s="106">
        <v>4926</v>
      </c>
      <c r="BF49" s="106">
        <v>4</v>
      </c>
      <c r="BG49" s="106">
        <v>3940.7999999999997</v>
      </c>
      <c r="BH49" s="106">
        <v>5</v>
      </c>
      <c r="BI49" s="106">
        <v>4926</v>
      </c>
      <c r="BJ49" s="106">
        <v>5</v>
      </c>
      <c r="BK49" s="106">
        <v>4926</v>
      </c>
      <c r="BL49" s="106">
        <v>4</v>
      </c>
      <c r="BM49" s="106">
        <v>3940.7999999999997</v>
      </c>
      <c r="BN49" s="106">
        <v>5</v>
      </c>
      <c r="BO49" s="106">
        <v>4926</v>
      </c>
      <c r="BP49" s="106">
        <v>11</v>
      </c>
      <c r="BQ49" s="106">
        <v>10837.199999999999</v>
      </c>
      <c r="BR49" s="106">
        <v>10</v>
      </c>
      <c r="BS49" s="106">
        <v>9852</v>
      </c>
      <c r="BT49" s="106">
        <v>12</v>
      </c>
      <c r="BU49" s="106">
        <v>11822.4</v>
      </c>
      <c r="BV49" s="106">
        <v>14</v>
      </c>
      <c r="BW49" s="106">
        <v>13792.8</v>
      </c>
      <c r="BX49" s="106">
        <v>3</v>
      </c>
      <c r="BY49" s="106">
        <v>2955.6</v>
      </c>
      <c r="BZ49" s="106">
        <v>4</v>
      </c>
      <c r="CA49" s="106">
        <v>3940.7999999999997</v>
      </c>
      <c r="CB49" s="106">
        <v>3</v>
      </c>
      <c r="CC49" s="106">
        <v>2955.6</v>
      </c>
      <c r="CD49" s="106">
        <v>4</v>
      </c>
      <c r="CE49" s="106">
        <v>3940.7999999999997</v>
      </c>
      <c r="CF49" s="106">
        <v>51</v>
      </c>
      <c r="CG49" s="106">
        <v>50245.2</v>
      </c>
      <c r="CH49" s="106">
        <v>53</v>
      </c>
      <c r="CI49" s="106">
        <v>52215.6</v>
      </c>
      <c r="CJ49" s="106">
        <v>35</v>
      </c>
      <c r="CK49" s="106">
        <v>34482</v>
      </c>
      <c r="CL49" s="106">
        <v>57</v>
      </c>
      <c r="CM49" s="106">
        <v>56156.399999999994</v>
      </c>
      <c r="CN49" s="106">
        <v>7</v>
      </c>
      <c r="CO49" s="106">
        <v>6896.4</v>
      </c>
      <c r="CP49" s="106">
        <v>6</v>
      </c>
      <c r="CQ49" s="106">
        <v>5911.2</v>
      </c>
      <c r="CR49" s="106">
        <v>8</v>
      </c>
      <c r="CS49" s="106">
        <v>7881.5999999999995</v>
      </c>
      <c r="CT49" s="106">
        <v>9</v>
      </c>
      <c r="CU49" s="106">
        <v>8866.7999999999993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3</v>
      </c>
      <c r="E56" s="106">
        <v>3452.3999999999996</v>
      </c>
      <c r="F56" s="106">
        <v>3</v>
      </c>
      <c r="G56" s="106">
        <v>3452.3999999999996</v>
      </c>
      <c r="H56" s="106">
        <v>3</v>
      </c>
      <c r="I56" s="106">
        <v>3452.3999999999996</v>
      </c>
      <c r="J56" s="106">
        <v>2</v>
      </c>
      <c r="K56" s="106">
        <v>2301.6</v>
      </c>
      <c r="L56" s="106">
        <v>3</v>
      </c>
      <c r="M56" s="106">
        <v>3452.3999999999996</v>
      </c>
      <c r="N56" s="106">
        <v>3</v>
      </c>
      <c r="O56" s="106">
        <v>3452.3999999999996</v>
      </c>
      <c r="P56" s="106">
        <v>4</v>
      </c>
      <c r="Q56" s="106">
        <v>4603.2</v>
      </c>
      <c r="R56" s="106">
        <v>4</v>
      </c>
      <c r="S56" s="106">
        <v>4603.2</v>
      </c>
      <c r="T56" s="106">
        <v>45</v>
      </c>
      <c r="U56" s="106">
        <v>51786</v>
      </c>
      <c r="V56" s="106">
        <v>38</v>
      </c>
      <c r="W56" s="106">
        <v>43730.400000000001</v>
      </c>
      <c r="X56" s="106">
        <v>55</v>
      </c>
      <c r="Y56" s="106">
        <v>63294</v>
      </c>
      <c r="Z56" s="106">
        <v>44</v>
      </c>
      <c r="AA56" s="106">
        <v>50635.199999999997</v>
      </c>
      <c r="AB56" s="106">
        <v>6</v>
      </c>
      <c r="AC56" s="106">
        <v>6904.7999999999993</v>
      </c>
      <c r="AD56" s="106">
        <v>9</v>
      </c>
      <c r="AE56" s="106">
        <v>10357.199999999999</v>
      </c>
      <c r="AF56" s="106">
        <v>9</v>
      </c>
      <c r="AG56" s="106">
        <v>10357.199999999999</v>
      </c>
      <c r="AH56" s="106">
        <v>9</v>
      </c>
      <c r="AI56" s="106">
        <v>10357.199999999999</v>
      </c>
      <c r="AJ56" s="106">
        <v>9</v>
      </c>
      <c r="AK56" s="106">
        <v>10357.199999999999</v>
      </c>
      <c r="AL56" s="106">
        <v>15</v>
      </c>
      <c r="AM56" s="106">
        <v>17262</v>
      </c>
      <c r="AN56" s="106">
        <v>9</v>
      </c>
      <c r="AO56" s="106">
        <v>10357.199999999999</v>
      </c>
      <c r="AP56" s="106">
        <v>18</v>
      </c>
      <c r="AQ56" s="106">
        <v>20714.399999999998</v>
      </c>
      <c r="AR56" s="106">
        <v>4</v>
      </c>
      <c r="AS56" s="106">
        <v>4603.2</v>
      </c>
      <c r="AT56" s="106">
        <v>3</v>
      </c>
      <c r="AU56" s="106">
        <v>3452.3999999999996</v>
      </c>
      <c r="AV56" s="106">
        <v>3</v>
      </c>
      <c r="AW56" s="106">
        <v>3452.3999999999996</v>
      </c>
      <c r="AX56" s="106">
        <v>4</v>
      </c>
      <c r="AY56" s="106">
        <v>4603.2</v>
      </c>
      <c r="AZ56" s="106">
        <v>4</v>
      </c>
      <c r="BA56" s="106">
        <v>4603.2</v>
      </c>
      <c r="BB56" s="106">
        <v>3</v>
      </c>
      <c r="BC56" s="106">
        <v>3452.3999999999996</v>
      </c>
      <c r="BD56" s="106">
        <v>5</v>
      </c>
      <c r="BE56" s="106">
        <v>5754</v>
      </c>
      <c r="BF56" s="106">
        <v>4</v>
      </c>
      <c r="BG56" s="106">
        <v>4603.2</v>
      </c>
      <c r="BH56" s="106">
        <v>6</v>
      </c>
      <c r="BI56" s="106">
        <v>6904.7999999999993</v>
      </c>
      <c r="BJ56" s="106">
        <v>5</v>
      </c>
      <c r="BK56" s="106">
        <v>5754</v>
      </c>
      <c r="BL56" s="106">
        <v>4</v>
      </c>
      <c r="BM56" s="106">
        <v>4603.2</v>
      </c>
      <c r="BN56" s="106">
        <v>5</v>
      </c>
      <c r="BO56" s="106">
        <v>5754</v>
      </c>
      <c r="BP56" s="106">
        <v>10</v>
      </c>
      <c r="BQ56" s="106">
        <v>11508</v>
      </c>
      <c r="BR56" s="106">
        <v>12</v>
      </c>
      <c r="BS56" s="106">
        <v>13809.599999999999</v>
      </c>
      <c r="BT56" s="106">
        <v>13</v>
      </c>
      <c r="BU56" s="106">
        <v>14960.4</v>
      </c>
      <c r="BV56" s="106">
        <v>12</v>
      </c>
      <c r="BW56" s="106">
        <v>13809.599999999999</v>
      </c>
      <c r="BX56" s="106">
        <v>4</v>
      </c>
      <c r="BY56" s="106">
        <v>4603.2</v>
      </c>
      <c r="BZ56" s="106">
        <v>3</v>
      </c>
      <c r="CA56" s="106">
        <v>3452.3999999999996</v>
      </c>
      <c r="CB56" s="106">
        <v>3</v>
      </c>
      <c r="CC56" s="106">
        <v>3452.3999999999996</v>
      </c>
      <c r="CD56" s="106">
        <v>4</v>
      </c>
      <c r="CE56" s="106">
        <v>4603.2</v>
      </c>
      <c r="CF56" s="106">
        <v>49</v>
      </c>
      <c r="CG56" s="106">
        <v>56389.2</v>
      </c>
      <c r="CH56" s="106">
        <v>54</v>
      </c>
      <c r="CI56" s="106">
        <v>62143.199999999997</v>
      </c>
      <c r="CJ56" s="106">
        <v>33</v>
      </c>
      <c r="CK56" s="106">
        <v>37976.400000000001</v>
      </c>
      <c r="CL56" s="106">
        <v>58</v>
      </c>
      <c r="CM56" s="106">
        <v>66746.399999999994</v>
      </c>
      <c r="CN56" s="106">
        <v>8</v>
      </c>
      <c r="CO56" s="106">
        <v>9206.4</v>
      </c>
      <c r="CP56" s="106">
        <v>6</v>
      </c>
      <c r="CQ56" s="106">
        <v>6904.7999999999993</v>
      </c>
      <c r="CR56" s="106">
        <v>7</v>
      </c>
      <c r="CS56" s="106">
        <v>8055.5999999999995</v>
      </c>
      <c r="CT56" s="106">
        <v>8</v>
      </c>
      <c r="CU56" s="106">
        <v>9206.4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3</v>
      </c>
      <c r="E58" s="106">
        <v>3531.6000000000004</v>
      </c>
      <c r="F58" s="106">
        <v>3</v>
      </c>
      <c r="G58" s="106">
        <v>3531.6000000000004</v>
      </c>
      <c r="H58" s="106">
        <v>4</v>
      </c>
      <c r="I58" s="106">
        <v>4708.8</v>
      </c>
      <c r="J58" s="106">
        <v>3</v>
      </c>
      <c r="K58" s="106">
        <v>3531.6000000000004</v>
      </c>
      <c r="L58" s="106">
        <v>4</v>
      </c>
      <c r="M58" s="106">
        <v>4708.8</v>
      </c>
      <c r="N58" s="106">
        <v>3</v>
      </c>
      <c r="O58" s="106">
        <v>3531.6000000000004</v>
      </c>
      <c r="P58" s="106">
        <v>3</v>
      </c>
      <c r="Q58" s="106">
        <v>3531.6000000000004</v>
      </c>
      <c r="R58" s="106">
        <v>5</v>
      </c>
      <c r="S58" s="106">
        <v>5886</v>
      </c>
      <c r="T58" s="106">
        <v>49</v>
      </c>
      <c r="U58" s="106">
        <v>57682.8</v>
      </c>
      <c r="V58" s="106">
        <v>41</v>
      </c>
      <c r="W58" s="106">
        <v>48265.200000000004</v>
      </c>
      <c r="X58" s="106">
        <v>55</v>
      </c>
      <c r="Y58" s="106">
        <v>64746</v>
      </c>
      <c r="Z58" s="106">
        <v>38</v>
      </c>
      <c r="AA58" s="106">
        <v>44733.599999999999</v>
      </c>
      <c r="AB58" s="106">
        <v>8</v>
      </c>
      <c r="AC58" s="106">
        <v>9417.6</v>
      </c>
      <c r="AD58" s="106">
        <v>9</v>
      </c>
      <c r="AE58" s="106">
        <v>10594.800000000001</v>
      </c>
      <c r="AF58" s="106">
        <v>9</v>
      </c>
      <c r="AG58" s="106">
        <v>10594.800000000001</v>
      </c>
      <c r="AH58" s="106">
        <v>9</v>
      </c>
      <c r="AI58" s="106">
        <v>10594.800000000001</v>
      </c>
      <c r="AJ58" s="106">
        <v>9</v>
      </c>
      <c r="AK58" s="106">
        <v>10594.800000000001</v>
      </c>
      <c r="AL58" s="106">
        <v>15</v>
      </c>
      <c r="AM58" s="106">
        <v>17658</v>
      </c>
      <c r="AN58" s="106">
        <v>10</v>
      </c>
      <c r="AO58" s="106">
        <v>11772</v>
      </c>
      <c r="AP58" s="106">
        <v>17</v>
      </c>
      <c r="AQ58" s="106">
        <v>20012.400000000001</v>
      </c>
      <c r="AR58" s="106">
        <v>4</v>
      </c>
      <c r="AS58" s="106">
        <v>4708.8</v>
      </c>
      <c r="AT58" s="106">
        <v>2</v>
      </c>
      <c r="AU58" s="106">
        <v>2354.4</v>
      </c>
      <c r="AV58" s="106">
        <v>4</v>
      </c>
      <c r="AW58" s="106">
        <v>4708.8</v>
      </c>
      <c r="AX58" s="106">
        <v>4</v>
      </c>
      <c r="AY58" s="106">
        <v>4708.8</v>
      </c>
      <c r="AZ58" s="106">
        <v>5</v>
      </c>
      <c r="BA58" s="106">
        <v>5886</v>
      </c>
      <c r="BB58" s="106">
        <v>3</v>
      </c>
      <c r="BC58" s="106">
        <v>3531.6000000000004</v>
      </c>
      <c r="BD58" s="106">
        <v>4</v>
      </c>
      <c r="BE58" s="106">
        <v>4708.8</v>
      </c>
      <c r="BF58" s="106">
        <v>4</v>
      </c>
      <c r="BG58" s="106">
        <v>4708.8</v>
      </c>
      <c r="BH58" s="106">
        <v>5</v>
      </c>
      <c r="BI58" s="106">
        <v>5886</v>
      </c>
      <c r="BJ58" s="106">
        <v>5</v>
      </c>
      <c r="BK58" s="106">
        <v>5886</v>
      </c>
      <c r="BL58" s="106">
        <v>4</v>
      </c>
      <c r="BM58" s="106">
        <v>4708.8</v>
      </c>
      <c r="BN58" s="106">
        <v>5</v>
      </c>
      <c r="BO58" s="106">
        <v>5886</v>
      </c>
      <c r="BP58" s="106">
        <v>10</v>
      </c>
      <c r="BQ58" s="106">
        <v>11772</v>
      </c>
      <c r="BR58" s="106">
        <v>12</v>
      </c>
      <c r="BS58" s="106">
        <v>14126.400000000001</v>
      </c>
      <c r="BT58" s="106">
        <v>11</v>
      </c>
      <c r="BU58" s="106">
        <v>12949.2</v>
      </c>
      <c r="BV58" s="106">
        <v>12</v>
      </c>
      <c r="BW58" s="106">
        <v>14126.400000000001</v>
      </c>
      <c r="BX58" s="106">
        <v>3</v>
      </c>
      <c r="BY58" s="106">
        <v>3531.6000000000004</v>
      </c>
      <c r="BZ58" s="106">
        <v>3</v>
      </c>
      <c r="CA58" s="106">
        <v>3531.6000000000004</v>
      </c>
      <c r="CB58" s="106">
        <v>2</v>
      </c>
      <c r="CC58" s="106">
        <v>2354.4</v>
      </c>
      <c r="CD58" s="106">
        <v>4</v>
      </c>
      <c r="CE58" s="106">
        <v>4708.8</v>
      </c>
      <c r="CF58" s="106">
        <v>58</v>
      </c>
      <c r="CG58" s="106">
        <v>68277.600000000006</v>
      </c>
      <c r="CH58" s="106">
        <v>49</v>
      </c>
      <c r="CI58" s="106">
        <v>57682.8</v>
      </c>
      <c r="CJ58" s="106">
        <v>34</v>
      </c>
      <c r="CK58" s="106">
        <v>40024.800000000003</v>
      </c>
      <c r="CL58" s="106">
        <v>53</v>
      </c>
      <c r="CM58" s="106">
        <v>62391.600000000006</v>
      </c>
      <c r="CN58" s="106">
        <v>7</v>
      </c>
      <c r="CO58" s="106">
        <v>8240.4</v>
      </c>
      <c r="CP58" s="106">
        <v>6</v>
      </c>
      <c r="CQ58" s="106">
        <v>7063.2000000000007</v>
      </c>
      <c r="CR58" s="106">
        <v>8</v>
      </c>
      <c r="CS58" s="106">
        <v>9417.6</v>
      </c>
      <c r="CT58" s="106">
        <v>9</v>
      </c>
      <c r="CU58" s="106">
        <v>10594.800000000001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26</v>
      </c>
      <c r="E71" s="106">
        <v>14664</v>
      </c>
      <c r="F71" s="106">
        <v>28</v>
      </c>
      <c r="G71" s="106">
        <v>15792</v>
      </c>
      <c r="H71" s="106">
        <v>21</v>
      </c>
      <c r="I71" s="106">
        <v>11844</v>
      </c>
      <c r="J71" s="106">
        <v>24</v>
      </c>
      <c r="K71" s="106">
        <v>13536</v>
      </c>
      <c r="L71" s="106">
        <v>25</v>
      </c>
      <c r="M71" s="106">
        <v>14100</v>
      </c>
      <c r="N71" s="106">
        <v>16</v>
      </c>
      <c r="O71" s="106">
        <v>9024</v>
      </c>
      <c r="P71" s="106">
        <v>22</v>
      </c>
      <c r="Q71" s="106">
        <v>12408</v>
      </c>
      <c r="R71" s="106">
        <v>25</v>
      </c>
      <c r="S71" s="106">
        <v>14100</v>
      </c>
      <c r="T71" s="106">
        <v>17</v>
      </c>
      <c r="U71" s="106">
        <v>9588</v>
      </c>
      <c r="V71" s="106">
        <v>10</v>
      </c>
      <c r="W71" s="106">
        <v>5640</v>
      </c>
      <c r="X71" s="106">
        <v>9</v>
      </c>
      <c r="Y71" s="106">
        <v>5076</v>
      </c>
      <c r="Z71" s="106">
        <v>17</v>
      </c>
      <c r="AA71" s="106">
        <v>9588</v>
      </c>
      <c r="AB71" s="106">
        <v>10</v>
      </c>
      <c r="AC71" s="106">
        <v>5640</v>
      </c>
      <c r="AD71" s="106">
        <v>14</v>
      </c>
      <c r="AE71" s="106">
        <v>7896</v>
      </c>
      <c r="AF71" s="106">
        <v>9</v>
      </c>
      <c r="AG71" s="106">
        <v>5076</v>
      </c>
      <c r="AH71" s="106">
        <v>12</v>
      </c>
      <c r="AI71" s="106">
        <v>6768</v>
      </c>
      <c r="AJ71" s="106">
        <v>22</v>
      </c>
      <c r="AK71" s="106">
        <v>12408</v>
      </c>
      <c r="AL71" s="106">
        <v>27</v>
      </c>
      <c r="AM71" s="106">
        <v>15228</v>
      </c>
      <c r="AN71" s="106">
        <v>25</v>
      </c>
      <c r="AO71" s="106">
        <v>14100</v>
      </c>
      <c r="AP71" s="106">
        <v>26</v>
      </c>
      <c r="AQ71" s="106">
        <v>14664</v>
      </c>
      <c r="AR71" s="106">
        <v>28</v>
      </c>
      <c r="AS71" s="106">
        <v>15792</v>
      </c>
      <c r="AT71" s="106">
        <v>32</v>
      </c>
      <c r="AU71" s="106">
        <v>18048</v>
      </c>
      <c r="AV71" s="106">
        <v>28</v>
      </c>
      <c r="AW71" s="106">
        <v>15792</v>
      </c>
      <c r="AX71" s="106">
        <v>40</v>
      </c>
      <c r="AY71" s="106">
        <v>22560</v>
      </c>
      <c r="AZ71" s="106">
        <v>4</v>
      </c>
      <c r="BA71" s="106">
        <v>2256</v>
      </c>
      <c r="BB71" s="106">
        <v>3</v>
      </c>
      <c r="BC71" s="106">
        <v>1692</v>
      </c>
      <c r="BD71" s="106">
        <v>2</v>
      </c>
      <c r="BE71" s="106">
        <v>1128</v>
      </c>
      <c r="BF71" s="106">
        <v>3</v>
      </c>
      <c r="BG71" s="106">
        <v>1692</v>
      </c>
      <c r="BH71" s="106">
        <v>4</v>
      </c>
      <c r="BI71" s="106">
        <v>2256</v>
      </c>
      <c r="BJ71" s="106">
        <v>2</v>
      </c>
      <c r="BK71" s="106">
        <v>1128</v>
      </c>
      <c r="BL71" s="106">
        <v>3</v>
      </c>
      <c r="BM71" s="106">
        <v>1692</v>
      </c>
      <c r="BN71" s="106">
        <v>3</v>
      </c>
      <c r="BO71" s="106">
        <v>1692</v>
      </c>
      <c r="BP71" s="106">
        <v>4</v>
      </c>
      <c r="BQ71" s="106">
        <v>2256</v>
      </c>
      <c r="BR71" s="106">
        <v>3</v>
      </c>
      <c r="BS71" s="106">
        <v>1692</v>
      </c>
      <c r="BT71" s="106">
        <v>3</v>
      </c>
      <c r="BU71" s="106">
        <v>1692</v>
      </c>
      <c r="BV71" s="106">
        <v>4</v>
      </c>
      <c r="BW71" s="106">
        <v>2256</v>
      </c>
      <c r="BX71" s="106">
        <v>28</v>
      </c>
      <c r="BY71" s="106">
        <v>15792</v>
      </c>
      <c r="BZ71" s="106">
        <v>19</v>
      </c>
      <c r="CA71" s="106">
        <v>10716</v>
      </c>
      <c r="CB71" s="106">
        <v>21</v>
      </c>
      <c r="CC71" s="106">
        <v>11844</v>
      </c>
      <c r="CD71" s="106">
        <v>14</v>
      </c>
      <c r="CE71" s="106">
        <v>7896</v>
      </c>
      <c r="CF71" s="106">
        <v>2</v>
      </c>
      <c r="CG71" s="106">
        <v>1128</v>
      </c>
      <c r="CH71" s="106">
        <v>3</v>
      </c>
      <c r="CI71" s="106">
        <v>1692</v>
      </c>
      <c r="CJ71" s="106">
        <v>2</v>
      </c>
      <c r="CK71" s="106">
        <v>1128</v>
      </c>
      <c r="CL71" s="106">
        <v>2</v>
      </c>
      <c r="CM71" s="106">
        <v>1128</v>
      </c>
      <c r="CN71" s="106">
        <v>4</v>
      </c>
      <c r="CO71" s="106">
        <v>2256</v>
      </c>
      <c r="CP71" s="106">
        <v>5</v>
      </c>
      <c r="CQ71" s="106">
        <v>2820</v>
      </c>
      <c r="CR71" s="106">
        <v>4</v>
      </c>
      <c r="CS71" s="106">
        <v>2256</v>
      </c>
      <c r="CT71" s="106">
        <v>5</v>
      </c>
      <c r="CU71" s="106">
        <v>2820</v>
      </c>
    </row>
    <row r="72" spans="2:99" x14ac:dyDescent="0.2">
      <c r="C72" s="105" t="s">
        <v>238</v>
      </c>
      <c r="D72" s="106">
        <v>25</v>
      </c>
      <c r="E72" s="106">
        <v>1859.9999999999998</v>
      </c>
      <c r="F72" s="106">
        <v>26</v>
      </c>
      <c r="G72" s="106">
        <v>1934.3999999999999</v>
      </c>
      <c r="H72" s="106">
        <v>23</v>
      </c>
      <c r="I72" s="106">
        <v>1711.1999999999998</v>
      </c>
      <c r="J72" s="106">
        <v>24</v>
      </c>
      <c r="K72" s="106">
        <v>1785.6</v>
      </c>
      <c r="L72" s="106">
        <v>23</v>
      </c>
      <c r="M72" s="106">
        <v>1711.1999999999998</v>
      </c>
      <c r="N72" s="106">
        <v>19</v>
      </c>
      <c r="O72" s="106">
        <v>1413.6</v>
      </c>
      <c r="P72" s="106">
        <v>22</v>
      </c>
      <c r="Q72" s="106">
        <v>1636.7999999999997</v>
      </c>
      <c r="R72" s="106">
        <v>27</v>
      </c>
      <c r="S72" s="106">
        <v>2008.7999999999997</v>
      </c>
      <c r="T72" s="106">
        <v>19</v>
      </c>
      <c r="U72" s="106">
        <v>1413.6</v>
      </c>
      <c r="V72" s="106">
        <v>11</v>
      </c>
      <c r="W72" s="106">
        <v>818.39999999999986</v>
      </c>
      <c r="X72" s="106">
        <v>11</v>
      </c>
      <c r="Y72" s="106">
        <v>818.39999999999986</v>
      </c>
      <c r="Z72" s="106">
        <v>19</v>
      </c>
      <c r="AA72" s="106">
        <v>1413.6</v>
      </c>
      <c r="AB72" s="106">
        <v>12</v>
      </c>
      <c r="AC72" s="106">
        <v>892.8</v>
      </c>
      <c r="AD72" s="106">
        <v>14</v>
      </c>
      <c r="AE72" s="106">
        <v>1041.5999999999999</v>
      </c>
      <c r="AF72" s="106">
        <v>11</v>
      </c>
      <c r="AG72" s="106">
        <v>818.39999999999986</v>
      </c>
      <c r="AH72" s="106">
        <v>14</v>
      </c>
      <c r="AI72" s="106">
        <v>1041.5999999999999</v>
      </c>
      <c r="AJ72" s="106">
        <v>22</v>
      </c>
      <c r="AK72" s="106">
        <v>1636.7999999999997</v>
      </c>
      <c r="AL72" s="106">
        <v>26</v>
      </c>
      <c r="AM72" s="106">
        <v>1934.3999999999999</v>
      </c>
      <c r="AN72" s="106">
        <v>27</v>
      </c>
      <c r="AO72" s="106">
        <v>2008.7999999999997</v>
      </c>
      <c r="AP72" s="106">
        <v>32</v>
      </c>
      <c r="AQ72" s="106">
        <v>2380.7999999999997</v>
      </c>
      <c r="AR72" s="106">
        <v>30</v>
      </c>
      <c r="AS72" s="106">
        <v>2231.9999999999995</v>
      </c>
      <c r="AT72" s="106">
        <v>37</v>
      </c>
      <c r="AU72" s="106">
        <v>2752.7999999999997</v>
      </c>
      <c r="AV72" s="106">
        <v>30</v>
      </c>
      <c r="AW72" s="106">
        <v>2231.9999999999995</v>
      </c>
      <c r="AX72" s="106">
        <v>44</v>
      </c>
      <c r="AY72" s="106">
        <v>3273.5999999999995</v>
      </c>
      <c r="AZ72" s="106">
        <v>4</v>
      </c>
      <c r="BA72" s="106">
        <v>297.59999999999997</v>
      </c>
      <c r="BB72" s="106">
        <v>3</v>
      </c>
      <c r="BC72" s="106">
        <v>223.2</v>
      </c>
      <c r="BD72" s="106">
        <v>2</v>
      </c>
      <c r="BE72" s="106">
        <v>148.79999999999998</v>
      </c>
      <c r="BF72" s="106">
        <v>3</v>
      </c>
      <c r="BG72" s="106">
        <v>223.2</v>
      </c>
      <c r="BH72" s="106">
        <v>4</v>
      </c>
      <c r="BI72" s="106">
        <v>297.59999999999997</v>
      </c>
      <c r="BJ72" s="106">
        <v>3</v>
      </c>
      <c r="BK72" s="106">
        <v>223.2</v>
      </c>
      <c r="BL72" s="106">
        <v>4</v>
      </c>
      <c r="BM72" s="106">
        <v>297.59999999999997</v>
      </c>
      <c r="BN72" s="106">
        <v>3</v>
      </c>
      <c r="BO72" s="106">
        <v>223.2</v>
      </c>
      <c r="BP72" s="106">
        <v>4</v>
      </c>
      <c r="BQ72" s="106">
        <v>297.59999999999997</v>
      </c>
      <c r="BR72" s="106">
        <v>4</v>
      </c>
      <c r="BS72" s="106">
        <v>297.59999999999997</v>
      </c>
      <c r="BT72" s="106">
        <v>3</v>
      </c>
      <c r="BU72" s="106">
        <v>223.2</v>
      </c>
      <c r="BV72" s="106">
        <v>4</v>
      </c>
      <c r="BW72" s="106">
        <v>297.59999999999997</v>
      </c>
      <c r="BX72" s="106">
        <v>30</v>
      </c>
      <c r="BY72" s="106">
        <v>2231.9999999999995</v>
      </c>
      <c r="BZ72" s="106">
        <v>21</v>
      </c>
      <c r="CA72" s="106">
        <v>1562.3999999999999</v>
      </c>
      <c r="CB72" s="106">
        <v>23</v>
      </c>
      <c r="CC72" s="106">
        <v>1711.1999999999998</v>
      </c>
      <c r="CD72" s="106">
        <v>16</v>
      </c>
      <c r="CE72" s="106">
        <v>1190.3999999999999</v>
      </c>
      <c r="CF72" s="106">
        <v>2</v>
      </c>
      <c r="CG72" s="106">
        <v>148.79999999999998</v>
      </c>
      <c r="CH72" s="106">
        <v>3</v>
      </c>
      <c r="CI72" s="106">
        <v>223.2</v>
      </c>
      <c r="CJ72" s="106">
        <v>2</v>
      </c>
      <c r="CK72" s="106">
        <v>148.79999999999998</v>
      </c>
      <c r="CL72" s="106">
        <v>2</v>
      </c>
      <c r="CM72" s="106">
        <v>148.79999999999998</v>
      </c>
      <c r="CN72" s="106">
        <v>4</v>
      </c>
      <c r="CO72" s="106">
        <v>297.59999999999997</v>
      </c>
      <c r="CP72" s="106">
        <v>5</v>
      </c>
      <c r="CQ72" s="106">
        <v>371.99999999999994</v>
      </c>
      <c r="CR72" s="106">
        <v>5</v>
      </c>
      <c r="CS72" s="106">
        <v>371.99999999999994</v>
      </c>
      <c r="CT72" s="106">
        <v>5</v>
      </c>
      <c r="CU72" s="106">
        <v>371.99999999999994</v>
      </c>
    </row>
    <row r="73" spans="2:99" x14ac:dyDescent="0.2">
      <c r="C73" s="105" t="s">
        <v>239</v>
      </c>
      <c r="D73" s="106">
        <v>24</v>
      </c>
      <c r="E73" s="106">
        <v>13420.8</v>
      </c>
      <c r="F73" s="106">
        <v>26</v>
      </c>
      <c r="G73" s="106">
        <v>14539.199999999999</v>
      </c>
      <c r="H73" s="106">
        <v>20</v>
      </c>
      <c r="I73" s="106">
        <v>11183.999999999998</v>
      </c>
      <c r="J73" s="106">
        <v>24</v>
      </c>
      <c r="K73" s="106">
        <v>13420.8</v>
      </c>
      <c r="L73" s="106">
        <v>22</v>
      </c>
      <c r="M73" s="106">
        <v>12302.399999999998</v>
      </c>
      <c r="N73" s="106">
        <v>17</v>
      </c>
      <c r="O73" s="106">
        <v>9506.4</v>
      </c>
      <c r="P73" s="106">
        <v>21</v>
      </c>
      <c r="Q73" s="106">
        <v>11743.199999999999</v>
      </c>
      <c r="R73" s="106">
        <v>27</v>
      </c>
      <c r="S73" s="106">
        <v>15098.399999999998</v>
      </c>
      <c r="T73" s="106">
        <v>16</v>
      </c>
      <c r="U73" s="106">
        <v>8947.1999999999989</v>
      </c>
      <c r="V73" s="106">
        <v>11</v>
      </c>
      <c r="W73" s="106">
        <v>6151.1999999999989</v>
      </c>
      <c r="X73" s="106">
        <v>10</v>
      </c>
      <c r="Y73" s="106">
        <v>5591.9999999999991</v>
      </c>
      <c r="Z73" s="106">
        <v>16</v>
      </c>
      <c r="AA73" s="106">
        <v>8947.1999999999989</v>
      </c>
      <c r="AB73" s="106">
        <v>11</v>
      </c>
      <c r="AC73" s="106">
        <v>6151.1999999999989</v>
      </c>
      <c r="AD73" s="106">
        <v>12</v>
      </c>
      <c r="AE73" s="106">
        <v>6710.4</v>
      </c>
      <c r="AF73" s="106">
        <v>10</v>
      </c>
      <c r="AG73" s="106">
        <v>5591.9999999999991</v>
      </c>
      <c r="AH73" s="106">
        <v>13</v>
      </c>
      <c r="AI73" s="106">
        <v>7269.5999999999995</v>
      </c>
      <c r="AJ73" s="106">
        <v>23</v>
      </c>
      <c r="AK73" s="106">
        <v>12861.599999999999</v>
      </c>
      <c r="AL73" s="106">
        <v>24</v>
      </c>
      <c r="AM73" s="106">
        <v>13420.8</v>
      </c>
      <c r="AN73" s="106">
        <v>26</v>
      </c>
      <c r="AO73" s="106">
        <v>14539.199999999999</v>
      </c>
      <c r="AP73" s="106">
        <v>27</v>
      </c>
      <c r="AQ73" s="106">
        <v>15098.399999999998</v>
      </c>
      <c r="AR73" s="106">
        <v>27</v>
      </c>
      <c r="AS73" s="106">
        <v>15098.399999999998</v>
      </c>
      <c r="AT73" s="106">
        <v>38</v>
      </c>
      <c r="AU73" s="106">
        <v>21249.599999999999</v>
      </c>
      <c r="AV73" s="106">
        <v>30</v>
      </c>
      <c r="AW73" s="106">
        <v>16775.999999999996</v>
      </c>
      <c r="AX73" s="106">
        <v>37</v>
      </c>
      <c r="AY73" s="106">
        <v>20690.399999999998</v>
      </c>
      <c r="AZ73" s="106">
        <v>4</v>
      </c>
      <c r="BA73" s="106">
        <v>2236.7999999999997</v>
      </c>
      <c r="BB73" s="106">
        <v>3</v>
      </c>
      <c r="BC73" s="106">
        <v>1677.6</v>
      </c>
      <c r="BD73" s="106">
        <v>2</v>
      </c>
      <c r="BE73" s="106">
        <v>1118.3999999999999</v>
      </c>
      <c r="BF73" s="106">
        <v>3</v>
      </c>
      <c r="BG73" s="106">
        <v>1677.6</v>
      </c>
      <c r="BH73" s="106">
        <v>4</v>
      </c>
      <c r="BI73" s="106">
        <v>2236.7999999999997</v>
      </c>
      <c r="BJ73" s="106">
        <v>2</v>
      </c>
      <c r="BK73" s="106">
        <v>1118.3999999999999</v>
      </c>
      <c r="BL73" s="106">
        <v>4</v>
      </c>
      <c r="BM73" s="106">
        <v>2236.7999999999997</v>
      </c>
      <c r="BN73" s="106">
        <v>3</v>
      </c>
      <c r="BO73" s="106">
        <v>1677.6</v>
      </c>
      <c r="BP73" s="106">
        <v>4</v>
      </c>
      <c r="BQ73" s="106">
        <v>2236.7999999999997</v>
      </c>
      <c r="BR73" s="106">
        <v>3</v>
      </c>
      <c r="BS73" s="106">
        <v>1677.6</v>
      </c>
      <c r="BT73" s="106">
        <v>3</v>
      </c>
      <c r="BU73" s="106">
        <v>1677.6</v>
      </c>
      <c r="BV73" s="106">
        <v>5</v>
      </c>
      <c r="BW73" s="106">
        <v>2795.9999999999995</v>
      </c>
      <c r="BX73" s="106">
        <v>26</v>
      </c>
      <c r="BY73" s="106">
        <v>14539.199999999999</v>
      </c>
      <c r="BZ73" s="106">
        <v>19</v>
      </c>
      <c r="CA73" s="106">
        <v>10624.8</v>
      </c>
      <c r="CB73" s="106">
        <v>19</v>
      </c>
      <c r="CC73" s="106">
        <v>10624.8</v>
      </c>
      <c r="CD73" s="106">
        <v>15</v>
      </c>
      <c r="CE73" s="106">
        <v>8387.9999999999982</v>
      </c>
      <c r="CF73" s="106">
        <v>2</v>
      </c>
      <c r="CG73" s="106">
        <v>1118.3999999999999</v>
      </c>
      <c r="CH73" s="106">
        <v>3</v>
      </c>
      <c r="CI73" s="106">
        <v>1677.6</v>
      </c>
      <c r="CJ73" s="106">
        <v>2</v>
      </c>
      <c r="CK73" s="106">
        <v>1118.3999999999999</v>
      </c>
      <c r="CL73" s="106">
        <v>2</v>
      </c>
      <c r="CM73" s="106">
        <v>1118.3999999999999</v>
      </c>
      <c r="CN73" s="106">
        <v>4</v>
      </c>
      <c r="CO73" s="106">
        <v>2236.7999999999997</v>
      </c>
      <c r="CP73" s="106">
        <v>5</v>
      </c>
      <c r="CQ73" s="106">
        <v>2795.9999999999995</v>
      </c>
      <c r="CR73" s="106">
        <v>4</v>
      </c>
      <c r="CS73" s="106">
        <v>2236.7999999999997</v>
      </c>
      <c r="CT73" s="106">
        <v>5</v>
      </c>
      <c r="CU73" s="106">
        <v>2795.9999999999995</v>
      </c>
    </row>
    <row r="74" spans="2:99" x14ac:dyDescent="0.2">
      <c r="C74" s="105" t="s">
        <v>240</v>
      </c>
      <c r="D74" s="106">
        <v>26</v>
      </c>
      <c r="E74" s="106">
        <v>10483.199999999999</v>
      </c>
      <c r="F74" s="106">
        <v>27</v>
      </c>
      <c r="G74" s="106">
        <v>10886.4</v>
      </c>
      <c r="H74" s="106">
        <v>21</v>
      </c>
      <c r="I74" s="106">
        <v>8467.1999999999989</v>
      </c>
      <c r="J74" s="106">
        <v>26</v>
      </c>
      <c r="K74" s="106">
        <v>10483.199999999999</v>
      </c>
      <c r="L74" s="106">
        <v>26</v>
      </c>
      <c r="M74" s="106">
        <v>10483.199999999999</v>
      </c>
      <c r="N74" s="106">
        <v>17</v>
      </c>
      <c r="O74" s="106">
        <v>6854.4</v>
      </c>
      <c r="P74" s="106">
        <v>23</v>
      </c>
      <c r="Q74" s="106">
        <v>9273.6</v>
      </c>
      <c r="R74" s="106">
        <v>27</v>
      </c>
      <c r="S74" s="106">
        <v>10886.4</v>
      </c>
      <c r="T74" s="106">
        <v>18</v>
      </c>
      <c r="U74" s="106">
        <v>7257.5999999999995</v>
      </c>
      <c r="V74" s="106">
        <v>12</v>
      </c>
      <c r="W74" s="106">
        <v>4838.3999999999996</v>
      </c>
      <c r="X74" s="106">
        <v>11</v>
      </c>
      <c r="Y74" s="106">
        <v>4435.2</v>
      </c>
      <c r="Z74" s="106">
        <v>16</v>
      </c>
      <c r="AA74" s="106">
        <v>6451.2</v>
      </c>
      <c r="AB74" s="106">
        <v>12</v>
      </c>
      <c r="AC74" s="106">
        <v>4838.3999999999996</v>
      </c>
      <c r="AD74" s="106">
        <v>13</v>
      </c>
      <c r="AE74" s="106">
        <v>5241.5999999999995</v>
      </c>
      <c r="AF74" s="106">
        <v>10</v>
      </c>
      <c r="AG74" s="106">
        <v>4032</v>
      </c>
      <c r="AH74" s="106">
        <v>14</v>
      </c>
      <c r="AI74" s="106">
        <v>5644.8</v>
      </c>
      <c r="AJ74" s="106">
        <v>23</v>
      </c>
      <c r="AK74" s="106">
        <v>9273.6</v>
      </c>
      <c r="AL74" s="106">
        <v>24</v>
      </c>
      <c r="AM74" s="106">
        <v>9676.7999999999993</v>
      </c>
      <c r="AN74" s="106">
        <v>24</v>
      </c>
      <c r="AO74" s="106">
        <v>9676.7999999999993</v>
      </c>
      <c r="AP74" s="106">
        <v>27</v>
      </c>
      <c r="AQ74" s="106">
        <v>10886.4</v>
      </c>
      <c r="AR74" s="106">
        <v>27</v>
      </c>
      <c r="AS74" s="106">
        <v>10886.4</v>
      </c>
      <c r="AT74" s="106">
        <v>39</v>
      </c>
      <c r="AU74" s="106">
        <v>15724.8</v>
      </c>
      <c r="AV74" s="106">
        <v>32</v>
      </c>
      <c r="AW74" s="106">
        <v>12902.4</v>
      </c>
      <c r="AX74" s="106">
        <v>38</v>
      </c>
      <c r="AY74" s="106">
        <v>15321.6</v>
      </c>
      <c r="AZ74" s="106">
        <v>4</v>
      </c>
      <c r="BA74" s="106">
        <v>1612.8</v>
      </c>
      <c r="BB74" s="106">
        <v>3</v>
      </c>
      <c r="BC74" s="106">
        <v>1209.5999999999999</v>
      </c>
      <c r="BD74" s="106">
        <v>2</v>
      </c>
      <c r="BE74" s="106">
        <v>806.4</v>
      </c>
      <c r="BF74" s="106">
        <v>2</v>
      </c>
      <c r="BG74" s="106">
        <v>806.4</v>
      </c>
      <c r="BH74" s="106">
        <v>4</v>
      </c>
      <c r="BI74" s="106">
        <v>1612.8</v>
      </c>
      <c r="BJ74" s="106">
        <v>2</v>
      </c>
      <c r="BK74" s="106">
        <v>806.4</v>
      </c>
      <c r="BL74" s="106">
        <v>4</v>
      </c>
      <c r="BM74" s="106">
        <v>1612.8</v>
      </c>
      <c r="BN74" s="106">
        <v>3</v>
      </c>
      <c r="BO74" s="106">
        <v>1209.5999999999999</v>
      </c>
      <c r="BP74" s="106">
        <v>5</v>
      </c>
      <c r="BQ74" s="106">
        <v>2016</v>
      </c>
      <c r="BR74" s="106">
        <v>3</v>
      </c>
      <c r="BS74" s="106">
        <v>1209.5999999999999</v>
      </c>
      <c r="BT74" s="106">
        <v>3</v>
      </c>
      <c r="BU74" s="106">
        <v>1209.5999999999999</v>
      </c>
      <c r="BV74" s="106">
        <v>5</v>
      </c>
      <c r="BW74" s="106">
        <v>2016</v>
      </c>
      <c r="BX74" s="106">
        <v>26</v>
      </c>
      <c r="BY74" s="106">
        <v>10483.199999999999</v>
      </c>
      <c r="BZ74" s="106">
        <v>20</v>
      </c>
      <c r="CA74" s="106">
        <v>8064</v>
      </c>
      <c r="CB74" s="106">
        <v>21</v>
      </c>
      <c r="CC74" s="106">
        <v>8467.1999999999989</v>
      </c>
      <c r="CD74" s="106">
        <v>16</v>
      </c>
      <c r="CE74" s="106">
        <v>6451.2</v>
      </c>
      <c r="CF74" s="106">
        <v>2</v>
      </c>
      <c r="CG74" s="106">
        <v>806.4</v>
      </c>
      <c r="CH74" s="106">
        <v>3</v>
      </c>
      <c r="CI74" s="106">
        <v>1209.5999999999999</v>
      </c>
      <c r="CJ74" s="106">
        <v>2</v>
      </c>
      <c r="CK74" s="106">
        <v>806.4</v>
      </c>
      <c r="CL74" s="106">
        <v>2</v>
      </c>
      <c r="CM74" s="106">
        <v>806.4</v>
      </c>
      <c r="CN74" s="106">
        <v>4</v>
      </c>
      <c r="CO74" s="106">
        <v>1612.8</v>
      </c>
      <c r="CP74" s="106">
        <v>5</v>
      </c>
      <c r="CQ74" s="106">
        <v>2016</v>
      </c>
      <c r="CR74" s="106">
        <v>4</v>
      </c>
      <c r="CS74" s="106">
        <v>1612.8</v>
      </c>
      <c r="CT74" s="106">
        <v>5</v>
      </c>
      <c r="CU74" s="106">
        <v>2016</v>
      </c>
    </row>
    <row r="75" spans="2:99" x14ac:dyDescent="0.2">
      <c r="C75" s="105" t="s">
        <v>241</v>
      </c>
      <c r="D75" s="106">
        <v>25</v>
      </c>
      <c r="E75" s="106">
        <v>16079.999999999998</v>
      </c>
      <c r="F75" s="106">
        <v>27</v>
      </c>
      <c r="G75" s="106">
        <v>17366.399999999998</v>
      </c>
      <c r="H75" s="106">
        <v>21</v>
      </c>
      <c r="I75" s="106">
        <v>13507.199999999999</v>
      </c>
      <c r="J75" s="106">
        <v>23</v>
      </c>
      <c r="K75" s="106">
        <v>14793.599999999999</v>
      </c>
      <c r="L75" s="106">
        <v>23</v>
      </c>
      <c r="M75" s="106">
        <v>14793.599999999999</v>
      </c>
      <c r="N75" s="106">
        <v>18</v>
      </c>
      <c r="O75" s="106">
        <v>11577.599999999999</v>
      </c>
      <c r="P75" s="106">
        <v>23</v>
      </c>
      <c r="Q75" s="106">
        <v>14793.599999999999</v>
      </c>
      <c r="R75" s="106">
        <v>26</v>
      </c>
      <c r="S75" s="106">
        <v>16723.199999999997</v>
      </c>
      <c r="T75" s="106">
        <v>17</v>
      </c>
      <c r="U75" s="106">
        <v>10934.4</v>
      </c>
      <c r="V75" s="106">
        <v>12</v>
      </c>
      <c r="W75" s="106">
        <v>7718.4</v>
      </c>
      <c r="X75" s="106">
        <v>9</v>
      </c>
      <c r="Y75" s="106">
        <v>5788.7999999999993</v>
      </c>
      <c r="Z75" s="106">
        <v>17</v>
      </c>
      <c r="AA75" s="106">
        <v>10934.4</v>
      </c>
      <c r="AB75" s="106">
        <v>11</v>
      </c>
      <c r="AC75" s="106">
        <v>7075.1999999999989</v>
      </c>
      <c r="AD75" s="106">
        <v>14</v>
      </c>
      <c r="AE75" s="106">
        <v>9004.7999999999993</v>
      </c>
      <c r="AF75" s="106">
        <v>11</v>
      </c>
      <c r="AG75" s="106">
        <v>7075.1999999999989</v>
      </c>
      <c r="AH75" s="106">
        <v>14</v>
      </c>
      <c r="AI75" s="106">
        <v>9004.7999999999993</v>
      </c>
      <c r="AJ75" s="106">
        <v>21</v>
      </c>
      <c r="AK75" s="106">
        <v>13507.199999999999</v>
      </c>
      <c r="AL75" s="106">
        <v>26</v>
      </c>
      <c r="AM75" s="106">
        <v>16723.199999999997</v>
      </c>
      <c r="AN75" s="106">
        <v>25</v>
      </c>
      <c r="AO75" s="106">
        <v>16079.999999999998</v>
      </c>
      <c r="AP75" s="106">
        <v>28</v>
      </c>
      <c r="AQ75" s="106">
        <v>18009.599999999999</v>
      </c>
      <c r="AR75" s="106">
        <v>29</v>
      </c>
      <c r="AS75" s="106">
        <v>18652.8</v>
      </c>
      <c r="AT75" s="106">
        <v>37</v>
      </c>
      <c r="AU75" s="106">
        <v>23798.399999999998</v>
      </c>
      <c r="AV75" s="106">
        <v>28</v>
      </c>
      <c r="AW75" s="106">
        <v>18009.599999999999</v>
      </c>
      <c r="AX75" s="106">
        <v>35</v>
      </c>
      <c r="AY75" s="106">
        <v>22511.999999999996</v>
      </c>
      <c r="AZ75" s="106">
        <v>3</v>
      </c>
      <c r="BA75" s="106">
        <v>1929.6</v>
      </c>
      <c r="BB75" s="106">
        <v>3</v>
      </c>
      <c r="BC75" s="106">
        <v>1929.6</v>
      </c>
      <c r="BD75" s="106">
        <v>2</v>
      </c>
      <c r="BE75" s="106">
        <v>1286.3999999999999</v>
      </c>
      <c r="BF75" s="106">
        <v>2</v>
      </c>
      <c r="BG75" s="106">
        <v>1286.3999999999999</v>
      </c>
      <c r="BH75" s="106">
        <v>3</v>
      </c>
      <c r="BI75" s="106">
        <v>1929.6</v>
      </c>
      <c r="BJ75" s="106">
        <v>2</v>
      </c>
      <c r="BK75" s="106">
        <v>1286.3999999999999</v>
      </c>
      <c r="BL75" s="106">
        <v>4</v>
      </c>
      <c r="BM75" s="106">
        <v>2572.7999999999997</v>
      </c>
      <c r="BN75" s="106">
        <v>3</v>
      </c>
      <c r="BO75" s="106">
        <v>1929.6</v>
      </c>
      <c r="BP75" s="106">
        <v>4</v>
      </c>
      <c r="BQ75" s="106">
        <v>2572.7999999999997</v>
      </c>
      <c r="BR75" s="106">
        <v>3</v>
      </c>
      <c r="BS75" s="106">
        <v>1929.6</v>
      </c>
      <c r="BT75" s="106">
        <v>3</v>
      </c>
      <c r="BU75" s="106">
        <v>1929.6</v>
      </c>
      <c r="BV75" s="106">
        <v>4</v>
      </c>
      <c r="BW75" s="106">
        <v>2572.7999999999997</v>
      </c>
      <c r="BX75" s="106">
        <v>25</v>
      </c>
      <c r="BY75" s="106">
        <v>16079.999999999998</v>
      </c>
      <c r="BZ75" s="106">
        <v>16</v>
      </c>
      <c r="CA75" s="106">
        <v>10291.199999999999</v>
      </c>
      <c r="CB75" s="106">
        <v>22</v>
      </c>
      <c r="CC75" s="106">
        <v>14150.399999999998</v>
      </c>
      <c r="CD75" s="106">
        <v>16</v>
      </c>
      <c r="CE75" s="106">
        <v>10291.199999999999</v>
      </c>
      <c r="CF75" s="106">
        <v>2</v>
      </c>
      <c r="CG75" s="106">
        <v>1286.3999999999999</v>
      </c>
      <c r="CH75" s="106">
        <v>3</v>
      </c>
      <c r="CI75" s="106">
        <v>1929.6</v>
      </c>
      <c r="CJ75" s="106">
        <v>2</v>
      </c>
      <c r="CK75" s="106">
        <v>1286.3999999999999</v>
      </c>
      <c r="CL75" s="106">
        <v>2</v>
      </c>
      <c r="CM75" s="106">
        <v>1286.3999999999999</v>
      </c>
      <c r="CN75" s="106">
        <v>4</v>
      </c>
      <c r="CO75" s="106">
        <v>2572.7999999999997</v>
      </c>
      <c r="CP75" s="106">
        <v>5</v>
      </c>
      <c r="CQ75" s="106">
        <v>3215.9999999999995</v>
      </c>
      <c r="CR75" s="106">
        <v>4</v>
      </c>
      <c r="CS75" s="106">
        <v>2572.7999999999997</v>
      </c>
      <c r="CT75" s="106">
        <v>4</v>
      </c>
      <c r="CU75" s="106">
        <v>2572.7999999999997</v>
      </c>
    </row>
    <row r="76" spans="2:99" x14ac:dyDescent="0.2">
      <c r="C76" s="105" t="s">
        <v>242</v>
      </c>
      <c r="D76" s="106">
        <v>23</v>
      </c>
      <c r="E76" s="106">
        <v>17912.399999999998</v>
      </c>
      <c r="F76" s="106">
        <v>24</v>
      </c>
      <c r="G76" s="106">
        <v>18691.199999999997</v>
      </c>
      <c r="H76" s="106">
        <v>19</v>
      </c>
      <c r="I76" s="106">
        <v>14797.199999999999</v>
      </c>
      <c r="J76" s="106">
        <v>24</v>
      </c>
      <c r="K76" s="106">
        <v>18691.199999999997</v>
      </c>
      <c r="L76" s="106">
        <v>25</v>
      </c>
      <c r="M76" s="106">
        <v>19470</v>
      </c>
      <c r="N76" s="106">
        <v>17</v>
      </c>
      <c r="O76" s="106">
        <v>13239.599999999999</v>
      </c>
      <c r="P76" s="106">
        <v>20</v>
      </c>
      <c r="Q76" s="106">
        <v>15576</v>
      </c>
      <c r="R76" s="106">
        <v>24</v>
      </c>
      <c r="S76" s="106">
        <v>18691.199999999997</v>
      </c>
      <c r="T76" s="106">
        <v>16</v>
      </c>
      <c r="U76" s="106">
        <v>12460.8</v>
      </c>
      <c r="V76" s="106">
        <v>10</v>
      </c>
      <c r="W76" s="106">
        <v>7788</v>
      </c>
      <c r="X76" s="106">
        <v>8</v>
      </c>
      <c r="Y76" s="106">
        <v>6230.4</v>
      </c>
      <c r="Z76" s="106">
        <v>16</v>
      </c>
      <c r="AA76" s="106">
        <v>12460.8</v>
      </c>
      <c r="AB76" s="106">
        <v>10</v>
      </c>
      <c r="AC76" s="106">
        <v>7788</v>
      </c>
      <c r="AD76" s="106">
        <v>12</v>
      </c>
      <c r="AE76" s="106">
        <v>9345.5999999999985</v>
      </c>
      <c r="AF76" s="106">
        <v>10</v>
      </c>
      <c r="AG76" s="106">
        <v>7788</v>
      </c>
      <c r="AH76" s="106">
        <v>12</v>
      </c>
      <c r="AI76" s="106">
        <v>9345.5999999999985</v>
      </c>
      <c r="AJ76" s="106">
        <v>20</v>
      </c>
      <c r="AK76" s="106">
        <v>15576</v>
      </c>
      <c r="AL76" s="106">
        <v>24</v>
      </c>
      <c r="AM76" s="106">
        <v>18691.199999999997</v>
      </c>
      <c r="AN76" s="106">
        <v>21</v>
      </c>
      <c r="AO76" s="106">
        <v>16354.8</v>
      </c>
      <c r="AP76" s="106">
        <v>29</v>
      </c>
      <c r="AQ76" s="106">
        <v>22585.199999999997</v>
      </c>
      <c r="AR76" s="106">
        <v>26</v>
      </c>
      <c r="AS76" s="106">
        <v>20248.8</v>
      </c>
      <c r="AT76" s="106">
        <v>35</v>
      </c>
      <c r="AU76" s="106">
        <v>27258</v>
      </c>
      <c r="AV76" s="106">
        <v>29</v>
      </c>
      <c r="AW76" s="106">
        <v>22585.199999999997</v>
      </c>
      <c r="AX76" s="106">
        <v>35</v>
      </c>
      <c r="AY76" s="106">
        <v>27258</v>
      </c>
      <c r="AZ76" s="106">
        <v>4</v>
      </c>
      <c r="BA76" s="106">
        <v>3115.2</v>
      </c>
      <c r="BB76" s="106">
        <v>3</v>
      </c>
      <c r="BC76" s="106">
        <v>2336.3999999999996</v>
      </c>
      <c r="BD76" s="106">
        <v>2</v>
      </c>
      <c r="BE76" s="106">
        <v>1557.6</v>
      </c>
      <c r="BF76" s="106">
        <v>2</v>
      </c>
      <c r="BG76" s="106">
        <v>1557.6</v>
      </c>
      <c r="BH76" s="106">
        <v>3</v>
      </c>
      <c r="BI76" s="106">
        <v>2336.3999999999996</v>
      </c>
      <c r="BJ76" s="106">
        <v>3</v>
      </c>
      <c r="BK76" s="106">
        <v>2336.3999999999996</v>
      </c>
      <c r="BL76" s="106">
        <v>3</v>
      </c>
      <c r="BM76" s="106">
        <v>2336.3999999999996</v>
      </c>
      <c r="BN76" s="106">
        <v>3</v>
      </c>
      <c r="BO76" s="106">
        <v>2336.3999999999996</v>
      </c>
      <c r="BP76" s="106">
        <v>4</v>
      </c>
      <c r="BQ76" s="106">
        <v>3115.2</v>
      </c>
      <c r="BR76" s="106">
        <v>3</v>
      </c>
      <c r="BS76" s="106">
        <v>2336.3999999999996</v>
      </c>
      <c r="BT76" s="106">
        <v>3</v>
      </c>
      <c r="BU76" s="106">
        <v>2336.3999999999996</v>
      </c>
      <c r="BV76" s="106">
        <v>4</v>
      </c>
      <c r="BW76" s="106">
        <v>3115.2</v>
      </c>
      <c r="BX76" s="106">
        <v>27</v>
      </c>
      <c r="BY76" s="106">
        <v>21027.599999999999</v>
      </c>
      <c r="BZ76" s="106">
        <v>17</v>
      </c>
      <c r="CA76" s="106">
        <v>13239.599999999999</v>
      </c>
      <c r="CB76" s="106">
        <v>20</v>
      </c>
      <c r="CC76" s="106">
        <v>15576</v>
      </c>
      <c r="CD76" s="106">
        <v>14</v>
      </c>
      <c r="CE76" s="106">
        <v>10903.199999999999</v>
      </c>
      <c r="CF76" s="106">
        <v>2</v>
      </c>
      <c r="CG76" s="106">
        <v>1557.6</v>
      </c>
      <c r="CH76" s="106">
        <v>3</v>
      </c>
      <c r="CI76" s="106">
        <v>2336.3999999999996</v>
      </c>
      <c r="CJ76" s="106">
        <v>2</v>
      </c>
      <c r="CK76" s="106">
        <v>1557.6</v>
      </c>
      <c r="CL76" s="106">
        <v>2</v>
      </c>
      <c r="CM76" s="106">
        <v>1557.6</v>
      </c>
      <c r="CN76" s="106">
        <v>4</v>
      </c>
      <c r="CO76" s="106">
        <v>3115.2</v>
      </c>
      <c r="CP76" s="106">
        <v>5</v>
      </c>
      <c r="CQ76" s="106">
        <v>3894</v>
      </c>
      <c r="CR76" s="106">
        <v>4</v>
      </c>
      <c r="CS76" s="106">
        <v>3115.2</v>
      </c>
      <c r="CT76" s="106">
        <v>4</v>
      </c>
      <c r="CU76" s="106">
        <v>3115.2</v>
      </c>
    </row>
    <row r="77" spans="2:99" x14ac:dyDescent="0.2">
      <c r="C77" s="105" t="s">
        <v>243</v>
      </c>
      <c r="D77" s="106">
        <v>28</v>
      </c>
      <c r="E77" s="106">
        <v>7795.1999999999989</v>
      </c>
      <c r="F77" s="106">
        <v>29</v>
      </c>
      <c r="G77" s="106">
        <v>8073.5999999999995</v>
      </c>
      <c r="H77" s="106">
        <v>21</v>
      </c>
      <c r="I77" s="106">
        <v>5846.4</v>
      </c>
      <c r="J77" s="106">
        <v>25</v>
      </c>
      <c r="K77" s="106">
        <v>6959.9999999999991</v>
      </c>
      <c r="L77" s="106">
        <v>27</v>
      </c>
      <c r="M77" s="106">
        <v>7516.7999999999993</v>
      </c>
      <c r="N77" s="106">
        <v>20</v>
      </c>
      <c r="O77" s="106">
        <v>5568</v>
      </c>
      <c r="P77" s="106">
        <v>24</v>
      </c>
      <c r="Q77" s="106">
        <v>6681.5999999999995</v>
      </c>
      <c r="R77" s="106">
        <v>29</v>
      </c>
      <c r="S77" s="106">
        <v>8073.5999999999995</v>
      </c>
      <c r="T77" s="106">
        <v>17</v>
      </c>
      <c r="U77" s="106">
        <v>4732.7999999999993</v>
      </c>
      <c r="V77" s="106">
        <v>11</v>
      </c>
      <c r="W77" s="106">
        <v>3062.3999999999996</v>
      </c>
      <c r="X77" s="106">
        <v>9</v>
      </c>
      <c r="Y77" s="106">
        <v>2505.6</v>
      </c>
      <c r="Z77" s="106">
        <v>16</v>
      </c>
      <c r="AA77" s="106">
        <v>4454.3999999999996</v>
      </c>
      <c r="AB77" s="106">
        <v>10</v>
      </c>
      <c r="AC77" s="106">
        <v>2784</v>
      </c>
      <c r="AD77" s="106">
        <v>14</v>
      </c>
      <c r="AE77" s="106">
        <v>3897.5999999999995</v>
      </c>
      <c r="AF77" s="106">
        <v>12</v>
      </c>
      <c r="AG77" s="106">
        <v>3340.7999999999997</v>
      </c>
      <c r="AH77" s="106">
        <v>14</v>
      </c>
      <c r="AI77" s="106">
        <v>3897.5999999999995</v>
      </c>
      <c r="AJ77" s="106">
        <v>20</v>
      </c>
      <c r="AK77" s="106">
        <v>5568</v>
      </c>
      <c r="AL77" s="106">
        <v>26</v>
      </c>
      <c r="AM77" s="106">
        <v>7238.4</v>
      </c>
      <c r="AN77" s="106">
        <v>27</v>
      </c>
      <c r="AO77" s="106">
        <v>7516.7999999999993</v>
      </c>
      <c r="AP77" s="106">
        <v>29</v>
      </c>
      <c r="AQ77" s="106">
        <v>8073.5999999999995</v>
      </c>
      <c r="AR77" s="106">
        <v>27</v>
      </c>
      <c r="AS77" s="106">
        <v>7516.7999999999993</v>
      </c>
      <c r="AT77" s="106">
        <v>40</v>
      </c>
      <c r="AU77" s="106">
        <v>11136</v>
      </c>
      <c r="AV77" s="106">
        <v>31</v>
      </c>
      <c r="AW77" s="106">
        <v>8630.4</v>
      </c>
      <c r="AX77" s="106">
        <v>39</v>
      </c>
      <c r="AY77" s="106">
        <v>10857.599999999999</v>
      </c>
      <c r="AZ77" s="106">
        <v>3</v>
      </c>
      <c r="BA77" s="106">
        <v>835.19999999999993</v>
      </c>
      <c r="BB77" s="106">
        <v>3</v>
      </c>
      <c r="BC77" s="106">
        <v>835.19999999999993</v>
      </c>
      <c r="BD77" s="106">
        <v>2</v>
      </c>
      <c r="BE77" s="106">
        <v>556.79999999999995</v>
      </c>
      <c r="BF77" s="106">
        <v>2</v>
      </c>
      <c r="BG77" s="106">
        <v>556.79999999999995</v>
      </c>
      <c r="BH77" s="106">
        <v>4</v>
      </c>
      <c r="BI77" s="106">
        <v>1113.5999999999999</v>
      </c>
      <c r="BJ77" s="106">
        <v>2</v>
      </c>
      <c r="BK77" s="106">
        <v>556.79999999999995</v>
      </c>
      <c r="BL77" s="106">
        <v>4</v>
      </c>
      <c r="BM77" s="106">
        <v>1113.5999999999999</v>
      </c>
      <c r="BN77" s="106">
        <v>3</v>
      </c>
      <c r="BO77" s="106">
        <v>835.19999999999993</v>
      </c>
      <c r="BP77" s="106">
        <v>4</v>
      </c>
      <c r="BQ77" s="106">
        <v>1113.5999999999999</v>
      </c>
      <c r="BR77" s="106">
        <v>3</v>
      </c>
      <c r="BS77" s="106">
        <v>835.19999999999993</v>
      </c>
      <c r="BT77" s="106">
        <v>3</v>
      </c>
      <c r="BU77" s="106">
        <v>835.19999999999993</v>
      </c>
      <c r="BV77" s="106">
        <v>4</v>
      </c>
      <c r="BW77" s="106">
        <v>1113.5999999999999</v>
      </c>
      <c r="BX77" s="106">
        <v>28</v>
      </c>
      <c r="BY77" s="106">
        <v>7795.1999999999989</v>
      </c>
      <c r="BZ77" s="106">
        <v>18</v>
      </c>
      <c r="CA77" s="106">
        <v>5011.2</v>
      </c>
      <c r="CB77" s="106">
        <v>20</v>
      </c>
      <c r="CC77" s="106">
        <v>5568</v>
      </c>
      <c r="CD77" s="106">
        <v>16</v>
      </c>
      <c r="CE77" s="106">
        <v>4454.3999999999996</v>
      </c>
      <c r="CF77" s="106">
        <v>2</v>
      </c>
      <c r="CG77" s="106">
        <v>556.79999999999995</v>
      </c>
      <c r="CH77" s="106">
        <v>3</v>
      </c>
      <c r="CI77" s="106">
        <v>835.19999999999993</v>
      </c>
      <c r="CJ77" s="106">
        <v>2</v>
      </c>
      <c r="CK77" s="106">
        <v>556.79999999999995</v>
      </c>
      <c r="CL77" s="106">
        <v>2</v>
      </c>
      <c r="CM77" s="106">
        <v>556.79999999999995</v>
      </c>
      <c r="CN77" s="106">
        <v>4</v>
      </c>
      <c r="CO77" s="106">
        <v>1113.5999999999999</v>
      </c>
      <c r="CP77" s="106">
        <v>5</v>
      </c>
      <c r="CQ77" s="106">
        <v>1392</v>
      </c>
      <c r="CR77" s="106">
        <v>4</v>
      </c>
      <c r="CS77" s="106">
        <v>1113.5999999999999</v>
      </c>
      <c r="CT77" s="106">
        <v>5</v>
      </c>
      <c r="CU77" s="106">
        <v>1392</v>
      </c>
    </row>
    <row r="78" spans="2:99" x14ac:dyDescent="0.2">
      <c r="C78" s="105" t="s">
        <v>244</v>
      </c>
      <c r="D78" s="106">
        <v>27</v>
      </c>
      <c r="E78" s="106">
        <v>14904</v>
      </c>
      <c r="F78" s="106">
        <v>25</v>
      </c>
      <c r="G78" s="106">
        <v>13800</v>
      </c>
      <c r="H78" s="106">
        <v>19</v>
      </c>
      <c r="I78" s="106">
        <v>10488</v>
      </c>
      <c r="J78" s="106">
        <v>23</v>
      </c>
      <c r="K78" s="106">
        <v>12696</v>
      </c>
      <c r="L78" s="106">
        <v>24</v>
      </c>
      <c r="M78" s="106">
        <v>13248</v>
      </c>
      <c r="N78" s="106">
        <v>16</v>
      </c>
      <c r="O78" s="106">
        <v>8832</v>
      </c>
      <c r="P78" s="106">
        <v>21</v>
      </c>
      <c r="Q78" s="106">
        <v>11592</v>
      </c>
      <c r="R78" s="106">
        <v>27</v>
      </c>
      <c r="S78" s="106">
        <v>14904</v>
      </c>
      <c r="T78" s="106">
        <v>17</v>
      </c>
      <c r="U78" s="106">
        <v>9384</v>
      </c>
      <c r="V78" s="106">
        <v>10</v>
      </c>
      <c r="W78" s="106">
        <v>5520</v>
      </c>
      <c r="X78" s="106">
        <v>10</v>
      </c>
      <c r="Y78" s="106">
        <v>5520</v>
      </c>
      <c r="Z78" s="106">
        <v>17</v>
      </c>
      <c r="AA78" s="106">
        <v>9384</v>
      </c>
      <c r="AB78" s="106">
        <v>10</v>
      </c>
      <c r="AC78" s="106">
        <v>5520</v>
      </c>
      <c r="AD78" s="106">
        <v>14</v>
      </c>
      <c r="AE78" s="106">
        <v>7728</v>
      </c>
      <c r="AF78" s="106">
        <v>9</v>
      </c>
      <c r="AG78" s="106">
        <v>4968</v>
      </c>
      <c r="AH78" s="106">
        <v>13</v>
      </c>
      <c r="AI78" s="106">
        <v>7176</v>
      </c>
      <c r="AJ78" s="106">
        <v>21</v>
      </c>
      <c r="AK78" s="106">
        <v>11592</v>
      </c>
      <c r="AL78" s="106">
        <v>25</v>
      </c>
      <c r="AM78" s="106">
        <v>13800</v>
      </c>
      <c r="AN78" s="106">
        <v>26</v>
      </c>
      <c r="AO78" s="106">
        <v>14352</v>
      </c>
      <c r="AP78" s="106">
        <v>29</v>
      </c>
      <c r="AQ78" s="106">
        <v>16008</v>
      </c>
      <c r="AR78" s="106">
        <v>25</v>
      </c>
      <c r="AS78" s="106">
        <v>13800</v>
      </c>
      <c r="AT78" s="106">
        <v>39</v>
      </c>
      <c r="AU78" s="106">
        <v>21528</v>
      </c>
      <c r="AV78" s="106">
        <v>29</v>
      </c>
      <c r="AW78" s="106">
        <v>16008</v>
      </c>
      <c r="AX78" s="106">
        <v>43</v>
      </c>
      <c r="AY78" s="106">
        <v>23736</v>
      </c>
      <c r="AZ78" s="106">
        <v>4</v>
      </c>
      <c r="BA78" s="106">
        <v>2208</v>
      </c>
      <c r="BB78" s="106">
        <v>3</v>
      </c>
      <c r="BC78" s="106">
        <v>1656</v>
      </c>
      <c r="BD78" s="106">
        <v>2</v>
      </c>
      <c r="BE78" s="106">
        <v>1104</v>
      </c>
      <c r="BF78" s="106">
        <v>2</v>
      </c>
      <c r="BG78" s="106">
        <v>1104</v>
      </c>
      <c r="BH78" s="106">
        <v>3</v>
      </c>
      <c r="BI78" s="106">
        <v>1656</v>
      </c>
      <c r="BJ78" s="106">
        <v>3</v>
      </c>
      <c r="BK78" s="106">
        <v>1656</v>
      </c>
      <c r="BL78" s="106">
        <v>4</v>
      </c>
      <c r="BM78" s="106">
        <v>2208</v>
      </c>
      <c r="BN78" s="106">
        <v>3</v>
      </c>
      <c r="BO78" s="106">
        <v>1656</v>
      </c>
      <c r="BP78" s="106">
        <v>4</v>
      </c>
      <c r="BQ78" s="106">
        <v>2208</v>
      </c>
      <c r="BR78" s="106">
        <v>3</v>
      </c>
      <c r="BS78" s="106">
        <v>1656</v>
      </c>
      <c r="BT78" s="106">
        <v>3</v>
      </c>
      <c r="BU78" s="106">
        <v>1656</v>
      </c>
      <c r="BV78" s="106">
        <v>5</v>
      </c>
      <c r="BW78" s="106">
        <v>2760</v>
      </c>
      <c r="BX78" s="106">
        <v>30</v>
      </c>
      <c r="BY78" s="106">
        <v>16560</v>
      </c>
      <c r="BZ78" s="106">
        <v>17</v>
      </c>
      <c r="CA78" s="106">
        <v>9384</v>
      </c>
      <c r="CB78" s="106">
        <v>23</v>
      </c>
      <c r="CC78" s="106">
        <v>12696</v>
      </c>
      <c r="CD78" s="106">
        <v>15</v>
      </c>
      <c r="CE78" s="106">
        <v>8280</v>
      </c>
      <c r="CF78" s="106">
        <v>2</v>
      </c>
      <c r="CG78" s="106">
        <v>1104</v>
      </c>
      <c r="CH78" s="106">
        <v>3</v>
      </c>
      <c r="CI78" s="106">
        <v>1656</v>
      </c>
      <c r="CJ78" s="106">
        <v>2</v>
      </c>
      <c r="CK78" s="106">
        <v>1104</v>
      </c>
      <c r="CL78" s="106">
        <v>2</v>
      </c>
      <c r="CM78" s="106">
        <v>1104</v>
      </c>
      <c r="CN78" s="106">
        <v>4</v>
      </c>
      <c r="CO78" s="106">
        <v>2208</v>
      </c>
      <c r="CP78" s="106">
        <v>5</v>
      </c>
      <c r="CQ78" s="106">
        <v>2760</v>
      </c>
      <c r="CR78" s="106">
        <v>4</v>
      </c>
      <c r="CS78" s="106">
        <v>2208</v>
      </c>
      <c r="CT78" s="106">
        <v>5</v>
      </c>
      <c r="CU78" s="106">
        <v>2760</v>
      </c>
    </row>
    <row r="79" spans="2:99" x14ac:dyDescent="0.2">
      <c r="C79" s="105" t="s">
        <v>245</v>
      </c>
      <c r="D79" s="106">
        <v>24</v>
      </c>
      <c r="E79" s="106">
        <v>18172.8</v>
      </c>
      <c r="F79" s="106">
        <v>25</v>
      </c>
      <c r="G79" s="106">
        <v>18930</v>
      </c>
      <c r="H79" s="106">
        <v>19</v>
      </c>
      <c r="I79" s="106">
        <v>14386.8</v>
      </c>
      <c r="J79" s="106">
        <v>21</v>
      </c>
      <c r="K79" s="106">
        <v>15901.199999999999</v>
      </c>
      <c r="L79" s="106">
        <v>24</v>
      </c>
      <c r="M79" s="106">
        <v>18172.8</v>
      </c>
      <c r="N79" s="106">
        <v>15</v>
      </c>
      <c r="O79" s="106">
        <v>11357.999999999998</v>
      </c>
      <c r="P79" s="106">
        <v>22</v>
      </c>
      <c r="Q79" s="106">
        <v>16658.399999999998</v>
      </c>
      <c r="R79" s="106">
        <v>23</v>
      </c>
      <c r="S79" s="106">
        <v>17415.599999999999</v>
      </c>
      <c r="T79" s="106">
        <v>16</v>
      </c>
      <c r="U79" s="106">
        <v>12115.199999999999</v>
      </c>
      <c r="V79" s="106">
        <v>10</v>
      </c>
      <c r="W79" s="106">
        <v>7571.9999999999991</v>
      </c>
      <c r="X79" s="106">
        <v>9</v>
      </c>
      <c r="Y79" s="106">
        <v>6814.7999999999993</v>
      </c>
      <c r="Z79" s="106">
        <v>17</v>
      </c>
      <c r="AA79" s="106">
        <v>12872.4</v>
      </c>
      <c r="AB79" s="106">
        <v>10</v>
      </c>
      <c r="AC79" s="106">
        <v>7571.9999999999991</v>
      </c>
      <c r="AD79" s="106">
        <v>14</v>
      </c>
      <c r="AE79" s="106">
        <v>10600.8</v>
      </c>
      <c r="AF79" s="106">
        <v>11</v>
      </c>
      <c r="AG79" s="106">
        <v>8329.1999999999989</v>
      </c>
      <c r="AH79" s="106">
        <v>13</v>
      </c>
      <c r="AI79" s="106">
        <v>9843.5999999999985</v>
      </c>
      <c r="AJ79" s="106">
        <v>19</v>
      </c>
      <c r="AK79" s="106">
        <v>14386.8</v>
      </c>
      <c r="AL79" s="106">
        <v>22</v>
      </c>
      <c r="AM79" s="106">
        <v>16658.399999999998</v>
      </c>
      <c r="AN79" s="106">
        <v>25</v>
      </c>
      <c r="AO79" s="106">
        <v>18930</v>
      </c>
      <c r="AP79" s="106">
        <v>28</v>
      </c>
      <c r="AQ79" s="106">
        <v>21201.599999999999</v>
      </c>
      <c r="AR79" s="106">
        <v>27</v>
      </c>
      <c r="AS79" s="106">
        <v>20444.399999999998</v>
      </c>
      <c r="AT79" s="106">
        <v>35</v>
      </c>
      <c r="AU79" s="106">
        <v>26501.999999999996</v>
      </c>
      <c r="AV79" s="106">
        <v>27</v>
      </c>
      <c r="AW79" s="106">
        <v>20444.399999999998</v>
      </c>
      <c r="AX79" s="106">
        <v>41</v>
      </c>
      <c r="AY79" s="106">
        <v>31045.199999999997</v>
      </c>
      <c r="AZ79" s="106">
        <v>4</v>
      </c>
      <c r="BA79" s="106">
        <v>3028.7999999999997</v>
      </c>
      <c r="BB79" s="106">
        <v>3</v>
      </c>
      <c r="BC79" s="106">
        <v>2271.6</v>
      </c>
      <c r="BD79" s="106">
        <v>2</v>
      </c>
      <c r="BE79" s="106">
        <v>1514.3999999999999</v>
      </c>
      <c r="BF79" s="106">
        <v>2</v>
      </c>
      <c r="BG79" s="106">
        <v>1514.3999999999999</v>
      </c>
      <c r="BH79" s="106">
        <v>3</v>
      </c>
      <c r="BI79" s="106">
        <v>2271.6</v>
      </c>
      <c r="BJ79" s="106">
        <v>3</v>
      </c>
      <c r="BK79" s="106">
        <v>2271.6</v>
      </c>
      <c r="BL79" s="106">
        <v>4</v>
      </c>
      <c r="BM79" s="106">
        <v>3028.7999999999997</v>
      </c>
      <c r="BN79" s="106">
        <v>3</v>
      </c>
      <c r="BO79" s="106">
        <v>2271.6</v>
      </c>
      <c r="BP79" s="106">
        <v>4</v>
      </c>
      <c r="BQ79" s="106">
        <v>3028.7999999999997</v>
      </c>
      <c r="BR79" s="106">
        <v>3</v>
      </c>
      <c r="BS79" s="106">
        <v>2271.6</v>
      </c>
      <c r="BT79" s="106">
        <v>3</v>
      </c>
      <c r="BU79" s="106">
        <v>2271.6</v>
      </c>
      <c r="BV79" s="106">
        <v>5</v>
      </c>
      <c r="BW79" s="106">
        <v>3785.9999999999995</v>
      </c>
      <c r="BX79" s="106">
        <v>27</v>
      </c>
      <c r="BY79" s="106">
        <v>20444.399999999998</v>
      </c>
      <c r="BZ79" s="106">
        <v>18</v>
      </c>
      <c r="CA79" s="106">
        <v>13629.599999999999</v>
      </c>
      <c r="CB79" s="106">
        <v>20</v>
      </c>
      <c r="CC79" s="106">
        <v>15143.999999999998</v>
      </c>
      <c r="CD79" s="106">
        <v>14</v>
      </c>
      <c r="CE79" s="106">
        <v>10600.8</v>
      </c>
      <c r="CF79" s="106">
        <v>2</v>
      </c>
      <c r="CG79" s="106">
        <v>1514.3999999999999</v>
      </c>
      <c r="CH79" s="106">
        <v>3</v>
      </c>
      <c r="CI79" s="106">
        <v>2271.6</v>
      </c>
      <c r="CJ79" s="106">
        <v>2</v>
      </c>
      <c r="CK79" s="106">
        <v>1514.3999999999999</v>
      </c>
      <c r="CL79" s="106">
        <v>2</v>
      </c>
      <c r="CM79" s="106">
        <v>1514.3999999999999</v>
      </c>
      <c r="CN79" s="106">
        <v>4</v>
      </c>
      <c r="CO79" s="106">
        <v>3028.7999999999997</v>
      </c>
      <c r="CP79" s="106">
        <v>4</v>
      </c>
      <c r="CQ79" s="106">
        <v>3028.7999999999997</v>
      </c>
      <c r="CR79" s="106">
        <v>4</v>
      </c>
      <c r="CS79" s="106">
        <v>3028.7999999999997</v>
      </c>
      <c r="CT79" s="106">
        <v>4</v>
      </c>
      <c r="CU79" s="106">
        <v>3028.7999999999997</v>
      </c>
    </row>
    <row r="80" spans="2:99" x14ac:dyDescent="0.2">
      <c r="C80" s="105" t="s">
        <v>246</v>
      </c>
      <c r="D80" s="106">
        <v>25</v>
      </c>
      <c r="E80" s="106">
        <v>20130</v>
      </c>
      <c r="F80" s="106">
        <v>25</v>
      </c>
      <c r="G80" s="106">
        <v>20130</v>
      </c>
      <c r="H80" s="106">
        <v>20</v>
      </c>
      <c r="I80" s="106">
        <v>16103.999999999998</v>
      </c>
      <c r="J80" s="106">
        <v>21</v>
      </c>
      <c r="K80" s="106">
        <v>16909.199999999997</v>
      </c>
      <c r="L80" s="106">
        <v>22</v>
      </c>
      <c r="M80" s="106">
        <v>17714.399999999998</v>
      </c>
      <c r="N80" s="106">
        <v>17</v>
      </c>
      <c r="O80" s="106">
        <v>13688.4</v>
      </c>
      <c r="P80" s="106">
        <v>21</v>
      </c>
      <c r="Q80" s="106">
        <v>16909.199999999997</v>
      </c>
      <c r="R80" s="106">
        <v>25</v>
      </c>
      <c r="S80" s="106">
        <v>20130</v>
      </c>
      <c r="T80" s="106">
        <v>18</v>
      </c>
      <c r="U80" s="106">
        <v>14493.599999999999</v>
      </c>
      <c r="V80" s="106">
        <v>12</v>
      </c>
      <c r="W80" s="106">
        <v>9662.4</v>
      </c>
      <c r="X80" s="106">
        <v>9</v>
      </c>
      <c r="Y80" s="106">
        <v>7246.7999999999993</v>
      </c>
      <c r="Z80" s="106">
        <v>16</v>
      </c>
      <c r="AA80" s="106">
        <v>12883.199999999999</v>
      </c>
      <c r="AB80" s="106">
        <v>11</v>
      </c>
      <c r="AC80" s="106">
        <v>8857.1999999999989</v>
      </c>
      <c r="AD80" s="106">
        <v>12</v>
      </c>
      <c r="AE80" s="106">
        <v>9662.4</v>
      </c>
      <c r="AF80" s="106">
        <v>11</v>
      </c>
      <c r="AG80" s="106">
        <v>8857.1999999999989</v>
      </c>
      <c r="AH80" s="106">
        <v>13</v>
      </c>
      <c r="AI80" s="106">
        <v>10467.599999999999</v>
      </c>
      <c r="AJ80" s="106">
        <v>18</v>
      </c>
      <c r="AK80" s="106">
        <v>14493.599999999999</v>
      </c>
      <c r="AL80" s="106">
        <v>23</v>
      </c>
      <c r="AM80" s="106">
        <v>18519.599999999999</v>
      </c>
      <c r="AN80" s="106">
        <v>25</v>
      </c>
      <c r="AO80" s="106">
        <v>20130</v>
      </c>
      <c r="AP80" s="106">
        <v>26</v>
      </c>
      <c r="AQ80" s="106">
        <v>20935.199999999997</v>
      </c>
      <c r="AR80" s="106">
        <v>25</v>
      </c>
      <c r="AS80" s="106">
        <v>20130</v>
      </c>
      <c r="AT80" s="106">
        <v>34</v>
      </c>
      <c r="AU80" s="106">
        <v>27376.799999999999</v>
      </c>
      <c r="AV80" s="106">
        <v>30</v>
      </c>
      <c r="AW80" s="106">
        <v>24155.999999999996</v>
      </c>
      <c r="AX80" s="106">
        <v>38</v>
      </c>
      <c r="AY80" s="106">
        <v>30597.599999999999</v>
      </c>
      <c r="AZ80" s="106">
        <v>4</v>
      </c>
      <c r="BA80" s="106">
        <v>3220.7999999999997</v>
      </c>
      <c r="BB80" s="106">
        <v>3</v>
      </c>
      <c r="BC80" s="106">
        <v>2415.6</v>
      </c>
      <c r="BD80" s="106">
        <v>2</v>
      </c>
      <c r="BE80" s="106">
        <v>1610.3999999999999</v>
      </c>
      <c r="BF80" s="106">
        <v>2</v>
      </c>
      <c r="BG80" s="106">
        <v>1610.3999999999999</v>
      </c>
      <c r="BH80" s="106">
        <v>4</v>
      </c>
      <c r="BI80" s="106">
        <v>3220.7999999999997</v>
      </c>
      <c r="BJ80" s="106">
        <v>2</v>
      </c>
      <c r="BK80" s="106">
        <v>1610.3999999999999</v>
      </c>
      <c r="BL80" s="106">
        <v>3</v>
      </c>
      <c r="BM80" s="106">
        <v>2415.6</v>
      </c>
      <c r="BN80" s="106">
        <v>2</v>
      </c>
      <c r="BO80" s="106">
        <v>1610.3999999999999</v>
      </c>
      <c r="BP80" s="106">
        <v>4</v>
      </c>
      <c r="BQ80" s="106">
        <v>3220.7999999999997</v>
      </c>
      <c r="BR80" s="106">
        <v>3</v>
      </c>
      <c r="BS80" s="106">
        <v>2415.6</v>
      </c>
      <c r="BT80" s="106">
        <v>3</v>
      </c>
      <c r="BU80" s="106">
        <v>2415.6</v>
      </c>
      <c r="BV80" s="106">
        <v>4</v>
      </c>
      <c r="BW80" s="106">
        <v>3220.7999999999997</v>
      </c>
      <c r="BX80" s="106">
        <v>26</v>
      </c>
      <c r="BY80" s="106">
        <v>20935.199999999997</v>
      </c>
      <c r="BZ80" s="106">
        <v>17</v>
      </c>
      <c r="CA80" s="106">
        <v>13688.4</v>
      </c>
      <c r="CB80" s="106">
        <v>21</v>
      </c>
      <c r="CC80" s="106">
        <v>16909.199999999997</v>
      </c>
      <c r="CD80" s="106">
        <v>14</v>
      </c>
      <c r="CE80" s="106">
        <v>11272.8</v>
      </c>
      <c r="CF80" s="106">
        <v>2</v>
      </c>
      <c r="CG80" s="106">
        <v>1610.3999999999999</v>
      </c>
      <c r="CH80" s="106">
        <v>3</v>
      </c>
      <c r="CI80" s="106">
        <v>2415.6</v>
      </c>
      <c r="CJ80" s="106">
        <v>2</v>
      </c>
      <c r="CK80" s="106">
        <v>1610.3999999999999</v>
      </c>
      <c r="CL80" s="106">
        <v>2</v>
      </c>
      <c r="CM80" s="106">
        <v>1610.3999999999999</v>
      </c>
      <c r="CN80" s="106">
        <v>4</v>
      </c>
      <c r="CO80" s="106">
        <v>3220.7999999999997</v>
      </c>
      <c r="CP80" s="106">
        <v>5</v>
      </c>
      <c r="CQ80" s="106">
        <v>4025.9999999999995</v>
      </c>
      <c r="CR80" s="106">
        <v>4</v>
      </c>
      <c r="CS80" s="106">
        <v>3220.7999999999997</v>
      </c>
      <c r="CT80" s="106">
        <v>4</v>
      </c>
      <c r="CU80" s="106">
        <v>3220.7999999999997</v>
      </c>
    </row>
    <row r="81" spans="2:99" x14ac:dyDescent="0.2">
      <c r="C81" s="105" t="s">
        <v>247</v>
      </c>
      <c r="D81" s="106">
        <v>26</v>
      </c>
      <c r="E81" s="106">
        <v>19593.600000000002</v>
      </c>
      <c r="F81" s="106">
        <v>26</v>
      </c>
      <c r="G81" s="106">
        <v>19593.600000000002</v>
      </c>
      <c r="H81" s="106">
        <v>19</v>
      </c>
      <c r="I81" s="106">
        <v>14318.4</v>
      </c>
      <c r="J81" s="106">
        <v>23</v>
      </c>
      <c r="K81" s="106">
        <v>17332.8</v>
      </c>
      <c r="L81" s="106">
        <v>24</v>
      </c>
      <c r="M81" s="106">
        <v>18086.400000000001</v>
      </c>
      <c r="N81" s="106">
        <v>17</v>
      </c>
      <c r="O81" s="106">
        <v>12811.2</v>
      </c>
      <c r="P81" s="106">
        <v>20</v>
      </c>
      <c r="Q81" s="106">
        <v>15072</v>
      </c>
      <c r="R81" s="106">
        <v>23</v>
      </c>
      <c r="S81" s="106">
        <v>17332.8</v>
      </c>
      <c r="T81" s="106">
        <v>16</v>
      </c>
      <c r="U81" s="106">
        <v>12057.6</v>
      </c>
      <c r="V81" s="106">
        <v>10</v>
      </c>
      <c r="W81" s="106">
        <v>7536</v>
      </c>
      <c r="X81" s="106">
        <v>10</v>
      </c>
      <c r="Y81" s="106">
        <v>7536</v>
      </c>
      <c r="Z81" s="106">
        <v>16</v>
      </c>
      <c r="AA81" s="106">
        <v>12057.6</v>
      </c>
      <c r="AB81" s="106">
        <v>11</v>
      </c>
      <c r="AC81" s="106">
        <v>8289.6</v>
      </c>
      <c r="AD81" s="106">
        <v>13</v>
      </c>
      <c r="AE81" s="106">
        <v>9796.8000000000011</v>
      </c>
      <c r="AF81" s="106">
        <v>11</v>
      </c>
      <c r="AG81" s="106">
        <v>8289.6</v>
      </c>
      <c r="AH81" s="106">
        <v>14</v>
      </c>
      <c r="AI81" s="106">
        <v>10550.4</v>
      </c>
      <c r="AJ81" s="106">
        <v>18</v>
      </c>
      <c r="AK81" s="106">
        <v>13564.800000000001</v>
      </c>
      <c r="AL81" s="106">
        <v>26</v>
      </c>
      <c r="AM81" s="106">
        <v>19593.600000000002</v>
      </c>
      <c r="AN81" s="106">
        <v>25</v>
      </c>
      <c r="AO81" s="106">
        <v>18840</v>
      </c>
      <c r="AP81" s="106">
        <v>26</v>
      </c>
      <c r="AQ81" s="106">
        <v>19593.600000000002</v>
      </c>
      <c r="AR81" s="106">
        <v>29</v>
      </c>
      <c r="AS81" s="106">
        <v>21854.400000000001</v>
      </c>
      <c r="AT81" s="106">
        <v>34</v>
      </c>
      <c r="AU81" s="106">
        <v>25622.400000000001</v>
      </c>
      <c r="AV81" s="106">
        <v>28</v>
      </c>
      <c r="AW81" s="106">
        <v>21100.799999999999</v>
      </c>
      <c r="AX81" s="106">
        <v>38</v>
      </c>
      <c r="AY81" s="106">
        <v>28636.799999999999</v>
      </c>
      <c r="AZ81" s="106">
        <v>4</v>
      </c>
      <c r="BA81" s="106">
        <v>3014.4</v>
      </c>
      <c r="BB81" s="106">
        <v>3</v>
      </c>
      <c r="BC81" s="106">
        <v>2260.8000000000002</v>
      </c>
      <c r="BD81" s="106">
        <v>2</v>
      </c>
      <c r="BE81" s="106">
        <v>1507.2</v>
      </c>
      <c r="BF81" s="106">
        <v>2</v>
      </c>
      <c r="BG81" s="106">
        <v>1507.2</v>
      </c>
      <c r="BH81" s="106">
        <v>3</v>
      </c>
      <c r="BI81" s="106">
        <v>2260.8000000000002</v>
      </c>
      <c r="BJ81" s="106">
        <v>2</v>
      </c>
      <c r="BK81" s="106">
        <v>1507.2</v>
      </c>
      <c r="BL81" s="106">
        <v>3</v>
      </c>
      <c r="BM81" s="106">
        <v>2260.8000000000002</v>
      </c>
      <c r="BN81" s="106">
        <v>3</v>
      </c>
      <c r="BO81" s="106">
        <v>2260.8000000000002</v>
      </c>
      <c r="BP81" s="106">
        <v>4</v>
      </c>
      <c r="BQ81" s="106">
        <v>3014.4</v>
      </c>
      <c r="BR81" s="106">
        <v>3</v>
      </c>
      <c r="BS81" s="106">
        <v>2260.8000000000002</v>
      </c>
      <c r="BT81" s="106">
        <v>3</v>
      </c>
      <c r="BU81" s="106">
        <v>2260.8000000000002</v>
      </c>
      <c r="BV81" s="106">
        <v>4</v>
      </c>
      <c r="BW81" s="106">
        <v>3014.4</v>
      </c>
      <c r="BX81" s="106">
        <v>25</v>
      </c>
      <c r="BY81" s="106">
        <v>18840</v>
      </c>
      <c r="BZ81" s="106">
        <v>17</v>
      </c>
      <c r="CA81" s="106">
        <v>12811.2</v>
      </c>
      <c r="CB81" s="106">
        <v>22</v>
      </c>
      <c r="CC81" s="106">
        <v>16579.2</v>
      </c>
      <c r="CD81" s="106">
        <v>15</v>
      </c>
      <c r="CE81" s="106">
        <v>11304</v>
      </c>
      <c r="CF81" s="106">
        <v>2</v>
      </c>
      <c r="CG81" s="106">
        <v>1507.2</v>
      </c>
      <c r="CH81" s="106">
        <v>3</v>
      </c>
      <c r="CI81" s="106">
        <v>2260.8000000000002</v>
      </c>
      <c r="CJ81" s="106">
        <v>2</v>
      </c>
      <c r="CK81" s="106">
        <v>1507.2</v>
      </c>
      <c r="CL81" s="106">
        <v>2</v>
      </c>
      <c r="CM81" s="106">
        <v>1507.2</v>
      </c>
      <c r="CN81" s="106">
        <v>4</v>
      </c>
      <c r="CO81" s="106">
        <v>3014.4</v>
      </c>
      <c r="CP81" s="106">
        <v>5</v>
      </c>
      <c r="CQ81" s="106">
        <v>3768</v>
      </c>
      <c r="CR81" s="106">
        <v>4</v>
      </c>
      <c r="CS81" s="106">
        <v>3014.4</v>
      </c>
      <c r="CT81" s="106">
        <v>5</v>
      </c>
      <c r="CU81" s="106">
        <v>3768</v>
      </c>
    </row>
    <row r="82" spans="2:99" x14ac:dyDescent="0.2">
      <c r="C82" s="105" t="s">
        <v>248</v>
      </c>
      <c r="D82" s="106">
        <v>23</v>
      </c>
      <c r="E82" s="106">
        <v>11702.399999999998</v>
      </c>
      <c r="F82" s="106">
        <v>26</v>
      </c>
      <c r="G82" s="106">
        <v>13228.799999999997</v>
      </c>
      <c r="H82" s="106">
        <v>21</v>
      </c>
      <c r="I82" s="106">
        <v>10684.799999999997</v>
      </c>
      <c r="J82" s="106">
        <v>23</v>
      </c>
      <c r="K82" s="106">
        <v>11702.399999999998</v>
      </c>
      <c r="L82" s="106">
        <v>25</v>
      </c>
      <c r="M82" s="106">
        <v>12719.999999999998</v>
      </c>
      <c r="N82" s="106">
        <v>17</v>
      </c>
      <c r="O82" s="106">
        <v>8649.5999999999985</v>
      </c>
      <c r="P82" s="106">
        <v>23</v>
      </c>
      <c r="Q82" s="106">
        <v>11702.399999999998</v>
      </c>
      <c r="R82" s="106">
        <v>26</v>
      </c>
      <c r="S82" s="106">
        <v>13228.799999999997</v>
      </c>
      <c r="T82" s="106">
        <v>19</v>
      </c>
      <c r="U82" s="106">
        <v>9667.1999999999989</v>
      </c>
      <c r="V82" s="106">
        <v>11</v>
      </c>
      <c r="W82" s="106">
        <v>5596.7999999999993</v>
      </c>
      <c r="X82" s="106">
        <v>9</v>
      </c>
      <c r="Y82" s="106">
        <v>4579.1999999999989</v>
      </c>
      <c r="Z82" s="106">
        <v>17</v>
      </c>
      <c r="AA82" s="106">
        <v>8649.5999999999985</v>
      </c>
      <c r="AB82" s="106">
        <v>10</v>
      </c>
      <c r="AC82" s="106">
        <v>5087.9999999999991</v>
      </c>
      <c r="AD82" s="106">
        <v>13</v>
      </c>
      <c r="AE82" s="106">
        <v>6614.3999999999987</v>
      </c>
      <c r="AF82" s="106">
        <v>11</v>
      </c>
      <c r="AG82" s="106">
        <v>5596.7999999999993</v>
      </c>
      <c r="AH82" s="106">
        <v>13</v>
      </c>
      <c r="AI82" s="106">
        <v>6614.3999999999987</v>
      </c>
      <c r="AJ82" s="106">
        <v>23</v>
      </c>
      <c r="AK82" s="106">
        <v>11702.399999999998</v>
      </c>
      <c r="AL82" s="106">
        <v>24</v>
      </c>
      <c r="AM82" s="106">
        <v>12211.199999999997</v>
      </c>
      <c r="AN82" s="106">
        <v>25</v>
      </c>
      <c r="AO82" s="106">
        <v>12719.999999999998</v>
      </c>
      <c r="AP82" s="106">
        <v>28</v>
      </c>
      <c r="AQ82" s="106">
        <v>14246.399999999998</v>
      </c>
      <c r="AR82" s="106">
        <v>28</v>
      </c>
      <c r="AS82" s="106">
        <v>14246.399999999998</v>
      </c>
      <c r="AT82" s="106">
        <v>32</v>
      </c>
      <c r="AU82" s="106">
        <v>16281.599999999997</v>
      </c>
      <c r="AV82" s="106">
        <v>28</v>
      </c>
      <c r="AW82" s="106">
        <v>14246.399999999998</v>
      </c>
      <c r="AX82" s="106">
        <v>40</v>
      </c>
      <c r="AY82" s="106">
        <v>20351.999999999996</v>
      </c>
      <c r="AZ82" s="106">
        <v>3</v>
      </c>
      <c r="BA82" s="106">
        <v>1526.3999999999996</v>
      </c>
      <c r="BB82" s="106">
        <v>3</v>
      </c>
      <c r="BC82" s="106">
        <v>1526.3999999999996</v>
      </c>
      <c r="BD82" s="106">
        <v>2</v>
      </c>
      <c r="BE82" s="106">
        <v>1017.5999999999998</v>
      </c>
      <c r="BF82" s="106">
        <v>2</v>
      </c>
      <c r="BG82" s="106">
        <v>1017.5999999999998</v>
      </c>
      <c r="BH82" s="106">
        <v>4</v>
      </c>
      <c r="BI82" s="106">
        <v>2035.1999999999996</v>
      </c>
      <c r="BJ82" s="106">
        <v>3</v>
      </c>
      <c r="BK82" s="106">
        <v>1526.3999999999996</v>
      </c>
      <c r="BL82" s="106">
        <v>3</v>
      </c>
      <c r="BM82" s="106">
        <v>1526.3999999999996</v>
      </c>
      <c r="BN82" s="106">
        <v>3</v>
      </c>
      <c r="BO82" s="106">
        <v>1526.3999999999996</v>
      </c>
      <c r="BP82" s="106">
        <v>4</v>
      </c>
      <c r="BQ82" s="106">
        <v>2035.1999999999996</v>
      </c>
      <c r="BR82" s="106">
        <v>3</v>
      </c>
      <c r="BS82" s="106">
        <v>1526.3999999999996</v>
      </c>
      <c r="BT82" s="106">
        <v>3</v>
      </c>
      <c r="BU82" s="106">
        <v>1526.3999999999996</v>
      </c>
      <c r="BV82" s="106">
        <v>4</v>
      </c>
      <c r="BW82" s="106">
        <v>2035.1999999999996</v>
      </c>
      <c r="BX82" s="106">
        <v>26</v>
      </c>
      <c r="BY82" s="106">
        <v>13228.799999999997</v>
      </c>
      <c r="BZ82" s="106">
        <v>18</v>
      </c>
      <c r="CA82" s="106">
        <v>9158.3999999999978</v>
      </c>
      <c r="CB82" s="106">
        <v>21</v>
      </c>
      <c r="CC82" s="106">
        <v>10684.799999999997</v>
      </c>
      <c r="CD82" s="106">
        <v>15</v>
      </c>
      <c r="CE82" s="106">
        <v>7631.9999999999982</v>
      </c>
      <c r="CF82" s="106">
        <v>2</v>
      </c>
      <c r="CG82" s="106">
        <v>1017.5999999999998</v>
      </c>
      <c r="CH82" s="106">
        <v>3</v>
      </c>
      <c r="CI82" s="106">
        <v>1526.3999999999996</v>
      </c>
      <c r="CJ82" s="106">
        <v>2</v>
      </c>
      <c r="CK82" s="106">
        <v>1017.5999999999998</v>
      </c>
      <c r="CL82" s="106">
        <v>2</v>
      </c>
      <c r="CM82" s="106">
        <v>1017.5999999999998</v>
      </c>
      <c r="CN82" s="106">
        <v>5</v>
      </c>
      <c r="CO82" s="106">
        <v>2543.9999999999995</v>
      </c>
      <c r="CP82" s="106">
        <v>5</v>
      </c>
      <c r="CQ82" s="106">
        <v>2543.9999999999995</v>
      </c>
      <c r="CR82" s="106">
        <v>4</v>
      </c>
      <c r="CS82" s="106">
        <v>2035.1999999999996</v>
      </c>
      <c r="CT82" s="106">
        <v>4</v>
      </c>
      <c r="CU82" s="106">
        <v>2035.1999999999996</v>
      </c>
    </row>
    <row r="83" spans="2:99" x14ac:dyDescent="0.2">
      <c r="C83" s="105" t="s">
        <v>249</v>
      </c>
      <c r="D83" s="106">
        <v>23</v>
      </c>
      <c r="E83" s="106">
        <v>19789.2</v>
      </c>
      <c r="F83" s="106">
        <v>26</v>
      </c>
      <c r="G83" s="106">
        <v>22370.399999999998</v>
      </c>
      <c r="H83" s="106">
        <v>18</v>
      </c>
      <c r="I83" s="106">
        <v>15487.199999999999</v>
      </c>
      <c r="J83" s="106">
        <v>24</v>
      </c>
      <c r="K83" s="106">
        <v>20649.599999999999</v>
      </c>
      <c r="L83" s="106">
        <v>24</v>
      </c>
      <c r="M83" s="106">
        <v>20649.599999999999</v>
      </c>
      <c r="N83" s="106">
        <v>17</v>
      </c>
      <c r="O83" s="106">
        <v>14626.8</v>
      </c>
      <c r="P83" s="106">
        <v>19</v>
      </c>
      <c r="Q83" s="106">
        <v>16347.6</v>
      </c>
      <c r="R83" s="106">
        <v>24</v>
      </c>
      <c r="S83" s="106">
        <v>20649.599999999999</v>
      </c>
      <c r="T83" s="106">
        <v>16</v>
      </c>
      <c r="U83" s="106">
        <v>13766.4</v>
      </c>
      <c r="V83" s="106">
        <v>11</v>
      </c>
      <c r="W83" s="106">
        <v>9464.4</v>
      </c>
      <c r="X83" s="106">
        <v>8</v>
      </c>
      <c r="Y83" s="106">
        <v>6883.2</v>
      </c>
      <c r="Z83" s="106">
        <v>16</v>
      </c>
      <c r="AA83" s="106">
        <v>13766.4</v>
      </c>
      <c r="AB83" s="106">
        <v>9</v>
      </c>
      <c r="AC83" s="106">
        <v>7743.5999999999995</v>
      </c>
      <c r="AD83" s="106">
        <v>12</v>
      </c>
      <c r="AE83" s="106">
        <v>10324.799999999999</v>
      </c>
      <c r="AF83" s="106">
        <v>10</v>
      </c>
      <c r="AG83" s="106">
        <v>8604</v>
      </c>
      <c r="AH83" s="106">
        <v>12</v>
      </c>
      <c r="AI83" s="106">
        <v>10324.799999999999</v>
      </c>
      <c r="AJ83" s="106">
        <v>19</v>
      </c>
      <c r="AK83" s="106">
        <v>16347.6</v>
      </c>
      <c r="AL83" s="106">
        <v>24</v>
      </c>
      <c r="AM83" s="106">
        <v>20649.599999999999</v>
      </c>
      <c r="AN83" s="106">
        <v>21</v>
      </c>
      <c r="AO83" s="106">
        <v>18068.399999999998</v>
      </c>
      <c r="AP83" s="106">
        <v>30</v>
      </c>
      <c r="AQ83" s="106">
        <v>25812</v>
      </c>
      <c r="AR83" s="106">
        <v>24</v>
      </c>
      <c r="AS83" s="106">
        <v>20649.599999999999</v>
      </c>
      <c r="AT83" s="106">
        <v>35</v>
      </c>
      <c r="AU83" s="106">
        <v>30114</v>
      </c>
      <c r="AV83" s="106">
        <v>28</v>
      </c>
      <c r="AW83" s="106">
        <v>24091.200000000001</v>
      </c>
      <c r="AX83" s="106">
        <v>34</v>
      </c>
      <c r="AY83" s="106">
        <v>29253.599999999999</v>
      </c>
      <c r="AZ83" s="106">
        <v>3</v>
      </c>
      <c r="BA83" s="106">
        <v>2581.1999999999998</v>
      </c>
      <c r="BB83" s="106">
        <v>3</v>
      </c>
      <c r="BC83" s="106">
        <v>2581.1999999999998</v>
      </c>
      <c r="BD83" s="106">
        <v>2</v>
      </c>
      <c r="BE83" s="106">
        <v>1720.8</v>
      </c>
      <c r="BF83" s="106">
        <v>2</v>
      </c>
      <c r="BG83" s="106">
        <v>1720.8</v>
      </c>
      <c r="BH83" s="106">
        <v>3</v>
      </c>
      <c r="BI83" s="106">
        <v>2581.1999999999998</v>
      </c>
      <c r="BJ83" s="106">
        <v>2</v>
      </c>
      <c r="BK83" s="106">
        <v>1720.8</v>
      </c>
      <c r="BL83" s="106">
        <v>3</v>
      </c>
      <c r="BM83" s="106">
        <v>2581.1999999999998</v>
      </c>
      <c r="BN83" s="106">
        <v>3</v>
      </c>
      <c r="BO83" s="106">
        <v>2581.1999999999998</v>
      </c>
      <c r="BP83" s="106">
        <v>4</v>
      </c>
      <c r="BQ83" s="106">
        <v>3441.6</v>
      </c>
      <c r="BR83" s="106">
        <v>3</v>
      </c>
      <c r="BS83" s="106">
        <v>2581.1999999999998</v>
      </c>
      <c r="BT83" s="106">
        <v>3</v>
      </c>
      <c r="BU83" s="106">
        <v>2581.1999999999998</v>
      </c>
      <c r="BV83" s="106">
        <v>5</v>
      </c>
      <c r="BW83" s="106">
        <v>4302</v>
      </c>
      <c r="BX83" s="106">
        <v>27</v>
      </c>
      <c r="BY83" s="106">
        <v>23230.799999999999</v>
      </c>
      <c r="BZ83" s="106">
        <v>18</v>
      </c>
      <c r="CA83" s="106">
        <v>15487.199999999999</v>
      </c>
      <c r="CB83" s="106">
        <v>20</v>
      </c>
      <c r="CC83" s="106">
        <v>17208</v>
      </c>
      <c r="CD83" s="106">
        <v>16</v>
      </c>
      <c r="CE83" s="106">
        <v>13766.4</v>
      </c>
      <c r="CF83" s="106">
        <v>2</v>
      </c>
      <c r="CG83" s="106">
        <v>1720.8</v>
      </c>
      <c r="CH83" s="106">
        <v>3</v>
      </c>
      <c r="CI83" s="106">
        <v>2581.1999999999998</v>
      </c>
      <c r="CJ83" s="106">
        <v>2</v>
      </c>
      <c r="CK83" s="106">
        <v>1720.8</v>
      </c>
      <c r="CL83" s="106">
        <v>2</v>
      </c>
      <c r="CM83" s="106">
        <v>1720.8</v>
      </c>
      <c r="CN83" s="106">
        <v>4</v>
      </c>
      <c r="CO83" s="106">
        <v>3441.6</v>
      </c>
      <c r="CP83" s="106">
        <v>4</v>
      </c>
      <c r="CQ83" s="106">
        <v>3441.6</v>
      </c>
      <c r="CR83" s="106">
        <v>4</v>
      </c>
      <c r="CS83" s="106">
        <v>3441.6</v>
      </c>
      <c r="CT83" s="106">
        <v>5</v>
      </c>
      <c r="CU83" s="106">
        <v>4302</v>
      </c>
    </row>
    <row r="84" spans="2:99" x14ac:dyDescent="0.2">
      <c r="C84" s="105" t="s">
        <v>250</v>
      </c>
      <c r="D84" s="106">
        <v>24</v>
      </c>
      <c r="E84" s="106">
        <v>18748.8</v>
      </c>
      <c r="F84" s="106">
        <v>25</v>
      </c>
      <c r="G84" s="106">
        <v>19530</v>
      </c>
      <c r="H84" s="106">
        <v>17</v>
      </c>
      <c r="I84" s="106">
        <v>13280.4</v>
      </c>
      <c r="J84" s="106">
        <v>23</v>
      </c>
      <c r="K84" s="106">
        <v>17967.599999999999</v>
      </c>
      <c r="L84" s="106">
        <v>21</v>
      </c>
      <c r="M84" s="106">
        <v>16405.199999999997</v>
      </c>
      <c r="N84" s="106">
        <v>15</v>
      </c>
      <c r="O84" s="106">
        <v>11717.999999999998</v>
      </c>
      <c r="P84" s="106">
        <v>22</v>
      </c>
      <c r="Q84" s="106">
        <v>17186.399999999998</v>
      </c>
      <c r="R84" s="106">
        <v>25</v>
      </c>
      <c r="S84" s="106">
        <v>19530</v>
      </c>
      <c r="T84" s="106">
        <v>17</v>
      </c>
      <c r="U84" s="106">
        <v>13280.4</v>
      </c>
      <c r="V84" s="106">
        <v>10</v>
      </c>
      <c r="W84" s="106">
        <v>7811.9999999999991</v>
      </c>
      <c r="X84" s="106">
        <v>9</v>
      </c>
      <c r="Y84" s="106">
        <v>7030.7999999999993</v>
      </c>
      <c r="Z84" s="106">
        <v>16</v>
      </c>
      <c r="AA84" s="106">
        <v>12499.199999999999</v>
      </c>
      <c r="AB84" s="106">
        <v>11</v>
      </c>
      <c r="AC84" s="106">
        <v>8593.1999999999989</v>
      </c>
      <c r="AD84" s="106">
        <v>14</v>
      </c>
      <c r="AE84" s="106">
        <v>10936.8</v>
      </c>
      <c r="AF84" s="106">
        <v>10</v>
      </c>
      <c r="AG84" s="106">
        <v>7811.9999999999991</v>
      </c>
      <c r="AH84" s="106">
        <v>13</v>
      </c>
      <c r="AI84" s="106">
        <v>10155.599999999999</v>
      </c>
      <c r="AJ84" s="106">
        <v>20</v>
      </c>
      <c r="AK84" s="106">
        <v>15623.999999999998</v>
      </c>
      <c r="AL84" s="106">
        <v>22</v>
      </c>
      <c r="AM84" s="106">
        <v>17186.399999999998</v>
      </c>
      <c r="AN84" s="106">
        <v>25</v>
      </c>
      <c r="AO84" s="106">
        <v>19530</v>
      </c>
      <c r="AP84" s="106">
        <v>29</v>
      </c>
      <c r="AQ84" s="106">
        <v>22654.799999999999</v>
      </c>
      <c r="AR84" s="106">
        <v>26</v>
      </c>
      <c r="AS84" s="106">
        <v>20311.199999999997</v>
      </c>
      <c r="AT84" s="106">
        <v>33</v>
      </c>
      <c r="AU84" s="106">
        <v>25779.599999999999</v>
      </c>
      <c r="AV84" s="106">
        <v>26</v>
      </c>
      <c r="AW84" s="106">
        <v>20311.199999999997</v>
      </c>
      <c r="AX84" s="106">
        <v>39</v>
      </c>
      <c r="AY84" s="106">
        <v>30466.799999999996</v>
      </c>
      <c r="AZ84" s="106">
        <v>3</v>
      </c>
      <c r="BA84" s="106">
        <v>2343.6</v>
      </c>
      <c r="BB84" s="106">
        <v>3</v>
      </c>
      <c r="BC84" s="106">
        <v>2343.6</v>
      </c>
      <c r="BD84" s="106">
        <v>2</v>
      </c>
      <c r="BE84" s="106">
        <v>1562.3999999999999</v>
      </c>
      <c r="BF84" s="106">
        <v>3</v>
      </c>
      <c r="BG84" s="106">
        <v>2343.6</v>
      </c>
      <c r="BH84" s="106">
        <v>4</v>
      </c>
      <c r="BI84" s="106">
        <v>3124.7999999999997</v>
      </c>
      <c r="BJ84" s="106">
        <v>2</v>
      </c>
      <c r="BK84" s="106">
        <v>1562.3999999999999</v>
      </c>
      <c r="BL84" s="106">
        <v>3</v>
      </c>
      <c r="BM84" s="106">
        <v>2343.6</v>
      </c>
      <c r="BN84" s="106">
        <v>3</v>
      </c>
      <c r="BO84" s="106">
        <v>2343.6</v>
      </c>
      <c r="BP84" s="106">
        <v>4</v>
      </c>
      <c r="BQ84" s="106">
        <v>3124.7999999999997</v>
      </c>
      <c r="BR84" s="106">
        <v>3</v>
      </c>
      <c r="BS84" s="106">
        <v>2343.6</v>
      </c>
      <c r="BT84" s="106">
        <v>3</v>
      </c>
      <c r="BU84" s="106">
        <v>2343.6</v>
      </c>
      <c r="BV84" s="106">
        <v>4</v>
      </c>
      <c r="BW84" s="106">
        <v>3124.7999999999997</v>
      </c>
      <c r="BX84" s="106">
        <v>26</v>
      </c>
      <c r="BY84" s="106">
        <v>20311.199999999997</v>
      </c>
      <c r="BZ84" s="106">
        <v>17</v>
      </c>
      <c r="CA84" s="106">
        <v>13280.4</v>
      </c>
      <c r="CB84" s="106">
        <v>19</v>
      </c>
      <c r="CC84" s="106">
        <v>14842.8</v>
      </c>
      <c r="CD84" s="106">
        <v>15</v>
      </c>
      <c r="CE84" s="106">
        <v>11717.999999999998</v>
      </c>
      <c r="CF84" s="106">
        <v>2</v>
      </c>
      <c r="CG84" s="106">
        <v>1562.3999999999999</v>
      </c>
      <c r="CH84" s="106">
        <v>3</v>
      </c>
      <c r="CI84" s="106">
        <v>2343.6</v>
      </c>
      <c r="CJ84" s="106">
        <v>2</v>
      </c>
      <c r="CK84" s="106">
        <v>1562.3999999999999</v>
      </c>
      <c r="CL84" s="106">
        <v>2</v>
      </c>
      <c r="CM84" s="106">
        <v>1562.3999999999999</v>
      </c>
      <c r="CN84" s="106">
        <v>4</v>
      </c>
      <c r="CO84" s="106">
        <v>3124.7999999999997</v>
      </c>
      <c r="CP84" s="106">
        <v>5</v>
      </c>
      <c r="CQ84" s="106">
        <v>3905.9999999999995</v>
      </c>
      <c r="CR84" s="106">
        <v>4</v>
      </c>
      <c r="CS84" s="106">
        <v>3124.7999999999997</v>
      </c>
      <c r="CT84" s="106">
        <v>5</v>
      </c>
      <c r="CU84" s="106">
        <v>3905.9999999999995</v>
      </c>
    </row>
    <row r="85" spans="2:99" x14ac:dyDescent="0.2">
      <c r="C85" s="105" t="s">
        <v>251</v>
      </c>
      <c r="D85" s="106">
        <v>27</v>
      </c>
      <c r="E85" s="106">
        <v>4050</v>
      </c>
      <c r="F85" s="106">
        <v>30</v>
      </c>
      <c r="G85" s="106">
        <v>4500</v>
      </c>
      <c r="H85" s="106">
        <v>21</v>
      </c>
      <c r="I85" s="106">
        <v>3150</v>
      </c>
      <c r="J85" s="106">
        <v>26</v>
      </c>
      <c r="K85" s="106">
        <v>3900</v>
      </c>
      <c r="L85" s="106">
        <v>23</v>
      </c>
      <c r="M85" s="106">
        <v>3450</v>
      </c>
      <c r="N85" s="106">
        <v>17</v>
      </c>
      <c r="O85" s="106">
        <v>2550</v>
      </c>
      <c r="P85" s="106">
        <v>22</v>
      </c>
      <c r="Q85" s="106">
        <v>3300</v>
      </c>
      <c r="R85" s="106">
        <v>28</v>
      </c>
      <c r="S85" s="106">
        <v>4200</v>
      </c>
      <c r="T85" s="106">
        <v>17</v>
      </c>
      <c r="U85" s="106">
        <v>2550</v>
      </c>
      <c r="V85" s="106">
        <v>13</v>
      </c>
      <c r="W85" s="106">
        <v>1950</v>
      </c>
      <c r="X85" s="106">
        <v>9</v>
      </c>
      <c r="Y85" s="106">
        <v>1350</v>
      </c>
      <c r="Z85" s="106">
        <v>18</v>
      </c>
      <c r="AA85" s="106">
        <v>2700</v>
      </c>
      <c r="AB85" s="106">
        <v>12</v>
      </c>
      <c r="AC85" s="106">
        <v>1800</v>
      </c>
      <c r="AD85" s="106">
        <v>13</v>
      </c>
      <c r="AE85" s="106">
        <v>1950</v>
      </c>
      <c r="AF85" s="106">
        <v>12</v>
      </c>
      <c r="AG85" s="106">
        <v>1800</v>
      </c>
      <c r="AH85" s="106">
        <v>13</v>
      </c>
      <c r="AI85" s="106">
        <v>1950</v>
      </c>
      <c r="AJ85" s="106">
        <v>23</v>
      </c>
      <c r="AK85" s="106">
        <v>3450</v>
      </c>
      <c r="AL85" s="106">
        <v>24</v>
      </c>
      <c r="AM85" s="106">
        <v>3600</v>
      </c>
      <c r="AN85" s="106">
        <v>27</v>
      </c>
      <c r="AO85" s="106">
        <v>4050</v>
      </c>
      <c r="AP85" s="106">
        <v>31</v>
      </c>
      <c r="AQ85" s="106">
        <v>4650</v>
      </c>
      <c r="AR85" s="106">
        <v>32</v>
      </c>
      <c r="AS85" s="106">
        <v>4800</v>
      </c>
      <c r="AT85" s="106">
        <v>39</v>
      </c>
      <c r="AU85" s="106">
        <v>5850</v>
      </c>
      <c r="AV85" s="106">
        <v>29</v>
      </c>
      <c r="AW85" s="106">
        <v>4350</v>
      </c>
      <c r="AX85" s="106">
        <v>39</v>
      </c>
      <c r="AY85" s="106">
        <v>5850</v>
      </c>
      <c r="AZ85" s="106">
        <v>3</v>
      </c>
      <c r="BA85" s="106">
        <v>450</v>
      </c>
      <c r="BB85" s="106">
        <v>3</v>
      </c>
      <c r="BC85" s="106">
        <v>450</v>
      </c>
      <c r="BD85" s="106">
        <v>2</v>
      </c>
      <c r="BE85" s="106">
        <v>300</v>
      </c>
      <c r="BF85" s="106">
        <v>3</v>
      </c>
      <c r="BG85" s="106">
        <v>450</v>
      </c>
      <c r="BH85" s="106">
        <v>4</v>
      </c>
      <c r="BI85" s="106">
        <v>600</v>
      </c>
      <c r="BJ85" s="106">
        <v>3</v>
      </c>
      <c r="BK85" s="106">
        <v>450</v>
      </c>
      <c r="BL85" s="106">
        <v>4</v>
      </c>
      <c r="BM85" s="106">
        <v>600</v>
      </c>
      <c r="BN85" s="106">
        <v>3</v>
      </c>
      <c r="BO85" s="106">
        <v>450</v>
      </c>
      <c r="BP85" s="106">
        <v>5</v>
      </c>
      <c r="BQ85" s="106">
        <v>750</v>
      </c>
      <c r="BR85" s="106">
        <v>3</v>
      </c>
      <c r="BS85" s="106">
        <v>450</v>
      </c>
      <c r="BT85" s="106">
        <v>3</v>
      </c>
      <c r="BU85" s="106">
        <v>450</v>
      </c>
      <c r="BV85" s="106">
        <v>4</v>
      </c>
      <c r="BW85" s="106">
        <v>600</v>
      </c>
      <c r="BX85" s="106">
        <v>32</v>
      </c>
      <c r="BY85" s="106">
        <v>4800</v>
      </c>
      <c r="BZ85" s="106">
        <v>20</v>
      </c>
      <c r="CA85" s="106">
        <v>3000</v>
      </c>
      <c r="CB85" s="106">
        <v>23</v>
      </c>
      <c r="CC85" s="106">
        <v>3450</v>
      </c>
      <c r="CD85" s="106">
        <v>15</v>
      </c>
      <c r="CE85" s="106">
        <v>2250</v>
      </c>
      <c r="CF85" s="106">
        <v>2</v>
      </c>
      <c r="CG85" s="106">
        <v>300</v>
      </c>
      <c r="CH85" s="106">
        <v>3</v>
      </c>
      <c r="CI85" s="106">
        <v>450</v>
      </c>
      <c r="CJ85" s="106">
        <v>2</v>
      </c>
      <c r="CK85" s="106">
        <v>300</v>
      </c>
      <c r="CL85" s="106">
        <v>2</v>
      </c>
      <c r="CM85" s="106">
        <v>300</v>
      </c>
      <c r="CN85" s="106">
        <v>4</v>
      </c>
      <c r="CO85" s="106">
        <v>600</v>
      </c>
      <c r="CP85" s="106">
        <v>5</v>
      </c>
      <c r="CQ85" s="106">
        <v>750</v>
      </c>
      <c r="CR85" s="106">
        <v>4</v>
      </c>
      <c r="CS85" s="106">
        <v>600</v>
      </c>
      <c r="CT85" s="106">
        <v>5</v>
      </c>
      <c r="CU85" s="106">
        <v>750</v>
      </c>
    </row>
    <row r="86" spans="2:99" x14ac:dyDescent="0.2">
      <c r="C86" s="105" t="s">
        <v>252</v>
      </c>
      <c r="D86" s="106">
        <v>26</v>
      </c>
      <c r="E86" s="106">
        <v>14040</v>
      </c>
      <c r="F86" s="106">
        <v>25</v>
      </c>
      <c r="G86" s="106">
        <v>13500</v>
      </c>
      <c r="H86" s="106">
        <v>20</v>
      </c>
      <c r="I86" s="106">
        <v>10800</v>
      </c>
      <c r="J86" s="106">
        <v>23</v>
      </c>
      <c r="K86" s="106">
        <v>12420</v>
      </c>
      <c r="L86" s="106">
        <v>24</v>
      </c>
      <c r="M86" s="106">
        <v>12960</v>
      </c>
      <c r="N86" s="106">
        <v>17</v>
      </c>
      <c r="O86" s="106">
        <v>9180</v>
      </c>
      <c r="P86" s="106">
        <v>23</v>
      </c>
      <c r="Q86" s="106">
        <v>12420</v>
      </c>
      <c r="R86" s="106">
        <v>27</v>
      </c>
      <c r="S86" s="106">
        <v>14580</v>
      </c>
      <c r="T86" s="106">
        <v>16</v>
      </c>
      <c r="U86" s="106">
        <v>8640</v>
      </c>
      <c r="V86" s="106">
        <v>12</v>
      </c>
      <c r="W86" s="106">
        <v>6480</v>
      </c>
      <c r="X86" s="106">
        <v>9</v>
      </c>
      <c r="Y86" s="106">
        <v>4860</v>
      </c>
      <c r="Z86" s="106">
        <v>17</v>
      </c>
      <c r="AA86" s="106">
        <v>9180</v>
      </c>
      <c r="AB86" s="106">
        <v>11</v>
      </c>
      <c r="AC86" s="106">
        <v>5940</v>
      </c>
      <c r="AD86" s="106">
        <v>13</v>
      </c>
      <c r="AE86" s="106">
        <v>7020</v>
      </c>
      <c r="AF86" s="106">
        <v>11</v>
      </c>
      <c r="AG86" s="106">
        <v>5940</v>
      </c>
      <c r="AH86" s="106">
        <v>14</v>
      </c>
      <c r="AI86" s="106">
        <v>7560</v>
      </c>
      <c r="AJ86" s="106">
        <v>22</v>
      </c>
      <c r="AK86" s="106">
        <v>11880</v>
      </c>
      <c r="AL86" s="106">
        <v>23</v>
      </c>
      <c r="AM86" s="106">
        <v>12420</v>
      </c>
      <c r="AN86" s="106">
        <v>23</v>
      </c>
      <c r="AO86" s="106">
        <v>12420</v>
      </c>
      <c r="AP86" s="106">
        <v>26</v>
      </c>
      <c r="AQ86" s="106">
        <v>14040</v>
      </c>
      <c r="AR86" s="106">
        <v>27</v>
      </c>
      <c r="AS86" s="106">
        <v>14580</v>
      </c>
      <c r="AT86" s="106">
        <v>39</v>
      </c>
      <c r="AU86" s="106">
        <v>21060</v>
      </c>
      <c r="AV86" s="106">
        <v>27</v>
      </c>
      <c r="AW86" s="106">
        <v>14580</v>
      </c>
      <c r="AX86" s="106">
        <v>43</v>
      </c>
      <c r="AY86" s="106">
        <v>23220</v>
      </c>
      <c r="AZ86" s="106">
        <v>4</v>
      </c>
      <c r="BA86" s="106">
        <v>2160</v>
      </c>
      <c r="BB86" s="106">
        <v>3</v>
      </c>
      <c r="BC86" s="106">
        <v>1620</v>
      </c>
      <c r="BD86" s="106">
        <v>2</v>
      </c>
      <c r="BE86" s="106">
        <v>1080</v>
      </c>
      <c r="BF86" s="106">
        <v>3</v>
      </c>
      <c r="BG86" s="106">
        <v>1620</v>
      </c>
      <c r="BH86" s="106">
        <v>3</v>
      </c>
      <c r="BI86" s="106">
        <v>1620</v>
      </c>
      <c r="BJ86" s="106">
        <v>2</v>
      </c>
      <c r="BK86" s="106">
        <v>1080</v>
      </c>
      <c r="BL86" s="106">
        <v>4</v>
      </c>
      <c r="BM86" s="106">
        <v>2160</v>
      </c>
      <c r="BN86" s="106">
        <v>3</v>
      </c>
      <c r="BO86" s="106">
        <v>1620</v>
      </c>
      <c r="BP86" s="106">
        <v>4</v>
      </c>
      <c r="BQ86" s="106">
        <v>2160</v>
      </c>
      <c r="BR86" s="106">
        <v>3</v>
      </c>
      <c r="BS86" s="106">
        <v>1620</v>
      </c>
      <c r="BT86" s="106">
        <v>3</v>
      </c>
      <c r="BU86" s="106">
        <v>1620</v>
      </c>
      <c r="BV86" s="106">
        <v>4</v>
      </c>
      <c r="BW86" s="106">
        <v>2160</v>
      </c>
      <c r="BX86" s="106">
        <v>29</v>
      </c>
      <c r="BY86" s="106">
        <v>15660</v>
      </c>
      <c r="BZ86" s="106">
        <v>17</v>
      </c>
      <c r="CA86" s="106">
        <v>9180</v>
      </c>
      <c r="CB86" s="106">
        <v>22</v>
      </c>
      <c r="CC86" s="106">
        <v>11880</v>
      </c>
      <c r="CD86" s="106">
        <v>15</v>
      </c>
      <c r="CE86" s="106">
        <v>8100</v>
      </c>
      <c r="CF86" s="106">
        <v>2</v>
      </c>
      <c r="CG86" s="106">
        <v>1080</v>
      </c>
      <c r="CH86" s="106">
        <v>3</v>
      </c>
      <c r="CI86" s="106">
        <v>1620</v>
      </c>
      <c r="CJ86" s="106">
        <v>2</v>
      </c>
      <c r="CK86" s="106">
        <v>1080</v>
      </c>
      <c r="CL86" s="106">
        <v>2</v>
      </c>
      <c r="CM86" s="106">
        <v>1080</v>
      </c>
      <c r="CN86" s="106">
        <v>4</v>
      </c>
      <c r="CO86" s="106">
        <v>2160</v>
      </c>
      <c r="CP86" s="106">
        <v>5</v>
      </c>
      <c r="CQ86" s="106">
        <v>2700</v>
      </c>
      <c r="CR86" s="106">
        <v>4</v>
      </c>
      <c r="CS86" s="106">
        <v>2160</v>
      </c>
      <c r="CT86" s="106">
        <v>5</v>
      </c>
      <c r="CU86" s="106">
        <v>2700</v>
      </c>
    </row>
    <row r="87" spans="2:99" x14ac:dyDescent="0.2">
      <c r="B87" s="105" t="s">
        <v>131</v>
      </c>
      <c r="C87" s="105" t="s">
        <v>253</v>
      </c>
      <c r="D87" s="106">
        <v>4</v>
      </c>
      <c r="E87" s="106">
        <v>7819.2</v>
      </c>
      <c r="F87" s="106">
        <v>4</v>
      </c>
      <c r="G87" s="106">
        <v>7819.2</v>
      </c>
      <c r="H87" s="106">
        <v>5</v>
      </c>
      <c r="I87" s="106">
        <v>9774</v>
      </c>
      <c r="J87" s="106">
        <v>4</v>
      </c>
      <c r="K87" s="106">
        <v>7819.2</v>
      </c>
      <c r="L87" s="106">
        <v>7</v>
      </c>
      <c r="M87" s="106">
        <v>13683.6</v>
      </c>
      <c r="N87" s="106">
        <v>6</v>
      </c>
      <c r="O87" s="106">
        <v>11728.8</v>
      </c>
      <c r="P87" s="106">
        <v>6</v>
      </c>
      <c r="Q87" s="106">
        <v>11728.8</v>
      </c>
      <c r="R87" s="106">
        <v>4</v>
      </c>
      <c r="S87" s="106">
        <v>7819.2</v>
      </c>
      <c r="T87" s="106">
        <v>8</v>
      </c>
      <c r="U87" s="106">
        <v>15638.4</v>
      </c>
      <c r="V87" s="106">
        <v>7</v>
      </c>
      <c r="W87" s="106">
        <v>13683.6</v>
      </c>
      <c r="X87" s="106">
        <v>8</v>
      </c>
      <c r="Y87" s="106">
        <v>15638.4</v>
      </c>
      <c r="Z87" s="106">
        <v>8</v>
      </c>
      <c r="AA87" s="106">
        <v>15638.4</v>
      </c>
      <c r="AB87" s="106">
        <v>11</v>
      </c>
      <c r="AC87" s="106">
        <v>21502.799999999999</v>
      </c>
      <c r="AD87" s="106">
        <v>15</v>
      </c>
      <c r="AE87" s="106">
        <v>29322</v>
      </c>
      <c r="AF87" s="106">
        <v>10</v>
      </c>
      <c r="AG87" s="106">
        <v>19548</v>
      </c>
      <c r="AH87" s="106">
        <v>16</v>
      </c>
      <c r="AI87" s="106">
        <v>31276.799999999999</v>
      </c>
      <c r="AJ87" s="106">
        <v>11</v>
      </c>
      <c r="AK87" s="106">
        <v>21502.799999999999</v>
      </c>
      <c r="AL87" s="106">
        <v>13</v>
      </c>
      <c r="AM87" s="106">
        <v>25412.399999999998</v>
      </c>
      <c r="AN87" s="106">
        <v>12</v>
      </c>
      <c r="AO87" s="106">
        <v>23457.599999999999</v>
      </c>
      <c r="AP87" s="106">
        <v>7</v>
      </c>
      <c r="AQ87" s="106">
        <v>13683.6</v>
      </c>
      <c r="AR87" s="106">
        <v>15</v>
      </c>
      <c r="AS87" s="106">
        <v>29322</v>
      </c>
      <c r="AT87" s="106">
        <v>20</v>
      </c>
      <c r="AU87" s="106">
        <v>39096</v>
      </c>
      <c r="AV87" s="106">
        <v>17</v>
      </c>
      <c r="AW87" s="106">
        <v>33231.599999999999</v>
      </c>
      <c r="AX87" s="106">
        <v>16</v>
      </c>
      <c r="AY87" s="106">
        <v>31276.799999999999</v>
      </c>
      <c r="AZ87" s="106">
        <v>4</v>
      </c>
      <c r="BA87" s="106">
        <v>7819.2</v>
      </c>
      <c r="BB87" s="106">
        <v>3</v>
      </c>
      <c r="BC87" s="106">
        <v>5864.4</v>
      </c>
      <c r="BD87" s="106">
        <v>3</v>
      </c>
      <c r="BE87" s="106">
        <v>5864.4</v>
      </c>
      <c r="BF87" s="106">
        <v>5</v>
      </c>
      <c r="BG87" s="106">
        <v>9774</v>
      </c>
      <c r="BH87" s="106">
        <v>7</v>
      </c>
      <c r="BI87" s="106">
        <v>13683.6</v>
      </c>
      <c r="BJ87" s="106">
        <v>10</v>
      </c>
      <c r="BK87" s="106">
        <v>19548</v>
      </c>
      <c r="BL87" s="106">
        <v>9</v>
      </c>
      <c r="BM87" s="106">
        <v>17593.2</v>
      </c>
      <c r="BN87" s="106">
        <v>9</v>
      </c>
      <c r="BO87" s="106">
        <v>17593.2</v>
      </c>
      <c r="BP87" s="106">
        <v>15</v>
      </c>
      <c r="BQ87" s="106">
        <v>29322</v>
      </c>
      <c r="BR87" s="106">
        <v>12</v>
      </c>
      <c r="BS87" s="106">
        <v>23457.599999999999</v>
      </c>
      <c r="BT87" s="106">
        <v>23</v>
      </c>
      <c r="BU87" s="106">
        <v>44960.4</v>
      </c>
      <c r="BV87" s="106">
        <v>15</v>
      </c>
      <c r="BW87" s="106">
        <v>29322</v>
      </c>
      <c r="BX87" s="106">
        <v>8</v>
      </c>
      <c r="BY87" s="106">
        <v>15638.4</v>
      </c>
      <c r="BZ87" s="106">
        <v>10</v>
      </c>
      <c r="CA87" s="106">
        <v>19548</v>
      </c>
      <c r="CB87" s="106">
        <v>11</v>
      </c>
      <c r="CC87" s="106">
        <v>21502.799999999999</v>
      </c>
      <c r="CD87" s="106">
        <v>11</v>
      </c>
      <c r="CE87" s="106">
        <v>21502.799999999999</v>
      </c>
      <c r="CF87" s="106">
        <v>4</v>
      </c>
      <c r="CG87" s="106">
        <v>7819.2</v>
      </c>
      <c r="CH87" s="106">
        <v>5</v>
      </c>
      <c r="CI87" s="106">
        <v>9774</v>
      </c>
      <c r="CJ87" s="106">
        <v>3</v>
      </c>
      <c r="CK87" s="106">
        <v>5864.4</v>
      </c>
      <c r="CL87" s="106">
        <v>4</v>
      </c>
      <c r="CM87" s="106">
        <v>7819.2</v>
      </c>
      <c r="CN87" s="106">
        <v>3</v>
      </c>
      <c r="CO87" s="106">
        <v>5864.4</v>
      </c>
      <c r="CP87" s="106">
        <v>2</v>
      </c>
      <c r="CQ87" s="106">
        <v>3909.6</v>
      </c>
      <c r="CR87" s="106">
        <v>3</v>
      </c>
      <c r="CS87" s="106">
        <v>5864.4</v>
      </c>
      <c r="CT87" s="106">
        <v>4</v>
      </c>
      <c r="CU87" s="106">
        <v>7819.2</v>
      </c>
    </row>
    <row r="88" spans="2:99" x14ac:dyDescent="0.2">
      <c r="C88" s="105" t="s">
        <v>254</v>
      </c>
      <c r="D88" s="106">
        <v>3</v>
      </c>
      <c r="E88" s="106">
        <v>5677.2</v>
      </c>
      <c r="F88" s="106">
        <v>5</v>
      </c>
      <c r="G88" s="106">
        <v>9462</v>
      </c>
      <c r="H88" s="106">
        <v>5</v>
      </c>
      <c r="I88" s="106">
        <v>9462</v>
      </c>
      <c r="J88" s="106">
        <v>4</v>
      </c>
      <c r="K88" s="106">
        <v>7569.5999999999995</v>
      </c>
      <c r="L88" s="106">
        <v>8</v>
      </c>
      <c r="M88" s="106">
        <v>15139.199999999999</v>
      </c>
      <c r="N88" s="106">
        <v>6</v>
      </c>
      <c r="O88" s="106">
        <v>11354.4</v>
      </c>
      <c r="P88" s="106">
        <v>6</v>
      </c>
      <c r="Q88" s="106">
        <v>11354.4</v>
      </c>
      <c r="R88" s="106">
        <v>4</v>
      </c>
      <c r="S88" s="106">
        <v>7569.5999999999995</v>
      </c>
      <c r="T88" s="106">
        <v>8</v>
      </c>
      <c r="U88" s="106">
        <v>15139.199999999999</v>
      </c>
      <c r="V88" s="106">
        <v>7</v>
      </c>
      <c r="W88" s="106">
        <v>13246.8</v>
      </c>
      <c r="X88" s="106">
        <v>8</v>
      </c>
      <c r="Y88" s="106">
        <v>15139.199999999999</v>
      </c>
      <c r="Z88" s="106">
        <v>7</v>
      </c>
      <c r="AA88" s="106">
        <v>13246.8</v>
      </c>
      <c r="AB88" s="106">
        <v>12</v>
      </c>
      <c r="AC88" s="106">
        <v>22708.799999999999</v>
      </c>
      <c r="AD88" s="106">
        <v>14</v>
      </c>
      <c r="AE88" s="106">
        <v>26493.599999999999</v>
      </c>
      <c r="AF88" s="106">
        <v>10</v>
      </c>
      <c r="AG88" s="106">
        <v>18924</v>
      </c>
      <c r="AH88" s="106">
        <v>13</v>
      </c>
      <c r="AI88" s="106">
        <v>24601.199999999997</v>
      </c>
      <c r="AJ88" s="106">
        <v>13</v>
      </c>
      <c r="AK88" s="106">
        <v>24601.199999999997</v>
      </c>
      <c r="AL88" s="106">
        <v>12</v>
      </c>
      <c r="AM88" s="106">
        <v>22708.799999999999</v>
      </c>
      <c r="AN88" s="106">
        <v>13</v>
      </c>
      <c r="AO88" s="106">
        <v>24601.199999999997</v>
      </c>
      <c r="AP88" s="106">
        <v>7</v>
      </c>
      <c r="AQ88" s="106">
        <v>13246.8</v>
      </c>
      <c r="AR88" s="106">
        <v>17</v>
      </c>
      <c r="AS88" s="106">
        <v>32170.799999999999</v>
      </c>
      <c r="AT88" s="106">
        <v>22</v>
      </c>
      <c r="AU88" s="106">
        <v>41632.799999999996</v>
      </c>
      <c r="AV88" s="106">
        <v>18</v>
      </c>
      <c r="AW88" s="106">
        <v>34063.199999999997</v>
      </c>
      <c r="AX88" s="106">
        <v>16</v>
      </c>
      <c r="AY88" s="106">
        <v>30278.399999999998</v>
      </c>
      <c r="AZ88" s="106">
        <v>3</v>
      </c>
      <c r="BA88" s="106">
        <v>5677.2</v>
      </c>
      <c r="BB88" s="106">
        <v>4</v>
      </c>
      <c r="BC88" s="106">
        <v>7569.5999999999995</v>
      </c>
      <c r="BD88" s="106">
        <v>3</v>
      </c>
      <c r="BE88" s="106">
        <v>5677.2</v>
      </c>
      <c r="BF88" s="106">
        <v>5</v>
      </c>
      <c r="BG88" s="106">
        <v>9462</v>
      </c>
      <c r="BH88" s="106">
        <v>7</v>
      </c>
      <c r="BI88" s="106">
        <v>13246.8</v>
      </c>
      <c r="BJ88" s="106">
        <v>9</v>
      </c>
      <c r="BK88" s="106">
        <v>17031.599999999999</v>
      </c>
      <c r="BL88" s="106">
        <v>10</v>
      </c>
      <c r="BM88" s="106">
        <v>18924</v>
      </c>
      <c r="BN88" s="106">
        <v>9</v>
      </c>
      <c r="BO88" s="106">
        <v>17031.599999999999</v>
      </c>
      <c r="BP88" s="106">
        <v>15</v>
      </c>
      <c r="BQ88" s="106">
        <v>28385.999999999996</v>
      </c>
      <c r="BR88" s="106">
        <v>14</v>
      </c>
      <c r="BS88" s="106">
        <v>26493.599999999999</v>
      </c>
      <c r="BT88" s="106">
        <v>19</v>
      </c>
      <c r="BU88" s="106">
        <v>35955.599999999999</v>
      </c>
      <c r="BV88" s="106">
        <v>14</v>
      </c>
      <c r="BW88" s="106">
        <v>26493.599999999999</v>
      </c>
      <c r="BX88" s="106">
        <v>8</v>
      </c>
      <c r="BY88" s="106">
        <v>15139.199999999999</v>
      </c>
      <c r="BZ88" s="106">
        <v>9</v>
      </c>
      <c r="CA88" s="106">
        <v>17031.599999999999</v>
      </c>
      <c r="CB88" s="106">
        <v>12</v>
      </c>
      <c r="CC88" s="106">
        <v>22708.799999999999</v>
      </c>
      <c r="CD88" s="106">
        <v>10</v>
      </c>
      <c r="CE88" s="106">
        <v>18924</v>
      </c>
      <c r="CF88" s="106">
        <v>5</v>
      </c>
      <c r="CG88" s="106">
        <v>9462</v>
      </c>
      <c r="CH88" s="106">
        <v>5</v>
      </c>
      <c r="CI88" s="106">
        <v>9462</v>
      </c>
      <c r="CJ88" s="106">
        <v>4</v>
      </c>
      <c r="CK88" s="106">
        <v>7569.5999999999995</v>
      </c>
      <c r="CL88" s="106">
        <v>4</v>
      </c>
      <c r="CM88" s="106">
        <v>7569.5999999999995</v>
      </c>
      <c r="CN88" s="106">
        <v>3</v>
      </c>
      <c r="CO88" s="106">
        <v>5677.2</v>
      </c>
      <c r="CP88" s="106">
        <v>3</v>
      </c>
      <c r="CQ88" s="106">
        <v>5677.2</v>
      </c>
      <c r="CR88" s="106">
        <v>3</v>
      </c>
      <c r="CS88" s="106">
        <v>5677.2</v>
      </c>
      <c r="CT88" s="106">
        <v>4</v>
      </c>
      <c r="CU88" s="106">
        <v>7569.5999999999995</v>
      </c>
    </row>
    <row r="89" spans="2:99" x14ac:dyDescent="0.2">
      <c r="C89" s="105" t="s">
        <v>255</v>
      </c>
      <c r="D89" s="106">
        <v>4</v>
      </c>
      <c r="E89" s="106">
        <v>9590.4</v>
      </c>
      <c r="F89" s="106">
        <v>4</v>
      </c>
      <c r="G89" s="106">
        <v>9590.4</v>
      </c>
      <c r="H89" s="106">
        <v>4</v>
      </c>
      <c r="I89" s="106">
        <v>9590.4</v>
      </c>
      <c r="J89" s="106">
        <v>4</v>
      </c>
      <c r="K89" s="106">
        <v>9590.4</v>
      </c>
      <c r="L89" s="106">
        <v>7</v>
      </c>
      <c r="M89" s="106">
        <v>16783.2</v>
      </c>
      <c r="N89" s="106">
        <v>5</v>
      </c>
      <c r="O89" s="106">
        <v>11988</v>
      </c>
      <c r="P89" s="106">
        <v>6</v>
      </c>
      <c r="Q89" s="106">
        <v>14385.599999999999</v>
      </c>
      <c r="R89" s="106">
        <v>4</v>
      </c>
      <c r="S89" s="106">
        <v>9590.4</v>
      </c>
      <c r="T89" s="106">
        <v>7</v>
      </c>
      <c r="U89" s="106">
        <v>16783.2</v>
      </c>
      <c r="V89" s="106">
        <v>8</v>
      </c>
      <c r="W89" s="106">
        <v>19180.8</v>
      </c>
      <c r="X89" s="106">
        <v>8</v>
      </c>
      <c r="Y89" s="106">
        <v>19180.8</v>
      </c>
      <c r="Z89" s="106">
        <v>7</v>
      </c>
      <c r="AA89" s="106">
        <v>16783.2</v>
      </c>
      <c r="AB89" s="106">
        <v>12</v>
      </c>
      <c r="AC89" s="106">
        <v>28771.199999999997</v>
      </c>
      <c r="AD89" s="106">
        <v>15</v>
      </c>
      <c r="AE89" s="106">
        <v>35964</v>
      </c>
      <c r="AF89" s="106">
        <v>9</v>
      </c>
      <c r="AG89" s="106">
        <v>21578.399999999998</v>
      </c>
      <c r="AH89" s="106">
        <v>13</v>
      </c>
      <c r="AI89" s="106">
        <v>31168.799999999999</v>
      </c>
      <c r="AJ89" s="106">
        <v>12</v>
      </c>
      <c r="AK89" s="106">
        <v>28771.199999999997</v>
      </c>
      <c r="AL89" s="106">
        <v>12</v>
      </c>
      <c r="AM89" s="106">
        <v>28771.199999999997</v>
      </c>
      <c r="AN89" s="106">
        <v>12</v>
      </c>
      <c r="AO89" s="106">
        <v>28771.199999999997</v>
      </c>
      <c r="AP89" s="106">
        <v>7</v>
      </c>
      <c r="AQ89" s="106">
        <v>16783.2</v>
      </c>
      <c r="AR89" s="106">
        <v>16</v>
      </c>
      <c r="AS89" s="106">
        <v>38361.599999999999</v>
      </c>
      <c r="AT89" s="106">
        <v>22</v>
      </c>
      <c r="AU89" s="106">
        <v>52747.199999999997</v>
      </c>
      <c r="AV89" s="106">
        <v>15</v>
      </c>
      <c r="AW89" s="106">
        <v>35964</v>
      </c>
      <c r="AX89" s="106">
        <v>13</v>
      </c>
      <c r="AY89" s="106">
        <v>31168.799999999999</v>
      </c>
      <c r="AZ89" s="106">
        <v>4</v>
      </c>
      <c r="BA89" s="106">
        <v>9590.4</v>
      </c>
      <c r="BB89" s="106">
        <v>4</v>
      </c>
      <c r="BC89" s="106">
        <v>9590.4</v>
      </c>
      <c r="BD89" s="106">
        <v>2</v>
      </c>
      <c r="BE89" s="106">
        <v>4795.2</v>
      </c>
      <c r="BF89" s="106">
        <v>5</v>
      </c>
      <c r="BG89" s="106">
        <v>11988</v>
      </c>
      <c r="BH89" s="106">
        <v>6</v>
      </c>
      <c r="BI89" s="106">
        <v>14385.599999999999</v>
      </c>
      <c r="BJ89" s="106">
        <v>10</v>
      </c>
      <c r="BK89" s="106">
        <v>23976</v>
      </c>
      <c r="BL89" s="106">
        <v>11</v>
      </c>
      <c r="BM89" s="106">
        <v>26373.599999999999</v>
      </c>
      <c r="BN89" s="106">
        <v>9</v>
      </c>
      <c r="BO89" s="106">
        <v>21578.399999999998</v>
      </c>
      <c r="BP89" s="106">
        <v>14</v>
      </c>
      <c r="BQ89" s="106">
        <v>33566.400000000001</v>
      </c>
      <c r="BR89" s="106">
        <v>13</v>
      </c>
      <c r="BS89" s="106">
        <v>31168.799999999999</v>
      </c>
      <c r="BT89" s="106">
        <v>21</v>
      </c>
      <c r="BU89" s="106">
        <v>50349.599999999999</v>
      </c>
      <c r="BV89" s="106">
        <v>13</v>
      </c>
      <c r="BW89" s="106">
        <v>31168.799999999999</v>
      </c>
      <c r="BX89" s="106">
        <v>8</v>
      </c>
      <c r="BY89" s="106">
        <v>19180.8</v>
      </c>
      <c r="BZ89" s="106">
        <v>9</v>
      </c>
      <c r="CA89" s="106">
        <v>21578.399999999998</v>
      </c>
      <c r="CB89" s="106">
        <v>10</v>
      </c>
      <c r="CC89" s="106">
        <v>23976</v>
      </c>
      <c r="CD89" s="106">
        <v>9</v>
      </c>
      <c r="CE89" s="106">
        <v>21578.399999999998</v>
      </c>
      <c r="CF89" s="106">
        <v>4</v>
      </c>
      <c r="CG89" s="106">
        <v>9590.4</v>
      </c>
      <c r="CH89" s="106">
        <v>5</v>
      </c>
      <c r="CI89" s="106">
        <v>11988</v>
      </c>
      <c r="CJ89" s="106">
        <v>4</v>
      </c>
      <c r="CK89" s="106">
        <v>9590.4</v>
      </c>
      <c r="CL89" s="106">
        <v>3</v>
      </c>
      <c r="CM89" s="106">
        <v>7192.7999999999993</v>
      </c>
      <c r="CN89" s="106">
        <v>3</v>
      </c>
      <c r="CO89" s="106">
        <v>7192.7999999999993</v>
      </c>
      <c r="CP89" s="106">
        <v>3</v>
      </c>
      <c r="CQ89" s="106">
        <v>7192.7999999999993</v>
      </c>
      <c r="CR89" s="106">
        <v>3</v>
      </c>
      <c r="CS89" s="106">
        <v>7192.7999999999993</v>
      </c>
      <c r="CT89" s="106">
        <v>4</v>
      </c>
      <c r="CU89" s="106">
        <v>9590.4</v>
      </c>
    </row>
    <row r="90" spans="2:99" x14ac:dyDescent="0.2">
      <c r="C90" s="105" t="s">
        <v>256</v>
      </c>
      <c r="D90" s="106">
        <v>4</v>
      </c>
      <c r="E90" s="106">
        <v>8788.7999999999993</v>
      </c>
      <c r="F90" s="106">
        <v>5</v>
      </c>
      <c r="G90" s="106">
        <v>10986</v>
      </c>
      <c r="H90" s="106">
        <v>5</v>
      </c>
      <c r="I90" s="106">
        <v>10986</v>
      </c>
      <c r="J90" s="106">
        <v>4</v>
      </c>
      <c r="K90" s="106">
        <v>8788.7999999999993</v>
      </c>
      <c r="L90" s="106">
        <v>7</v>
      </c>
      <c r="M90" s="106">
        <v>15380.399999999998</v>
      </c>
      <c r="N90" s="106">
        <v>6</v>
      </c>
      <c r="O90" s="106">
        <v>13183.199999999999</v>
      </c>
      <c r="P90" s="106">
        <v>6</v>
      </c>
      <c r="Q90" s="106">
        <v>13183.199999999999</v>
      </c>
      <c r="R90" s="106">
        <v>5</v>
      </c>
      <c r="S90" s="106">
        <v>10986</v>
      </c>
      <c r="T90" s="106">
        <v>7</v>
      </c>
      <c r="U90" s="106">
        <v>15380.399999999998</v>
      </c>
      <c r="V90" s="106">
        <v>8</v>
      </c>
      <c r="W90" s="106">
        <v>17577.599999999999</v>
      </c>
      <c r="X90" s="106">
        <v>7</v>
      </c>
      <c r="Y90" s="106">
        <v>15380.399999999998</v>
      </c>
      <c r="Z90" s="106">
        <v>7</v>
      </c>
      <c r="AA90" s="106">
        <v>15380.399999999998</v>
      </c>
      <c r="AB90" s="106">
        <v>12</v>
      </c>
      <c r="AC90" s="106">
        <v>26366.399999999998</v>
      </c>
      <c r="AD90" s="106">
        <v>15</v>
      </c>
      <c r="AE90" s="106">
        <v>32958</v>
      </c>
      <c r="AF90" s="106">
        <v>10</v>
      </c>
      <c r="AG90" s="106">
        <v>21972</v>
      </c>
      <c r="AH90" s="106">
        <v>14</v>
      </c>
      <c r="AI90" s="106">
        <v>30760.799999999996</v>
      </c>
      <c r="AJ90" s="106">
        <v>12</v>
      </c>
      <c r="AK90" s="106">
        <v>26366.399999999998</v>
      </c>
      <c r="AL90" s="106">
        <v>13</v>
      </c>
      <c r="AM90" s="106">
        <v>28563.599999999999</v>
      </c>
      <c r="AN90" s="106">
        <v>11</v>
      </c>
      <c r="AO90" s="106">
        <v>24169.199999999997</v>
      </c>
      <c r="AP90" s="106">
        <v>7</v>
      </c>
      <c r="AQ90" s="106">
        <v>15380.399999999998</v>
      </c>
      <c r="AR90" s="106">
        <v>15</v>
      </c>
      <c r="AS90" s="106">
        <v>32958</v>
      </c>
      <c r="AT90" s="106">
        <v>20</v>
      </c>
      <c r="AU90" s="106">
        <v>43944</v>
      </c>
      <c r="AV90" s="106">
        <v>17</v>
      </c>
      <c r="AW90" s="106">
        <v>37352.399999999994</v>
      </c>
      <c r="AX90" s="106">
        <v>15</v>
      </c>
      <c r="AY90" s="106">
        <v>32958</v>
      </c>
      <c r="AZ90" s="106">
        <v>4</v>
      </c>
      <c r="BA90" s="106">
        <v>8788.7999999999993</v>
      </c>
      <c r="BB90" s="106">
        <v>3</v>
      </c>
      <c r="BC90" s="106">
        <v>6591.5999999999995</v>
      </c>
      <c r="BD90" s="106">
        <v>2</v>
      </c>
      <c r="BE90" s="106">
        <v>4394.3999999999996</v>
      </c>
      <c r="BF90" s="106">
        <v>5</v>
      </c>
      <c r="BG90" s="106">
        <v>10986</v>
      </c>
      <c r="BH90" s="106">
        <v>7</v>
      </c>
      <c r="BI90" s="106">
        <v>15380.399999999998</v>
      </c>
      <c r="BJ90" s="106">
        <v>10</v>
      </c>
      <c r="BK90" s="106">
        <v>21972</v>
      </c>
      <c r="BL90" s="106">
        <v>10</v>
      </c>
      <c r="BM90" s="106">
        <v>21972</v>
      </c>
      <c r="BN90" s="106">
        <v>8</v>
      </c>
      <c r="BO90" s="106">
        <v>17577.599999999999</v>
      </c>
      <c r="BP90" s="106">
        <v>14</v>
      </c>
      <c r="BQ90" s="106">
        <v>30760.799999999996</v>
      </c>
      <c r="BR90" s="106">
        <v>13</v>
      </c>
      <c r="BS90" s="106">
        <v>28563.599999999999</v>
      </c>
      <c r="BT90" s="106">
        <v>18</v>
      </c>
      <c r="BU90" s="106">
        <v>39549.599999999999</v>
      </c>
      <c r="BV90" s="106">
        <v>13</v>
      </c>
      <c r="BW90" s="106">
        <v>28563.599999999999</v>
      </c>
      <c r="BX90" s="106">
        <v>8</v>
      </c>
      <c r="BY90" s="106">
        <v>17577.599999999999</v>
      </c>
      <c r="BZ90" s="106">
        <v>9</v>
      </c>
      <c r="CA90" s="106">
        <v>19774.8</v>
      </c>
      <c r="CB90" s="106">
        <v>11</v>
      </c>
      <c r="CC90" s="106">
        <v>24169.199999999997</v>
      </c>
      <c r="CD90" s="106">
        <v>10</v>
      </c>
      <c r="CE90" s="106">
        <v>21972</v>
      </c>
      <c r="CF90" s="106">
        <v>5</v>
      </c>
      <c r="CG90" s="106">
        <v>10986</v>
      </c>
      <c r="CH90" s="106">
        <v>5</v>
      </c>
      <c r="CI90" s="106">
        <v>10986</v>
      </c>
      <c r="CJ90" s="106">
        <v>3</v>
      </c>
      <c r="CK90" s="106">
        <v>6591.5999999999995</v>
      </c>
      <c r="CL90" s="106">
        <v>4</v>
      </c>
      <c r="CM90" s="106">
        <v>8788.7999999999993</v>
      </c>
      <c r="CN90" s="106">
        <v>4</v>
      </c>
      <c r="CO90" s="106">
        <v>8788.7999999999993</v>
      </c>
      <c r="CP90" s="106">
        <v>3</v>
      </c>
      <c r="CQ90" s="106">
        <v>6591.5999999999995</v>
      </c>
      <c r="CR90" s="106">
        <v>3</v>
      </c>
      <c r="CS90" s="106">
        <v>6591.5999999999995</v>
      </c>
      <c r="CT90" s="106">
        <v>4</v>
      </c>
      <c r="CU90" s="106">
        <v>8788.7999999999993</v>
      </c>
    </row>
    <row r="91" spans="2:99" x14ac:dyDescent="0.2">
      <c r="C91" s="105" t="s">
        <v>257</v>
      </c>
      <c r="D91" s="106">
        <v>4</v>
      </c>
      <c r="E91" s="106">
        <v>9187.1999999999989</v>
      </c>
      <c r="F91" s="106">
        <v>4</v>
      </c>
      <c r="G91" s="106">
        <v>9187.1999999999989</v>
      </c>
      <c r="H91" s="106">
        <v>5</v>
      </c>
      <c r="I91" s="106">
        <v>11483.999999999998</v>
      </c>
      <c r="J91" s="106">
        <v>4</v>
      </c>
      <c r="K91" s="106">
        <v>9187.1999999999989</v>
      </c>
      <c r="L91" s="106">
        <v>7</v>
      </c>
      <c r="M91" s="106">
        <v>16077.599999999999</v>
      </c>
      <c r="N91" s="106">
        <v>5</v>
      </c>
      <c r="O91" s="106">
        <v>11483.999999999998</v>
      </c>
      <c r="P91" s="106">
        <v>6</v>
      </c>
      <c r="Q91" s="106">
        <v>13780.8</v>
      </c>
      <c r="R91" s="106">
        <v>5</v>
      </c>
      <c r="S91" s="106">
        <v>11483.999999999998</v>
      </c>
      <c r="T91" s="106">
        <v>7</v>
      </c>
      <c r="U91" s="106">
        <v>16077.599999999999</v>
      </c>
      <c r="V91" s="106">
        <v>8</v>
      </c>
      <c r="W91" s="106">
        <v>18374.399999999998</v>
      </c>
      <c r="X91" s="106">
        <v>7</v>
      </c>
      <c r="Y91" s="106">
        <v>16077.599999999999</v>
      </c>
      <c r="Z91" s="106">
        <v>7</v>
      </c>
      <c r="AA91" s="106">
        <v>16077.599999999999</v>
      </c>
      <c r="AB91" s="106">
        <v>10</v>
      </c>
      <c r="AC91" s="106">
        <v>22967.999999999996</v>
      </c>
      <c r="AD91" s="106">
        <v>14</v>
      </c>
      <c r="AE91" s="106">
        <v>32155.199999999997</v>
      </c>
      <c r="AF91" s="106">
        <v>10</v>
      </c>
      <c r="AG91" s="106">
        <v>22967.999999999996</v>
      </c>
      <c r="AH91" s="106">
        <v>13</v>
      </c>
      <c r="AI91" s="106">
        <v>29858.399999999998</v>
      </c>
      <c r="AJ91" s="106">
        <v>12</v>
      </c>
      <c r="AK91" s="106">
        <v>27561.599999999999</v>
      </c>
      <c r="AL91" s="106">
        <v>12</v>
      </c>
      <c r="AM91" s="106">
        <v>27561.599999999999</v>
      </c>
      <c r="AN91" s="106">
        <v>12</v>
      </c>
      <c r="AO91" s="106">
        <v>27561.599999999999</v>
      </c>
      <c r="AP91" s="106">
        <v>7</v>
      </c>
      <c r="AQ91" s="106">
        <v>16077.599999999999</v>
      </c>
      <c r="AR91" s="106">
        <v>15</v>
      </c>
      <c r="AS91" s="106">
        <v>34451.999999999993</v>
      </c>
      <c r="AT91" s="106">
        <v>19</v>
      </c>
      <c r="AU91" s="106">
        <v>43639.199999999997</v>
      </c>
      <c r="AV91" s="106">
        <v>15</v>
      </c>
      <c r="AW91" s="106">
        <v>34451.999999999993</v>
      </c>
      <c r="AX91" s="106">
        <v>16</v>
      </c>
      <c r="AY91" s="106">
        <v>36748.799999999996</v>
      </c>
      <c r="AZ91" s="106">
        <v>4</v>
      </c>
      <c r="BA91" s="106">
        <v>9187.1999999999989</v>
      </c>
      <c r="BB91" s="106">
        <v>3</v>
      </c>
      <c r="BC91" s="106">
        <v>6890.4</v>
      </c>
      <c r="BD91" s="106">
        <v>2</v>
      </c>
      <c r="BE91" s="106">
        <v>4593.5999999999995</v>
      </c>
      <c r="BF91" s="106">
        <v>4</v>
      </c>
      <c r="BG91" s="106">
        <v>9187.1999999999989</v>
      </c>
      <c r="BH91" s="106">
        <v>7</v>
      </c>
      <c r="BI91" s="106">
        <v>16077.599999999999</v>
      </c>
      <c r="BJ91" s="106">
        <v>9</v>
      </c>
      <c r="BK91" s="106">
        <v>20671.199999999997</v>
      </c>
      <c r="BL91" s="106">
        <v>11</v>
      </c>
      <c r="BM91" s="106">
        <v>25264.799999999996</v>
      </c>
      <c r="BN91" s="106">
        <v>8</v>
      </c>
      <c r="BO91" s="106">
        <v>18374.399999999998</v>
      </c>
      <c r="BP91" s="106">
        <v>14</v>
      </c>
      <c r="BQ91" s="106">
        <v>32155.199999999997</v>
      </c>
      <c r="BR91" s="106">
        <v>12</v>
      </c>
      <c r="BS91" s="106">
        <v>27561.599999999999</v>
      </c>
      <c r="BT91" s="106">
        <v>21</v>
      </c>
      <c r="BU91" s="106">
        <v>48232.799999999996</v>
      </c>
      <c r="BV91" s="106">
        <v>14</v>
      </c>
      <c r="BW91" s="106">
        <v>32155.199999999997</v>
      </c>
      <c r="BX91" s="106">
        <v>8</v>
      </c>
      <c r="BY91" s="106">
        <v>18374.399999999998</v>
      </c>
      <c r="BZ91" s="106">
        <v>9</v>
      </c>
      <c r="CA91" s="106">
        <v>20671.199999999997</v>
      </c>
      <c r="CB91" s="106">
        <v>10</v>
      </c>
      <c r="CC91" s="106">
        <v>22967.999999999996</v>
      </c>
      <c r="CD91" s="106">
        <v>9</v>
      </c>
      <c r="CE91" s="106">
        <v>20671.199999999997</v>
      </c>
      <c r="CF91" s="106">
        <v>4</v>
      </c>
      <c r="CG91" s="106">
        <v>9187.1999999999989</v>
      </c>
      <c r="CH91" s="106">
        <v>5</v>
      </c>
      <c r="CI91" s="106">
        <v>11483.999999999998</v>
      </c>
      <c r="CJ91" s="106">
        <v>3</v>
      </c>
      <c r="CK91" s="106">
        <v>6890.4</v>
      </c>
      <c r="CL91" s="106">
        <v>3</v>
      </c>
      <c r="CM91" s="106">
        <v>6890.4</v>
      </c>
      <c r="CN91" s="106">
        <v>3</v>
      </c>
      <c r="CO91" s="106">
        <v>6890.4</v>
      </c>
      <c r="CP91" s="106">
        <v>3</v>
      </c>
      <c r="CQ91" s="106">
        <v>6890.4</v>
      </c>
      <c r="CR91" s="106">
        <v>3</v>
      </c>
      <c r="CS91" s="106">
        <v>6890.4</v>
      </c>
      <c r="CT91" s="106">
        <v>4</v>
      </c>
      <c r="CU91" s="106">
        <v>9187.1999999999989</v>
      </c>
    </row>
    <row r="92" spans="2:99" x14ac:dyDescent="0.2">
      <c r="C92" s="105" t="s">
        <v>258</v>
      </c>
      <c r="D92" s="106">
        <v>4</v>
      </c>
      <c r="E92" s="106">
        <v>5683.2</v>
      </c>
      <c r="F92" s="106">
        <v>5</v>
      </c>
      <c r="G92" s="106">
        <v>7104</v>
      </c>
      <c r="H92" s="106">
        <v>5</v>
      </c>
      <c r="I92" s="106">
        <v>7104</v>
      </c>
      <c r="J92" s="106">
        <v>4</v>
      </c>
      <c r="K92" s="106">
        <v>5683.2</v>
      </c>
      <c r="L92" s="106">
        <v>7</v>
      </c>
      <c r="M92" s="106">
        <v>9945.6</v>
      </c>
      <c r="N92" s="106">
        <v>7</v>
      </c>
      <c r="O92" s="106">
        <v>9945.6</v>
      </c>
      <c r="P92" s="106">
        <v>6</v>
      </c>
      <c r="Q92" s="106">
        <v>8524.7999999999993</v>
      </c>
      <c r="R92" s="106">
        <v>5</v>
      </c>
      <c r="S92" s="106">
        <v>7104</v>
      </c>
      <c r="T92" s="106">
        <v>8</v>
      </c>
      <c r="U92" s="106">
        <v>11366.4</v>
      </c>
      <c r="V92" s="106">
        <v>8</v>
      </c>
      <c r="W92" s="106">
        <v>11366.4</v>
      </c>
      <c r="X92" s="106">
        <v>8</v>
      </c>
      <c r="Y92" s="106">
        <v>11366.4</v>
      </c>
      <c r="Z92" s="106">
        <v>8</v>
      </c>
      <c r="AA92" s="106">
        <v>11366.4</v>
      </c>
      <c r="AB92" s="106">
        <v>13</v>
      </c>
      <c r="AC92" s="106">
        <v>18470.399999999998</v>
      </c>
      <c r="AD92" s="106">
        <v>17</v>
      </c>
      <c r="AE92" s="106">
        <v>24153.599999999999</v>
      </c>
      <c r="AF92" s="106">
        <v>12</v>
      </c>
      <c r="AG92" s="106">
        <v>17049.599999999999</v>
      </c>
      <c r="AH92" s="106">
        <v>15</v>
      </c>
      <c r="AI92" s="106">
        <v>21312</v>
      </c>
      <c r="AJ92" s="106">
        <v>13</v>
      </c>
      <c r="AK92" s="106">
        <v>18470.399999999998</v>
      </c>
      <c r="AL92" s="106">
        <v>14</v>
      </c>
      <c r="AM92" s="106">
        <v>19891.2</v>
      </c>
      <c r="AN92" s="106">
        <v>13</v>
      </c>
      <c r="AO92" s="106">
        <v>18470.399999999998</v>
      </c>
      <c r="AP92" s="106">
        <v>8</v>
      </c>
      <c r="AQ92" s="106">
        <v>11366.4</v>
      </c>
      <c r="AR92" s="106">
        <v>17</v>
      </c>
      <c r="AS92" s="106">
        <v>24153.599999999999</v>
      </c>
      <c r="AT92" s="106">
        <v>25</v>
      </c>
      <c r="AU92" s="106">
        <v>35520</v>
      </c>
      <c r="AV92" s="106">
        <v>18</v>
      </c>
      <c r="AW92" s="106">
        <v>25574.399999999998</v>
      </c>
      <c r="AX92" s="106">
        <v>17</v>
      </c>
      <c r="AY92" s="106">
        <v>24153.599999999999</v>
      </c>
      <c r="AZ92" s="106">
        <v>4</v>
      </c>
      <c r="BA92" s="106">
        <v>5683.2</v>
      </c>
      <c r="BB92" s="106">
        <v>3</v>
      </c>
      <c r="BC92" s="106">
        <v>4262.3999999999996</v>
      </c>
      <c r="BD92" s="106">
        <v>3</v>
      </c>
      <c r="BE92" s="106">
        <v>4262.3999999999996</v>
      </c>
      <c r="BF92" s="106">
        <v>5</v>
      </c>
      <c r="BG92" s="106">
        <v>7104</v>
      </c>
      <c r="BH92" s="106">
        <v>7</v>
      </c>
      <c r="BI92" s="106">
        <v>9945.6</v>
      </c>
      <c r="BJ92" s="106">
        <v>11</v>
      </c>
      <c r="BK92" s="106">
        <v>15628.8</v>
      </c>
      <c r="BL92" s="106">
        <v>10</v>
      </c>
      <c r="BM92" s="106">
        <v>14208</v>
      </c>
      <c r="BN92" s="106">
        <v>8</v>
      </c>
      <c r="BO92" s="106">
        <v>11366.4</v>
      </c>
      <c r="BP92" s="106">
        <v>17</v>
      </c>
      <c r="BQ92" s="106">
        <v>24153.599999999999</v>
      </c>
      <c r="BR92" s="106">
        <v>14</v>
      </c>
      <c r="BS92" s="106">
        <v>19891.2</v>
      </c>
      <c r="BT92" s="106">
        <v>20</v>
      </c>
      <c r="BU92" s="106">
        <v>28416</v>
      </c>
      <c r="BV92" s="106">
        <v>14</v>
      </c>
      <c r="BW92" s="106">
        <v>19891.2</v>
      </c>
      <c r="BX92" s="106">
        <v>9</v>
      </c>
      <c r="BY92" s="106">
        <v>12787.199999999999</v>
      </c>
      <c r="BZ92" s="106">
        <v>11</v>
      </c>
      <c r="CA92" s="106">
        <v>15628.8</v>
      </c>
      <c r="CB92" s="106">
        <v>11</v>
      </c>
      <c r="CC92" s="106">
        <v>15628.8</v>
      </c>
      <c r="CD92" s="106">
        <v>10</v>
      </c>
      <c r="CE92" s="106">
        <v>14208</v>
      </c>
      <c r="CF92" s="106">
        <v>5</v>
      </c>
      <c r="CG92" s="106">
        <v>7104</v>
      </c>
      <c r="CH92" s="106">
        <v>6</v>
      </c>
      <c r="CI92" s="106">
        <v>8524.7999999999993</v>
      </c>
      <c r="CJ92" s="106">
        <v>4</v>
      </c>
      <c r="CK92" s="106">
        <v>5683.2</v>
      </c>
      <c r="CL92" s="106">
        <v>4</v>
      </c>
      <c r="CM92" s="106">
        <v>5683.2</v>
      </c>
      <c r="CN92" s="106">
        <v>4</v>
      </c>
      <c r="CO92" s="106">
        <v>5683.2</v>
      </c>
      <c r="CP92" s="106">
        <v>2</v>
      </c>
      <c r="CQ92" s="106">
        <v>2841.6</v>
      </c>
      <c r="CR92" s="106">
        <v>3</v>
      </c>
      <c r="CS92" s="106">
        <v>4262.3999999999996</v>
      </c>
      <c r="CT92" s="106">
        <v>4</v>
      </c>
      <c r="CU92" s="106">
        <v>5683.2</v>
      </c>
    </row>
    <row r="93" spans="2:99" x14ac:dyDescent="0.2">
      <c r="C93" s="105" t="s">
        <v>259</v>
      </c>
      <c r="D93" s="106">
        <v>4</v>
      </c>
      <c r="E93" s="106">
        <v>7089.5999999999995</v>
      </c>
      <c r="F93" s="106">
        <v>4</v>
      </c>
      <c r="G93" s="106">
        <v>7089.5999999999995</v>
      </c>
      <c r="H93" s="106">
        <v>5</v>
      </c>
      <c r="I93" s="106">
        <v>8862</v>
      </c>
      <c r="J93" s="106">
        <v>5</v>
      </c>
      <c r="K93" s="106">
        <v>8862</v>
      </c>
      <c r="L93" s="106">
        <v>7</v>
      </c>
      <c r="M93" s="106">
        <v>12406.8</v>
      </c>
      <c r="N93" s="106">
        <v>6</v>
      </c>
      <c r="O93" s="106">
        <v>10634.4</v>
      </c>
      <c r="P93" s="106">
        <v>7</v>
      </c>
      <c r="Q93" s="106">
        <v>12406.8</v>
      </c>
      <c r="R93" s="106">
        <v>5</v>
      </c>
      <c r="S93" s="106">
        <v>8862</v>
      </c>
      <c r="T93" s="106">
        <v>7</v>
      </c>
      <c r="U93" s="106">
        <v>12406.8</v>
      </c>
      <c r="V93" s="106">
        <v>8</v>
      </c>
      <c r="W93" s="106">
        <v>14179.199999999999</v>
      </c>
      <c r="X93" s="106">
        <v>8</v>
      </c>
      <c r="Y93" s="106">
        <v>14179.199999999999</v>
      </c>
      <c r="Z93" s="106">
        <v>7</v>
      </c>
      <c r="AA93" s="106">
        <v>12406.8</v>
      </c>
      <c r="AB93" s="106">
        <v>11</v>
      </c>
      <c r="AC93" s="106">
        <v>19496.399999999998</v>
      </c>
      <c r="AD93" s="106">
        <v>16</v>
      </c>
      <c r="AE93" s="106">
        <v>28358.399999999998</v>
      </c>
      <c r="AF93" s="106">
        <v>11</v>
      </c>
      <c r="AG93" s="106">
        <v>19496.399999999998</v>
      </c>
      <c r="AH93" s="106">
        <v>15</v>
      </c>
      <c r="AI93" s="106">
        <v>26585.999999999996</v>
      </c>
      <c r="AJ93" s="106">
        <v>13</v>
      </c>
      <c r="AK93" s="106">
        <v>23041.199999999997</v>
      </c>
      <c r="AL93" s="106">
        <v>14</v>
      </c>
      <c r="AM93" s="106">
        <v>24813.599999999999</v>
      </c>
      <c r="AN93" s="106">
        <v>13</v>
      </c>
      <c r="AO93" s="106">
        <v>23041.199999999997</v>
      </c>
      <c r="AP93" s="106">
        <v>8</v>
      </c>
      <c r="AQ93" s="106">
        <v>14179.199999999999</v>
      </c>
      <c r="AR93" s="106">
        <v>17</v>
      </c>
      <c r="AS93" s="106">
        <v>30130.799999999999</v>
      </c>
      <c r="AT93" s="106">
        <v>24</v>
      </c>
      <c r="AU93" s="106">
        <v>42537.599999999999</v>
      </c>
      <c r="AV93" s="106">
        <v>19</v>
      </c>
      <c r="AW93" s="106">
        <v>33675.599999999999</v>
      </c>
      <c r="AX93" s="106">
        <v>14</v>
      </c>
      <c r="AY93" s="106">
        <v>24813.599999999999</v>
      </c>
      <c r="AZ93" s="106">
        <v>4</v>
      </c>
      <c r="BA93" s="106">
        <v>7089.5999999999995</v>
      </c>
      <c r="BB93" s="106">
        <v>4</v>
      </c>
      <c r="BC93" s="106">
        <v>7089.5999999999995</v>
      </c>
      <c r="BD93" s="106">
        <v>3</v>
      </c>
      <c r="BE93" s="106">
        <v>5317.2</v>
      </c>
      <c r="BF93" s="106">
        <v>5</v>
      </c>
      <c r="BG93" s="106">
        <v>8862</v>
      </c>
      <c r="BH93" s="106">
        <v>6</v>
      </c>
      <c r="BI93" s="106">
        <v>10634.4</v>
      </c>
      <c r="BJ93" s="106">
        <v>10</v>
      </c>
      <c r="BK93" s="106">
        <v>17724</v>
      </c>
      <c r="BL93" s="106">
        <v>10</v>
      </c>
      <c r="BM93" s="106">
        <v>17724</v>
      </c>
      <c r="BN93" s="106">
        <v>9</v>
      </c>
      <c r="BO93" s="106">
        <v>15951.599999999999</v>
      </c>
      <c r="BP93" s="106">
        <v>17</v>
      </c>
      <c r="BQ93" s="106">
        <v>30130.799999999999</v>
      </c>
      <c r="BR93" s="106">
        <v>13</v>
      </c>
      <c r="BS93" s="106">
        <v>23041.199999999997</v>
      </c>
      <c r="BT93" s="106">
        <v>21</v>
      </c>
      <c r="BU93" s="106">
        <v>37220.399999999994</v>
      </c>
      <c r="BV93" s="106">
        <v>14</v>
      </c>
      <c r="BW93" s="106">
        <v>24813.599999999999</v>
      </c>
      <c r="BX93" s="106">
        <v>8</v>
      </c>
      <c r="BY93" s="106">
        <v>14179.199999999999</v>
      </c>
      <c r="BZ93" s="106">
        <v>10</v>
      </c>
      <c r="CA93" s="106">
        <v>17724</v>
      </c>
      <c r="CB93" s="106">
        <v>10</v>
      </c>
      <c r="CC93" s="106">
        <v>17724</v>
      </c>
      <c r="CD93" s="106">
        <v>10</v>
      </c>
      <c r="CE93" s="106">
        <v>17724</v>
      </c>
      <c r="CF93" s="106">
        <v>4</v>
      </c>
      <c r="CG93" s="106">
        <v>7089.5999999999995</v>
      </c>
      <c r="CH93" s="106">
        <v>5</v>
      </c>
      <c r="CI93" s="106">
        <v>8862</v>
      </c>
      <c r="CJ93" s="106">
        <v>4</v>
      </c>
      <c r="CK93" s="106">
        <v>7089.5999999999995</v>
      </c>
      <c r="CL93" s="106">
        <v>3</v>
      </c>
      <c r="CM93" s="106">
        <v>5317.2</v>
      </c>
      <c r="CN93" s="106">
        <v>4</v>
      </c>
      <c r="CO93" s="106">
        <v>7089.5999999999995</v>
      </c>
      <c r="CP93" s="106">
        <v>3</v>
      </c>
      <c r="CQ93" s="106">
        <v>5317.2</v>
      </c>
      <c r="CR93" s="106">
        <v>3</v>
      </c>
      <c r="CS93" s="106">
        <v>5317.2</v>
      </c>
      <c r="CT93" s="106">
        <v>4</v>
      </c>
      <c r="CU93" s="106">
        <v>7089.5999999999995</v>
      </c>
    </row>
    <row r="94" spans="2:99" x14ac:dyDescent="0.2">
      <c r="C94" s="105" t="s">
        <v>260</v>
      </c>
      <c r="D94" s="106">
        <v>4</v>
      </c>
      <c r="E94" s="106">
        <v>9580.7999999999993</v>
      </c>
      <c r="F94" s="106">
        <v>4</v>
      </c>
      <c r="G94" s="106">
        <v>9580.7999999999993</v>
      </c>
      <c r="H94" s="106">
        <v>5</v>
      </c>
      <c r="I94" s="106">
        <v>11976</v>
      </c>
      <c r="J94" s="106">
        <v>4</v>
      </c>
      <c r="K94" s="106">
        <v>9580.7999999999993</v>
      </c>
      <c r="L94" s="106">
        <v>7</v>
      </c>
      <c r="M94" s="106">
        <v>16766.399999999998</v>
      </c>
      <c r="N94" s="106">
        <v>5</v>
      </c>
      <c r="O94" s="106">
        <v>11976</v>
      </c>
      <c r="P94" s="106">
        <v>5</v>
      </c>
      <c r="Q94" s="106">
        <v>11976</v>
      </c>
      <c r="R94" s="106">
        <v>4</v>
      </c>
      <c r="S94" s="106">
        <v>9580.7999999999993</v>
      </c>
      <c r="T94" s="106">
        <v>7</v>
      </c>
      <c r="U94" s="106">
        <v>16766.399999999998</v>
      </c>
      <c r="V94" s="106">
        <v>7</v>
      </c>
      <c r="W94" s="106">
        <v>16766.399999999998</v>
      </c>
      <c r="X94" s="106">
        <v>8</v>
      </c>
      <c r="Y94" s="106">
        <v>19161.599999999999</v>
      </c>
      <c r="Z94" s="106">
        <v>6</v>
      </c>
      <c r="AA94" s="106">
        <v>14371.199999999999</v>
      </c>
      <c r="AB94" s="106">
        <v>11</v>
      </c>
      <c r="AC94" s="106">
        <v>26347.199999999997</v>
      </c>
      <c r="AD94" s="106">
        <v>14</v>
      </c>
      <c r="AE94" s="106">
        <v>33532.799999999996</v>
      </c>
      <c r="AF94" s="106">
        <v>10</v>
      </c>
      <c r="AG94" s="106">
        <v>23952</v>
      </c>
      <c r="AH94" s="106">
        <v>14</v>
      </c>
      <c r="AI94" s="106">
        <v>33532.799999999996</v>
      </c>
      <c r="AJ94" s="106">
        <v>13</v>
      </c>
      <c r="AK94" s="106">
        <v>31137.599999999999</v>
      </c>
      <c r="AL94" s="106">
        <v>13</v>
      </c>
      <c r="AM94" s="106">
        <v>31137.599999999999</v>
      </c>
      <c r="AN94" s="106">
        <v>12</v>
      </c>
      <c r="AO94" s="106">
        <v>28742.399999999998</v>
      </c>
      <c r="AP94" s="106">
        <v>7</v>
      </c>
      <c r="AQ94" s="106">
        <v>16766.399999999998</v>
      </c>
      <c r="AR94" s="106">
        <v>16</v>
      </c>
      <c r="AS94" s="106">
        <v>38323.199999999997</v>
      </c>
      <c r="AT94" s="106">
        <v>22</v>
      </c>
      <c r="AU94" s="106">
        <v>52694.399999999994</v>
      </c>
      <c r="AV94" s="106">
        <v>16</v>
      </c>
      <c r="AW94" s="106">
        <v>38323.199999999997</v>
      </c>
      <c r="AX94" s="106">
        <v>13</v>
      </c>
      <c r="AY94" s="106">
        <v>31137.599999999999</v>
      </c>
      <c r="AZ94" s="106">
        <v>4</v>
      </c>
      <c r="BA94" s="106">
        <v>9580.7999999999993</v>
      </c>
      <c r="BB94" s="106">
        <v>4</v>
      </c>
      <c r="BC94" s="106">
        <v>9580.7999999999993</v>
      </c>
      <c r="BD94" s="106">
        <v>3</v>
      </c>
      <c r="BE94" s="106">
        <v>7185.5999999999995</v>
      </c>
      <c r="BF94" s="106">
        <v>5</v>
      </c>
      <c r="BG94" s="106">
        <v>11976</v>
      </c>
      <c r="BH94" s="106">
        <v>7</v>
      </c>
      <c r="BI94" s="106">
        <v>16766.399999999998</v>
      </c>
      <c r="BJ94" s="106">
        <v>10</v>
      </c>
      <c r="BK94" s="106">
        <v>23952</v>
      </c>
      <c r="BL94" s="106">
        <v>9</v>
      </c>
      <c r="BM94" s="106">
        <v>21556.799999999999</v>
      </c>
      <c r="BN94" s="106">
        <v>8</v>
      </c>
      <c r="BO94" s="106">
        <v>19161.599999999999</v>
      </c>
      <c r="BP94" s="106">
        <v>16</v>
      </c>
      <c r="BQ94" s="106">
        <v>38323.199999999997</v>
      </c>
      <c r="BR94" s="106">
        <v>11</v>
      </c>
      <c r="BS94" s="106">
        <v>26347.199999999997</v>
      </c>
      <c r="BT94" s="106">
        <v>19</v>
      </c>
      <c r="BU94" s="106">
        <v>45508.799999999996</v>
      </c>
      <c r="BV94" s="106">
        <v>14</v>
      </c>
      <c r="BW94" s="106">
        <v>33532.799999999996</v>
      </c>
      <c r="BX94" s="106">
        <v>7</v>
      </c>
      <c r="BY94" s="106">
        <v>16766.399999999998</v>
      </c>
      <c r="BZ94" s="106">
        <v>8</v>
      </c>
      <c r="CA94" s="106">
        <v>19161.599999999999</v>
      </c>
      <c r="CB94" s="106">
        <v>10</v>
      </c>
      <c r="CC94" s="106">
        <v>23952</v>
      </c>
      <c r="CD94" s="106">
        <v>10</v>
      </c>
      <c r="CE94" s="106">
        <v>23952</v>
      </c>
      <c r="CF94" s="106">
        <v>4</v>
      </c>
      <c r="CG94" s="106">
        <v>9580.7999999999993</v>
      </c>
      <c r="CH94" s="106">
        <v>4</v>
      </c>
      <c r="CI94" s="106">
        <v>9580.7999999999993</v>
      </c>
      <c r="CJ94" s="106">
        <v>3</v>
      </c>
      <c r="CK94" s="106">
        <v>7185.5999999999995</v>
      </c>
      <c r="CL94" s="106">
        <v>4</v>
      </c>
      <c r="CM94" s="106">
        <v>9580.7999999999993</v>
      </c>
      <c r="CN94" s="106">
        <v>4</v>
      </c>
      <c r="CO94" s="106">
        <v>9580.7999999999993</v>
      </c>
      <c r="CP94" s="106">
        <v>2</v>
      </c>
      <c r="CQ94" s="106">
        <v>4790.3999999999996</v>
      </c>
      <c r="CR94" s="106">
        <v>3</v>
      </c>
      <c r="CS94" s="106">
        <v>7185.5999999999995</v>
      </c>
      <c r="CT94" s="106">
        <v>4</v>
      </c>
      <c r="CU94" s="106">
        <v>9580.7999999999993</v>
      </c>
    </row>
    <row r="95" spans="2:99" x14ac:dyDescent="0.2">
      <c r="B95" s="105" t="s">
        <v>132</v>
      </c>
      <c r="C95" s="105" t="s">
        <v>261</v>
      </c>
      <c r="D95" s="106">
        <v>12</v>
      </c>
      <c r="E95" s="106">
        <v>20793.599999999999</v>
      </c>
      <c r="F95" s="106">
        <v>12</v>
      </c>
      <c r="G95" s="106">
        <v>20793.599999999999</v>
      </c>
      <c r="H95" s="106">
        <v>11</v>
      </c>
      <c r="I95" s="106">
        <v>19060.8</v>
      </c>
      <c r="J95" s="106">
        <v>11</v>
      </c>
      <c r="K95" s="106">
        <v>19060.8</v>
      </c>
      <c r="L95" s="106">
        <v>30</v>
      </c>
      <c r="M95" s="106">
        <v>51984</v>
      </c>
      <c r="N95" s="106">
        <v>28</v>
      </c>
      <c r="O95" s="106">
        <v>48518.400000000001</v>
      </c>
      <c r="P95" s="106">
        <v>28</v>
      </c>
      <c r="Q95" s="106">
        <v>48518.400000000001</v>
      </c>
      <c r="R95" s="106">
        <v>30</v>
      </c>
      <c r="S95" s="106">
        <v>51984</v>
      </c>
      <c r="T95" s="106">
        <v>16</v>
      </c>
      <c r="U95" s="106">
        <v>27724.799999999999</v>
      </c>
      <c r="V95" s="106">
        <v>16</v>
      </c>
      <c r="W95" s="106">
        <v>27724.799999999999</v>
      </c>
      <c r="X95" s="106">
        <v>9</v>
      </c>
      <c r="Y95" s="106">
        <v>15595.199999999999</v>
      </c>
      <c r="Z95" s="106">
        <v>14</v>
      </c>
      <c r="AA95" s="106">
        <v>24259.200000000001</v>
      </c>
      <c r="AB95" s="106">
        <v>7</v>
      </c>
      <c r="AC95" s="106">
        <v>12129.6</v>
      </c>
      <c r="AD95" s="106">
        <v>4</v>
      </c>
      <c r="AE95" s="106">
        <v>6931.2</v>
      </c>
      <c r="AF95" s="106">
        <v>6</v>
      </c>
      <c r="AG95" s="106">
        <v>10396.799999999999</v>
      </c>
      <c r="AH95" s="106">
        <v>5</v>
      </c>
      <c r="AI95" s="106">
        <v>8664</v>
      </c>
      <c r="AJ95" s="106">
        <v>10</v>
      </c>
      <c r="AK95" s="106">
        <v>17328</v>
      </c>
      <c r="AL95" s="106">
        <v>8</v>
      </c>
      <c r="AM95" s="106">
        <v>13862.4</v>
      </c>
      <c r="AN95" s="106">
        <v>5</v>
      </c>
      <c r="AO95" s="106">
        <v>8664</v>
      </c>
      <c r="AP95" s="106">
        <v>7</v>
      </c>
      <c r="AQ95" s="106">
        <v>12129.6</v>
      </c>
      <c r="AR95" s="106">
        <v>4</v>
      </c>
      <c r="AS95" s="106">
        <v>6931.2</v>
      </c>
      <c r="AT95" s="106">
        <v>3</v>
      </c>
      <c r="AU95" s="106">
        <v>5198.3999999999996</v>
      </c>
      <c r="AV95" s="106">
        <v>3</v>
      </c>
      <c r="AW95" s="106">
        <v>5198.3999999999996</v>
      </c>
      <c r="AX95" s="106">
        <v>4</v>
      </c>
      <c r="AY95" s="106">
        <v>6931.2</v>
      </c>
      <c r="AZ95" s="106">
        <v>10</v>
      </c>
      <c r="BA95" s="106">
        <v>17328</v>
      </c>
      <c r="BB95" s="106">
        <v>7</v>
      </c>
      <c r="BC95" s="106">
        <v>12129.6</v>
      </c>
      <c r="BD95" s="106">
        <v>7</v>
      </c>
      <c r="BE95" s="106">
        <v>12129.6</v>
      </c>
      <c r="BF95" s="106">
        <v>7</v>
      </c>
      <c r="BG95" s="106">
        <v>12129.6</v>
      </c>
      <c r="BH95" s="106">
        <v>9</v>
      </c>
      <c r="BI95" s="106">
        <v>15595.199999999999</v>
      </c>
      <c r="BJ95" s="106">
        <v>8</v>
      </c>
      <c r="BK95" s="106">
        <v>13862.4</v>
      </c>
      <c r="BL95" s="106">
        <v>7</v>
      </c>
      <c r="BM95" s="106">
        <v>12129.6</v>
      </c>
      <c r="BN95" s="106">
        <v>7</v>
      </c>
      <c r="BO95" s="106">
        <v>12129.6</v>
      </c>
      <c r="BP95" s="106">
        <v>4</v>
      </c>
      <c r="BQ95" s="106">
        <v>6931.2</v>
      </c>
      <c r="BR95" s="106">
        <v>4</v>
      </c>
      <c r="BS95" s="106">
        <v>6931.2</v>
      </c>
      <c r="BT95" s="106">
        <v>4</v>
      </c>
      <c r="BU95" s="106">
        <v>6931.2</v>
      </c>
      <c r="BV95" s="106">
        <v>4</v>
      </c>
      <c r="BW95" s="106">
        <v>6931.2</v>
      </c>
      <c r="BX95" s="106">
        <v>7</v>
      </c>
      <c r="BY95" s="106">
        <v>12129.6</v>
      </c>
      <c r="BZ95" s="106">
        <v>8</v>
      </c>
      <c r="CA95" s="106">
        <v>13862.4</v>
      </c>
      <c r="CB95" s="106">
        <v>8</v>
      </c>
      <c r="CC95" s="106">
        <v>13862.4</v>
      </c>
      <c r="CD95" s="106">
        <v>9</v>
      </c>
      <c r="CE95" s="106">
        <v>15595.199999999999</v>
      </c>
      <c r="CF95" s="106">
        <v>5</v>
      </c>
      <c r="CG95" s="106">
        <v>8664</v>
      </c>
      <c r="CH95" s="106">
        <v>3</v>
      </c>
      <c r="CI95" s="106">
        <v>5198.3999999999996</v>
      </c>
      <c r="CJ95" s="106">
        <v>6</v>
      </c>
      <c r="CK95" s="106">
        <v>10396.799999999999</v>
      </c>
      <c r="CL95" s="106">
        <v>6</v>
      </c>
      <c r="CM95" s="106">
        <v>10396.799999999999</v>
      </c>
      <c r="CN95" s="106">
        <v>9</v>
      </c>
      <c r="CO95" s="106">
        <v>15595.199999999999</v>
      </c>
      <c r="CP95" s="106">
        <v>11</v>
      </c>
      <c r="CQ95" s="106">
        <v>19060.8</v>
      </c>
      <c r="CR95" s="106">
        <v>8</v>
      </c>
      <c r="CS95" s="106">
        <v>13862.4</v>
      </c>
      <c r="CT95" s="106">
        <v>10</v>
      </c>
      <c r="CU95" s="106">
        <v>17328</v>
      </c>
    </row>
    <row r="96" spans="2:99" x14ac:dyDescent="0.2">
      <c r="C96" s="105" t="s">
        <v>262</v>
      </c>
      <c r="D96" s="106">
        <v>16</v>
      </c>
      <c r="E96" s="106">
        <v>13171.199999999999</v>
      </c>
      <c r="F96" s="106">
        <v>13</v>
      </c>
      <c r="G96" s="106">
        <v>10701.599999999999</v>
      </c>
      <c r="H96" s="106">
        <v>13</v>
      </c>
      <c r="I96" s="106">
        <v>10701.599999999999</v>
      </c>
      <c r="J96" s="106">
        <v>10</v>
      </c>
      <c r="K96" s="106">
        <v>8232</v>
      </c>
      <c r="L96" s="106">
        <v>31</v>
      </c>
      <c r="M96" s="106">
        <v>25519.199999999997</v>
      </c>
      <c r="N96" s="106">
        <v>29</v>
      </c>
      <c r="O96" s="106">
        <v>23872.799999999999</v>
      </c>
      <c r="P96" s="106">
        <v>33</v>
      </c>
      <c r="Q96" s="106">
        <v>27165.599999999999</v>
      </c>
      <c r="R96" s="106">
        <v>36</v>
      </c>
      <c r="S96" s="106">
        <v>29635.199999999997</v>
      </c>
      <c r="T96" s="106">
        <v>20</v>
      </c>
      <c r="U96" s="106">
        <v>16464</v>
      </c>
      <c r="V96" s="106">
        <v>16</v>
      </c>
      <c r="W96" s="106">
        <v>13171.199999999999</v>
      </c>
      <c r="X96" s="106">
        <v>11</v>
      </c>
      <c r="Y96" s="106">
        <v>9055.1999999999989</v>
      </c>
      <c r="Z96" s="106">
        <v>16</v>
      </c>
      <c r="AA96" s="106">
        <v>13171.199999999999</v>
      </c>
      <c r="AB96" s="106">
        <v>7</v>
      </c>
      <c r="AC96" s="106">
        <v>5762.4</v>
      </c>
      <c r="AD96" s="106">
        <v>5</v>
      </c>
      <c r="AE96" s="106">
        <v>4116</v>
      </c>
      <c r="AF96" s="106">
        <v>6</v>
      </c>
      <c r="AG96" s="106">
        <v>4939.2</v>
      </c>
      <c r="AH96" s="106">
        <v>5</v>
      </c>
      <c r="AI96" s="106">
        <v>4116</v>
      </c>
      <c r="AJ96" s="106">
        <v>10</v>
      </c>
      <c r="AK96" s="106">
        <v>8232</v>
      </c>
      <c r="AL96" s="106">
        <v>8</v>
      </c>
      <c r="AM96" s="106">
        <v>6585.5999999999995</v>
      </c>
      <c r="AN96" s="106">
        <v>6</v>
      </c>
      <c r="AO96" s="106">
        <v>4939.2</v>
      </c>
      <c r="AP96" s="106">
        <v>8</v>
      </c>
      <c r="AQ96" s="106">
        <v>6585.5999999999995</v>
      </c>
      <c r="AR96" s="106">
        <v>5</v>
      </c>
      <c r="AS96" s="106">
        <v>4116</v>
      </c>
      <c r="AT96" s="106">
        <v>3</v>
      </c>
      <c r="AU96" s="106">
        <v>2469.6</v>
      </c>
      <c r="AV96" s="106">
        <v>4</v>
      </c>
      <c r="AW96" s="106">
        <v>3292.7999999999997</v>
      </c>
      <c r="AX96" s="106">
        <v>4</v>
      </c>
      <c r="AY96" s="106">
        <v>3292.7999999999997</v>
      </c>
      <c r="AZ96" s="106">
        <v>10</v>
      </c>
      <c r="BA96" s="106">
        <v>8232</v>
      </c>
      <c r="BB96" s="106">
        <v>7</v>
      </c>
      <c r="BC96" s="106">
        <v>5762.4</v>
      </c>
      <c r="BD96" s="106">
        <v>8</v>
      </c>
      <c r="BE96" s="106">
        <v>6585.5999999999995</v>
      </c>
      <c r="BF96" s="106">
        <v>7</v>
      </c>
      <c r="BG96" s="106">
        <v>5762.4</v>
      </c>
      <c r="BH96" s="106">
        <v>8</v>
      </c>
      <c r="BI96" s="106">
        <v>6585.5999999999995</v>
      </c>
      <c r="BJ96" s="106">
        <v>8</v>
      </c>
      <c r="BK96" s="106">
        <v>6585.5999999999995</v>
      </c>
      <c r="BL96" s="106">
        <v>7</v>
      </c>
      <c r="BM96" s="106">
        <v>5762.4</v>
      </c>
      <c r="BN96" s="106">
        <v>9</v>
      </c>
      <c r="BO96" s="106">
        <v>7408.7999999999993</v>
      </c>
      <c r="BP96" s="106">
        <v>5</v>
      </c>
      <c r="BQ96" s="106">
        <v>4116</v>
      </c>
      <c r="BR96" s="106">
        <v>5</v>
      </c>
      <c r="BS96" s="106">
        <v>4116</v>
      </c>
      <c r="BT96" s="106">
        <v>4</v>
      </c>
      <c r="BU96" s="106">
        <v>3292.7999999999997</v>
      </c>
      <c r="BV96" s="106">
        <v>4</v>
      </c>
      <c r="BW96" s="106">
        <v>3292.7999999999997</v>
      </c>
      <c r="BX96" s="106">
        <v>8</v>
      </c>
      <c r="BY96" s="106">
        <v>6585.5999999999995</v>
      </c>
      <c r="BZ96" s="106">
        <v>9</v>
      </c>
      <c r="CA96" s="106">
        <v>7408.7999999999993</v>
      </c>
      <c r="CB96" s="106">
        <v>8</v>
      </c>
      <c r="CC96" s="106">
        <v>6585.5999999999995</v>
      </c>
      <c r="CD96" s="106">
        <v>9</v>
      </c>
      <c r="CE96" s="106">
        <v>7408.7999999999993</v>
      </c>
      <c r="CF96" s="106">
        <v>5</v>
      </c>
      <c r="CG96" s="106">
        <v>4116</v>
      </c>
      <c r="CH96" s="106">
        <v>4</v>
      </c>
      <c r="CI96" s="106">
        <v>3292.7999999999997</v>
      </c>
      <c r="CJ96" s="106">
        <v>7</v>
      </c>
      <c r="CK96" s="106">
        <v>5762.4</v>
      </c>
      <c r="CL96" s="106">
        <v>7</v>
      </c>
      <c r="CM96" s="106">
        <v>5762.4</v>
      </c>
      <c r="CN96" s="106">
        <v>10</v>
      </c>
      <c r="CO96" s="106">
        <v>8232</v>
      </c>
      <c r="CP96" s="106">
        <v>11</v>
      </c>
      <c r="CQ96" s="106">
        <v>9055.1999999999989</v>
      </c>
      <c r="CR96" s="106">
        <v>9</v>
      </c>
      <c r="CS96" s="106">
        <v>7408.7999999999993</v>
      </c>
      <c r="CT96" s="106">
        <v>12</v>
      </c>
      <c r="CU96" s="106">
        <v>9878.4</v>
      </c>
    </row>
    <row r="97" spans="2:99" x14ac:dyDescent="0.2">
      <c r="C97" s="105" t="s">
        <v>263</v>
      </c>
      <c r="D97" s="106">
        <v>13</v>
      </c>
      <c r="E97" s="106">
        <v>23774.399999999998</v>
      </c>
      <c r="F97" s="106">
        <v>13</v>
      </c>
      <c r="G97" s="106">
        <v>23774.399999999998</v>
      </c>
      <c r="H97" s="106">
        <v>10</v>
      </c>
      <c r="I97" s="106">
        <v>18288</v>
      </c>
      <c r="J97" s="106">
        <v>10</v>
      </c>
      <c r="K97" s="106">
        <v>18288</v>
      </c>
      <c r="L97" s="106">
        <v>28</v>
      </c>
      <c r="M97" s="106">
        <v>51206.400000000001</v>
      </c>
      <c r="N97" s="106">
        <v>25</v>
      </c>
      <c r="O97" s="106">
        <v>45720</v>
      </c>
      <c r="P97" s="106">
        <v>27</v>
      </c>
      <c r="Q97" s="106">
        <v>49377.599999999999</v>
      </c>
      <c r="R97" s="106">
        <v>33</v>
      </c>
      <c r="S97" s="106">
        <v>60350.400000000001</v>
      </c>
      <c r="T97" s="106">
        <v>19</v>
      </c>
      <c r="U97" s="106">
        <v>34747.199999999997</v>
      </c>
      <c r="V97" s="106">
        <v>15</v>
      </c>
      <c r="W97" s="106">
        <v>27432</v>
      </c>
      <c r="X97" s="106">
        <v>9</v>
      </c>
      <c r="Y97" s="106">
        <v>16459.2</v>
      </c>
      <c r="Z97" s="106">
        <v>14</v>
      </c>
      <c r="AA97" s="106">
        <v>25603.200000000001</v>
      </c>
      <c r="AB97" s="106">
        <v>7</v>
      </c>
      <c r="AC97" s="106">
        <v>12801.6</v>
      </c>
      <c r="AD97" s="106">
        <v>4</v>
      </c>
      <c r="AE97" s="106">
        <v>7315.2</v>
      </c>
      <c r="AF97" s="106">
        <v>5</v>
      </c>
      <c r="AG97" s="106">
        <v>9144</v>
      </c>
      <c r="AH97" s="106">
        <v>5</v>
      </c>
      <c r="AI97" s="106">
        <v>9144</v>
      </c>
      <c r="AJ97" s="106">
        <v>9</v>
      </c>
      <c r="AK97" s="106">
        <v>16459.2</v>
      </c>
      <c r="AL97" s="106">
        <v>8</v>
      </c>
      <c r="AM97" s="106">
        <v>14630.4</v>
      </c>
      <c r="AN97" s="106">
        <v>5</v>
      </c>
      <c r="AO97" s="106">
        <v>9144</v>
      </c>
      <c r="AP97" s="106">
        <v>8</v>
      </c>
      <c r="AQ97" s="106">
        <v>14630.4</v>
      </c>
      <c r="AR97" s="106">
        <v>4</v>
      </c>
      <c r="AS97" s="106">
        <v>7315.2</v>
      </c>
      <c r="AT97" s="106">
        <v>3</v>
      </c>
      <c r="AU97" s="106">
        <v>5486.4</v>
      </c>
      <c r="AV97" s="106">
        <v>4</v>
      </c>
      <c r="AW97" s="106">
        <v>7315.2</v>
      </c>
      <c r="AX97" s="106">
        <v>4</v>
      </c>
      <c r="AY97" s="106">
        <v>7315.2</v>
      </c>
      <c r="AZ97" s="106">
        <v>9</v>
      </c>
      <c r="BA97" s="106">
        <v>16459.2</v>
      </c>
      <c r="BB97" s="106">
        <v>7</v>
      </c>
      <c r="BC97" s="106">
        <v>12801.6</v>
      </c>
      <c r="BD97" s="106">
        <v>6</v>
      </c>
      <c r="BE97" s="106">
        <v>10972.8</v>
      </c>
      <c r="BF97" s="106">
        <v>7</v>
      </c>
      <c r="BG97" s="106">
        <v>12801.6</v>
      </c>
      <c r="BH97" s="106">
        <v>9</v>
      </c>
      <c r="BI97" s="106">
        <v>16459.2</v>
      </c>
      <c r="BJ97" s="106">
        <v>7</v>
      </c>
      <c r="BK97" s="106">
        <v>12801.6</v>
      </c>
      <c r="BL97" s="106">
        <v>7</v>
      </c>
      <c r="BM97" s="106">
        <v>12801.6</v>
      </c>
      <c r="BN97" s="106">
        <v>8</v>
      </c>
      <c r="BO97" s="106">
        <v>14630.4</v>
      </c>
      <c r="BP97" s="106">
        <v>5</v>
      </c>
      <c r="BQ97" s="106">
        <v>9144</v>
      </c>
      <c r="BR97" s="106">
        <v>4</v>
      </c>
      <c r="BS97" s="106">
        <v>7315.2</v>
      </c>
      <c r="BT97" s="106">
        <v>4</v>
      </c>
      <c r="BU97" s="106">
        <v>7315.2</v>
      </c>
      <c r="BV97" s="106">
        <v>4</v>
      </c>
      <c r="BW97" s="106">
        <v>7315.2</v>
      </c>
      <c r="BX97" s="106">
        <v>7</v>
      </c>
      <c r="BY97" s="106">
        <v>12801.6</v>
      </c>
      <c r="BZ97" s="106">
        <v>9</v>
      </c>
      <c r="CA97" s="106">
        <v>16459.2</v>
      </c>
      <c r="CB97" s="106">
        <v>7</v>
      </c>
      <c r="CC97" s="106">
        <v>12801.6</v>
      </c>
      <c r="CD97" s="106">
        <v>9</v>
      </c>
      <c r="CE97" s="106">
        <v>16459.2</v>
      </c>
      <c r="CF97" s="106">
        <v>5</v>
      </c>
      <c r="CG97" s="106">
        <v>9144</v>
      </c>
      <c r="CH97" s="106">
        <v>4</v>
      </c>
      <c r="CI97" s="106">
        <v>7315.2</v>
      </c>
      <c r="CJ97" s="106">
        <v>6</v>
      </c>
      <c r="CK97" s="106">
        <v>10972.8</v>
      </c>
      <c r="CL97" s="106">
        <v>7</v>
      </c>
      <c r="CM97" s="106">
        <v>12801.6</v>
      </c>
      <c r="CN97" s="106">
        <v>9</v>
      </c>
      <c r="CO97" s="106">
        <v>16459.2</v>
      </c>
      <c r="CP97" s="106">
        <v>11</v>
      </c>
      <c r="CQ97" s="106">
        <v>20116.8</v>
      </c>
      <c r="CR97" s="106">
        <v>7</v>
      </c>
      <c r="CS97" s="106">
        <v>12801.6</v>
      </c>
      <c r="CT97" s="106">
        <v>10</v>
      </c>
      <c r="CU97" s="106">
        <v>18288</v>
      </c>
    </row>
    <row r="98" spans="2:99" x14ac:dyDescent="0.2">
      <c r="C98" s="105" t="s">
        <v>264</v>
      </c>
      <c r="D98" s="106">
        <v>13</v>
      </c>
      <c r="E98" s="106">
        <v>16426.8</v>
      </c>
      <c r="F98" s="106">
        <v>13</v>
      </c>
      <c r="G98" s="106">
        <v>16426.8</v>
      </c>
      <c r="H98" s="106">
        <v>11</v>
      </c>
      <c r="I98" s="106">
        <v>13899.599999999999</v>
      </c>
      <c r="J98" s="106">
        <v>10</v>
      </c>
      <c r="K98" s="106">
        <v>12636</v>
      </c>
      <c r="L98" s="106">
        <v>29</v>
      </c>
      <c r="M98" s="106">
        <v>36644.399999999994</v>
      </c>
      <c r="N98" s="106">
        <v>29</v>
      </c>
      <c r="O98" s="106">
        <v>36644.399999999994</v>
      </c>
      <c r="P98" s="106">
        <v>29</v>
      </c>
      <c r="Q98" s="106">
        <v>36644.399999999994</v>
      </c>
      <c r="R98" s="106">
        <v>32</v>
      </c>
      <c r="S98" s="106">
        <v>40435.199999999997</v>
      </c>
      <c r="T98" s="106">
        <v>20</v>
      </c>
      <c r="U98" s="106">
        <v>25272</v>
      </c>
      <c r="V98" s="106">
        <v>16</v>
      </c>
      <c r="W98" s="106">
        <v>20217.599999999999</v>
      </c>
      <c r="X98" s="106">
        <v>10</v>
      </c>
      <c r="Y98" s="106">
        <v>12636</v>
      </c>
      <c r="Z98" s="106">
        <v>13</v>
      </c>
      <c r="AA98" s="106">
        <v>16426.8</v>
      </c>
      <c r="AB98" s="106">
        <v>7</v>
      </c>
      <c r="AC98" s="106">
        <v>8845.1999999999989</v>
      </c>
      <c r="AD98" s="106">
        <v>4</v>
      </c>
      <c r="AE98" s="106">
        <v>5054.3999999999996</v>
      </c>
      <c r="AF98" s="106">
        <v>6</v>
      </c>
      <c r="AG98" s="106">
        <v>7581.5999999999995</v>
      </c>
      <c r="AH98" s="106">
        <v>5</v>
      </c>
      <c r="AI98" s="106">
        <v>6318</v>
      </c>
      <c r="AJ98" s="106">
        <v>10</v>
      </c>
      <c r="AK98" s="106">
        <v>12636</v>
      </c>
      <c r="AL98" s="106">
        <v>8</v>
      </c>
      <c r="AM98" s="106">
        <v>10108.799999999999</v>
      </c>
      <c r="AN98" s="106">
        <v>6</v>
      </c>
      <c r="AO98" s="106">
        <v>7581.5999999999995</v>
      </c>
      <c r="AP98" s="106">
        <v>8</v>
      </c>
      <c r="AQ98" s="106">
        <v>10108.799999999999</v>
      </c>
      <c r="AR98" s="106">
        <v>5</v>
      </c>
      <c r="AS98" s="106">
        <v>6318</v>
      </c>
      <c r="AT98" s="106">
        <v>3</v>
      </c>
      <c r="AU98" s="106">
        <v>3790.7999999999997</v>
      </c>
      <c r="AV98" s="106">
        <v>3</v>
      </c>
      <c r="AW98" s="106">
        <v>3790.7999999999997</v>
      </c>
      <c r="AX98" s="106">
        <v>5</v>
      </c>
      <c r="AY98" s="106">
        <v>6318</v>
      </c>
      <c r="AZ98" s="106">
        <v>9</v>
      </c>
      <c r="BA98" s="106">
        <v>11372.4</v>
      </c>
      <c r="BB98" s="106">
        <v>7</v>
      </c>
      <c r="BC98" s="106">
        <v>8845.1999999999989</v>
      </c>
      <c r="BD98" s="106">
        <v>7</v>
      </c>
      <c r="BE98" s="106">
        <v>8845.1999999999989</v>
      </c>
      <c r="BF98" s="106">
        <v>6</v>
      </c>
      <c r="BG98" s="106">
        <v>7581.5999999999995</v>
      </c>
      <c r="BH98" s="106">
        <v>10</v>
      </c>
      <c r="BI98" s="106">
        <v>12636</v>
      </c>
      <c r="BJ98" s="106">
        <v>7</v>
      </c>
      <c r="BK98" s="106">
        <v>8845.1999999999989</v>
      </c>
      <c r="BL98" s="106">
        <v>8</v>
      </c>
      <c r="BM98" s="106">
        <v>10108.799999999999</v>
      </c>
      <c r="BN98" s="106">
        <v>8</v>
      </c>
      <c r="BO98" s="106">
        <v>10108.799999999999</v>
      </c>
      <c r="BP98" s="106">
        <v>5</v>
      </c>
      <c r="BQ98" s="106">
        <v>6318</v>
      </c>
      <c r="BR98" s="106">
        <v>4</v>
      </c>
      <c r="BS98" s="106">
        <v>5054.3999999999996</v>
      </c>
      <c r="BT98" s="106">
        <v>4</v>
      </c>
      <c r="BU98" s="106">
        <v>5054.3999999999996</v>
      </c>
      <c r="BV98" s="106">
        <v>4</v>
      </c>
      <c r="BW98" s="106">
        <v>5054.3999999999996</v>
      </c>
      <c r="BX98" s="106">
        <v>7</v>
      </c>
      <c r="BY98" s="106">
        <v>8845.1999999999989</v>
      </c>
      <c r="BZ98" s="106">
        <v>9</v>
      </c>
      <c r="CA98" s="106">
        <v>11372.4</v>
      </c>
      <c r="CB98" s="106">
        <v>8</v>
      </c>
      <c r="CC98" s="106">
        <v>10108.799999999999</v>
      </c>
      <c r="CD98" s="106">
        <v>9</v>
      </c>
      <c r="CE98" s="106">
        <v>11372.4</v>
      </c>
      <c r="CF98" s="106">
        <v>5</v>
      </c>
      <c r="CG98" s="106">
        <v>6318</v>
      </c>
      <c r="CH98" s="106">
        <v>4</v>
      </c>
      <c r="CI98" s="106">
        <v>5054.3999999999996</v>
      </c>
      <c r="CJ98" s="106">
        <v>6</v>
      </c>
      <c r="CK98" s="106">
        <v>7581.5999999999995</v>
      </c>
      <c r="CL98" s="106">
        <v>6</v>
      </c>
      <c r="CM98" s="106">
        <v>7581.5999999999995</v>
      </c>
      <c r="CN98" s="106">
        <v>9</v>
      </c>
      <c r="CO98" s="106">
        <v>11372.4</v>
      </c>
      <c r="CP98" s="106">
        <v>12</v>
      </c>
      <c r="CQ98" s="106">
        <v>15163.199999999999</v>
      </c>
      <c r="CR98" s="106">
        <v>9</v>
      </c>
      <c r="CS98" s="106">
        <v>11372.4</v>
      </c>
      <c r="CT98" s="106">
        <v>11</v>
      </c>
      <c r="CU98" s="106">
        <v>13899.599999999999</v>
      </c>
    </row>
    <row r="99" spans="2:99" x14ac:dyDescent="0.2">
      <c r="C99" s="105" t="s">
        <v>265</v>
      </c>
      <c r="D99" s="106">
        <v>10</v>
      </c>
      <c r="E99" s="106">
        <v>54815.999999999993</v>
      </c>
      <c r="F99" s="106">
        <v>8</v>
      </c>
      <c r="G99" s="106">
        <v>43852.799999999996</v>
      </c>
      <c r="H99" s="106">
        <v>7</v>
      </c>
      <c r="I99" s="106">
        <v>38371.199999999997</v>
      </c>
      <c r="J99" s="106">
        <v>7</v>
      </c>
      <c r="K99" s="106">
        <v>38371.199999999997</v>
      </c>
      <c r="L99" s="106">
        <v>17</v>
      </c>
      <c r="M99" s="106">
        <v>93187.199999999997</v>
      </c>
      <c r="N99" s="106">
        <v>16</v>
      </c>
      <c r="O99" s="106">
        <v>87705.599999999991</v>
      </c>
      <c r="P99" s="106">
        <v>17</v>
      </c>
      <c r="Q99" s="106">
        <v>93187.199999999997</v>
      </c>
      <c r="R99" s="106">
        <v>17</v>
      </c>
      <c r="S99" s="106">
        <v>93187.199999999997</v>
      </c>
      <c r="T99" s="106">
        <v>12</v>
      </c>
      <c r="U99" s="106">
        <v>65779.199999999997</v>
      </c>
      <c r="V99" s="106">
        <v>11</v>
      </c>
      <c r="W99" s="106">
        <v>60297.599999999991</v>
      </c>
      <c r="X99" s="106">
        <v>6</v>
      </c>
      <c r="Y99" s="106">
        <v>32889.599999999999</v>
      </c>
      <c r="Z99" s="106">
        <v>9</v>
      </c>
      <c r="AA99" s="106">
        <v>49334.399999999994</v>
      </c>
      <c r="AB99" s="106">
        <v>5</v>
      </c>
      <c r="AC99" s="106">
        <v>27407.999999999996</v>
      </c>
      <c r="AD99" s="106">
        <v>3</v>
      </c>
      <c r="AE99" s="106">
        <v>16444.8</v>
      </c>
      <c r="AF99" s="106">
        <v>4</v>
      </c>
      <c r="AG99" s="106">
        <v>21926.399999999998</v>
      </c>
      <c r="AH99" s="106">
        <v>4</v>
      </c>
      <c r="AI99" s="106">
        <v>21926.399999999998</v>
      </c>
      <c r="AJ99" s="106">
        <v>7</v>
      </c>
      <c r="AK99" s="106">
        <v>38371.199999999997</v>
      </c>
      <c r="AL99" s="106">
        <v>6</v>
      </c>
      <c r="AM99" s="106">
        <v>32889.599999999999</v>
      </c>
      <c r="AN99" s="106">
        <v>4</v>
      </c>
      <c r="AO99" s="106">
        <v>21926.399999999998</v>
      </c>
      <c r="AP99" s="106">
        <v>6</v>
      </c>
      <c r="AQ99" s="106">
        <v>32889.599999999999</v>
      </c>
      <c r="AR99" s="106">
        <v>3</v>
      </c>
      <c r="AS99" s="106">
        <v>16444.8</v>
      </c>
      <c r="AT99" s="106">
        <v>2</v>
      </c>
      <c r="AU99" s="106">
        <v>10963.199999999999</v>
      </c>
      <c r="AV99" s="106">
        <v>3</v>
      </c>
      <c r="AW99" s="106">
        <v>16444.8</v>
      </c>
      <c r="AX99" s="106">
        <v>3</v>
      </c>
      <c r="AY99" s="106">
        <v>16444.8</v>
      </c>
      <c r="AZ99" s="106">
        <v>6</v>
      </c>
      <c r="BA99" s="106">
        <v>32889.599999999999</v>
      </c>
      <c r="BB99" s="106">
        <v>5</v>
      </c>
      <c r="BC99" s="106">
        <v>27407.999999999996</v>
      </c>
      <c r="BD99" s="106">
        <v>5</v>
      </c>
      <c r="BE99" s="106">
        <v>27407.999999999996</v>
      </c>
      <c r="BF99" s="106">
        <v>5</v>
      </c>
      <c r="BG99" s="106">
        <v>27407.999999999996</v>
      </c>
      <c r="BH99" s="106">
        <v>7</v>
      </c>
      <c r="BI99" s="106">
        <v>38371.199999999997</v>
      </c>
      <c r="BJ99" s="106">
        <v>5</v>
      </c>
      <c r="BK99" s="106">
        <v>27407.999999999996</v>
      </c>
      <c r="BL99" s="106">
        <v>5</v>
      </c>
      <c r="BM99" s="106">
        <v>27407.999999999996</v>
      </c>
      <c r="BN99" s="106">
        <v>6</v>
      </c>
      <c r="BO99" s="106">
        <v>32889.599999999999</v>
      </c>
      <c r="BP99" s="106">
        <v>3</v>
      </c>
      <c r="BQ99" s="106">
        <v>16444.8</v>
      </c>
      <c r="BR99" s="106">
        <v>3</v>
      </c>
      <c r="BS99" s="106">
        <v>16444.8</v>
      </c>
      <c r="BT99" s="106">
        <v>3</v>
      </c>
      <c r="BU99" s="106">
        <v>16444.8</v>
      </c>
      <c r="BV99" s="106">
        <v>3</v>
      </c>
      <c r="BW99" s="106">
        <v>16444.8</v>
      </c>
      <c r="BX99" s="106">
        <v>5</v>
      </c>
      <c r="BY99" s="106">
        <v>27407.999999999996</v>
      </c>
      <c r="BZ99" s="106">
        <v>6</v>
      </c>
      <c r="CA99" s="106">
        <v>32889.599999999999</v>
      </c>
      <c r="CB99" s="106">
        <v>5</v>
      </c>
      <c r="CC99" s="106">
        <v>27407.999999999996</v>
      </c>
      <c r="CD99" s="106">
        <v>6</v>
      </c>
      <c r="CE99" s="106">
        <v>32889.599999999999</v>
      </c>
      <c r="CF99" s="106">
        <v>4</v>
      </c>
      <c r="CG99" s="106">
        <v>21926.399999999998</v>
      </c>
      <c r="CH99" s="106">
        <v>3</v>
      </c>
      <c r="CI99" s="106">
        <v>16444.8</v>
      </c>
      <c r="CJ99" s="106">
        <v>4</v>
      </c>
      <c r="CK99" s="106">
        <v>21926.399999999998</v>
      </c>
      <c r="CL99" s="106">
        <v>5</v>
      </c>
      <c r="CM99" s="106">
        <v>27407.999999999996</v>
      </c>
      <c r="CN99" s="106">
        <v>7</v>
      </c>
      <c r="CO99" s="106">
        <v>38371.199999999997</v>
      </c>
      <c r="CP99" s="106">
        <v>8</v>
      </c>
      <c r="CQ99" s="106">
        <v>43852.799999999996</v>
      </c>
      <c r="CR99" s="106">
        <v>6</v>
      </c>
      <c r="CS99" s="106">
        <v>32889.599999999999</v>
      </c>
      <c r="CT99" s="106">
        <v>8</v>
      </c>
      <c r="CU99" s="106">
        <v>43852.799999999996</v>
      </c>
    </row>
    <row r="100" spans="2:99" x14ac:dyDescent="0.2">
      <c r="C100" s="105" t="s">
        <v>266</v>
      </c>
      <c r="D100" s="106">
        <v>14</v>
      </c>
      <c r="E100" s="106">
        <v>22713.599999999999</v>
      </c>
      <c r="F100" s="106">
        <v>13</v>
      </c>
      <c r="G100" s="106">
        <v>21091.199999999997</v>
      </c>
      <c r="H100" s="106">
        <v>10</v>
      </c>
      <c r="I100" s="106">
        <v>16223.999999999998</v>
      </c>
      <c r="J100" s="106">
        <v>11</v>
      </c>
      <c r="K100" s="106">
        <v>17846.399999999998</v>
      </c>
      <c r="L100" s="106">
        <v>31</v>
      </c>
      <c r="M100" s="106">
        <v>50294.399999999994</v>
      </c>
      <c r="N100" s="106">
        <v>25</v>
      </c>
      <c r="O100" s="106">
        <v>40560</v>
      </c>
      <c r="P100" s="106">
        <v>29</v>
      </c>
      <c r="Q100" s="106">
        <v>47049.599999999999</v>
      </c>
      <c r="R100" s="106">
        <v>31</v>
      </c>
      <c r="S100" s="106">
        <v>50294.399999999994</v>
      </c>
      <c r="T100" s="106">
        <v>16</v>
      </c>
      <c r="U100" s="106">
        <v>25958.399999999998</v>
      </c>
      <c r="V100" s="106">
        <v>16</v>
      </c>
      <c r="W100" s="106">
        <v>25958.399999999998</v>
      </c>
      <c r="X100" s="106">
        <v>10</v>
      </c>
      <c r="Y100" s="106">
        <v>16223.999999999998</v>
      </c>
      <c r="Z100" s="106">
        <v>12</v>
      </c>
      <c r="AA100" s="106">
        <v>19468.8</v>
      </c>
      <c r="AB100" s="106">
        <v>6</v>
      </c>
      <c r="AC100" s="106">
        <v>9734.4</v>
      </c>
      <c r="AD100" s="106">
        <v>5</v>
      </c>
      <c r="AE100" s="106">
        <v>8111.9999999999991</v>
      </c>
      <c r="AF100" s="106">
        <v>5</v>
      </c>
      <c r="AG100" s="106">
        <v>8111.9999999999991</v>
      </c>
      <c r="AH100" s="106">
        <v>5</v>
      </c>
      <c r="AI100" s="106">
        <v>8111.9999999999991</v>
      </c>
      <c r="AJ100" s="106">
        <v>9</v>
      </c>
      <c r="AK100" s="106">
        <v>14601.599999999999</v>
      </c>
      <c r="AL100" s="106">
        <v>8</v>
      </c>
      <c r="AM100" s="106">
        <v>12979.199999999999</v>
      </c>
      <c r="AN100" s="106">
        <v>6</v>
      </c>
      <c r="AO100" s="106">
        <v>9734.4</v>
      </c>
      <c r="AP100" s="106">
        <v>8</v>
      </c>
      <c r="AQ100" s="106">
        <v>12979.199999999999</v>
      </c>
      <c r="AR100" s="106">
        <v>5</v>
      </c>
      <c r="AS100" s="106">
        <v>8111.9999999999991</v>
      </c>
      <c r="AT100" s="106">
        <v>3</v>
      </c>
      <c r="AU100" s="106">
        <v>4867.2</v>
      </c>
      <c r="AV100" s="106">
        <v>3</v>
      </c>
      <c r="AW100" s="106">
        <v>4867.2</v>
      </c>
      <c r="AX100" s="106">
        <v>4</v>
      </c>
      <c r="AY100" s="106">
        <v>6489.5999999999995</v>
      </c>
      <c r="AZ100" s="106">
        <v>9</v>
      </c>
      <c r="BA100" s="106">
        <v>14601.599999999999</v>
      </c>
      <c r="BB100" s="106">
        <v>7</v>
      </c>
      <c r="BC100" s="106">
        <v>11356.8</v>
      </c>
      <c r="BD100" s="106">
        <v>7</v>
      </c>
      <c r="BE100" s="106">
        <v>11356.8</v>
      </c>
      <c r="BF100" s="106">
        <v>7</v>
      </c>
      <c r="BG100" s="106">
        <v>11356.8</v>
      </c>
      <c r="BH100" s="106">
        <v>9</v>
      </c>
      <c r="BI100" s="106">
        <v>14601.599999999999</v>
      </c>
      <c r="BJ100" s="106">
        <v>7</v>
      </c>
      <c r="BK100" s="106">
        <v>11356.8</v>
      </c>
      <c r="BL100" s="106">
        <v>7</v>
      </c>
      <c r="BM100" s="106">
        <v>11356.8</v>
      </c>
      <c r="BN100" s="106">
        <v>8</v>
      </c>
      <c r="BO100" s="106">
        <v>12979.199999999999</v>
      </c>
      <c r="BP100" s="106">
        <v>5</v>
      </c>
      <c r="BQ100" s="106">
        <v>8111.9999999999991</v>
      </c>
      <c r="BR100" s="106">
        <v>4</v>
      </c>
      <c r="BS100" s="106">
        <v>6489.5999999999995</v>
      </c>
      <c r="BT100" s="106">
        <v>4</v>
      </c>
      <c r="BU100" s="106">
        <v>6489.5999999999995</v>
      </c>
      <c r="BV100" s="106">
        <v>4</v>
      </c>
      <c r="BW100" s="106">
        <v>6489.5999999999995</v>
      </c>
      <c r="BX100" s="106">
        <v>7</v>
      </c>
      <c r="BY100" s="106">
        <v>11356.8</v>
      </c>
      <c r="BZ100" s="106">
        <v>10</v>
      </c>
      <c r="CA100" s="106">
        <v>16223.999999999998</v>
      </c>
      <c r="CB100" s="106">
        <v>8</v>
      </c>
      <c r="CC100" s="106">
        <v>12979.199999999999</v>
      </c>
      <c r="CD100" s="106">
        <v>10</v>
      </c>
      <c r="CE100" s="106">
        <v>16223.999999999998</v>
      </c>
      <c r="CF100" s="106">
        <v>5</v>
      </c>
      <c r="CG100" s="106">
        <v>8111.9999999999991</v>
      </c>
      <c r="CH100" s="106">
        <v>4</v>
      </c>
      <c r="CI100" s="106">
        <v>6489.5999999999995</v>
      </c>
      <c r="CJ100" s="106">
        <v>6</v>
      </c>
      <c r="CK100" s="106">
        <v>9734.4</v>
      </c>
      <c r="CL100" s="106">
        <v>6</v>
      </c>
      <c r="CM100" s="106">
        <v>9734.4</v>
      </c>
      <c r="CN100" s="106">
        <v>10</v>
      </c>
      <c r="CO100" s="106">
        <v>16223.999999999998</v>
      </c>
      <c r="CP100" s="106">
        <v>12</v>
      </c>
      <c r="CQ100" s="106">
        <v>19468.8</v>
      </c>
      <c r="CR100" s="106">
        <v>8</v>
      </c>
      <c r="CS100" s="106">
        <v>12979.199999999999</v>
      </c>
      <c r="CT100" s="106">
        <v>12</v>
      </c>
      <c r="CU100" s="106">
        <v>19468.8</v>
      </c>
    </row>
    <row r="101" spans="2:99" x14ac:dyDescent="0.2">
      <c r="C101" s="105" t="s">
        <v>267</v>
      </c>
      <c r="D101" s="106">
        <v>13</v>
      </c>
      <c r="E101" s="106">
        <v>15475.199999999999</v>
      </c>
      <c r="F101" s="106">
        <v>15</v>
      </c>
      <c r="G101" s="106">
        <v>17855.999999999996</v>
      </c>
      <c r="H101" s="106">
        <v>11</v>
      </c>
      <c r="I101" s="106">
        <v>13094.399999999998</v>
      </c>
      <c r="J101" s="106">
        <v>12</v>
      </c>
      <c r="K101" s="106">
        <v>14284.8</v>
      </c>
      <c r="L101" s="106">
        <v>32</v>
      </c>
      <c r="M101" s="106">
        <v>38092.799999999996</v>
      </c>
      <c r="N101" s="106">
        <v>29</v>
      </c>
      <c r="O101" s="106">
        <v>34521.599999999999</v>
      </c>
      <c r="P101" s="106">
        <v>29</v>
      </c>
      <c r="Q101" s="106">
        <v>34521.599999999999</v>
      </c>
      <c r="R101" s="106">
        <v>31</v>
      </c>
      <c r="S101" s="106">
        <v>36902.399999999994</v>
      </c>
      <c r="T101" s="106">
        <v>20</v>
      </c>
      <c r="U101" s="106">
        <v>23807.999999999996</v>
      </c>
      <c r="V101" s="106">
        <v>17</v>
      </c>
      <c r="W101" s="106">
        <v>20236.8</v>
      </c>
      <c r="X101" s="106">
        <v>11</v>
      </c>
      <c r="Y101" s="106">
        <v>13094.399999999998</v>
      </c>
      <c r="Z101" s="106">
        <v>13</v>
      </c>
      <c r="AA101" s="106">
        <v>15475.199999999999</v>
      </c>
      <c r="AB101" s="106">
        <v>7</v>
      </c>
      <c r="AC101" s="106">
        <v>8332.7999999999993</v>
      </c>
      <c r="AD101" s="106">
        <v>5</v>
      </c>
      <c r="AE101" s="106">
        <v>5951.9999999999991</v>
      </c>
      <c r="AF101" s="106">
        <v>6</v>
      </c>
      <c r="AG101" s="106">
        <v>7142.4</v>
      </c>
      <c r="AH101" s="106">
        <v>5</v>
      </c>
      <c r="AI101" s="106">
        <v>5951.9999999999991</v>
      </c>
      <c r="AJ101" s="106">
        <v>10</v>
      </c>
      <c r="AK101" s="106">
        <v>11903.999999999998</v>
      </c>
      <c r="AL101" s="106">
        <v>7</v>
      </c>
      <c r="AM101" s="106">
        <v>8332.7999999999993</v>
      </c>
      <c r="AN101" s="106">
        <v>6</v>
      </c>
      <c r="AO101" s="106">
        <v>7142.4</v>
      </c>
      <c r="AP101" s="106">
        <v>8</v>
      </c>
      <c r="AQ101" s="106">
        <v>9523.1999999999989</v>
      </c>
      <c r="AR101" s="106">
        <v>5</v>
      </c>
      <c r="AS101" s="106">
        <v>5951.9999999999991</v>
      </c>
      <c r="AT101" s="106">
        <v>3</v>
      </c>
      <c r="AU101" s="106">
        <v>3571.2</v>
      </c>
      <c r="AV101" s="106">
        <v>3</v>
      </c>
      <c r="AW101" s="106">
        <v>3571.2</v>
      </c>
      <c r="AX101" s="106">
        <v>5</v>
      </c>
      <c r="AY101" s="106">
        <v>5951.9999999999991</v>
      </c>
      <c r="AZ101" s="106">
        <v>10</v>
      </c>
      <c r="BA101" s="106">
        <v>11903.999999999998</v>
      </c>
      <c r="BB101" s="106">
        <v>7</v>
      </c>
      <c r="BC101" s="106">
        <v>8332.7999999999993</v>
      </c>
      <c r="BD101" s="106">
        <v>7</v>
      </c>
      <c r="BE101" s="106">
        <v>8332.7999999999993</v>
      </c>
      <c r="BF101" s="106">
        <v>7</v>
      </c>
      <c r="BG101" s="106">
        <v>8332.7999999999993</v>
      </c>
      <c r="BH101" s="106">
        <v>9</v>
      </c>
      <c r="BI101" s="106">
        <v>10713.599999999999</v>
      </c>
      <c r="BJ101" s="106">
        <v>8</v>
      </c>
      <c r="BK101" s="106">
        <v>9523.1999999999989</v>
      </c>
      <c r="BL101" s="106">
        <v>7</v>
      </c>
      <c r="BM101" s="106">
        <v>8332.7999999999993</v>
      </c>
      <c r="BN101" s="106">
        <v>9</v>
      </c>
      <c r="BO101" s="106">
        <v>10713.599999999999</v>
      </c>
      <c r="BP101" s="106">
        <v>5</v>
      </c>
      <c r="BQ101" s="106">
        <v>5951.9999999999991</v>
      </c>
      <c r="BR101" s="106">
        <v>5</v>
      </c>
      <c r="BS101" s="106">
        <v>5951.9999999999991</v>
      </c>
      <c r="BT101" s="106">
        <v>4</v>
      </c>
      <c r="BU101" s="106">
        <v>4761.5999999999995</v>
      </c>
      <c r="BV101" s="106">
        <v>4</v>
      </c>
      <c r="BW101" s="106">
        <v>4761.5999999999995</v>
      </c>
      <c r="BX101" s="106">
        <v>8</v>
      </c>
      <c r="BY101" s="106">
        <v>9523.1999999999989</v>
      </c>
      <c r="BZ101" s="106">
        <v>10</v>
      </c>
      <c r="CA101" s="106">
        <v>11903.999999999998</v>
      </c>
      <c r="CB101" s="106">
        <v>8</v>
      </c>
      <c r="CC101" s="106">
        <v>9523.1999999999989</v>
      </c>
      <c r="CD101" s="106">
        <v>9</v>
      </c>
      <c r="CE101" s="106">
        <v>10713.599999999999</v>
      </c>
      <c r="CF101" s="106">
        <v>6</v>
      </c>
      <c r="CG101" s="106">
        <v>7142.4</v>
      </c>
      <c r="CH101" s="106">
        <v>4</v>
      </c>
      <c r="CI101" s="106">
        <v>4761.5999999999995</v>
      </c>
      <c r="CJ101" s="106">
        <v>6</v>
      </c>
      <c r="CK101" s="106">
        <v>7142.4</v>
      </c>
      <c r="CL101" s="106">
        <v>6</v>
      </c>
      <c r="CM101" s="106">
        <v>7142.4</v>
      </c>
      <c r="CN101" s="106">
        <v>9</v>
      </c>
      <c r="CO101" s="106">
        <v>10713.599999999999</v>
      </c>
      <c r="CP101" s="106">
        <v>12</v>
      </c>
      <c r="CQ101" s="106">
        <v>14284.8</v>
      </c>
      <c r="CR101" s="106">
        <v>9</v>
      </c>
      <c r="CS101" s="106">
        <v>10713.599999999999</v>
      </c>
      <c r="CT101" s="106">
        <v>10</v>
      </c>
      <c r="CU101" s="106">
        <v>11903.999999999998</v>
      </c>
    </row>
    <row r="102" spans="2:99" x14ac:dyDescent="0.2">
      <c r="C102" s="105" t="s">
        <v>268</v>
      </c>
      <c r="D102" s="106">
        <v>13</v>
      </c>
      <c r="E102" s="106">
        <v>25209.599999999999</v>
      </c>
      <c r="F102" s="106">
        <v>13</v>
      </c>
      <c r="G102" s="106">
        <v>25209.599999999999</v>
      </c>
      <c r="H102" s="106">
        <v>10</v>
      </c>
      <c r="I102" s="106">
        <v>19392</v>
      </c>
      <c r="J102" s="106">
        <v>9</v>
      </c>
      <c r="K102" s="106">
        <v>17452.8</v>
      </c>
      <c r="L102" s="106">
        <v>26</v>
      </c>
      <c r="M102" s="106">
        <v>50419.199999999997</v>
      </c>
      <c r="N102" s="106">
        <v>25</v>
      </c>
      <c r="O102" s="106">
        <v>48479.999999999993</v>
      </c>
      <c r="P102" s="106">
        <v>24</v>
      </c>
      <c r="Q102" s="106">
        <v>46540.799999999996</v>
      </c>
      <c r="R102" s="106">
        <v>29</v>
      </c>
      <c r="S102" s="106">
        <v>56236.799999999996</v>
      </c>
      <c r="T102" s="106">
        <v>16</v>
      </c>
      <c r="U102" s="106">
        <v>31027.199999999997</v>
      </c>
      <c r="V102" s="106">
        <v>15</v>
      </c>
      <c r="W102" s="106">
        <v>29087.999999999996</v>
      </c>
      <c r="X102" s="106">
        <v>8</v>
      </c>
      <c r="Y102" s="106">
        <v>15513.599999999999</v>
      </c>
      <c r="Z102" s="106">
        <v>12</v>
      </c>
      <c r="AA102" s="106">
        <v>23270.399999999998</v>
      </c>
      <c r="AB102" s="106">
        <v>6</v>
      </c>
      <c r="AC102" s="106">
        <v>11635.199999999999</v>
      </c>
      <c r="AD102" s="106">
        <v>4</v>
      </c>
      <c r="AE102" s="106">
        <v>7756.7999999999993</v>
      </c>
      <c r="AF102" s="106">
        <v>5</v>
      </c>
      <c r="AG102" s="106">
        <v>9696</v>
      </c>
      <c r="AH102" s="106">
        <v>5</v>
      </c>
      <c r="AI102" s="106">
        <v>9696</v>
      </c>
      <c r="AJ102" s="106">
        <v>9</v>
      </c>
      <c r="AK102" s="106">
        <v>17452.8</v>
      </c>
      <c r="AL102" s="106">
        <v>8</v>
      </c>
      <c r="AM102" s="106">
        <v>15513.599999999999</v>
      </c>
      <c r="AN102" s="106">
        <v>5</v>
      </c>
      <c r="AO102" s="106">
        <v>9696</v>
      </c>
      <c r="AP102" s="106">
        <v>7</v>
      </c>
      <c r="AQ102" s="106">
        <v>13574.399999999998</v>
      </c>
      <c r="AR102" s="106">
        <v>4</v>
      </c>
      <c r="AS102" s="106">
        <v>7756.7999999999993</v>
      </c>
      <c r="AT102" s="106">
        <v>3</v>
      </c>
      <c r="AU102" s="106">
        <v>5817.5999999999995</v>
      </c>
      <c r="AV102" s="106">
        <v>3</v>
      </c>
      <c r="AW102" s="106">
        <v>5817.5999999999995</v>
      </c>
      <c r="AX102" s="106">
        <v>4</v>
      </c>
      <c r="AY102" s="106">
        <v>7756.7999999999993</v>
      </c>
      <c r="AZ102" s="106">
        <v>9</v>
      </c>
      <c r="BA102" s="106">
        <v>17452.8</v>
      </c>
      <c r="BB102" s="106">
        <v>6</v>
      </c>
      <c r="BC102" s="106">
        <v>11635.199999999999</v>
      </c>
      <c r="BD102" s="106">
        <v>6</v>
      </c>
      <c r="BE102" s="106">
        <v>11635.199999999999</v>
      </c>
      <c r="BF102" s="106">
        <v>6</v>
      </c>
      <c r="BG102" s="106">
        <v>11635.199999999999</v>
      </c>
      <c r="BH102" s="106">
        <v>8</v>
      </c>
      <c r="BI102" s="106">
        <v>15513.599999999999</v>
      </c>
      <c r="BJ102" s="106">
        <v>7</v>
      </c>
      <c r="BK102" s="106">
        <v>13574.399999999998</v>
      </c>
      <c r="BL102" s="106">
        <v>8</v>
      </c>
      <c r="BM102" s="106">
        <v>15513.599999999999</v>
      </c>
      <c r="BN102" s="106">
        <v>8</v>
      </c>
      <c r="BO102" s="106">
        <v>15513.599999999999</v>
      </c>
      <c r="BP102" s="106">
        <v>4</v>
      </c>
      <c r="BQ102" s="106">
        <v>7756.7999999999993</v>
      </c>
      <c r="BR102" s="106">
        <v>4</v>
      </c>
      <c r="BS102" s="106">
        <v>7756.7999999999993</v>
      </c>
      <c r="BT102" s="106">
        <v>4</v>
      </c>
      <c r="BU102" s="106">
        <v>7756.7999999999993</v>
      </c>
      <c r="BV102" s="106">
        <v>4</v>
      </c>
      <c r="BW102" s="106">
        <v>7756.7999999999993</v>
      </c>
      <c r="BX102" s="106">
        <v>7</v>
      </c>
      <c r="BY102" s="106">
        <v>13574.399999999998</v>
      </c>
      <c r="BZ102" s="106">
        <v>8</v>
      </c>
      <c r="CA102" s="106">
        <v>15513.599999999999</v>
      </c>
      <c r="CB102" s="106">
        <v>7</v>
      </c>
      <c r="CC102" s="106">
        <v>13574.399999999998</v>
      </c>
      <c r="CD102" s="106">
        <v>9</v>
      </c>
      <c r="CE102" s="106">
        <v>17452.8</v>
      </c>
      <c r="CF102" s="106">
        <v>5</v>
      </c>
      <c r="CG102" s="106">
        <v>9696</v>
      </c>
      <c r="CH102" s="106">
        <v>4</v>
      </c>
      <c r="CI102" s="106">
        <v>7756.7999999999993</v>
      </c>
      <c r="CJ102" s="106">
        <v>6</v>
      </c>
      <c r="CK102" s="106">
        <v>11635.199999999999</v>
      </c>
      <c r="CL102" s="106">
        <v>6</v>
      </c>
      <c r="CM102" s="106">
        <v>11635.199999999999</v>
      </c>
      <c r="CN102" s="106">
        <v>10</v>
      </c>
      <c r="CO102" s="106">
        <v>19392</v>
      </c>
      <c r="CP102" s="106">
        <v>11</v>
      </c>
      <c r="CQ102" s="106">
        <v>21331.199999999997</v>
      </c>
      <c r="CR102" s="106">
        <v>8</v>
      </c>
      <c r="CS102" s="106">
        <v>15513.599999999999</v>
      </c>
      <c r="CT102" s="106">
        <v>11</v>
      </c>
      <c r="CU102" s="106">
        <v>21331.199999999997</v>
      </c>
    </row>
    <row r="103" spans="2:99" x14ac:dyDescent="0.2">
      <c r="C103" s="105" t="s">
        <v>269</v>
      </c>
      <c r="D103" s="106">
        <v>12</v>
      </c>
      <c r="E103" s="106">
        <v>24336</v>
      </c>
      <c r="F103" s="106">
        <v>12</v>
      </c>
      <c r="G103" s="106">
        <v>24336</v>
      </c>
      <c r="H103" s="106">
        <v>9</v>
      </c>
      <c r="I103" s="106">
        <v>18252</v>
      </c>
      <c r="J103" s="106">
        <v>11</v>
      </c>
      <c r="K103" s="106">
        <v>22308</v>
      </c>
      <c r="L103" s="106">
        <v>26</v>
      </c>
      <c r="M103" s="106">
        <v>52728</v>
      </c>
      <c r="N103" s="106">
        <v>23</v>
      </c>
      <c r="O103" s="106">
        <v>46644</v>
      </c>
      <c r="P103" s="106">
        <v>24</v>
      </c>
      <c r="Q103" s="106">
        <v>48672</v>
      </c>
      <c r="R103" s="106">
        <v>29</v>
      </c>
      <c r="S103" s="106">
        <v>58812</v>
      </c>
      <c r="T103" s="106">
        <v>16</v>
      </c>
      <c r="U103" s="106">
        <v>32448</v>
      </c>
      <c r="V103" s="106">
        <v>16</v>
      </c>
      <c r="W103" s="106">
        <v>32448</v>
      </c>
      <c r="X103" s="106">
        <v>9</v>
      </c>
      <c r="Y103" s="106">
        <v>18252</v>
      </c>
      <c r="Z103" s="106">
        <v>12</v>
      </c>
      <c r="AA103" s="106">
        <v>24336</v>
      </c>
      <c r="AB103" s="106">
        <v>6</v>
      </c>
      <c r="AC103" s="106">
        <v>12168</v>
      </c>
      <c r="AD103" s="106">
        <v>5</v>
      </c>
      <c r="AE103" s="106">
        <v>10140</v>
      </c>
      <c r="AF103" s="106">
        <v>6</v>
      </c>
      <c r="AG103" s="106">
        <v>12168</v>
      </c>
      <c r="AH103" s="106">
        <v>5</v>
      </c>
      <c r="AI103" s="106">
        <v>10140</v>
      </c>
      <c r="AJ103" s="106">
        <v>9</v>
      </c>
      <c r="AK103" s="106">
        <v>18252</v>
      </c>
      <c r="AL103" s="106">
        <v>7</v>
      </c>
      <c r="AM103" s="106">
        <v>14196</v>
      </c>
      <c r="AN103" s="106">
        <v>5</v>
      </c>
      <c r="AO103" s="106">
        <v>10140</v>
      </c>
      <c r="AP103" s="106">
        <v>8</v>
      </c>
      <c r="AQ103" s="106">
        <v>16224</v>
      </c>
      <c r="AR103" s="106">
        <v>5</v>
      </c>
      <c r="AS103" s="106">
        <v>10140</v>
      </c>
      <c r="AT103" s="106">
        <v>3</v>
      </c>
      <c r="AU103" s="106">
        <v>6084</v>
      </c>
      <c r="AV103" s="106">
        <v>4</v>
      </c>
      <c r="AW103" s="106">
        <v>8112</v>
      </c>
      <c r="AX103" s="106">
        <v>4</v>
      </c>
      <c r="AY103" s="106">
        <v>8112</v>
      </c>
      <c r="AZ103" s="106">
        <v>9</v>
      </c>
      <c r="BA103" s="106">
        <v>18252</v>
      </c>
      <c r="BB103" s="106">
        <v>6</v>
      </c>
      <c r="BC103" s="106">
        <v>12168</v>
      </c>
      <c r="BD103" s="106">
        <v>6</v>
      </c>
      <c r="BE103" s="106">
        <v>12168</v>
      </c>
      <c r="BF103" s="106">
        <v>7</v>
      </c>
      <c r="BG103" s="106">
        <v>14196</v>
      </c>
      <c r="BH103" s="106">
        <v>9</v>
      </c>
      <c r="BI103" s="106">
        <v>18252</v>
      </c>
      <c r="BJ103" s="106">
        <v>7</v>
      </c>
      <c r="BK103" s="106">
        <v>14196</v>
      </c>
      <c r="BL103" s="106">
        <v>7</v>
      </c>
      <c r="BM103" s="106">
        <v>14196</v>
      </c>
      <c r="BN103" s="106">
        <v>8</v>
      </c>
      <c r="BO103" s="106">
        <v>16224</v>
      </c>
      <c r="BP103" s="106">
        <v>4</v>
      </c>
      <c r="BQ103" s="106">
        <v>8112</v>
      </c>
      <c r="BR103" s="106">
        <v>4</v>
      </c>
      <c r="BS103" s="106">
        <v>8112</v>
      </c>
      <c r="BT103" s="106">
        <v>4</v>
      </c>
      <c r="BU103" s="106">
        <v>8112</v>
      </c>
      <c r="BV103" s="106">
        <v>4</v>
      </c>
      <c r="BW103" s="106">
        <v>8112</v>
      </c>
      <c r="BX103" s="106">
        <v>7</v>
      </c>
      <c r="BY103" s="106">
        <v>14196</v>
      </c>
      <c r="BZ103" s="106">
        <v>9</v>
      </c>
      <c r="CA103" s="106">
        <v>18252</v>
      </c>
      <c r="CB103" s="106">
        <v>7</v>
      </c>
      <c r="CC103" s="106">
        <v>14196</v>
      </c>
      <c r="CD103" s="106">
        <v>9</v>
      </c>
      <c r="CE103" s="106">
        <v>18252</v>
      </c>
      <c r="CF103" s="106">
        <v>5</v>
      </c>
      <c r="CG103" s="106">
        <v>10140</v>
      </c>
      <c r="CH103" s="106">
        <v>4</v>
      </c>
      <c r="CI103" s="106">
        <v>8112</v>
      </c>
      <c r="CJ103" s="106">
        <v>6</v>
      </c>
      <c r="CK103" s="106">
        <v>12168</v>
      </c>
      <c r="CL103" s="106">
        <v>7</v>
      </c>
      <c r="CM103" s="106">
        <v>14196</v>
      </c>
      <c r="CN103" s="106">
        <v>10</v>
      </c>
      <c r="CO103" s="106">
        <v>20280</v>
      </c>
      <c r="CP103" s="106">
        <v>11</v>
      </c>
      <c r="CQ103" s="106">
        <v>22308</v>
      </c>
      <c r="CR103" s="106">
        <v>8</v>
      </c>
      <c r="CS103" s="106">
        <v>16224</v>
      </c>
      <c r="CT103" s="106">
        <v>11</v>
      </c>
      <c r="CU103" s="106">
        <v>22308</v>
      </c>
    </row>
    <row r="104" spans="2:99" x14ac:dyDescent="0.2">
      <c r="C104" s="105" t="s">
        <v>270</v>
      </c>
      <c r="D104" s="106">
        <v>14</v>
      </c>
      <c r="E104" s="106">
        <v>29013.600000000002</v>
      </c>
      <c r="F104" s="106">
        <v>11</v>
      </c>
      <c r="G104" s="106">
        <v>22796.400000000001</v>
      </c>
      <c r="H104" s="106">
        <v>11</v>
      </c>
      <c r="I104" s="106">
        <v>22796.400000000001</v>
      </c>
      <c r="J104" s="106">
        <v>9</v>
      </c>
      <c r="K104" s="106">
        <v>18651.600000000002</v>
      </c>
      <c r="L104" s="106">
        <v>29</v>
      </c>
      <c r="M104" s="106">
        <v>60099.600000000006</v>
      </c>
      <c r="N104" s="106">
        <v>23</v>
      </c>
      <c r="O104" s="106">
        <v>47665.200000000004</v>
      </c>
      <c r="P104" s="106">
        <v>25</v>
      </c>
      <c r="Q104" s="106">
        <v>51810</v>
      </c>
      <c r="R104" s="106">
        <v>30</v>
      </c>
      <c r="S104" s="106">
        <v>62172</v>
      </c>
      <c r="T104" s="106">
        <v>16</v>
      </c>
      <c r="U104" s="106">
        <v>33158.400000000001</v>
      </c>
      <c r="V104" s="106">
        <v>17</v>
      </c>
      <c r="W104" s="106">
        <v>35230.800000000003</v>
      </c>
      <c r="X104" s="106">
        <v>9</v>
      </c>
      <c r="Y104" s="106">
        <v>18651.600000000002</v>
      </c>
      <c r="Z104" s="106">
        <v>12</v>
      </c>
      <c r="AA104" s="106">
        <v>24868.800000000003</v>
      </c>
      <c r="AB104" s="106">
        <v>6</v>
      </c>
      <c r="AC104" s="106">
        <v>12434.400000000001</v>
      </c>
      <c r="AD104" s="106">
        <v>4</v>
      </c>
      <c r="AE104" s="106">
        <v>8289.6</v>
      </c>
      <c r="AF104" s="106">
        <v>5</v>
      </c>
      <c r="AG104" s="106">
        <v>10362</v>
      </c>
      <c r="AH104" s="106">
        <v>5</v>
      </c>
      <c r="AI104" s="106">
        <v>10362</v>
      </c>
      <c r="AJ104" s="106">
        <v>9</v>
      </c>
      <c r="AK104" s="106">
        <v>18651.600000000002</v>
      </c>
      <c r="AL104" s="106">
        <v>7</v>
      </c>
      <c r="AM104" s="106">
        <v>14506.800000000001</v>
      </c>
      <c r="AN104" s="106">
        <v>5</v>
      </c>
      <c r="AO104" s="106">
        <v>10362</v>
      </c>
      <c r="AP104" s="106">
        <v>8</v>
      </c>
      <c r="AQ104" s="106">
        <v>16579.2</v>
      </c>
      <c r="AR104" s="106">
        <v>5</v>
      </c>
      <c r="AS104" s="106">
        <v>10362</v>
      </c>
      <c r="AT104" s="106">
        <v>3</v>
      </c>
      <c r="AU104" s="106">
        <v>6217.2000000000007</v>
      </c>
      <c r="AV104" s="106">
        <v>3</v>
      </c>
      <c r="AW104" s="106">
        <v>6217.2000000000007</v>
      </c>
      <c r="AX104" s="106">
        <v>4</v>
      </c>
      <c r="AY104" s="106">
        <v>8289.6</v>
      </c>
      <c r="AZ104" s="106">
        <v>8</v>
      </c>
      <c r="BA104" s="106">
        <v>16579.2</v>
      </c>
      <c r="BB104" s="106">
        <v>6</v>
      </c>
      <c r="BC104" s="106">
        <v>12434.400000000001</v>
      </c>
      <c r="BD104" s="106">
        <v>6</v>
      </c>
      <c r="BE104" s="106">
        <v>12434.400000000001</v>
      </c>
      <c r="BF104" s="106">
        <v>7</v>
      </c>
      <c r="BG104" s="106">
        <v>14506.800000000001</v>
      </c>
      <c r="BH104" s="106">
        <v>8</v>
      </c>
      <c r="BI104" s="106">
        <v>16579.2</v>
      </c>
      <c r="BJ104" s="106">
        <v>7</v>
      </c>
      <c r="BK104" s="106">
        <v>14506.800000000001</v>
      </c>
      <c r="BL104" s="106">
        <v>7</v>
      </c>
      <c r="BM104" s="106">
        <v>14506.800000000001</v>
      </c>
      <c r="BN104" s="106">
        <v>7</v>
      </c>
      <c r="BO104" s="106">
        <v>14506.800000000001</v>
      </c>
      <c r="BP104" s="106">
        <v>5</v>
      </c>
      <c r="BQ104" s="106">
        <v>10362</v>
      </c>
      <c r="BR104" s="106">
        <v>4</v>
      </c>
      <c r="BS104" s="106">
        <v>8289.6</v>
      </c>
      <c r="BT104" s="106">
        <v>4</v>
      </c>
      <c r="BU104" s="106">
        <v>8289.6</v>
      </c>
      <c r="BV104" s="106">
        <v>4</v>
      </c>
      <c r="BW104" s="106">
        <v>8289.6</v>
      </c>
      <c r="BX104" s="106">
        <v>7</v>
      </c>
      <c r="BY104" s="106">
        <v>14506.800000000001</v>
      </c>
      <c r="BZ104" s="106">
        <v>9</v>
      </c>
      <c r="CA104" s="106">
        <v>18651.600000000002</v>
      </c>
      <c r="CB104" s="106">
        <v>7</v>
      </c>
      <c r="CC104" s="106">
        <v>14506.800000000001</v>
      </c>
      <c r="CD104" s="106">
        <v>9</v>
      </c>
      <c r="CE104" s="106">
        <v>18651.600000000002</v>
      </c>
      <c r="CF104" s="106">
        <v>5</v>
      </c>
      <c r="CG104" s="106">
        <v>10362</v>
      </c>
      <c r="CH104" s="106">
        <v>3</v>
      </c>
      <c r="CI104" s="106">
        <v>6217.2000000000007</v>
      </c>
      <c r="CJ104" s="106">
        <v>5</v>
      </c>
      <c r="CK104" s="106">
        <v>10362</v>
      </c>
      <c r="CL104" s="106">
        <v>6</v>
      </c>
      <c r="CM104" s="106">
        <v>12434.400000000001</v>
      </c>
      <c r="CN104" s="106">
        <v>9</v>
      </c>
      <c r="CO104" s="106">
        <v>18651.600000000002</v>
      </c>
      <c r="CP104" s="106">
        <v>12</v>
      </c>
      <c r="CQ104" s="106">
        <v>24868.800000000003</v>
      </c>
      <c r="CR104" s="106">
        <v>8</v>
      </c>
      <c r="CS104" s="106">
        <v>16579.2</v>
      </c>
      <c r="CT104" s="106">
        <v>11</v>
      </c>
      <c r="CU104" s="106">
        <v>22796.400000000001</v>
      </c>
    </row>
    <row r="105" spans="2:99" x14ac:dyDescent="0.2">
      <c r="C105" s="105" t="s">
        <v>271</v>
      </c>
      <c r="D105" s="106">
        <v>12</v>
      </c>
      <c r="E105" s="106">
        <v>23976</v>
      </c>
      <c r="F105" s="106">
        <v>12</v>
      </c>
      <c r="G105" s="106">
        <v>23976</v>
      </c>
      <c r="H105" s="106">
        <v>11</v>
      </c>
      <c r="I105" s="106">
        <v>21978</v>
      </c>
      <c r="J105" s="106">
        <v>9</v>
      </c>
      <c r="K105" s="106">
        <v>17982</v>
      </c>
      <c r="L105" s="106">
        <v>28</v>
      </c>
      <c r="M105" s="106">
        <v>55944</v>
      </c>
      <c r="N105" s="106">
        <v>26</v>
      </c>
      <c r="O105" s="106">
        <v>51948</v>
      </c>
      <c r="P105" s="106">
        <v>26</v>
      </c>
      <c r="Q105" s="106">
        <v>51948</v>
      </c>
      <c r="R105" s="106">
        <v>28</v>
      </c>
      <c r="S105" s="106">
        <v>55944</v>
      </c>
      <c r="T105" s="106">
        <v>16</v>
      </c>
      <c r="U105" s="106">
        <v>31968</v>
      </c>
      <c r="V105" s="106">
        <v>15</v>
      </c>
      <c r="W105" s="106">
        <v>29970</v>
      </c>
      <c r="X105" s="106">
        <v>9</v>
      </c>
      <c r="Y105" s="106">
        <v>17982</v>
      </c>
      <c r="Z105" s="106">
        <v>13</v>
      </c>
      <c r="AA105" s="106">
        <v>25974</v>
      </c>
      <c r="AB105" s="106">
        <v>6</v>
      </c>
      <c r="AC105" s="106">
        <v>11988</v>
      </c>
      <c r="AD105" s="106">
        <v>4</v>
      </c>
      <c r="AE105" s="106">
        <v>7992</v>
      </c>
      <c r="AF105" s="106">
        <v>5</v>
      </c>
      <c r="AG105" s="106">
        <v>9990</v>
      </c>
      <c r="AH105" s="106">
        <v>5</v>
      </c>
      <c r="AI105" s="106">
        <v>9990</v>
      </c>
      <c r="AJ105" s="106">
        <v>9</v>
      </c>
      <c r="AK105" s="106">
        <v>17982</v>
      </c>
      <c r="AL105" s="106">
        <v>7</v>
      </c>
      <c r="AM105" s="106">
        <v>13986</v>
      </c>
      <c r="AN105" s="106">
        <v>5</v>
      </c>
      <c r="AO105" s="106">
        <v>9990</v>
      </c>
      <c r="AP105" s="106">
        <v>8</v>
      </c>
      <c r="AQ105" s="106">
        <v>15984</v>
      </c>
      <c r="AR105" s="106">
        <v>4</v>
      </c>
      <c r="AS105" s="106">
        <v>7992</v>
      </c>
      <c r="AT105" s="106">
        <v>3</v>
      </c>
      <c r="AU105" s="106">
        <v>5994</v>
      </c>
      <c r="AV105" s="106">
        <v>3</v>
      </c>
      <c r="AW105" s="106">
        <v>5994</v>
      </c>
      <c r="AX105" s="106">
        <v>4</v>
      </c>
      <c r="AY105" s="106">
        <v>7992</v>
      </c>
      <c r="AZ105" s="106">
        <v>9</v>
      </c>
      <c r="BA105" s="106">
        <v>17982</v>
      </c>
      <c r="BB105" s="106">
        <v>7</v>
      </c>
      <c r="BC105" s="106">
        <v>13986</v>
      </c>
      <c r="BD105" s="106">
        <v>7</v>
      </c>
      <c r="BE105" s="106">
        <v>13986</v>
      </c>
      <c r="BF105" s="106">
        <v>6</v>
      </c>
      <c r="BG105" s="106">
        <v>11988</v>
      </c>
      <c r="BH105" s="106">
        <v>8</v>
      </c>
      <c r="BI105" s="106">
        <v>15984</v>
      </c>
      <c r="BJ105" s="106">
        <v>8</v>
      </c>
      <c r="BK105" s="106">
        <v>15984</v>
      </c>
      <c r="BL105" s="106">
        <v>7</v>
      </c>
      <c r="BM105" s="106">
        <v>13986</v>
      </c>
      <c r="BN105" s="106">
        <v>7</v>
      </c>
      <c r="BO105" s="106">
        <v>13986</v>
      </c>
      <c r="BP105" s="106">
        <v>4</v>
      </c>
      <c r="BQ105" s="106">
        <v>7992</v>
      </c>
      <c r="BR105" s="106">
        <v>4</v>
      </c>
      <c r="BS105" s="106">
        <v>7992</v>
      </c>
      <c r="BT105" s="106">
        <v>4</v>
      </c>
      <c r="BU105" s="106">
        <v>7992</v>
      </c>
      <c r="BV105" s="106">
        <v>4</v>
      </c>
      <c r="BW105" s="106">
        <v>7992</v>
      </c>
      <c r="BX105" s="106">
        <v>6</v>
      </c>
      <c r="BY105" s="106">
        <v>11988</v>
      </c>
      <c r="BZ105" s="106">
        <v>9</v>
      </c>
      <c r="CA105" s="106">
        <v>17982</v>
      </c>
      <c r="CB105" s="106">
        <v>7</v>
      </c>
      <c r="CC105" s="106">
        <v>13986</v>
      </c>
      <c r="CD105" s="106">
        <v>9</v>
      </c>
      <c r="CE105" s="106">
        <v>17982</v>
      </c>
      <c r="CF105" s="106">
        <v>5</v>
      </c>
      <c r="CG105" s="106">
        <v>9990</v>
      </c>
      <c r="CH105" s="106">
        <v>4</v>
      </c>
      <c r="CI105" s="106">
        <v>7992</v>
      </c>
      <c r="CJ105" s="106">
        <v>5</v>
      </c>
      <c r="CK105" s="106">
        <v>9990</v>
      </c>
      <c r="CL105" s="106">
        <v>6</v>
      </c>
      <c r="CM105" s="106">
        <v>11988</v>
      </c>
      <c r="CN105" s="106">
        <v>9</v>
      </c>
      <c r="CO105" s="106">
        <v>17982</v>
      </c>
      <c r="CP105" s="106">
        <v>11</v>
      </c>
      <c r="CQ105" s="106">
        <v>21978</v>
      </c>
      <c r="CR105" s="106">
        <v>9</v>
      </c>
      <c r="CS105" s="106">
        <v>17982</v>
      </c>
      <c r="CT105" s="106">
        <v>10</v>
      </c>
      <c r="CU105" s="106">
        <v>19980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37</v>
      </c>
      <c r="E112" s="106">
        <f>SUM(L$49:L$70)+SUM(N$49:N$70)+SUM(P$49:P$70)+SUM(R$49:R$70)</f>
        <v>45</v>
      </c>
      <c r="F112" s="106">
        <f>SUM(T$49:T$70)+SUM(V$49:V$70)+SUM(X$49:X$70)+SUM(Z$49:Z$70)</f>
        <v>563</v>
      </c>
      <c r="G112" s="106">
        <f>SUM(AB$49:AB$70)+SUM(AD$49:AD$70)+SUM(AF$49:AF$70)+SUM(AH$49:AH$70)</f>
        <v>104</v>
      </c>
      <c r="H112" s="106">
        <f>SUM(AJ$49:AJ$70)+SUM(AL$49:AL$70)+SUM(AN$49:AN$70)+SUM(AP$49:AP$70)</f>
        <v>154</v>
      </c>
      <c r="I112" s="106">
        <f>SUM(AR$49:AR$70)+SUM(AT$49:AT$70)+SUM(AV$49:AV$70)+SUM(AX$49:AX$70)</f>
        <v>43</v>
      </c>
      <c r="J112" s="106">
        <f>SUM(AZ$49:AZ$70)+SUM(BB$49:BB$70)+SUM(BD$49:BD$70)+SUM(BF$49:BF$70)</f>
        <v>48</v>
      </c>
      <c r="K112" s="106">
        <f>SUM(BH$49:BH$70)+SUM(BJ$49:BJ$70)+SUM(BL$49:BL$70)+SUM(BN$49:BN$70)</f>
        <v>58</v>
      </c>
      <c r="L112" s="106">
        <f>SUM(BP$49:BP$70)+SUM(BR$49:BR$70)+SUM(BT$49:BT$70)+SUM(BV$49:BV$70)</f>
        <v>139</v>
      </c>
      <c r="M112" s="106">
        <f>SUM(BX$49:BX$70)+SUM(BZ$49:BZ$70)+SUM(CB$49:CB$70)+SUM(CD$49:CD$70)</f>
        <v>40</v>
      </c>
      <c r="N112" s="106">
        <f>SUM(CF$49:CF$70)+SUM(CH$49:CH$70)+SUM(CJ$49:CJ$70)+SUM(CL$49:CL$70)</f>
        <v>584</v>
      </c>
      <c r="O112" s="106">
        <f>SUM(CN$49:CN$70)+SUM(CP$49:CP$70)+SUM(CR$49:CR$70)+SUM(CT$49:CT$70)</f>
        <v>89</v>
      </c>
    </row>
    <row r="113" spans="2:15" x14ac:dyDescent="0.2">
      <c r="C113" s="105" t="s">
        <v>130</v>
      </c>
      <c r="D113" s="106">
        <f>SUM(D$71:D$86)+SUM(F$71:F$86)+SUM(H$71:H$86)+SUM(J$71:J$86)</f>
        <v>1519</v>
      </c>
      <c r="E113" s="106">
        <f>SUM(L$71:L$86)+SUM(N$71:N$86)+SUM(P$71:P$86)+SUM(R$71:R$86)</f>
        <v>1415</v>
      </c>
      <c r="F113" s="106">
        <f>SUM(T$71:T$86)+SUM(V$71:V$86)+SUM(X$71:X$86)+SUM(Z$71:Z$86)</f>
        <v>864</v>
      </c>
      <c r="G113" s="106">
        <f>SUM(AB$71:AB$86)+SUM(AD$71:AD$86)+SUM(AF$71:AF$86)+SUM(AH$71:AH$86)</f>
        <v>762</v>
      </c>
      <c r="H113" s="106">
        <f>SUM(AJ$71:AJ$86)+SUM(AL$71:AL$86)+SUM(AN$71:AN$86)+SUM(AP$71:AP$86)</f>
        <v>1572</v>
      </c>
      <c r="I113" s="106">
        <f>SUM(AR$71:AR$86)+SUM(AT$71:AT$86)+SUM(AV$71:AV$86)+SUM(AX$71:AX$86)</f>
        <v>2098</v>
      </c>
      <c r="J113" s="106">
        <f>SUM(AZ$71:AZ$86)+SUM(BB$71:BB$86)+SUM(BD$71:BD$86)+SUM(BF$71:BF$86)</f>
        <v>176</v>
      </c>
      <c r="K113" s="106">
        <f>SUM(BH$71:BH$86)+SUM(BJ$71:BJ$86)+SUM(BL$71:BL$86)+SUM(BN$71:BN$86)</f>
        <v>199</v>
      </c>
      <c r="L113" s="106">
        <f>SUM(BP$71:BP$86)+SUM(BR$71:BR$86)+SUM(BT$71:BT$86)+SUM(BV$71:BV$86)</f>
        <v>232</v>
      </c>
      <c r="M113" s="106">
        <f>SUM(BX$71:BX$86)+SUM(BZ$71:BZ$86)+SUM(CB$71:CB$86)+SUM(CD$71:CD$86)</f>
        <v>1305</v>
      </c>
      <c r="N113" s="106">
        <f>SUM(CF$71:CF$86)+SUM(CH$71:CH$86)+SUM(CJ$71:CJ$86)+SUM(CL$71:CL$86)</f>
        <v>144</v>
      </c>
      <c r="O113" s="106">
        <f>SUM(CN$71:CN$86)+SUM(CP$71:CP$86)+SUM(CR$71:CR$86)+SUM(CT$71:CT$86)</f>
        <v>283</v>
      </c>
    </row>
    <row r="114" spans="2:15" x14ac:dyDescent="0.2">
      <c r="C114" s="105" t="s">
        <v>131</v>
      </c>
      <c r="D114" s="106">
        <f>SUM(D$87:D$94)+SUM(F$87:F$94)+SUM(H$87:H$94)+SUM(J$87:J$94)</f>
        <v>138</v>
      </c>
      <c r="E114" s="106">
        <f>SUM(L$87:L$94)+SUM(N$87:N$94)+SUM(P$87:P$94)+SUM(R$87:R$94)</f>
        <v>187</v>
      </c>
      <c r="F114" s="106">
        <f>SUM(T$87:T$94)+SUM(V$87:V$94)+SUM(X$87:X$94)+SUM(Z$87:Z$94)</f>
        <v>239</v>
      </c>
      <c r="G114" s="106">
        <f>SUM(AB$87:AB$94)+SUM(AD$87:AD$94)+SUM(AF$87:AF$94)+SUM(AH$87:AH$94)</f>
        <v>407</v>
      </c>
      <c r="H114" s="106">
        <f>SUM(AJ$87:AJ$94)+SUM(AL$87:AL$94)+SUM(AN$87:AN$94)+SUM(AP$87:AP$94)</f>
        <v>358</v>
      </c>
      <c r="I114" s="106">
        <f>SUM(AR$87:AR$94)+SUM(AT$87:AT$94)+SUM(AV$87:AV$94)+SUM(AX$87:AX$94)</f>
        <v>557</v>
      </c>
      <c r="J114" s="106">
        <f>SUM(AZ$87:AZ$94)+SUM(BB$87:BB$94)+SUM(BD$87:BD$94)+SUM(BF$87:BF$94)</f>
        <v>119</v>
      </c>
      <c r="K114" s="106">
        <f>SUM(BH$87:BH$94)+SUM(BJ$87:BJ$94)+SUM(BL$87:BL$94)+SUM(BN$87:BN$94)</f>
        <v>281</v>
      </c>
      <c r="L114" s="106">
        <f>SUM(BP$87:BP$94)+SUM(BR$87:BR$94)+SUM(BT$87:BT$94)+SUM(BV$87:BV$94)</f>
        <v>497</v>
      </c>
      <c r="M114" s="106">
        <f>SUM(BX$87:BX$94)+SUM(BZ$87:BZ$94)+SUM(CB$87:CB$94)+SUM(CD$87:CD$94)</f>
        <v>303</v>
      </c>
      <c r="N114" s="106">
        <f>SUM(CF$87:CF$94)+SUM(CH$87:CH$94)+SUM(CJ$87:CJ$94)+SUM(CL$87:CL$94)</f>
        <v>132</v>
      </c>
      <c r="O114" s="106">
        <f>SUM(CN$87:CN$94)+SUM(CP$87:CP$94)+SUM(CR$87:CR$94)+SUM(CT$87:CT$94)</f>
        <v>105</v>
      </c>
    </row>
    <row r="115" spans="2:15" x14ac:dyDescent="0.2">
      <c r="C115" s="105" t="s">
        <v>132</v>
      </c>
      <c r="D115" s="106">
        <f>SUM(D$95:D$105)+SUM(F$95:F$105)+SUM(H$95:H$105)+SUM(J$95:J$105)</f>
        <v>500</v>
      </c>
      <c r="E115" s="106">
        <f>SUM(L$95:L$105)+SUM(N$95:N$105)+SUM(P$95:P$105)+SUM(R$95:R$105)</f>
        <v>1202</v>
      </c>
      <c r="F115" s="106">
        <f>SUM(T$95:T$105)+SUM(V$95:V$105)+SUM(X$95:X$105)+SUM(Z$95:Z$105)</f>
        <v>598</v>
      </c>
      <c r="G115" s="106">
        <f>SUM(AB$95:AB$105)+SUM(AD$95:AD$105)+SUM(AF$95:AF$105)+SUM(AH$95:AH$105)</f>
        <v>230</v>
      </c>
      <c r="H115" s="106">
        <f>SUM(AJ$95:AJ$105)+SUM(AL$95:AL$105)+SUM(AN$95:AN$105)+SUM(AP$95:AP$105)</f>
        <v>325</v>
      </c>
      <c r="I115" s="106">
        <f>SUM(AR$95:AR$105)+SUM(AT$95:AT$105)+SUM(AV$95:AV$105)+SUM(AX$95:AX$105)</f>
        <v>162</v>
      </c>
      <c r="J115" s="106">
        <f>SUM(AZ$95:AZ$105)+SUM(BB$95:BB$105)+SUM(BD$95:BD$105)+SUM(BF$95:BF$105)</f>
        <v>314</v>
      </c>
      <c r="K115" s="106">
        <f>SUM(BH$95:BH$105)+SUM(BJ$95:BJ$105)+SUM(BL$95:BL$105)+SUM(BN$95:BN$105)</f>
        <v>335</v>
      </c>
      <c r="L115" s="106">
        <f>SUM(BP$95:BP$105)+SUM(BR$95:BR$105)+SUM(BT$95:BT$105)+SUM(BV$95:BV$105)</f>
        <v>180</v>
      </c>
      <c r="M115" s="106">
        <f>SUM(BX$95:BX$105)+SUM(BZ$95:BZ$105)+SUM(CB$95:CB$105)+SUM(CD$95:CD$105)</f>
        <v>349</v>
      </c>
      <c r="N115" s="106">
        <f>SUM(CF$95:CF$105)+SUM(CH$95:CH$105)+SUM(CJ$95:CJ$105)+SUM(CL$95:CL$105)</f>
        <v>227</v>
      </c>
      <c r="O115" s="106">
        <f>SUM(CN$95:CN$105)+SUM(CP$95:CP$105)+SUM(CR$95:CR$105)+SUM(CT$95:CT$105)</f>
        <v>428</v>
      </c>
    </row>
    <row r="116" spans="2:15" x14ac:dyDescent="0.2">
      <c r="C116" s="105" t="s">
        <v>278</v>
      </c>
      <c r="D116" s="106">
        <f t="shared" ref="D116:O116" si="0">SUM(D$109:D$115)</f>
        <v>2194</v>
      </c>
      <c r="E116" s="106">
        <f t="shared" si="0"/>
        <v>2849</v>
      </c>
      <c r="F116" s="106">
        <f t="shared" si="0"/>
        <v>2264</v>
      </c>
      <c r="G116" s="106">
        <f t="shared" si="0"/>
        <v>1503</v>
      </c>
      <c r="H116" s="106">
        <f t="shared" si="0"/>
        <v>2409</v>
      </c>
      <c r="I116" s="106">
        <f t="shared" si="0"/>
        <v>2860</v>
      </c>
      <c r="J116" s="106">
        <f t="shared" si="0"/>
        <v>657</v>
      </c>
      <c r="K116" s="106">
        <f t="shared" si="0"/>
        <v>873</v>
      </c>
      <c r="L116" s="106">
        <f t="shared" si="0"/>
        <v>1048</v>
      </c>
      <c r="M116" s="106">
        <f t="shared" si="0"/>
        <v>1997</v>
      </c>
      <c r="N116" s="106">
        <f t="shared" si="0"/>
        <v>1087</v>
      </c>
      <c r="O116" s="106">
        <f t="shared" si="0"/>
        <v>905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0</v>
      </c>
      <c r="E120" s="106">
        <f>E109*pricing!E6*2000</f>
        <v>0</v>
      </c>
      <c r="F120" s="106">
        <f>F109*pricing!F6*2000</f>
        <v>0</v>
      </c>
      <c r="G120" s="106">
        <f>G109*pricing!G6*2000</f>
        <v>0</v>
      </c>
      <c r="H120" s="106">
        <f>H109*pricing!H6*2000</f>
        <v>0</v>
      </c>
      <c r="I120" s="106">
        <f>I109*pricing!I6*2000</f>
        <v>0</v>
      </c>
      <c r="J120" s="106">
        <f>J109*pricing!J6*2000</f>
        <v>0</v>
      </c>
      <c r="K120" s="106">
        <f>K109*pricing!K6*2000</f>
        <v>0</v>
      </c>
      <c r="L120" s="106">
        <f>L109*pricing!L6*2000</f>
        <v>0</v>
      </c>
      <c r="M120" s="106">
        <f>M109*pricing!M6*2000</f>
        <v>0</v>
      </c>
      <c r="N120" s="106">
        <f>N109*pricing!N6*2000</f>
        <v>0</v>
      </c>
      <c r="O120" s="106">
        <f>O109*pricing!O6*2000</f>
        <v>0</v>
      </c>
    </row>
    <row r="121" spans="2:15" x14ac:dyDescent="0.2">
      <c r="C121" s="105" t="s">
        <v>127</v>
      </c>
      <c r="D121" s="106">
        <f>D110*pricing!D7*2000</f>
        <v>0</v>
      </c>
      <c r="E121" s="106">
        <f>E110*pricing!E7*2000</f>
        <v>0</v>
      </c>
      <c r="F121" s="106">
        <f>F110*pricing!F7*2000</f>
        <v>0</v>
      </c>
      <c r="G121" s="106">
        <f>G110*pricing!G7*2000</f>
        <v>0</v>
      </c>
      <c r="H121" s="106">
        <f>H110*pricing!H7*2000</f>
        <v>0</v>
      </c>
      <c r="I121" s="106">
        <f>I110*pricing!I7*2000</f>
        <v>0</v>
      </c>
      <c r="J121" s="106">
        <f>J110*pricing!J7*2000</f>
        <v>0</v>
      </c>
      <c r="K121" s="106">
        <f>K110*pricing!K7*2000</f>
        <v>0</v>
      </c>
      <c r="L121" s="106">
        <f>L110*pricing!L7*2000</f>
        <v>0</v>
      </c>
      <c r="M121" s="106">
        <f>M110*pricing!M7*2000</f>
        <v>0</v>
      </c>
      <c r="N121" s="106">
        <f>N110*pricing!N7*2000</f>
        <v>0</v>
      </c>
      <c r="O121" s="106">
        <f>O110*pricing!O7*2000</f>
        <v>0</v>
      </c>
    </row>
    <row r="122" spans="2:15" x14ac:dyDescent="0.2">
      <c r="C122" s="105" t="s">
        <v>128</v>
      </c>
      <c r="D122" s="106">
        <f>D111*pricing!D8*2000</f>
        <v>0</v>
      </c>
      <c r="E122" s="106">
        <f>E111*pricing!E8*2000</f>
        <v>0</v>
      </c>
      <c r="F122" s="106">
        <f>F111*pricing!F8*2000</f>
        <v>0</v>
      </c>
      <c r="G122" s="106">
        <f>G111*pricing!G8*2000</f>
        <v>0</v>
      </c>
      <c r="H122" s="106">
        <f>H111*pricing!H8*2000</f>
        <v>0</v>
      </c>
      <c r="I122" s="106">
        <f>I111*pricing!I8*2000</f>
        <v>0</v>
      </c>
      <c r="J122" s="106">
        <f>J111*pricing!J8*2000</f>
        <v>0</v>
      </c>
      <c r="K122" s="106">
        <f>K111*pricing!K8*2000</f>
        <v>0</v>
      </c>
      <c r="L122" s="106">
        <f>L111*pricing!L8*2000</f>
        <v>0</v>
      </c>
      <c r="M122" s="106">
        <f>M111*pricing!M8*2000</f>
        <v>0</v>
      </c>
      <c r="N122" s="106">
        <f>N111*pricing!N8*2000</f>
        <v>0</v>
      </c>
      <c r="O122" s="106">
        <f>O111*pricing!O8*2000</f>
        <v>0</v>
      </c>
    </row>
    <row r="123" spans="2:15" x14ac:dyDescent="0.2">
      <c r="C123" s="105" t="s">
        <v>129</v>
      </c>
      <c r="D123" s="106">
        <f>D112*pricing!D9*2000</f>
        <v>247765.42983870243</v>
      </c>
      <c r="E123" s="106">
        <f>E112*pricing!E9*2000</f>
        <v>302552.93773875455</v>
      </c>
      <c r="F123" s="106">
        <f>F112*pricing!F9*2000</f>
        <v>1307476.406967958</v>
      </c>
      <c r="G123" s="106">
        <f>G112*pricing!G9*2000</f>
        <v>490582.02680189407</v>
      </c>
      <c r="H123" s="106">
        <f>H112*pricing!H9*2000</f>
        <v>599292.77337696438</v>
      </c>
      <c r="I123" s="106">
        <f>I112*pricing!I9*2000</f>
        <v>309165.2020111226</v>
      </c>
      <c r="J123" s="106">
        <f>J112*pricing!J9*2000</f>
        <v>317136.9120314389</v>
      </c>
      <c r="K123" s="106">
        <f>K112*pricing!K9*2000</f>
        <v>351213.46865097102</v>
      </c>
      <c r="L123" s="106">
        <f>L112*pricing!L9*2000</f>
        <v>633197.95412816945</v>
      </c>
      <c r="M123" s="106">
        <f>M112*pricing!M9*2000</f>
        <v>287427.54283930332</v>
      </c>
      <c r="N123" s="106">
        <f>N112*pricing!N9*2000</f>
        <v>1298952.4988650894</v>
      </c>
      <c r="O123" s="106">
        <f>O112*pricing!O9*2000</f>
        <v>464958.95910344203</v>
      </c>
    </row>
    <row r="124" spans="2:15" x14ac:dyDescent="0.2">
      <c r="C124" s="105" t="s">
        <v>130</v>
      </c>
      <c r="D124" s="106">
        <f>D113*pricing!D10*2000</f>
        <v>4076082.6018314436</v>
      </c>
      <c r="E124" s="106">
        <f>E113*pricing!E10*2000</f>
        <v>3778759.2567863013</v>
      </c>
      <c r="F124" s="106">
        <f>F113*pricing!F10*2000</f>
        <v>3030740.7075296505</v>
      </c>
      <c r="G124" s="106">
        <f>G113*pricing!G10*2000</f>
        <v>2945419.3618757562</v>
      </c>
      <c r="H124" s="106">
        <f>H113*pricing!H10*2000</f>
        <v>4428810.0273780432</v>
      </c>
      <c r="I124" s="106">
        <f>I113*pricing!I10*2000</f>
        <v>5110415.7898621317</v>
      </c>
      <c r="J124" s="106">
        <f>J113*pricing!J10*2000</f>
        <v>1157171.4860416742</v>
      </c>
      <c r="K124" s="106">
        <f>K113*pricing!K10*2000</f>
        <v>1391452.7743183342</v>
      </c>
      <c r="L124" s="106">
        <f>L113*pricing!L10*2000</f>
        <v>1430959.8776214921</v>
      </c>
      <c r="M124" s="106">
        <f>M113*pricing!M10*2000</f>
        <v>3839085.0029204488</v>
      </c>
      <c r="N124" s="106">
        <f>N113*pricing!N10*2000</f>
        <v>1023919.9250591893</v>
      </c>
      <c r="O124" s="106">
        <f>O113*pricing!O10*2000</f>
        <v>1606965.4631915013</v>
      </c>
    </row>
    <row r="125" spans="2:15" x14ac:dyDescent="0.2">
      <c r="C125" s="105" t="s">
        <v>131</v>
      </c>
      <c r="D125" s="106">
        <f>D114*pricing!D11*2000</f>
        <v>889697.37787607836</v>
      </c>
      <c r="E125" s="106">
        <f>E114*pricing!E11*2000</f>
        <v>938315.13281546766</v>
      </c>
      <c r="F125" s="106">
        <f>F114*pricing!F11*2000</f>
        <v>1191812.4123015434</v>
      </c>
      <c r="G125" s="106">
        <f>G114*pricing!G11*2000</f>
        <v>1599761.4144804296</v>
      </c>
      <c r="H125" s="106">
        <f>H114*pricing!H11*2000</f>
        <v>1541958.9227949656</v>
      </c>
      <c r="I125" s="106">
        <f>I114*pricing!I11*2000</f>
        <v>1791766.8881173008</v>
      </c>
      <c r="J125" s="106">
        <f>J114*pricing!J11*2000</f>
        <v>790427.37184559833</v>
      </c>
      <c r="K125" s="106">
        <f>K114*pricing!K11*2000</f>
        <v>1266765.9300921399</v>
      </c>
      <c r="L125" s="106">
        <f>L114*pricing!L11*2000</f>
        <v>1694262.5244169103</v>
      </c>
      <c r="M125" s="106">
        <f>M114*pricing!M11*2000</f>
        <v>1456606.1655779891</v>
      </c>
      <c r="N125" s="106">
        <f>N114*pricing!N11*2000</f>
        <v>836908.44381582632</v>
      </c>
      <c r="O125" s="106">
        <f>O114*pricing!O11*2000</f>
        <v>755365.67829593446</v>
      </c>
    </row>
    <row r="126" spans="2:15" x14ac:dyDescent="0.2">
      <c r="C126" s="105" t="s">
        <v>132</v>
      </c>
      <c r="D126" s="106">
        <f>D115*pricing!D12*2000</f>
        <v>1930653.7140339839</v>
      </c>
      <c r="E126" s="106">
        <f>E115*pricing!E12*2000</f>
        <v>3224120.5312069231</v>
      </c>
      <c r="F126" s="106">
        <f>F115*pricing!F12*2000</f>
        <v>2203988.8141646856</v>
      </c>
      <c r="G126" s="106">
        <f>G115*pricing!G12*2000</f>
        <v>1241116.1567093986</v>
      </c>
      <c r="H126" s="106">
        <f>H115*pricing!H12*2000</f>
        <v>1579657.1570368542</v>
      </c>
      <c r="I126" s="106">
        <f>I115*pricing!I12*2000</f>
        <v>1113763.4027217536</v>
      </c>
      <c r="J126" s="106">
        <f>J115*pricing!J12*2000</f>
        <v>1530236.029860931</v>
      </c>
      <c r="K126" s="106">
        <f>K115*pricing!K12*2000</f>
        <v>1591547.4486574747</v>
      </c>
      <c r="L126" s="106">
        <f>L115*pricing!L12*2000</f>
        <v>1204159.5871455739</v>
      </c>
      <c r="M126" s="106">
        <f>M115*pricing!M12*2000</f>
        <v>1608491.9128025968</v>
      </c>
      <c r="N126" s="106">
        <f>N115*pricing!N12*2000</f>
        <v>1352620.921457028</v>
      </c>
      <c r="O126" s="106">
        <f>O115*pricing!O12*2000</f>
        <v>2030237.396582067</v>
      </c>
    </row>
    <row r="127" spans="2:15" x14ac:dyDescent="0.2">
      <c r="C127" s="105" t="s">
        <v>278</v>
      </c>
      <c r="D127" s="106">
        <f t="shared" ref="D127:O127" si="1">SUM(D$120:D$126)</f>
        <v>7144199.123580208</v>
      </c>
      <c r="E127" s="106">
        <f t="shared" si="1"/>
        <v>8243747.8585474454</v>
      </c>
      <c r="F127" s="106">
        <f t="shared" si="1"/>
        <v>7734018.3409638368</v>
      </c>
      <c r="G127" s="106">
        <f t="shared" si="1"/>
        <v>6276878.9598674793</v>
      </c>
      <c r="H127" s="106">
        <f t="shared" si="1"/>
        <v>8149718.8805868272</v>
      </c>
      <c r="I127" s="106">
        <f t="shared" si="1"/>
        <v>8325111.2827123087</v>
      </c>
      <c r="J127" s="106">
        <f t="shared" si="1"/>
        <v>3794971.7997796424</v>
      </c>
      <c r="K127" s="106">
        <f t="shared" si="1"/>
        <v>4600979.6217189198</v>
      </c>
      <c r="L127" s="106">
        <f t="shared" si="1"/>
        <v>4962579.9433121458</v>
      </c>
      <c r="M127" s="106">
        <f t="shared" si="1"/>
        <v>7191610.624140338</v>
      </c>
      <c r="N127" s="106">
        <f t="shared" si="1"/>
        <v>4512401.7891971329</v>
      </c>
      <c r="O127" s="106">
        <f t="shared" si="1"/>
        <v>4857527.4971729442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40770</v>
      </c>
      <c r="E134" s="112">
        <f>SUM(M$49:M$70)+SUM(O$49:O$70)+SUM(Q$49:Q$70)+SUM(S$49:S$70)</f>
        <v>49532.399999999994</v>
      </c>
      <c r="F134" s="112">
        <f>SUM(U$49:U$70)+SUM(W$49:W$70)+SUM(Y$49:Y$70)+SUM(AA$49:AA$70)</f>
        <v>619942.79999999993</v>
      </c>
      <c r="G134" s="112">
        <f>SUM(AC$49:AC$70)+SUM(AE$49:AE$70)+SUM(AG$49:AG$70)+SUM(AI$49:AI$70)</f>
        <v>114645.6</v>
      </c>
      <c r="H134" s="112">
        <f>SUM(AK$49:AK$70)+SUM(AM$49:AM$70)+SUM(AO$49:AO$70)+SUM(AQ$49:AQ$70)</f>
        <v>169958.39999999999</v>
      </c>
      <c r="I134" s="112">
        <f>SUM(AS$49:AS$70)+SUM(AU$49:AU$70)+SUM(AW$49:AW$70)+SUM(AY$49:AY$70)</f>
        <v>47370</v>
      </c>
      <c r="J134" s="112">
        <f>SUM(BA$49:BA$70)+SUM(BC$49:BC$70)+SUM(BE$49:BE$70)+SUM(BG$49:BG$70)</f>
        <v>53011.199999999997</v>
      </c>
      <c r="K134" s="112">
        <f>SUM(BI$49:BI$70)+SUM(BK$49:BK$70)+SUM(BM$49:BM$70)+SUM(BO$49:BO$70)</f>
        <v>64101.600000000006</v>
      </c>
      <c r="L134" s="112">
        <f>SUM(BQ$49:BQ$70)+SUM(BS$49:BS$70)+SUM(BU$49:BU$70)+SUM(BW$49:BW$70)</f>
        <v>153366</v>
      </c>
      <c r="M134" s="112">
        <f>SUM(BY$49:BY$70)+SUM(CA$49:CA$70)+SUM(CC$49:CC$70)+SUM(CE$49:CE$70)</f>
        <v>44030.399999999994</v>
      </c>
      <c r="N134" s="112">
        <f>SUM(CG$49:CG$70)+SUM(CI$49:CI$70)+SUM(CK$49:CK$70)+SUM(CM$49:CM$70)</f>
        <v>644731.19999999995</v>
      </c>
      <c r="O134" s="112">
        <f>SUM(CO$49:CO$70)+SUM(CQ$49:CQ$70)+SUM(CS$49:CS$70)+SUM(CU$49:CU$70)</f>
        <v>98245.2</v>
      </c>
    </row>
    <row r="135" spans="2:15" x14ac:dyDescent="0.2">
      <c r="C135" s="111" t="s">
        <v>130</v>
      </c>
      <c r="D135" s="112">
        <f>SUM(E$71:E$86)+SUM(G$71:G$86)+SUM(I$71:I$86)+SUM(K$71:K$86)</f>
        <v>841418.39999999991</v>
      </c>
      <c r="E135" s="112">
        <f>SUM(M$71:M$86)+SUM(O$71:O$86)+SUM(Q$71:Q$86)+SUM(S$71:S$86)</f>
        <v>785234.4</v>
      </c>
      <c r="F135" s="112">
        <f>SUM(U$71:U$86)+SUM(W$71:W$86)+SUM(Y$71:Y$86)+SUM(AA$71:AA$86)</f>
        <v>479408.4</v>
      </c>
      <c r="G135" s="112">
        <f>SUM(AC$71:AC$86)+SUM(AE$71:AE$86)+SUM(AG$71:AG$86)+SUM(AI$71:AI$86)</f>
        <v>423878.39999999997</v>
      </c>
      <c r="H135" s="112">
        <f>SUM(AK$71:AK$86)+SUM(AM$71:AM$86)+SUM(AO$71:AO$86)+SUM(AQ$71:AQ$86)</f>
        <v>871580.4</v>
      </c>
      <c r="I135" s="112">
        <f>SUM(AS$71:AS$86)+SUM(AU$71:AU$86)+SUM(AW$71:AW$86)+SUM(AY$71:AY$86)</f>
        <v>1163172</v>
      </c>
      <c r="J135" s="112">
        <f>SUM(BA$71:BA$86)+SUM(BC$71:BC$86)+SUM(BE$71:BE$86)+SUM(BG$71:BG$86)</f>
        <v>98552.4</v>
      </c>
      <c r="K135" s="112">
        <f>SUM(BI$71:BI$86)+SUM(BK$71:BK$86)+SUM(BM$71:BM$86)+SUM(BO$71:BO$86)</f>
        <v>109203.6</v>
      </c>
      <c r="L135" s="112">
        <f>SUM(BQ$71:BQ$86)+SUM(BS$71:BS$86)+SUM(BU$71:BU$86)+SUM(BW$71:BW$86)</f>
        <v>129894</v>
      </c>
      <c r="M135" s="112">
        <f>SUM(BY$71:BY$86)+SUM(CA$71:CA$86)+SUM(CC$71:CC$86)+SUM(CE$71:CE$86)</f>
        <v>722921.99999999988</v>
      </c>
      <c r="N135" s="112">
        <f>SUM(CG$71:CG$86)+SUM(CI$71:CI$86)+SUM(CK$71:CK$86)+SUM(CM$71:CM$86)</f>
        <v>81086.399999999994</v>
      </c>
      <c r="O135" s="112">
        <f>SUM(CO$71:CO$86)+SUM(CQ$71:CQ$86)+SUM(CS$71:CS$86)+SUM(CU$71:CU$86)</f>
        <v>157645.20000000001</v>
      </c>
    </row>
    <row r="136" spans="2:15" x14ac:dyDescent="0.2">
      <c r="C136" s="111" t="s">
        <v>131</v>
      </c>
      <c r="D136" s="112">
        <f>SUM(E$87:E$94)+SUM(G$87:G$94)+SUM(I$87:I$94)+SUM(K$87:K$94)</f>
        <v>280555.19999999995</v>
      </c>
      <c r="E136" s="112">
        <f>SUM(M$87:M$94)+SUM(O$87:O$94)+SUM(Q$87:Q$94)+SUM(S$87:S$94)</f>
        <v>378813.6</v>
      </c>
      <c r="F136" s="112">
        <f>SUM(U$87:U$94)+SUM(W$87:W$94)+SUM(Y$87:Y$94)+SUM(AA$87:AA$94)</f>
        <v>485327.99999999994</v>
      </c>
      <c r="G136" s="112">
        <f>SUM(AC$87:AC$94)+SUM(AE$87:AE$94)+SUM(AG$87:AG$94)+SUM(AI$87:AI$94)</f>
        <v>824154</v>
      </c>
      <c r="H136" s="112">
        <f>SUM(AK$87:AK$94)+SUM(AM$87:AM$94)+SUM(AO$87:AO$94)+SUM(AQ$87:AQ$94)</f>
        <v>726610.79999999993</v>
      </c>
      <c r="I136" s="112">
        <f>SUM(AS$87:AS$94)+SUM(AU$87:AU$94)+SUM(AW$87:AW$94)+SUM(AY$87:AY$94)</f>
        <v>1126855.2</v>
      </c>
      <c r="J136" s="112">
        <f>SUM(BA$87:BA$94)+SUM(BC$87:BC$94)+SUM(BE$87:BE$94)+SUM(BG$87:BG$94)</f>
        <v>242284.79999999999</v>
      </c>
      <c r="K136" s="112">
        <f>SUM(BI$87:BI$94)+SUM(BK$87:BK$94)+SUM(BM$87:BM$94)+SUM(BO$87:BO$94)</f>
        <v>572875.19999999995</v>
      </c>
      <c r="L136" s="112">
        <f>SUM(BQ$87:BQ$94)+SUM(BS$87:BS$94)+SUM(BU$87:BU$94)+SUM(BW$87:BW$94)</f>
        <v>1009456.8</v>
      </c>
      <c r="M136" s="112">
        <f>SUM(BY$87:BY$94)+SUM(CA$87:CA$94)+SUM(CC$87:CC$94)+SUM(CE$87:CE$94)</f>
        <v>613923.6</v>
      </c>
      <c r="N136" s="112">
        <f>SUM(CG$87:CG$94)+SUM(CI$87:CI$94)+SUM(CK$87:CK$94)+SUM(CM$87:CM$94)</f>
        <v>266787.59999999998</v>
      </c>
      <c r="O136" s="112">
        <f>SUM(CO$87:CO$94)+SUM(CQ$87:CQ$94)+SUM(CS$87:CS$94)+SUM(CU$87:CU$94)</f>
        <v>214268.39999999997</v>
      </c>
    </row>
    <row r="137" spans="2:15" x14ac:dyDescent="0.2">
      <c r="C137" s="111" t="s">
        <v>132</v>
      </c>
      <c r="D137" s="112">
        <f>SUM(E$95:E$105)+SUM(G$95:G$105)+SUM(I$95:I$105)+SUM(K$95:K$105)</f>
        <v>937691.99999999988</v>
      </c>
      <c r="E137" s="112">
        <f>SUM(M$95:M$105)+SUM(O$95:O$105)+SUM(Q$95:Q$105)+SUM(S$95:S$105)</f>
        <v>2209788</v>
      </c>
      <c r="F137" s="112">
        <f>SUM(U$95:U$105)+SUM(W$95:W$105)+SUM(Y$95:Y$105)+SUM(AA$95:AA$105)</f>
        <v>1118671.2</v>
      </c>
      <c r="G137" s="112">
        <f>SUM(AC$95:AC$105)+SUM(AE$95:AE$105)+SUM(AG$95:AG$105)+SUM(AI$95:AI$105)</f>
        <v>437222.40000000002</v>
      </c>
      <c r="H137" s="112">
        <f>SUM(AK$95:AK$105)+SUM(AM$95:AM$105)+SUM(AO$95:AO$105)+SUM(AQ$95:AQ$105)</f>
        <v>619989.6</v>
      </c>
      <c r="I137" s="112">
        <f>SUM(AS$95:AS$105)+SUM(AU$95:AU$105)+SUM(AW$95:AW$105)+SUM(AY$95:AY$105)</f>
        <v>307414.8</v>
      </c>
      <c r="J137" s="112">
        <f>SUM(BA$95:BA$105)+SUM(BC$95:BC$105)+SUM(BE$95:BE$105)+SUM(BG$95:BG$105)</f>
        <v>593466</v>
      </c>
      <c r="K137" s="112">
        <f>SUM(BI$95:BI$105)+SUM(BK$95:BK$105)+SUM(BM$95:BM$105)+SUM(BO$95:BO$105)</f>
        <v>637128</v>
      </c>
      <c r="L137" s="112">
        <f>SUM(BQ$95:BQ$105)+SUM(BS$95:BS$105)+SUM(BU$95:BU$105)+SUM(BW$95:BW$105)</f>
        <v>340574.4</v>
      </c>
      <c r="M137" s="112">
        <f>SUM(BY$95:BY$105)+SUM(CA$95:CA$105)+SUM(CC$95:CC$105)+SUM(CE$95:CE$105)</f>
        <v>655968</v>
      </c>
      <c r="N137" s="112">
        <f>SUM(CG$95:CG$105)+SUM(CI$95:CI$105)+SUM(CK$95:CK$105)+SUM(CM$95:CM$105)</f>
        <v>432998.39999999997</v>
      </c>
      <c r="O137" s="112">
        <f>SUM(CO$95:CO$105)+SUM(CQ$95:CQ$105)+SUM(CS$95:CS$105)+SUM(CU$95:CU$105)</f>
        <v>814123.2</v>
      </c>
    </row>
    <row r="138" spans="2:15" x14ac:dyDescent="0.2">
      <c r="C138" s="111" t="s">
        <v>278</v>
      </c>
      <c r="D138" s="106">
        <f t="shared" ref="D138:O138" si="2">SUM(D$131:D$137)</f>
        <v>2100435.5999999996</v>
      </c>
      <c r="E138" s="106">
        <f t="shared" si="2"/>
        <v>3423368.4</v>
      </c>
      <c r="F138" s="106">
        <f t="shared" si="2"/>
        <v>2703350.4</v>
      </c>
      <c r="G138" s="106">
        <f t="shared" si="2"/>
        <v>1799900.4</v>
      </c>
      <c r="H138" s="106">
        <f t="shared" si="2"/>
        <v>2388139.2000000002</v>
      </c>
      <c r="I138" s="106">
        <f t="shared" si="2"/>
        <v>2644812</v>
      </c>
      <c r="J138" s="106">
        <f t="shared" si="2"/>
        <v>987314.39999999991</v>
      </c>
      <c r="K138" s="106">
        <f t="shared" si="2"/>
        <v>1383308.4</v>
      </c>
      <c r="L138" s="106">
        <f t="shared" si="2"/>
        <v>1633291.2000000002</v>
      </c>
      <c r="M138" s="106">
        <f t="shared" si="2"/>
        <v>2036844</v>
      </c>
      <c r="N138" s="106">
        <f t="shared" si="2"/>
        <v>1425603.5999999999</v>
      </c>
      <c r="O138" s="106">
        <f t="shared" si="2"/>
        <v>1284282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0</v>
      </c>
      <c r="E49" s="106">
        <v>0</v>
      </c>
      <c r="F49" s="106">
        <v>5.872286079182631</v>
      </c>
      <c r="G49" s="106">
        <v>5785.3762452107276</v>
      </c>
      <c r="H49" s="106">
        <v>5.9329032258064522</v>
      </c>
      <c r="I49" s="106">
        <v>5845.0962580645164</v>
      </c>
      <c r="J49" s="106">
        <v>0.58727097396335592</v>
      </c>
      <c r="K49" s="106">
        <v>578.57936354869821</v>
      </c>
      <c r="L49" s="106">
        <v>0.16116653875671527</v>
      </c>
      <c r="M49" s="106">
        <v>158.78127398311588</v>
      </c>
      <c r="N49" s="106">
        <v>0.2702205882352941</v>
      </c>
      <c r="O49" s="106">
        <v>266.22132352941173</v>
      </c>
      <c r="P49" s="106">
        <v>0</v>
      </c>
      <c r="Q49" s="106">
        <v>0</v>
      </c>
      <c r="R49" s="106">
        <v>0.46468085106382978</v>
      </c>
      <c r="S49" s="106">
        <v>457.80357446808506</v>
      </c>
      <c r="T49" s="106">
        <v>0.10909090909090909</v>
      </c>
      <c r="U49" s="106">
        <v>107.47636363636363</v>
      </c>
      <c r="V49" s="106">
        <v>9.2627599243856329E-2</v>
      </c>
      <c r="W49" s="106">
        <v>91.256710775047253</v>
      </c>
      <c r="X49" s="106">
        <v>0.25132978723404253</v>
      </c>
      <c r="Y49" s="106">
        <v>247.6101063829787</v>
      </c>
      <c r="Z49" s="106">
        <v>0.12851897184822522</v>
      </c>
      <c r="AA49" s="106">
        <v>126.61689106487148</v>
      </c>
      <c r="AB49" s="106">
        <v>0.26391382405745062</v>
      </c>
      <c r="AC49" s="106">
        <v>260.00789946140031</v>
      </c>
      <c r="AD49" s="106">
        <v>0</v>
      </c>
      <c r="AE49" s="106">
        <v>0</v>
      </c>
      <c r="AF49" s="106">
        <v>0.21212121212121213</v>
      </c>
      <c r="AG49" s="106">
        <v>208.98181818181817</v>
      </c>
      <c r="AH49" s="106">
        <v>0.63878326996197721</v>
      </c>
      <c r="AI49" s="106">
        <v>629.32927756653987</v>
      </c>
      <c r="AJ49" s="106">
        <v>0.34190231362467866</v>
      </c>
      <c r="AK49" s="106">
        <v>336.84215938303339</v>
      </c>
      <c r="AL49" s="106">
        <v>0.58614051973051007</v>
      </c>
      <c r="AM49" s="106">
        <v>577.46564003849846</v>
      </c>
      <c r="AN49" s="106">
        <v>0</v>
      </c>
      <c r="AO49" s="106">
        <v>0</v>
      </c>
      <c r="AP49" s="106">
        <v>0.83911671924290221</v>
      </c>
      <c r="AQ49" s="106">
        <v>826.69779179810723</v>
      </c>
      <c r="AR49" s="106">
        <v>0.1589492430988424</v>
      </c>
      <c r="AS49" s="106">
        <v>156.59679430097952</v>
      </c>
      <c r="AT49" s="106">
        <v>0.3745541022592152</v>
      </c>
      <c r="AU49" s="106">
        <v>369.01070154577877</v>
      </c>
      <c r="AV49" s="106">
        <v>0.36123853211009177</v>
      </c>
      <c r="AW49" s="106">
        <v>355.89220183486236</v>
      </c>
      <c r="AX49" s="106">
        <v>0.17796610169491525</v>
      </c>
      <c r="AY49" s="106">
        <v>175.33220338983048</v>
      </c>
      <c r="AZ49" s="106">
        <v>0.34941763727121461</v>
      </c>
      <c r="BA49" s="106">
        <v>344.2462562396006</v>
      </c>
      <c r="BB49" s="106">
        <v>0.64948453608247425</v>
      </c>
      <c r="BC49" s="106">
        <v>639.87216494845359</v>
      </c>
      <c r="BD49" s="106">
        <v>0</v>
      </c>
      <c r="BE49" s="106">
        <v>0</v>
      </c>
      <c r="BF49" s="106">
        <v>0.78082191780821919</v>
      </c>
      <c r="BG49" s="106">
        <v>769.26575342465753</v>
      </c>
      <c r="BH49" s="106">
        <v>0.49189189189189192</v>
      </c>
      <c r="BI49" s="106">
        <v>484.6118918918919</v>
      </c>
      <c r="BJ49" s="106">
        <v>0.61105722599418033</v>
      </c>
      <c r="BK49" s="106">
        <v>602.01357904946644</v>
      </c>
      <c r="BL49" s="106">
        <v>0</v>
      </c>
      <c r="BM49" s="106">
        <v>0</v>
      </c>
      <c r="BN49" s="106">
        <v>0.43052391799544421</v>
      </c>
      <c r="BO49" s="106">
        <v>424.15216400911163</v>
      </c>
      <c r="BP49" s="106">
        <v>0.42248520710059173</v>
      </c>
      <c r="BQ49" s="106">
        <v>416.23242603550295</v>
      </c>
      <c r="BR49" s="106">
        <v>0.39293139293139295</v>
      </c>
      <c r="BS49" s="106">
        <v>387.11600831600833</v>
      </c>
      <c r="BT49" s="106">
        <v>1.0358744394618833</v>
      </c>
      <c r="BU49" s="106">
        <v>1020.5434977578474</v>
      </c>
      <c r="BV49" s="106">
        <v>0.56573275862068961</v>
      </c>
      <c r="BW49" s="106">
        <v>557.35991379310337</v>
      </c>
      <c r="BX49" s="106">
        <v>0</v>
      </c>
      <c r="BY49" s="106">
        <v>0</v>
      </c>
      <c r="BZ49" s="106">
        <v>0.65172413793103445</v>
      </c>
      <c r="CA49" s="106">
        <v>642.07862068965505</v>
      </c>
      <c r="CB49" s="106">
        <v>0.50508788159111928</v>
      </c>
      <c r="CC49" s="106">
        <v>497.61258094357066</v>
      </c>
      <c r="CD49" s="106">
        <v>0.80547945205479454</v>
      </c>
      <c r="CE49" s="106">
        <v>793.55835616438355</v>
      </c>
      <c r="CF49" s="106">
        <v>0</v>
      </c>
      <c r="CG49" s="106">
        <v>0</v>
      </c>
      <c r="CH49" s="106">
        <v>0</v>
      </c>
      <c r="CI49" s="106">
        <v>0</v>
      </c>
      <c r="CJ49" s="106">
        <v>1.75</v>
      </c>
      <c r="CK49" s="106">
        <v>1724.1</v>
      </c>
      <c r="CL49" s="106">
        <v>1.5023328149300155</v>
      </c>
      <c r="CM49" s="106">
        <v>1480.0982892690511</v>
      </c>
      <c r="CN49" s="106">
        <v>0.46052631578947367</v>
      </c>
      <c r="CO49" s="106">
        <v>453.71052631578942</v>
      </c>
      <c r="CP49" s="106">
        <v>0.31818181818181818</v>
      </c>
      <c r="CQ49" s="106">
        <v>313.47272727272724</v>
      </c>
      <c r="CR49" s="106">
        <v>0</v>
      </c>
      <c r="CS49" s="106">
        <v>0</v>
      </c>
      <c r="CT49" s="106">
        <v>0.94915254237288138</v>
      </c>
      <c r="CU49" s="106">
        <v>935.10508474576272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0</v>
      </c>
      <c r="E56" s="106">
        <v>0</v>
      </c>
      <c r="F56" s="106">
        <v>5.872286079182631</v>
      </c>
      <c r="G56" s="106">
        <v>6757.8268199233717</v>
      </c>
      <c r="H56" s="106">
        <v>6.2451612903225806</v>
      </c>
      <c r="I56" s="106">
        <v>7186.9316129032259</v>
      </c>
      <c r="J56" s="106">
        <v>0.54676952748312446</v>
      </c>
      <c r="K56" s="106">
        <v>629.22237222757963</v>
      </c>
      <c r="L56" s="106">
        <v>0.14504988488104373</v>
      </c>
      <c r="M56" s="106">
        <v>166.9234075211051</v>
      </c>
      <c r="N56" s="106">
        <v>0.25091911764705882</v>
      </c>
      <c r="O56" s="106">
        <v>288.75772058823526</v>
      </c>
      <c r="P56" s="106">
        <v>0</v>
      </c>
      <c r="Q56" s="106">
        <v>0</v>
      </c>
      <c r="R56" s="106">
        <v>0.42893617021276592</v>
      </c>
      <c r="S56" s="106">
        <v>493.619744680851</v>
      </c>
      <c r="T56" s="106">
        <v>0.10909090909090909</v>
      </c>
      <c r="U56" s="106">
        <v>125.54181818181817</v>
      </c>
      <c r="V56" s="106">
        <v>9.2627599243856329E-2</v>
      </c>
      <c r="W56" s="106">
        <v>106.59584120982986</v>
      </c>
      <c r="X56" s="106">
        <v>0.25132978723404253</v>
      </c>
      <c r="Y56" s="106">
        <v>289.23031914893613</v>
      </c>
      <c r="Z56" s="106">
        <v>0.1156670746634027</v>
      </c>
      <c r="AA56" s="106">
        <v>133.10966952264383</v>
      </c>
      <c r="AB56" s="106">
        <v>0.22621184919210055</v>
      </c>
      <c r="AC56" s="106">
        <v>260.32459605026929</v>
      </c>
      <c r="AD56" s="106">
        <v>0</v>
      </c>
      <c r="AE56" s="106">
        <v>0</v>
      </c>
      <c r="AF56" s="106">
        <v>0.21212121212121213</v>
      </c>
      <c r="AG56" s="106">
        <v>244.1090909090909</v>
      </c>
      <c r="AH56" s="106">
        <v>0.63878326996197721</v>
      </c>
      <c r="AI56" s="106">
        <v>735.11178707224337</v>
      </c>
      <c r="AJ56" s="106">
        <v>0.32390745501285345</v>
      </c>
      <c r="AK56" s="106">
        <v>372.75269922879176</v>
      </c>
      <c r="AL56" s="106">
        <v>0.54571703561116458</v>
      </c>
      <c r="AM56" s="106">
        <v>628.01116458132822</v>
      </c>
      <c r="AN56" s="106">
        <v>0</v>
      </c>
      <c r="AO56" s="106">
        <v>0</v>
      </c>
      <c r="AP56" s="106">
        <v>0.88328075709779186</v>
      </c>
      <c r="AQ56" s="106">
        <v>1016.4794952681389</v>
      </c>
      <c r="AR56" s="106">
        <v>0.1495992876224399</v>
      </c>
      <c r="AS56" s="106">
        <v>172.15886019590383</v>
      </c>
      <c r="AT56" s="106">
        <v>0.3745541022592152</v>
      </c>
      <c r="AU56" s="106">
        <v>431.03686087990485</v>
      </c>
      <c r="AV56" s="106">
        <v>0.32511467889908258</v>
      </c>
      <c r="AW56" s="106">
        <v>374.1419724770642</v>
      </c>
      <c r="AX56" s="106">
        <v>0.18843469591226322</v>
      </c>
      <c r="AY56" s="106">
        <v>216.85064805583249</v>
      </c>
      <c r="AZ56" s="106">
        <v>0.38435940099833615</v>
      </c>
      <c r="BA56" s="106">
        <v>442.32079866888523</v>
      </c>
      <c r="BB56" s="106">
        <v>0.54123711340206182</v>
      </c>
      <c r="BC56" s="106">
        <v>622.85567010309273</v>
      </c>
      <c r="BD56" s="106">
        <v>0</v>
      </c>
      <c r="BE56" s="106">
        <v>0</v>
      </c>
      <c r="BF56" s="106">
        <v>0.78082191780821919</v>
      </c>
      <c r="BG56" s="106">
        <v>898.56986301369864</v>
      </c>
      <c r="BH56" s="106">
        <v>0.41621621621621618</v>
      </c>
      <c r="BI56" s="106">
        <v>478.98162162162157</v>
      </c>
      <c r="BJ56" s="106">
        <v>0.57032007759456838</v>
      </c>
      <c r="BK56" s="106">
        <v>656.32434529582929</v>
      </c>
      <c r="BL56" s="106">
        <v>0</v>
      </c>
      <c r="BM56" s="106">
        <v>0</v>
      </c>
      <c r="BN56" s="106">
        <v>0.36674259681093396</v>
      </c>
      <c r="BO56" s="106">
        <v>422.04738041002281</v>
      </c>
      <c r="BP56" s="106">
        <v>0.47218934911242605</v>
      </c>
      <c r="BQ56" s="106">
        <v>543.39550295857987</v>
      </c>
      <c r="BR56" s="106">
        <v>0.39293139293139295</v>
      </c>
      <c r="BS56" s="106">
        <v>452.18544698544702</v>
      </c>
      <c r="BT56" s="106">
        <v>1.0829596412556055</v>
      </c>
      <c r="BU56" s="106">
        <v>1246.2699551569508</v>
      </c>
      <c r="BV56" s="106">
        <v>0.5431034482758621</v>
      </c>
      <c r="BW56" s="106">
        <v>625.00344827586207</v>
      </c>
      <c r="BX56" s="106">
        <v>0</v>
      </c>
      <c r="BY56" s="106">
        <v>0</v>
      </c>
      <c r="BZ56" s="106">
        <v>0.57931034482758625</v>
      </c>
      <c r="CA56" s="106">
        <v>666.67034482758629</v>
      </c>
      <c r="CB56" s="106">
        <v>0.48566142460684547</v>
      </c>
      <c r="CC56" s="106">
        <v>558.89916743755771</v>
      </c>
      <c r="CD56" s="106">
        <v>0.74794520547945209</v>
      </c>
      <c r="CE56" s="106">
        <v>860.73534246575343</v>
      </c>
      <c r="CF56" s="106">
        <v>0</v>
      </c>
      <c r="CG56" s="106">
        <v>0</v>
      </c>
      <c r="CH56" s="106">
        <v>0</v>
      </c>
      <c r="CI56" s="106">
        <v>0</v>
      </c>
      <c r="CJ56" s="106">
        <v>1.5555555555555554</v>
      </c>
      <c r="CK56" s="106">
        <v>1790.133333333333</v>
      </c>
      <c r="CL56" s="106">
        <v>1.698289269051322</v>
      </c>
      <c r="CM56" s="106">
        <v>1954.3912908242614</v>
      </c>
      <c r="CN56" s="106">
        <v>0.46052631578947367</v>
      </c>
      <c r="CO56" s="106">
        <v>529.97368421052624</v>
      </c>
      <c r="CP56" s="106">
        <v>0.29166666666666663</v>
      </c>
      <c r="CQ56" s="106">
        <v>335.64999999999992</v>
      </c>
      <c r="CR56" s="106">
        <v>0</v>
      </c>
      <c r="CS56" s="106">
        <v>0</v>
      </c>
      <c r="CT56" s="106">
        <v>0.94915254237288138</v>
      </c>
      <c r="CU56" s="106">
        <v>1092.2847457627117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0</v>
      </c>
      <c r="E58" s="106">
        <v>0</v>
      </c>
      <c r="F58" s="106">
        <v>5.0996168582375478</v>
      </c>
      <c r="G58" s="106">
        <v>6003.2689655172417</v>
      </c>
      <c r="H58" s="106">
        <v>5.9329032258064522</v>
      </c>
      <c r="I58" s="106">
        <v>6984.2136774193559</v>
      </c>
      <c r="J58" s="106">
        <v>0.54676952748312446</v>
      </c>
      <c r="K58" s="106">
        <v>643.65708775313419</v>
      </c>
      <c r="L58" s="106">
        <v>0.14504988488104373</v>
      </c>
      <c r="M58" s="106">
        <v>170.75272448196469</v>
      </c>
      <c r="N58" s="106">
        <v>0.23161764705882354</v>
      </c>
      <c r="O58" s="106">
        <v>272.66029411764708</v>
      </c>
      <c r="P58" s="106">
        <v>0</v>
      </c>
      <c r="Q58" s="106">
        <v>0</v>
      </c>
      <c r="R58" s="106">
        <v>0.39319148936170217</v>
      </c>
      <c r="S58" s="106">
        <v>462.86502127659583</v>
      </c>
      <c r="T58" s="106">
        <v>0.12272727272727273</v>
      </c>
      <c r="U58" s="106">
        <v>144.47454545454545</v>
      </c>
      <c r="V58" s="106">
        <v>9.2627599243856329E-2</v>
      </c>
      <c r="W58" s="106">
        <v>109.04120982986767</v>
      </c>
      <c r="X58" s="106">
        <v>0.25132978723404253</v>
      </c>
      <c r="Y58" s="106">
        <v>295.86542553191487</v>
      </c>
      <c r="Z58" s="106">
        <v>0.14137086903304774</v>
      </c>
      <c r="AA58" s="106">
        <v>166.42178702570382</v>
      </c>
      <c r="AB58" s="106">
        <v>0.26391382405745062</v>
      </c>
      <c r="AC58" s="106">
        <v>310.67935368043089</v>
      </c>
      <c r="AD58" s="106">
        <v>0</v>
      </c>
      <c r="AE58" s="106">
        <v>0</v>
      </c>
      <c r="AF58" s="106">
        <v>0.21212121212121213</v>
      </c>
      <c r="AG58" s="106">
        <v>249.70909090909092</v>
      </c>
      <c r="AH58" s="106">
        <v>0.63878326996197721</v>
      </c>
      <c r="AI58" s="106">
        <v>751.97566539923957</v>
      </c>
      <c r="AJ58" s="106">
        <v>0.34190231362467866</v>
      </c>
      <c r="AK58" s="106">
        <v>402.48740359897175</v>
      </c>
      <c r="AL58" s="106">
        <v>0.50529355149181898</v>
      </c>
      <c r="AM58" s="106">
        <v>594.83156881616935</v>
      </c>
      <c r="AN58" s="106">
        <v>0</v>
      </c>
      <c r="AO58" s="106">
        <v>0</v>
      </c>
      <c r="AP58" s="106">
        <v>0.83911671924290221</v>
      </c>
      <c r="AQ58" s="106">
        <v>987.80820189274448</v>
      </c>
      <c r="AR58" s="106">
        <v>0.1589492430988424</v>
      </c>
      <c r="AS58" s="106">
        <v>187.11504897595728</v>
      </c>
      <c r="AT58" s="106">
        <v>0.36206896551724138</v>
      </c>
      <c r="AU58" s="106">
        <v>426.22758620689655</v>
      </c>
      <c r="AV58" s="106">
        <v>0.33715596330275233</v>
      </c>
      <c r="AW58" s="106">
        <v>396.90000000000003</v>
      </c>
      <c r="AX58" s="106">
        <v>0.17796610169491525</v>
      </c>
      <c r="AY58" s="106">
        <v>209.50169491525423</v>
      </c>
      <c r="AZ58" s="106">
        <v>0.34941763727121461</v>
      </c>
      <c r="BA58" s="106">
        <v>411.33444259567386</v>
      </c>
      <c r="BB58" s="106">
        <v>0.64948453608247425</v>
      </c>
      <c r="BC58" s="106">
        <v>764.57319587628876</v>
      </c>
      <c r="BD58" s="106">
        <v>0</v>
      </c>
      <c r="BE58" s="106">
        <v>0</v>
      </c>
      <c r="BF58" s="106">
        <v>0.73972602739726023</v>
      </c>
      <c r="BG58" s="106">
        <v>870.80547945205478</v>
      </c>
      <c r="BH58" s="106">
        <v>0.41621621621621618</v>
      </c>
      <c r="BI58" s="106">
        <v>489.96972972972969</v>
      </c>
      <c r="BJ58" s="106">
        <v>0.52958292919495631</v>
      </c>
      <c r="BK58" s="106">
        <v>623.42502424830263</v>
      </c>
      <c r="BL58" s="106">
        <v>0</v>
      </c>
      <c r="BM58" s="106">
        <v>0</v>
      </c>
      <c r="BN58" s="106">
        <v>0.38268792710706151</v>
      </c>
      <c r="BO58" s="106">
        <v>450.5002277904328</v>
      </c>
      <c r="BP58" s="106">
        <v>0.47218934911242605</v>
      </c>
      <c r="BQ58" s="106">
        <v>555.86130177514792</v>
      </c>
      <c r="BR58" s="106">
        <v>0.39293139293139295</v>
      </c>
      <c r="BS58" s="106">
        <v>462.55883575883581</v>
      </c>
      <c r="BT58" s="106">
        <v>0.9417040358744394</v>
      </c>
      <c r="BU58" s="106">
        <v>1108.5739910313901</v>
      </c>
      <c r="BV58" s="106">
        <v>0.47521551724137934</v>
      </c>
      <c r="BW58" s="106">
        <v>559.42370689655172</v>
      </c>
      <c r="BX58" s="106">
        <v>0</v>
      </c>
      <c r="BY58" s="106">
        <v>0</v>
      </c>
      <c r="BZ58" s="106">
        <v>0.59741379310344833</v>
      </c>
      <c r="CA58" s="106">
        <v>703.27551724137936</v>
      </c>
      <c r="CB58" s="106">
        <v>0.52451433857539309</v>
      </c>
      <c r="CC58" s="106">
        <v>617.45827937095282</v>
      </c>
      <c r="CD58" s="106">
        <v>0.69041095890410953</v>
      </c>
      <c r="CE58" s="106">
        <v>812.75178082191781</v>
      </c>
      <c r="CF58" s="106">
        <v>0</v>
      </c>
      <c r="CG58" s="106">
        <v>0</v>
      </c>
      <c r="CH58" s="106">
        <v>0</v>
      </c>
      <c r="CI58" s="106">
        <v>0</v>
      </c>
      <c r="CJ58" s="106">
        <v>1.5555555555555554</v>
      </c>
      <c r="CK58" s="106">
        <v>1831.1999999999998</v>
      </c>
      <c r="CL58" s="106">
        <v>1.7636080870917574</v>
      </c>
      <c r="CM58" s="106">
        <v>2076.119440124417</v>
      </c>
      <c r="CN58" s="106">
        <v>0.49122807017543857</v>
      </c>
      <c r="CO58" s="106">
        <v>578.27368421052631</v>
      </c>
      <c r="CP58" s="106">
        <v>0.37121212121212122</v>
      </c>
      <c r="CQ58" s="106">
        <v>436.9909090909091</v>
      </c>
      <c r="CR58" s="106">
        <v>0</v>
      </c>
      <c r="CS58" s="106">
        <v>0</v>
      </c>
      <c r="CT58" s="106">
        <v>0.94915254237288138</v>
      </c>
      <c r="CU58" s="106">
        <v>1117.3423728813559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0</v>
      </c>
      <c r="E71" s="106">
        <v>0</v>
      </c>
      <c r="F71" s="106">
        <v>2.1634738186462323</v>
      </c>
      <c r="G71" s="106">
        <v>1220.199233716475</v>
      </c>
      <c r="H71" s="106">
        <v>2.3419354838709681</v>
      </c>
      <c r="I71" s="106">
        <v>1320.8516129032259</v>
      </c>
      <c r="J71" s="106">
        <v>0.4050144648023144</v>
      </c>
      <c r="K71" s="106">
        <v>228.42815814850533</v>
      </c>
      <c r="L71" s="106">
        <v>0.40291634689178818</v>
      </c>
      <c r="M71" s="106">
        <v>227.24481964696852</v>
      </c>
      <c r="N71" s="106">
        <v>0.46323529411764708</v>
      </c>
      <c r="O71" s="106">
        <v>261.26470588235293</v>
      </c>
      <c r="P71" s="106">
        <v>0</v>
      </c>
      <c r="Q71" s="106">
        <v>0</v>
      </c>
      <c r="R71" s="106">
        <v>0.8936170212765957</v>
      </c>
      <c r="S71" s="106">
        <v>504</v>
      </c>
      <c r="T71" s="106">
        <v>0.25909090909090909</v>
      </c>
      <c r="U71" s="106">
        <v>146.12727272727273</v>
      </c>
      <c r="V71" s="106">
        <v>0.22495274102079396</v>
      </c>
      <c r="W71" s="106">
        <v>126.8733459357278</v>
      </c>
      <c r="X71" s="106">
        <v>0.61436170212765961</v>
      </c>
      <c r="Y71" s="106">
        <v>346.5</v>
      </c>
      <c r="Z71" s="106">
        <v>0.20563035495716031</v>
      </c>
      <c r="AA71" s="106">
        <v>115.97552019583841</v>
      </c>
      <c r="AB71" s="106">
        <v>0.64093357271095153</v>
      </c>
      <c r="AC71" s="106">
        <v>361.48653500897666</v>
      </c>
      <c r="AD71" s="106">
        <v>0</v>
      </c>
      <c r="AE71" s="106">
        <v>0</v>
      </c>
      <c r="AF71" s="106">
        <v>0.63636363636363635</v>
      </c>
      <c r="AG71" s="106">
        <v>358.90909090909088</v>
      </c>
      <c r="AH71" s="106">
        <v>0.87832699619771859</v>
      </c>
      <c r="AI71" s="106">
        <v>495.37642585551328</v>
      </c>
      <c r="AJ71" s="106">
        <v>0.21593830334190231</v>
      </c>
      <c r="AK71" s="106">
        <v>121.78920308483291</v>
      </c>
      <c r="AL71" s="106">
        <v>0.24254090471607315</v>
      </c>
      <c r="AM71" s="106">
        <v>136.79307025986526</v>
      </c>
      <c r="AN71" s="106">
        <v>0</v>
      </c>
      <c r="AO71" s="106">
        <v>0</v>
      </c>
      <c r="AP71" s="106">
        <v>0.35331230283911669</v>
      </c>
      <c r="AQ71" s="106">
        <v>199.26813880126181</v>
      </c>
      <c r="AR71" s="106">
        <v>0.94434550311665177</v>
      </c>
      <c r="AS71" s="106">
        <v>532.61086375779155</v>
      </c>
      <c r="AT71" s="106">
        <v>0.78656361474435188</v>
      </c>
      <c r="AU71" s="106">
        <v>443.62187871581443</v>
      </c>
      <c r="AV71" s="106">
        <v>0.72247706422018354</v>
      </c>
      <c r="AW71" s="106">
        <v>407.47706422018354</v>
      </c>
      <c r="AX71" s="106">
        <v>0.85842472582253238</v>
      </c>
      <c r="AY71" s="106">
        <v>484.15154536390827</v>
      </c>
      <c r="AZ71" s="106">
        <v>0.27953410981697174</v>
      </c>
      <c r="BA71" s="106">
        <v>157.65723793677208</v>
      </c>
      <c r="BB71" s="106">
        <v>0.39690721649484534</v>
      </c>
      <c r="BC71" s="106">
        <v>223.85567010309276</v>
      </c>
      <c r="BD71" s="106">
        <v>0</v>
      </c>
      <c r="BE71" s="106">
        <v>0</v>
      </c>
      <c r="BF71" s="106">
        <v>0.36986301369863012</v>
      </c>
      <c r="BG71" s="106">
        <v>208.60273972602738</v>
      </c>
      <c r="BH71" s="106">
        <v>0.87027027027027026</v>
      </c>
      <c r="BI71" s="106">
        <v>490.83243243243243</v>
      </c>
      <c r="BJ71" s="106">
        <v>1.4258001939864211</v>
      </c>
      <c r="BK71" s="106">
        <v>804.15130940834149</v>
      </c>
      <c r="BL71" s="106">
        <v>0</v>
      </c>
      <c r="BM71" s="106">
        <v>0</v>
      </c>
      <c r="BN71" s="106">
        <v>0.79726651480637811</v>
      </c>
      <c r="BO71" s="106">
        <v>449.65831435079724</v>
      </c>
      <c r="BP71" s="106">
        <v>0.29822485207100591</v>
      </c>
      <c r="BQ71" s="106">
        <v>168.19881656804733</v>
      </c>
      <c r="BR71" s="106">
        <v>0.17463617463617465</v>
      </c>
      <c r="BS71" s="106">
        <v>98.494802494802499</v>
      </c>
      <c r="BT71" s="106">
        <v>0.37668161434977576</v>
      </c>
      <c r="BU71" s="106">
        <v>212.44843049327352</v>
      </c>
      <c r="BV71" s="106">
        <v>0.18103448275862069</v>
      </c>
      <c r="BW71" s="106">
        <v>102.10344827586206</v>
      </c>
      <c r="BX71" s="106">
        <v>0</v>
      </c>
      <c r="BY71" s="106">
        <v>0</v>
      </c>
      <c r="BZ71" s="106">
        <v>0.38017241379310346</v>
      </c>
      <c r="CA71" s="106">
        <v>214.41724137931035</v>
      </c>
      <c r="CB71" s="106">
        <v>0.31082331174838113</v>
      </c>
      <c r="CC71" s="106">
        <v>175.30434782608697</v>
      </c>
      <c r="CD71" s="106">
        <v>0.63287671232876719</v>
      </c>
      <c r="CE71" s="106">
        <v>356.9424657534247</v>
      </c>
      <c r="CF71" s="106">
        <v>0</v>
      </c>
      <c r="CG71" s="106">
        <v>0</v>
      </c>
      <c r="CH71" s="106">
        <v>0</v>
      </c>
      <c r="CI71" s="106">
        <v>0</v>
      </c>
      <c r="CJ71" s="106">
        <v>0.97222222222222221</v>
      </c>
      <c r="CK71" s="106">
        <v>548.33333333333337</v>
      </c>
      <c r="CL71" s="106">
        <v>0.9144634525660964</v>
      </c>
      <c r="CM71" s="106">
        <v>515.75738724727842</v>
      </c>
      <c r="CN71" s="106">
        <v>0.30701754385964908</v>
      </c>
      <c r="CO71" s="106">
        <v>173.15789473684208</v>
      </c>
      <c r="CP71" s="106">
        <v>0.31818181818181818</v>
      </c>
      <c r="CQ71" s="106">
        <v>179.45454545454544</v>
      </c>
      <c r="CR71" s="106">
        <v>0</v>
      </c>
      <c r="CS71" s="106">
        <v>0</v>
      </c>
      <c r="CT71" s="106">
        <v>0.59322033898305082</v>
      </c>
      <c r="CU71" s="106">
        <v>334.57627118644064</v>
      </c>
    </row>
    <row r="72" spans="2:99" x14ac:dyDescent="0.2">
      <c r="C72" s="105" t="s">
        <v>238</v>
      </c>
      <c r="D72" s="106">
        <v>0</v>
      </c>
      <c r="E72" s="106">
        <v>0</v>
      </c>
      <c r="F72" s="106">
        <v>2.0089399744572161</v>
      </c>
      <c r="G72" s="106">
        <v>149.46513409961685</v>
      </c>
      <c r="H72" s="106">
        <v>2.1858064516129034</v>
      </c>
      <c r="I72" s="106">
        <v>162.624</v>
      </c>
      <c r="J72" s="106">
        <v>0.46576663452266154</v>
      </c>
      <c r="K72" s="106">
        <v>34.653037608486017</v>
      </c>
      <c r="L72" s="106">
        <v>0.46738296239447424</v>
      </c>
      <c r="M72" s="106">
        <v>34.773292402148883</v>
      </c>
      <c r="N72" s="106">
        <v>0.4439338235294118</v>
      </c>
      <c r="O72" s="106">
        <v>33.028676470588231</v>
      </c>
      <c r="P72" s="106">
        <v>0</v>
      </c>
      <c r="Q72" s="106">
        <v>0</v>
      </c>
      <c r="R72" s="106">
        <v>0.82212765957446798</v>
      </c>
      <c r="S72" s="106">
        <v>61.166297872340408</v>
      </c>
      <c r="T72" s="106">
        <v>0.25909090909090909</v>
      </c>
      <c r="U72" s="106">
        <v>19.276363636363634</v>
      </c>
      <c r="V72" s="106">
        <v>0.23818525519848774</v>
      </c>
      <c r="W72" s="106">
        <v>17.720982986767485</v>
      </c>
      <c r="X72" s="106">
        <v>0.58643617021276595</v>
      </c>
      <c r="Y72" s="106">
        <v>43.63085106382978</v>
      </c>
      <c r="Z72" s="106">
        <v>0.20563035495716031</v>
      </c>
      <c r="AA72" s="106">
        <v>15.298898408812725</v>
      </c>
      <c r="AB72" s="106">
        <v>0.60323159784560143</v>
      </c>
      <c r="AC72" s="106">
        <v>44.88043087971274</v>
      </c>
      <c r="AD72" s="106">
        <v>0</v>
      </c>
      <c r="AE72" s="106">
        <v>0</v>
      </c>
      <c r="AF72" s="106">
        <v>0.60101010101010099</v>
      </c>
      <c r="AG72" s="106">
        <v>44.715151515151511</v>
      </c>
      <c r="AH72" s="106">
        <v>0.87832699619771859</v>
      </c>
      <c r="AI72" s="106">
        <v>65.347528517110263</v>
      </c>
      <c r="AJ72" s="106">
        <v>0.19794344473007713</v>
      </c>
      <c r="AK72" s="106">
        <v>14.726992287917737</v>
      </c>
      <c r="AL72" s="106">
        <v>0.26275264677574589</v>
      </c>
      <c r="AM72" s="106">
        <v>19.548796920115493</v>
      </c>
      <c r="AN72" s="106">
        <v>0</v>
      </c>
      <c r="AO72" s="106">
        <v>0</v>
      </c>
      <c r="AP72" s="106">
        <v>0.39747634069400634</v>
      </c>
      <c r="AQ72" s="106">
        <v>29.572239747634068</v>
      </c>
      <c r="AR72" s="106">
        <v>1.0565449688334816</v>
      </c>
      <c r="AS72" s="106">
        <v>78.606945681211016</v>
      </c>
      <c r="AT72" s="106">
        <v>0.84898929845422122</v>
      </c>
      <c r="AU72" s="106">
        <v>63.164803804994051</v>
      </c>
      <c r="AV72" s="106">
        <v>0.84288990825688082</v>
      </c>
      <c r="AW72" s="106">
        <v>62.711009174311926</v>
      </c>
      <c r="AX72" s="106">
        <v>0.95264207377866394</v>
      </c>
      <c r="AY72" s="106">
        <v>70.876570289132587</v>
      </c>
      <c r="AZ72" s="106">
        <v>0.27953410981697174</v>
      </c>
      <c r="BA72" s="106">
        <v>20.797337770382697</v>
      </c>
      <c r="BB72" s="106">
        <v>0.39690721649484534</v>
      </c>
      <c r="BC72" s="106">
        <v>29.529896907216489</v>
      </c>
      <c r="BD72" s="106">
        <v>0</v>
      </c>
      <c r="BE72" s="106">
        <v>0</v>
      </c>
      <c r="BF72" s="106">
        <v>0.41095890410958902</v>
      </c>
      <c r="BG72" s="106">
        <v>30.575342465753419</v>
      </c>
      <c r="BH72" s="106">
        <v>0.85135135135135143</v>
      </c>
      <c r="BI72" s="106">
        <v>63.340540540540538</v>
      </c>
      <c r="BJ72" s="106">
        <v>1.4258001939864211</v>
      </c>
      <c r="BK72" s="106">
        <v>106.07953443258972</v>
      </c>
      <c r="BL72" s="106">
        <v>0</v>
      </c>
      <c r="BM72" s="106">
        <v>0</v>
      </c>
      <c r="BN72" s="106">
        <v>0.89293849658314339</v>
      </c>
      <c r="BO72" s="106">
        <v>66.434624145785861</v>
      </c>
      <c r="BP72" s="106">
        <v>0.29822485207100591</v>
      </c>
      <c r="BQ72" s="106">
        <v>22.187928994082839</v>
      </c>
      <c r="BR72" s="106">
        <v>0.21829521829521831</v>
      </c>
      <c r="BS72" s="106">
        <v>16.241164241164242</v>
      </c>
      <c r="BT72" s="106">
        <v>0.42376681614349776</v>
      </c>
      <c r="BU72" s="106">
        <v>31.528251121076231</v>
      </c>
      <c r="BV72" s="106">
        <v>0.20366379310344829</v>
      </c>
      <c r="BW72" s="106">
        <v>15.152586206896551</v>
      </c>
      <c r="BX72" s="106">
        <v>0</v>
      </c>
      <c r="BY72" s="106">
        <v>0</v>
      </c>
      <c r="BZ72" s="106">
        <v>0.41637931034482761</v>
      </c>
      <c r="CA72" s="106">
        <v>30.97862068965517</v>
      </c>
      <c r="CB72" s="106">
        <v>0.31082331174838113</v>
      </c>
      <c r="CC72" s="106">
        <v>23.125254394079555</v>
      </c>
      <c r="CD72" s="106">
        <v>0.69041095890410953</v>
      </c>
      <c r="CE72" s="106">
        <v>51.366575342465744</v>
      </c>
      <c r="CF72" s="106">
        <v>0</v>
      </c>
      <c r="CG72" s="106">
        <v>0</v>
      </c>
      <c r="CH72" s="106">
        <v>0</v>
      </c>
      <c r="CI72" s="106">
        <v>0</v>
      </c>
      <c r="CJ72" s="106">
        <v>0.84259259259259256</v>
      </c>
      <c r="CK72" s="106">
        <v>62.688888888888876</v>
      </c>
      <c r="CL72" s="106">
        <v>0.97978227060653189</v>
      </c>
      <c r="CM72" s="106">
        <v>72.895800933125969</v>
      </c>
      <c r="CN72" s="106">
        <v>0.36842105263157893</v>
      </c>
      <c r="CO72" s="106">
        <v>27.410526315789468</v>
      </c>
      <c r="CP72" s="106">
        <v>0.34469696969696972</v>
      </c>
      <c r="CQ72" s="106">
        <v>25.645454545454545</v>
      </c>
      <c r="CR72" s="106">
        <v>0</v>
      </c>
      <c r="CS72" s="106">
        <v>0</v>
      </c>
      <c r="CT72" s="106">
        <v>0.71186440677966101</v>
      </c>
      <c r="CU72" s="106">
        <v>52.962711864406771</v>
      </c>
    </row>
    <row r="73" spans="2:99" x14ac:dyDescent="0.2">
      <c r="C73" s="105" t="s">
        <v>239</v>
      </c>
      <c r="D73" s="106">
        <v>0</v>
      </c>
      <c r="E73" s="106">
        <v>0</v>
      </c>
      <c r="F73" s="106">
        <v>1.8544061302681991</v>
      </c>
      <c r="G73" s="106">
        <v>1036.9839080459769</v>
      </c>
      <c r="H73" s="106">
        <v>2.1858064516129034</v>
      </c>
      <c r="I73" s="106">
        <v>1222.3029677419354</v>
      </c>
      <c r="J73" s="106">
        <v>0.4050144648023144</v>
      </c>
      <c r="K73" s="106">
        <v>226.4840887174542</v>
      </c>
      <c r="L73" s="106">
        <v>0.46738296239447424</v>
      </c>
      <c r="M73" s="106">
        <v>261.36055257098997</v>
      </c>
      <c r="N73" s="106">
        <v>0.46323529411764708</v>
      </c>
      <c r="O73" s="106">
        <v>259.0411764705882</v>
      </c>
      <c r="P73" s="106">
        <v>0</v>
      </c>
      <c r="Q73" s="106">
        <v>0</v>
      </c>
      <c r="R73" s="106">
        <v>0.85787234042553184</v>
      </c>
      <c r="S73" s="106">
        <v>479.72221276595735</v>
      </c>
      <c r="T73" s="106">
        <v>0.25909090909090909</v>
      </c>
      <c r="U73" s="106">
        <v>144.88363636363636</v>
      </c>
      <c r="V73" s="106">
        <v>0.22495274102079396</v>
      </c>
      <c r="W73" s="106">
        <v>125.79357277882796</v>
      </c>
      <c r="X73" s="106">
        <v>0.58643617021276595</v>
      </c>
      <c r="Y73" s="106">
        <v>327.93510638297869</v>
      </c>
      <c r="Z73" s="106">
        <v>0.17992656058751527</v>
      </c>
      <c r="AA73" s="106">
        <v>100.61493268053853</v>
      </c>
      <c r="AB73" s="106">
        <v>0.60323159784560143</v>
      </c>
      <c r="AC73" s="106">
        <v>337.3271095152603</v>
      </c>
      <c r="AD73" s="106">
        <v>0</v>
      </c>
      <c r="AE73" s="106">
        <v>0</v>
      </c>
      <c r="AF73" s="106">
        <v>0.60101010101010099</v>
      </c>
      <c r="AG73" s="106">
        <v>336.08484848484841</v>
      </c>
      <c r="AH73" s="106">
        <v>0.87832699619771859</v>
      </c>
      <c r="AI73" s="106">
        <v>491.16045627376417</v>
      </c>
      <c r="AJ73" s="106">
        <v>0.19794344473007713</v>
      </c>
      <c r="AK73" s="106">
        <v>110.68997429305912</v>
      </c>
      <c r="AL73" s="106">
        <v>0.24254090471607315</v>
      </c>
      <c r="AM73" s="106">
        <v>135.62887391722808</v>
      </c>
      <c r="AN73" s="106">
        <v>0</v>
      </c>
      <c r="AO73" s="106">
        <v>0</v>
      </c>
      <c r="AP73" s="106">
        <v>0.35331230283911669</v>
      </c>
      <c r="AQ73" s="106">
        <v>197.57223974763403</v>
      </c>
      <c r="AR73" s="106">
        <v>0.96304541406945687</v>
      </c>
      <c r="AS73" s="106">
        <v>538.53499554764016</v>
      </c>
      <c r="AT73" s="106">
        <v>0.71165279429250894</v>
      </c>
      <c r="AU73" s="106">
        <v>397.95624256837095</v>
      </c>
      <c r="AV73" s="106">
        <v>0.68635321100917424</v>
      </c>
      <c r="AW73" s="106">
        <v>383.80871559633016</v>
      </c>
      <c r="AX73" s="106">
        <v>0.88983050847457623</v>
      </c>
      <c r="AY73" s="106">
        <v>497.59322033898297</v>
      </c>
      <c r="AZ73" s="106">
        <v>0.27953410981697174</v>
      </c>
      <c r="BA73" s="106">
        <v>156.31547420965057</v>
      </c>
      <c r="BB73" s="106">
        <v>0.36082474226804129</v>
      </c>
      <c r="BC73" s="106">
        <v>201.77319587628867</v>
      </c>
      <c r="BD73" s="106">
        <v>0</v>
      </c>
      <c r="BE73" s="106">
        <v>0</v>
      </c>
      <c r="BF73" s="106">
        <v>0.36986301369863012</v>
      </c>
      <c r="BG73" s="106">
        <v>206.82739726027393</v>
      </c>
      <c r="BH73" s="106">
        <v>0.77567567567567564</v>
      </c>
      <c r="BI73" s="106">
        <v>433.75783783783777</v>
      </c>
      <c r="BJ73" s="106">
        <v>1.2628516003879728</v>
      </c>
      <c r="BK73" s="106">
        <v>706.18661493695436</v>
      </c>
      <c r="BL73" s="106">
        <v>0</v>
      </c>
      <c r="BM73" s="106">
        <v>0</v>
      </c>
      <c r="BN73" s="106">
        <v>0.86104783599088841</v>
      </c>
      <c r="BO73" s="106">
        <v>481.49794988610472</v>
      </c>
      <c r="BP73" s="106">
        <v>0.29822485207100591</v>
      </c>
      <c r="BQ73" s="106">
        <v>166.76733727810648</v>
      </c>
      <c r="BR73" s="106">
        <v>0.19646569646569648</v>
      </c>
      <c r="BS73" s="106">
        <v>109.86361746361746</v>
      </c>
      <c r="BT73" s="106">
        <v>0.37668161434977576</v>
      </c>
      <c r="BU73" s="106">
        <v>210.64035874439458</v>
      </c>
      <c r="BV73" s="106">
        <v>0.18103448275862069</v>
      </c>
      <c r="BW73" s="106">
        <v>101.23448275862067</v>
      </c>
      <c r="BX73" s="106">
        <v>0</v>
      </c>
      <c r="BY73" s="106">
        <v>0</v>
      </c>
      <c r="BZ73" s="106">
        <v>0.39827586206896554</v>
      </c>
      <c r="CA73" s="106">
        <v>222.71586206896549</v>
      </c>
      <c r="CB73" s="106">
        <v>0.3496762257169288</v>
      </c>
      <c r="CC73" s="106">
        <v>195.53894542090657</v>
      </c>
      <c r="CD73" s="106">
        <v>0.60410958904109591</v>
      </c>
      <c r="CE73" s="106">
        <v>337.81808219178077</v>
      </c>
      <c r="CF73" s="106">
        <v>0</v>
      </c>
      <c r="CG73" s="106">
        <v>0</v>
      </c>
      <c r="CH73" s="106">
        <v>0</v>
      </c>
      <c r="CI73" s="106">
        <v>0</v>
      </c>
      <c r="CJ73" s="106">
        <v>0.84259259259259256</v>
      </c>
      <c r="CK73" s="106">
        <v>471.17777777777769</v>
      </c>
      <c r="CL73" s="106">
        <v>0.9144634525660964</v>
      </c>
      <c r="CM73" s="106">
        <v>511.36796267496106</v>
      </c>
      <c r="CN73" s="106">
        <v>0.30701754385964908</v>
      </c>
      <c r="CO73" s="106">
        <v>171.68421052631575</v>
      </c>
      <c r="CP73" s="106">
        <v>0.37121212121212122</v>
      </c>
      <c r="CQ73" s="106">
        <v>207.58181818181816</v>
      </c>
      <c r="CR73" s="106">
        <v>0</v>
      </c>
      <c r="CS73" s="106">
        <v>0</v>
      </c>
      <c r="CT73" s="106">
        <v>0.65254237288135597</v>
      </c>
      <c r="CU73" s="106">
        <v>364.90169491525421</v>
      </c>
    </row>
    <row r="74" spans="2:99" x14ac:dyDescent="0.2">
      <c r="C74" s="105" t="s">
        <v>240</v>
      </c>
      <c r="D74" s="106">
        <v>0</v>
      </c>
      <c r="E74" s="106">
        <v>0</v>
      </c>
      <c r="F74" s="106">
        <v>2.0089399744572161</v>
      </c>
      <c r="G74" s="106">
        <v>810.00459770114946</v>
      </c>
      <c r="H74" s="106">
        <v>2.1858064516129034</v>
      </c>
      <c r="I74" s="106">
        <v>881.31716129032259</v>
      </c>
      <c r="J74" s="106">
        <v>0.44551591128254581</v>
      </c>
      <c r="K74" s="106">
        <v>179.63201542912248</v>
      </c>
      <c r="L74" s="106">
        <v>0.4190330007674597</v>
      </c>
      <c r="M74" s="106">
        <v>168.95410590943973</v>
      </c>
      <c r="N74" s="106">
        <v>0.46323529411764708</v>
      </c>
      <c r="O74" s="106">
        <v>186.7764705882353</v>
      </c>
      <c r="P74" s="106">
        <v>0</v>
      </c>
      <c r="Q74" s="106">
        <v>0</v>
      </c>
      <c r="R74" s="106">
        <v>0.82212765957446798</v>
      </c>
      <c r="S74" s="106">
        <v>331.48187234042547</v>
      </c>
      <c r="T74" s="106">
        <v>0.24545454545454545</v>
      </c>
      <c r="U74" s="106">
        <v>98.967272727272729</v>
      </c>
      <c r="V74" s="106">
        <v>0.22495274102079396</v>
      </c>
      <c r="W74" s="106">
        <v>90.700945179584124</v>
      </c>
      <c r="X74" s="106">
        <v>0.67021276595744672</v>
      </c>
      <c r="Y74" s="106">
        <v>270.22978723404253</v>
      </c>
      <c r="Z74" s="106">
        <v>0.20563035495716031</v>
      </c>
      <c r="AA74" s="106">
        <v>82.910159118727037</v>
      </c>
      <c r="AB74" s="106">
        <v>0.52782764811490124</v>
      </c>
      <c r="AC74" s="106">
        <v>212.82010771992816</v>
      </c>
      <c r="AD74" s="106">
        <v>0</v>
      </c>
      <c r="AE74" s="106">
        <v>0</v>
      </c>
      <c r="AF74" s="106">
        <v>0.63636363636363635</v>
      </c>
      <c r="AG74" s="106">
        <v>256.58181818181816</v>
      </c>
      <c r="AH74" s="106">
        <v>0.87832699619771859</v>
      </c>
      <c r="AI74" s="106">
        <v>354.14144486692015</v>
      </c>
      <c r="AJ74" s="106">
        <v>0.19794344473007713</v>
      </c>
      <c r="AK74" s="106">
        <v>79.810796915167103</v>
      </c>
      <c r="AL74" s="106">
        <v>0.26275264677574589</v>
      </c>
      <c r="AM74" s="106">
        <v>105.94186717998075</v>
      </c>
      <c r="AN74" s="106">
        <v>0</v>
      </c>
      <c r="AO74" s="106">
        <v>0</v>
      </c>
      <c r="AP74" s="106">
        <v>0.39747634069400634</v>
      </c>
      <c r="AQ74" s="106">
        <v>160.26246056782335</v>
      </c>
      <c r="AR74" s="106">
        <v>0.93499554764024928</v>
      </c>
      <c r="AS74" s="106">
        <v>376.99020480854853</v>
      </c>
      <c r="AT74" s="106">
        <v>0.8365041617122474</v>
      </c>
      <c r="AU74" s="106">
        <v>337.27847800237817</v>
      </c>
      <c r="AV74" s="106">
        <v>0.79472477064220193</v>
      </c>
      <c r="AW74" s="106">
        <v>320.43302752293579</v>
      </c>
      <c r="AX74" s="106">
        <v>0.88983050847457623</v>
      </c>
      <c r="AY74" s="106">
        <v>358.77966101694915</v>
      </c>
      <c r="AZ74" s="106">
        <v>0.27953410981697174</v>
      </c>
      <c r="BA74" s="106">
        <v>112.708153078203</v>
      </c>
      <c r="BB74" s="106">
        <v>0.39690721649484534</v>
      </c>
      <c r="BC74" s="106">
        <v>160.03298969072165</v>
      </c>
      <c r="BD74" s="106">
        <v>0</v>
      </c>
      <c r="BE74" s="106">
        <v>0</v>
      </c>
      <c r="BF74" s="106">
        <v>0.41095890410958902</v>
      </c>
      <c r="BG74" s="106">
        <v>165.69863013698628</v>
      </c>
      <c r="BH74" s="106">
        <v>0.81351351351351353</v>
      </c>
      <c r="BI74" s="106">
        <v>328.00864864864866</v>
      </c>
      <c r="BJ74" s="106">
        <v>1.4258001939864211</v>
      </c>
      <c r="BK74" s="106">
        <v>574.88263821532496</v>
      </c>
      <c r="BL74" s="106">
        <v>0</v>
      </c>
      <c r="BM74" s="106">
        <v>0</v>
      </c>
      <c r="BN74" s="106">
        <v>0.82915717539863321</v>
      </c>
      <c r="BO74" s="106">
        <v>334.31617312072888</v>
      </c>
      <c r="BP74" s="106">
        <v>0.32307692307692309</v>
      </c>
      <c r="BQ74" s="106">
        <v>130.26461538461538</v>
      </c>
      <c r="BR74" s="106">
        <v>0.19646569646569648</v>
      </c>
      <c r="BS74" s="106">
        <v>79.214968814968813</v>
      </c>
      <c r="BT74" s="106">
        <v>0.37668161434977576</v>
      </c>
      <c r="BU74" s="106">
        <v>151.87802690582959</v>
      </c>
      <c r="BV74" s="106">
        <v>0.18103448275862069</v>
      </c>
      <c r="BW74" s="106">
        <v>72.993103448275861</v>
      </c>
      <c r="BX74" s="106">
        <v>0</v>
      </c>
      <c r="BY74" s="106">
        <v>0</v>
      </c>
      <c r="BZ74" s="106">
        <v>0.41637931034482761</v>
      </c>
      <c r="CA74" s="106">
        <v>167.8841379310345</v>
      </c>
      <c r="CB74" s="106">
        <v>0.33024976873265494</v>
      </c>
      <c r="CC74" s="106">
        <v>133.15670675300646</v>
      </c>
      <c r="CD74" s="106">
        <v>0.60410958904109591</v>
      </c>
      <c r="CE74" s="106">
        <v>243.57698630136986</v>
      </c>
      <c r="CF74" s="106">
        <v>0</v>
      </c>
      <c r="CG74" s="106">
        <v>0</v>
      </c>
      <c r="CH74" s="106">
        <v>0</v>
      </c>
      <c r="CI74" s="106">
        <v>0</v>
      </c>
      <c r="CJ74" s="106">
        <v>0.97222222222222221</v>
      </c>
      <c r="CK74" s="106">
        <v>392</v>
      </c>
      <c r="CL74" s="106">
        <v>0.97978227060653189</v>
      </c>
      <c r="CM74" s="106">
        <v>395.04821150855366</v>
      </c>
      <c r="CN74" s="106">
        <v>0.36842105263157893</v>
      </c>
      <c r="CO74" s="106">
        <v>148.54736842105262</v>
      </c>
      <c r="CP74" s="106">
        <v>0.34469696969696972</v>
      </c>
      <c r="CQ74" s="106">
        <v>138.9818181818182</v>
      </c>
      <c r="CR74" s="106">
        <v>0</v>
      </c>
      <c r="CS74" s="106">
        <v>0</v>
      </c>
      <c r="CT74" s="106">
        <v>0.71186440677966101</v>
      </c>
      <c r="CU74" s="106">
        <v>287.02372881355933</v>
      </c>
    </row>
    <row r="75" spans="2:99" x14ac:dyDescent="0.2">
      <c r="C75" s="105" t="s">
        <v>241</v>
      </c>
      <c r="D75" s="106">
        <v>0</v>
      </c>
      <c r="E75" s="106">
        <v>0</v>
      </c>
      <c r="F75" s="106">
        <v>2.1634738186462323</v>
      </c>
      <c r="G75" s="106">
        <v>1391.5463601532565</v>
      </c>
      <c r="H75" s="106">
        <v>2.3419354838709681</v>
      </c>
      <c r="I75" s="106">
        <v>1506.3329032258066</v>
      </c>
      <c r="J75" s="106">
        <v>0.38476374156219867</v>
      </c>
      <c r="K75" s="106">
        <v>247.48003857280617</v>
      </c>
      <c r="L75" s="106">
        <v>0.43514965464313121</v>
      </c>
      <c r="M75" s="106">
        <v>279.88825786646197</v>
      </c>
      <c r="N75" s="106">
        <v>0.42463235294117652</v>
      </c>
      <c r="O75" s="106">
        <v>273.12352941176471</v>
      </c>
      <c r="P75" s="106">
        <v>0</v>
      </c>
      <c r="Q75" s="106">
        <v>0</v>
      </c>
      <c r="R75" s="106">
        <v>0.75063829787234049</v>
      </c>
      <c r="S75" s="106">
        <v>482.81055319148936</v>
      </c>
      <c r="T75" s="106">
        <v>0.21818181818181817</v>
      </c>
      <c r="U75" s="106">
        <v>140.33454545454543</v>
      </c>
      <c r="V75" s="106">
        <v>0.23818525519848774</v>
      </c>
      <c r="W75" s="106">
        <v>153.20075614366729</v>
      </c>
      <c r="X75" s="106">
        <v>0.5585106382978724</v>
      </c>
      <c r="Y75" s="106">
        <v>359.2340425531915</v>
      </c>
      <c r="Z75" s="106">
        <v>0.17992656058751527</v>
      </c>
      <c r="AA75" s="106">
        <v>115.72876376988981</v>
      </c>
      <c r="AB75" s="106">
        <v>0.60323159784560143</v>
      </c>
      <c r="AC75" s="106">
        <v>387.99856373429083</v>
      </c>
      <c r="AD75" s="106">
        <v>0</v>
      </c>
      <c r="AE75" s="106">
        <v>0</v>
      </c>
      <c r="AF75" s="106">
        <v>0.53030303030303028</v>
      </c>
      <c r="AG75" s="106">
        <v>341.09090909090907</v>
      </c>
      <c r="AH75" s="106">
        <v>0.79847908745247143</v>
      </c>
      <c r="AI75" s="106">
        <v>513.58174904942962</v>
      </c>
      <c r="AJ75" s="106">
        <v>0.17994858611825193</v>
      </c>
      <c r="AK75" s="106">
        <v>115.74293059125962</v>
      </c>
      <c r="AL75" s="106">
        <v>0.24254090471607315</v>
      </c>
      <c r="AM75" s="106">
        <v>156.00230991337824</v>
      </c>
      <c r="AN75" s="106">
        <v>0</v>
      </c>
      <c r="AO75" s="106">
        <v>0</v>
      </c>
      <c r="AP75" s="106">
        <v>0.35331230283911669</v>
      </c>
      <c r="AQ75" s="106">
        <v>227.25047318611982</v>
      </c>
      <c r="AR75" s="106">
        <v>0.95369545859305427</v>
      </c>
      <c r="AS75" s="106">
        <v>613.41691896705242</v>
      </c>
      <c r="AT75" s="106">
        <v>0.69916765755053512</v>
      </c>
      <c r="AU75" s="106">
        <v>449.70463733650416</v>
      </c>
      <c r="AV75" s="106">
        <v>0.71043577981651373</v>
      </c>
      <c r="AW75" s="106">
        <v>456.95229357798161</v>
      </c>
      <c r="AX75" s="106">
        <v>0.97357926221336</v>
      </c>
      <c r="AY75" s="106">
        <v>626.2061814556331</v>
      </c>
      <c r="AZ75" s="106">
        <v>0.27953410981697174</v>
      </c>
      <c r="BA75" s="106">
        <v>179.79633943427621</v>
      </c>
      <c r="BB75" s="106">
        <v>0.36082474226804129</v>
      </c>
      <c r="BC75" s="106">
        <v>232.08247422680412</v>
      </c>
      <c r="BD75" s="106">
        <v>0</v>
      </c>
      <c r="BE75" s="106">
        <v>0</v>
      </c>
      <c r="BF75" s="106">
        <v>0.36986301369863012</v>
      </c>
      <c r="BG75" s="106">
        <v>237.89589041095886</v>
      </c>
      <c r="BH75" s="106">
        <v>0.73783783783783785</v>
      </c>
      <c r="BI75" s="106">
        <v>474.57729729729726</v>
      </c>
      <c r="BJ75" s="106">
        <v>1.2221144519883607</v>
      </c>
      <c r="BK75" s="106">
        <v>786.06401551891349</v>
      </c>
      <c r="BL75" s="106">
        <v>0</v>
      </c>
      <c r="BM75" s="106">
        <v>0</v>
      </c>
      <c r="BN75" s="106">
        <v>0.81321184510250577</v>
      </c>
      <c r="BO75" s="106">
        <v>523.05785876993161</v>
      </c>
      <c r="BP75" s="106">
        <v>0.29822485207100591</v>
      </c>
      <c r="BQ75" s="106">
        <v>191.81822485207098</v>
      </c>
      <c r="BR75" s="106">
        <v>0.19646569646569648</v>
      </c>
      <c r="BS75" s="106">
        <v>126.36673596673596</v>
      </c>
      <c r="BT75" s="106">
        <v>0.42376681614349776</v>
      </c>
      <c r="BU75" s="106">
        <v>272.5668161434977</v>
      </c>
      <c r="BV75" s="106">
        <v>0.18103448275862069</v>
      </c>
      <c r="BW75" s="106">
        <v>116.44137931034481</v>
      </c>
      <c r="BX75" s="106">
        <v>0</v>
      </c>
      <c r="BY75" s="106">
        <v>0</v>
      </c>
      <c r="BZ75" s="106">
        <v>0.36206896551724138</v>
      </c>
      <c r="CA75" s="106">
        <v>232.88275862068963</v>
      </c>
      <c r="CB75" s="106">
        <v>0.29139685476410732</v>
      </c>
      <c r="CC75" s="106">
        <v>187.42645698427381</v>
      </c>
      <c r="CD75" s="106">
        <v>0.63287671232876719</v>
      </c>
      <c r="CE75" s="106">
        <v>407.06630136986303</v>
      </c>
      <c r="CF75" s="106">
        <v>0</v>
      </c>
      <c r="CG75" s="106">
        <v>0</v>
      </c>
      <c r="CH75" s="106">
        <v>0</v>
      </c>
      <c r="CI75" s="106">
        <v>0</v>
      </c>
      <c r="CJ75" s="106">
        <v>0.84259259259259256</v>
      </c>
      <c r="CK75" s="106">
        <v>541.95555555555552</v>
      </c>
      <c r="CL75" s="106">
        <v>0.84914463452566102</v>
      </c>
      <c r="CM75" s="106">
        <v>546.1698289269051</v>
      </c>
      <c r="CN75" s="106">
        <v>0.30701754385964908</v>
      </c>
      <c r="CO75" s="106">
        <v>197.47368421052627</v>
      </c>
      <c r="CP75" s="106">
        <v>0.29166666666666663</v>
      </c>
      <c r="CQ75" s="106">
        <v>187.59999999999997</v>
      </c>
      <c r="CR75" s="106">
        <v>0</v>
      </c>
      <c r="CS75" s="106">
        <v>0</v>
      </c>
      <c r="CT75" s="106">
        <v>0.59322033898305082</v>
      </c>
      <c r="CU75" s="106">
        <v>381.55932203389824</v>
      </c>
    </row>
    <row r="76" spans="2:99" x14ac:dyDescent="0.2">
      <c r="C76" s="105" t="s">
        <v>242</v>
      </c>
      <c r="D76" s="106">
        <v>0</v>
      </c>
      <c r="E76" s="106">
        <v>0</v>
      </c>
      <c r="F76" s="106">
        <v>2.0089399744572161</v>
      </c>
      <c r="G76" s="106">
        <v>1564.5624521072798</v>
      </c>
      <c r="H76" s="106">
        <v>2.3419354838709681</v>
      </c>
      <c r="I76" s="106">
        <v>1823.8993548387098</v>
      </c>
      <c r="J76" s="106">
        <v>0.38476374156219867</v>
      </c>
      <c r="K76" s="106">
        <v>299.6540019286403</v>
      </c>
      <c r="L76" s="106">
        <v>0.4190330007674597</v>
      </c>
      <c r="M76" s="106">
        <v>326.3429009976976</v>
      </c>
      <c r="N76" s="106">
        <v>0.3860294117647059</v>
      </c>
      <c r="O76" s="106">
        <v>300.63970588235293</v>
      </c>
      <c r="P76" s="106">
        <v>0</v>
      </c>
      <c r="Q76" s="106">
        <v>0</v>
      </c>
      <c r="R76" s="106">
        <v>0.85787234042553184</v>
      </c>
      <c r="S76" s="106">
        <v>668.11097872340417</v>
      </c>
      <c r="T76" s="106">
        <v>0.24545454545454545</v>
      </c>
      <c r="U76" s="106">
        <v>191.16</v>
      </c>
      <c r="V76" s="106">
        <v>0.21172022684310018</v>
      </c>
      <c r="W76" s="106">
        <v>164.88771266540641</v>
      </c>
      <c r="X76" s="106">
        <v>0.61436170212765961</v>
      </c>
      <c r="Y76" s="106">
        <v>478.46489361702129</v>
      </c>
      <c r="Z76" s="106">
        <v>0.16707466340269278</v>
      </c>
      <c r="AA76" s="106">
        <v>130.11774785801714</v>
      </c>
      <c r="AB76" s="106">
        <v>0.56552962298025133</v>
      </c>
      <c r="AC76" s="106">
        <v>440.43447037701969</v>
      </c>
      <c r="AD76" s="106">
        <v>0</v>
      </c>
      <c r="AE76" s="106">
        <v>0</v>
      </c>
      <c r="AF76" s="106">
        <v>0.53030303030303028</v>
      </c>
      <c r="AG76" s="106">
        <v>412.99999999999994</v>
      </c>
      <c r="AH76" s="106">
        <v>0.95817490494296575</v>
      </c>
      <c r="AI76" s="106">
        <v>746.22661596958164</v>
      </c>
      <c r="AJ76" s="106">
        <v>0.19794344473007713</v>
      </c>
      <c r="AK76" s="106">
        <v>154.15835475578407</v>
      </c>
      <c r="AL76" s="106">
        <v>0.22232916265640038</v>
      </c>
      <c r="AM76" s="106">
        <v>173.14995187680461</v>
      </c>
      <c r="AN76" s="106">
        <v>0</v>
      </c>
      <c r="AO76" s="106">
        <v>0</v>
      </c>
      <c r="AP76" s="106">
        <v>0.44164037854889593</v>
      </c>
      <c r="AQ76" s="106">
        <v>343.94952681388014</v>
      </c>
      <c r="AR76" s="106">
        <v>0.98174532502226186</v>
      </c>
      <c r="AS76" s="106">
        <v>764.58325912733744</v>
      </c>
      <c r="AT76" s="106">
        <v>0.78656361474435188</v>
      </c>
      <c r="AU76" s="106">
        <v>612.57574316290118</v>
      </c>
      <c r="AV76" s="106">
        <v>0.73451834862385312</v>
      </c>
      <c r="AW76" s="106">
        <v>572.04288990825683</v>
      </c>
      <c r="AX76" s="106">
        <v>0.94217347956131614</v>
      </c>
      <c r="AY76" s="106">
        <v>733.76470588235293</v>
      </c>
      <c r="AZ76" s="106">
        <v>0.24459234608985025</v>
      </c>
      <c r="BA76" s="106">
        <v>190.48851913477537</v>
      </c>
      <c r="BB76" s="106">
        <v>0.39690721649484534</v>
      </c>
      <c r="BC76" s="106">
        <v>309.11134020618556</v>
      </c>
      <c r="BD76" s="106">
        <v>0</v>
      </c>
      <c r="BE76" s="106">
        <v>0</v>
      </c>
      <c r="BF76" s="106">
        <v>0.36986301369863012</v>
      </c>
      <c r="BG76" s="106">
        <v>288.04931506849312</v>
      </c>
      <c r="BH76" s="106">
        <v>0.81351351351351353</v>
      </c>
      <c r="BI76" s="106">
        <v>633.56432432432428</v>
      </c>
      <c r="BJ76" s="106">
        <v>1.344325897187197</v>
      </c>
      <c r="BK76" s="106">
        <v>1046.9610087293891</v>
      </c>
      <c r="BL76" s="106">
        <v>0</v>
      </c>
      <c r="BM76" s="106">
        <v>0</v>
      </c>
      <c r="BN76" s="106">
        <v>0.79726651480637811</v>
      </c>
      <c r="BO76" s="106">
        <v>620.91116173120724</v>
      </c>
      <c r="BP76" s="106">
        <v>0.32307692307692309</v>
      </c>
      <c r="BQ76" s="106">
        <v>251.6123076923077</v>
      </c>
      <c r="BR76" s="106">
        <v>0.19646569646569648</v>
      </c>
      <c r="BS76" s="106">
        <v>153.00748440748441</v>
      </c>
      <c r="BT76" s="106">
        <v>0.42376681614349776</v>
      </c>
      <c r="BU76" s="106">
        <v>330.02959641255603</v>
      </c>
      <c r="BV76" s="106">
        <v>0.20366379310344829</v>
      </c>
      <c r="BW76" s="106">
        <v>158.61336206896553</v>
      </c>
      <c r="BX76" s="106">
        <v>0</v>
      </c>
      <c r="BY76" s="106">
        <v>0</v>
      </c>
      <c r="BZ76" s="106">
        <v>0.41637931034482761</v>
      </c>
      <c r="CA76" s="106">
        <v>324.27620689655174</v>
      </c>
      <c r="CB76" s="106">
        <v>0.33024976873265494</v>
      </c>
      <c r="CC76" s="106">
        <v>257.19851988899165</v>
      </c>
      <c r="CD76" s="106">
        <v>0.60410958904109591</v>
      </c>
      <c r="CE76" s="106">
        <v>470.48054794520544</v>
      </c>
      <c r="CF76" s="106">
        <v>0</v>
      </c>
      <c r="CG76" s="106">
        <v>0</v>
      </c>
      <c r="CH76" s="106">
        <v>0</v>
      </c>
      <c r="CI76" s="106">
        <v>0</v>
      </c>
      <c r="CJ76" s="106">
        <v>0.84259259259259256</v>
      </c>
      <c r="CK76" s="106">
        <v>656.21111111111099</v>
      </c>
      <c r="CL76" s="106">
        <v>0.97978227060653189</v>
      </c>
      <c r="CM76" s="106">
        <v>763.05443234836696</v>
      </c>
      <c r="CN76" s="106">
        <v>0.33771929824561403</v>
      </c>
      <c r="CO76" s="106">
        <v>263.01578947368421</v>
      </c>
      <c r="CP76" s="106">
        <v>0.34469696969696972</v>
      </c>
      <c r="CQ76" s="106">
        <v>268.45</v>
      </c>
      <c r="CR76" s="106">
        <v>0</v>
      </c>
      <c r="CS76" s="106">
        <v>0</v>
      </c>
      <c r="CT76" s="106">
        <v>0.65254237288135597</v>
      </c>
      <c r="CU76" s="106">
        <v>508.2</v>
      </c>
    </row>
    <row r="77" spans="2:99" x14ac:dyDescent="0.2">
      <c r="C77" s="105" t="s">
        <v>243</v>
      </c>
      <c r="D77" s="106">
        <v>0</v>
      </c>
      <c r="E77" s="106">
        <v>0</v>
      </c>
      <c r="F77" s="106">
        <v>2.3180076628352491</v>
      </c>
      <c r="G77" s="106">
        <v>645.33333333333326</v>
      </c>
      <c r="H77" s="106">
        <v>2.4980645161290322</v>
      </c>
      <c r="I77" s="106">
        <v>695.46116129032248</v>
      </c>
      <c r="J77" s="106">
        <v>0.4050144648023144</v>
      </c>
      <c r="K77" s="106">
        <v>112.75602700096432</v>
      </c>
      <c r="L77" s="106">
        <v>0.38679969301611666</v>
      </c>
      <c r="M77" s="106">
        <v>107.68503453568687</v>
      </c>
      <c r="N77" s="106">
        <v>0.4439338235294118</v>
      </c>
      <c r="O77" s="106">
        <v>123.59117647058824</v>
      </c>
      <c r="P77" s="106">
        <v>0</v>
      </c>
      <c r="Q77" s="106">
        <v>0</v>
      </c>
      <c r="R77" s="106">
        <v>0.82212765957446798</v>
      </c>
      <c r="S77" s="106">
        <v>228.88034042553187</v>
      </c>
      <c r="T77" s="106">
        <v>0.25909090909090909</v>
      </c>
      <c r="U77" s="106">
        <v>72.130909090909086</v>
      </c>
      <c r="V77" s="106">
        <v>0.22495274102079396</v>
      </c>
      <c r="W77" s="106">
        <v>62.626843100189035</v>
      </c>
      <c r="X77" s="106">
        <v>0.61436170212765961</v>
      </c>
      <c r="Y77" s="106">
        <v>171.03829787234042</v>
      </c>
      <c r="Z77" s="106">
        <v>0.19277845777233782</v>
      </c>
      <c r="AA77" s="106">
        <v>53.669522643818844</v>
      </c>
      <c r="AB77" s="106">
        <v>0.64093357271095153</v>
      </c>
      <c r="AC77" s="106">
        <v>178.4359066427289</v>
      </c>
      <c r="AD77" s="106">
        <v>0</v>
      </c>
      <c r="AE77" s="106">
        <v>0</v>
      </c>
      <c r="AF77" s="106">
        <v>0.60101010101010099</v>
      </c>
      <c r="AG77" s="106">
        <v>167.32121212121211</v>
      </c>
      <c r="AH77" s="106">
        <v>0.87832699619771859</v>
      </c>
      <c r="AI77" s="106">
        <v>244.52623574144482</v>
      </c>
      <c r="AJ77" s="106">
        <v>0.19794344473007713</v>
      </c>
      <c r="AK77" s="106">
        <v>55.107455012853471</v>
      </c>
      <c r="AL77" s="106">
        <v>0.26275264677574589</v>
      </c>
      <c r="AM77" s="106">
        <v>73.150336862367652</v>
      </c>
      <c r="AN77" s="106">
        <v>0</v>
      </c>
      <c r="AO77" s="106">
        <v>0</v>
      </c>
      <c r="AP77" s="106">
        <v>0.39747634069400634</v>
      </c>
      <c r="AQ77" s="106">
        <v>110.65741324921136</v>
      </c>
      <c r="AR77" s="106">
        <v>0.97239536954585937</v>
      </c>
      <c r="AS77" s="106">
        <v>270.71487088156721</v>
      </c>
      <c r="AT77" s="106">
        <v>0.81153388822829975</v>
      </c>
      <c r="AU77" s="106">
        <v>225.93103448275863</v>
      </c>
      <c r="AV77" s="106">
        <v>0.78268348623853212</v>
      </c>
      <c r="AW77" s="106">
        <v>217.89908256880733</v>
      </c>
      <c r="AX77" s="106">
        <v>0.96311066799601197</v>
      </c>
      <c r="AY77" s="106">
        <v>268.1300099700897</v>
      </c>
      <c r="AZ77" s="106">
        <v>0.27953410981697174</v>
      </c>
      <c r="BA77" s="106">
        <v>77.822296173044933</v>
      </c>
      <c r="BB77" s="106">
        <v>0.36082474226804129</v>
      </c>
      <c r="BC77" s="106">
        <v>100.45360824742269</v>
      </c>
      <c r="BD77" s="106">
        <v>0</v>
      </c>
      <c r="BE77" s="106">
        <v>0</v>
      </c>
      <c r="BF77" s="106">
        <v>0.41095890410958902</v>
      </c>
      <c r="BG77" s="106">
        <v>114.41095890410958</v>
      </c>
      <c r="BH77" s="106">
        <v>0.77567567567567564</v>
      </c>
      <c r="BI77" s="106">
        <v>215.94810810810807</v>
      </c>
      <c r="BJ77" s="106">
        <v>1.3850630455868089</v>
      </c>
      <c r="BK77" s="106">
        <v>385.60155189136759</v>
      </c>
      <c r="BL77" s="106">
        <v>0</v>
      </c>
      <c r="BM77" s="106">
        <v>0</v>
      </c>
      <c r="BN77" s="106">
        <v>0.90888382687927105</v>
      </c>
      <c r="BO77" s="106">
        <v>253.03325740318903</v>
      </c>
      <c r="BP77" s="106">
        <v>0.29822485207100591</v>
      </c>
      <c r="BQ77" s="106">
        <v>83.025798816568042</v>
      </c>
      <c r="BR77" s="106">
        <v>0.19646569646569648</v>
      </c>
      <c r="BS77" s="106">
        <v>54.696049896049892</v>
      </c>
      <c r="BT77" s="106">
        <v>0.42376681614349776</v>
      </c>
      <c r="BU77" s="106">
        <v>117.97668161434977</v>
      </c>
      <c r="BV77" s="106">
        <v>0.18103448275862069</v>
      </c>
      <c r="BW77" s="106">
        <v>50.4</v>
      </c>
      <c r="BX77" s="106">
        <v>0</v>
      </c>
      <c r="BY77" s="106">
        <v>0</v>
      </c>
      <c r="BZ77" s="106">
        <v>0.36206896551724138</v>
      </c>
      <c r="CA77" s="106">
        <v>100.8</v>
      </c>
      <c r="CB77" s="106">
        <v>0.3496762257169288</v>
      </c>
      <c r="CC77" s="106">
        <v>97.349861239592968</v>
      </c>
      <c r="CD77" s="106">
        <v>0.63287671232876719</v>
      </c>
      <c r="CE77" s="106">
        <v>176.19287671232877</v>
      </c>
      <c r="CF77" s="106">
        <v>0</v>
      </c>
      <c r="CG77" s="106">
        <v>0</v>
      </c>
      <c r="CH77" s="106">
        <v>0</v>
      </c>
      <c r="CI77" s="106">
        <v>0</v>
      </c>
      <c r="CJ77" s="106">
        <v>0.90740740740740733</v>
      </c>
      <c r="CK77" s="106">
        <v>252.62222222222218</v>
      </c>
      <c r="CL77" s="106">
        <v>1.1104199066874028</v>
      </c>
      <c r="CM77" s="106">
        <v>309.14090202177289</v>
      </c>
      <c r="CN77" s="106">
        <v>0.33771929824561403</v>
      </c>
      <c r="CO77" s="106">
        <v>94.021052631578939</v>
      </c>
      <c r="CP77" s="106">
        <v>0.34469696969696972</v>
      </c>
      <c r="CQ77" s="106">
        <v>95.963636363636368</v>
      </c>
      <c r="CR77" s="106">
        <v>0</v>
      </c>
      <c r="CS77" s="106">
        <v>0</v>
      </c>
      <c r="CT77" s="106">
        <v>0.65254237288135597</v>
      </c>
      <c r="CU77" s="106">
        <v>181.66779661016949</v>
      </c>
    </row>
    <row r="78" spans="2:99" x14ac:dyDescent="0.2">
      <c r="C78" s="105" t="s">
        <v>244</v>
      </c>
      <c r="D78" s="106">
        <v>0</v>
      </c>
      <c r="E78" s="106">
        <v>0</v>
      </c>
      <c r="F78" s="106">
        <v>2.0089399744572161</v>
      </c>
      <c r="G78" s="106">
        <v>1108.9348659003833</v>
      </c>
      <c r="H78" s="106">
        <v>2.4980645161290322</v>
      </c>
      <c r="I78" s="106">
        <v>1378.9316129032259</v>
      </c>
      <c r="J78" s="106">
        <v>0.4050144648023144</v>
      </c>
      <c r="K78" s="106">
        <v>223.56798457087754</v>
      </c>
      <c r="L78" s="106">
        <v>0.45126630851880278</v>
      </c>
      <c r="M78" s="106">
        <v>249.09900230237915</v>
      </c>
      <c r="N78" s="106">
        <v>0.40533088235294118</v>
      </c>
      <c r="O78" s="106">
        <v>223.74264705882354</v>
      </c>
      <c r="P78" s="106">
        <v>0</v>
      </c>
      <c r="Q78" s="106">
        <v>0</v>
      </c>
      <c r="R78" s="106">
        <v>0.85787234042553184</v>
      </c>
      <c r="S78" s="106">
        <v>473.54553191489356</v>
      </c>
      <c r="T78" s="106">
        <v>0.25909090909090909</v>
      </c>
      <c r="U78" s="106">
        <v>143.01818181818183</v>
      </c>
      <c r="V78" s="106">
        <v>0.22495274102079396</v>
      </c>
      <c r="W78" s="106">
        <v>124.17391304347827</v>
      </c>
      <c r="X78" s="106">
        <v>0.5585106382978724</v>
      </c>
      <c r="Y78" s="106">
        <v>308.29787234042556</v>
      </c>
      <c r="Z78" s="106">
        <v>0.16707466340269278</v>
      </c>
      <c r="AA78" s="106">
        <v>92.225214198286409</v>
      </c>
      <c r="AB78" s="106">
        <v>0.60323159784560143</v>
      </c>
      <c r="AC78" s="106">
        <v>332.98384201077198</v>
      </c>
      <c r="AD78" s="106">
        <v>0</v>
      </c>
      <c r="AE78" s="106">
        <v>0</v>
      </c>
      <c r="AF78" s="106">
        <v>0.60101010101010099</v>
      </c>
      <c r="AG78" s="106">
        <v>331.75757575757575</v>
      </c>
      <c r="AH78" s="106">
        <v>0.95817490494296575</v>
      </c>
      <c r="AI78" s="106">
        <v>528.91254752851705</v>
      </c>
      <c r="AJ78" s="106">
        <v>0.19794344473007713</v>
      </c>
      <c r="AK78" s="106">
        <v>109.26478149100258</v>
      </c>
      <c r="AL78" s="106">
        <v>0.22232916265640038</v>
      </c>
      <c r="AM78" s="106">
        <v>122.725697786333</v>
      </c>
      <c r="AN78" s="106">
        <v>0</v>
      </c>
      <c r="AO78" s="106">
        <v>0</v>
      </c>
      <c r="AP78" s="106">
        <v>0.39747634069400634</v>
      </c>
      <c r="AQ78" s="106">
        <v>219.4069400630915</v>
      </c>
      <c r="AR78" s="106">
        <v>1.0191451469278718</v>
      </c>
      <c r="AS78" s="106">
        <v>562.56812110418525</v>
      </c>
      <c r="AT78" s="106">
        <v>0.77407847800237806</v>
      </c>
      <c r="AU78" s="106">
        <v>427.29131985731271</v>
      </c>
      <c r="AV78" s="106">
        <v>0.80676605504587151</v>
      </c>
      <c r="AW78" s="106">
        <v>445.33486238532106</v>
      </c>
      <c r="AX78" s="106">
        <v>0.97357926221336</v>
      </c>
      <c r="AY78" s="106">
        <v>537.41575274177467</v>
      </c>
      <c r="AZ78" s="106">
        <v>0.31447587354409318</v>
      </c>
      <c r="BA78" s="106">
        <v>173.59068219633943</v>
      </c>
      <c r="BB78" s="106">
        <v>0.39690721649484534</v>
      </c>
      <c r="BC78" s="106">
        <v>219.09278350515461</v>
      </c>
      <c r="BD78" s="106">
        <v>0</v>
      </c>
      <c r="BE78" s="106">
        <v>0</v>
      </c>
      <c r="BF78" s="106">
        <v>0.41095890410958902</v>
      </c>
      <c r="BG78" s="106">
        <v>226.84931506849313</v>
      </c>
      <c r="BH78" s="106">
        <v>0.87027027027027026</v>
      </c>
      <c r="BI78" s="106">
        <v>480.38918918918921</v>
      </c>
      <c r="BJ78" s="106">
        <v>1.4665373423860331</v>
      </c>
      <c r="BK78" s="106">
        <v>809.52861299709025</v>
      </c>
      <c r="BL78" s="106">
        <v>0</v>
      </c>
      <c r="BM78" s="106">
        <v>0</v>
      </c>
      <c r="BN78" s="106">
        <v>0.74943052391799536</v>
      </c>
      <c r="BO78" s="106">
        <v>413.68564920273343</v>
      </c>
      <c r="BP78" s="106">
        <v>0.29822485207100591</v>
      </c>
      <c r="BQ78" s="106">
        <v>164.62011834319526</v>
      </c>
      <c r="BR78" s="106">
        <v>0.19646569646569648</v>
      </c>
      <c r="BS78" s="106">
        <v>108.44906444906445</v>
      </c>
      <c r="BT78" s="106">
        <v>0.42376681614349776</v>
      </c>
      <c r="BU78" s="106">
        <v>233.91928251121075</v>
      </c>
      <c r="BV78" s="106">
        <v>0.18103448275862069</v>
      </c>
      <c r="BW78" s="106">
        <v>99.931034482758619</v>
      </c>
      <c r="BX78" s="106">
        <v>0</v>
      </c>
      <c r="BY78" s="106">
        <v>0</v>
      </c>
      <c r="BZ78" s="106">
        <v>0.38017241379310346</v>
      </c>
      <c r="CA78" s="106">
        <v>209.8551724137931</v>
      </c>
      <c r="CB78" s="106">
        <v>0.3496762257169288</v>
      </c>
      <c r="CC78" s="106">
        <v>193.02127659574469</v>
      </c>
      <c r="CD78" s="106">
        <v>0.54657534246575346</v>
      </c>
      <c r="CE78" s="106">
        <v>301.70958904109591</v>
      </c>
      <c r="CF78" s="106">
        <v>0</v>
      </c>
      <c r="CG78" s="106">
        <v>0</v>
      </c>
      <c r="CH78" s="106">
        <v>0</v>
      </c>
      <c r="CI78" s="106">
        <v>0</v>
      </c>
      <c r="CJ78" s="106">
        <v>0.97222222222222221</v>
      </c>
      <c r="CK78" s="106">
        <v>536.66666666666663</v>
      </c>
      <c r="CL78" s="106">
        <v>1.0451010886469674</v>
      </c>
      <c r="CM78" s="106">
        <v>576.895800933126</v>
      </c>
      <c r="CN78" s="106">
        <v>0.33771929824561403</v>
      </c>
      <c r="CO78" s="106">
        <v>186.42105263157893</v>
      </c>
      <c r="CP78" s="106">
        <v>0.34469696969696972</v>
      </c>
      <c r="CQ78" s="106">
        <v>190.27272727272728</v>
      </c>
      <c r="CR78" s="106">
        <v>0</v>
      </c>
      <c r="CS78" s="106">
        <v>0</v>
      </c>
      <c r="CT78" s="106">
        <v>0.59322033898305082</v>
      </c>
      <c r="CU78" s="106">
        <v>327.45762711864404</v>
      </c>
    </row>
    <row r="79" spans="2:99" x14ac:dyDescent="0.2">
      <c r="C79" s="105" t="s">
        <v>245</v>
      </c>
      <c r="D79" s="106">
        <v>0</v>
      </c>
      <c r="E79" s="106">
        <v>0</v>
      </c>
      <c r="F79" s="106">
        <v>2.0089399744572161</v>
      </c>
      <c r="G79" s="106">
        <v>1521.1693486590038</v>
      </c>
      <c r="H79" s="106">
        <v>2.4980645161290322</v>
      </c>
      <c r="I79" s="106">
        <v>1891.534451612903</v>
      </c>
      <c r="J79" s="106">
        <v>0.4050144648023144</v>
      </c>
      <c r="K79" s="106">
        <v>306.67695274831243</v>
      </c>
      <c r="L79" s="106">
        <v>0.45126630851880278</v>
      </c>
      <c r="M79" s="106">
        <v>341.69884881043743</v>
      </c>
      <c r="N79" s="106">
        <v>0.42463235294117652</v>
      </c>
      <c r="O79" s="106">
        <v>321.53161764705885</v>
      </c>
      <c r="P79" s="106">
        <v>0</v>
      </c>
      <c r="Q79" s="106">
        <v>0</v>
      </c>
      <c r="R79" s="106">
        <v>0.85787234042553184</v>
      </c>
      <c r="S79" s="106">
        <v>649.58093617021268</v>
      </c>
      <c r="T79" s="106">
        <v>0.23181818181818181</v>
      </c>
      <c r="U79" s="106">
        <v>175.53272727272724</v>
      </c>
      <c r="V79" s="106">
        <v>0.21172022684310018</v>
      </c>
      <c r="W79" s="106">
        <v>160.31455576559546</v>
      </c>
      <c r="X79" s="106">
        <v>0.61436170212765961</v>
      </c>
      <c r="Y79" s="106">
        <v>465.19468085106382</v>
      </c>
      <c r="Z79" s="106">
        <v>0.16707466340269278</v>
      </c>
      <c r="AA79" s="106">
        <v>126.50893512851896</v>
      </c>
      <c r="AB79" s="106">
        <v>0.60323159784560143</v>
      </c>
      <c r="AC79" s="106">
        <v>456.76696588868936</v>
      </c>
      <c r="AD79" s="106">
        <v>0</v>
      </c>
      <c r="AE79" s="106">
        <v>0</v>
      </c>
      <c r="AF79" s="106">
        <v>0.63636363636363635</v>
      </c>
      <c r="AG79" s="106">
        <v>481.85454545454542</v>
      </c>
      <c r="AH79" s="106">
        <v>0.95817490494296575</v>
      </c>
      <c r="AI79" s="106">
        <v>725.53003802281364</v>
      </c>
      <c r="AJ79" s="106">
        <v>0.17994858611825193</v>
      </c>
      <c r="AK79" s="106">
        <v>136.25706940874034</v>
      </c>
      <c r="AL79" s="106">
        <v>0.22232916265640038</v>
      </c>
      <c r="AM79" s="106">
        <v>168.34764196342636</v>
      </c>
      <c r="AN79" s="106">
        <v>0</v>
      </c>
      <c r="AO79" s="106">
        <v>0</v>
      </c>
      <c r="AP79" s="106">
        <v>0.39747634069400634</v>
      </c>
      <c r="AQ79" s="106">
        <v>300.96908517350158</v>
      </c>
      <c r="AR79" s="106">
        <v>0.9162956366874444</v>
      </c>
      <c r="AS79" s="106">
        <v>693.81905609973285</v>
      </c>
      <c r="AT79" s="106">
        <v>0.74910820451843041</v>
      </c>
      <c r="AU79" s="106">
        <v>567.22473246135542</v>
      </c>
      <c r="AV79" s="106">
        <v>0.78268348623853212</v>
      </c>
      <c r="AW79" s="106">
        <v>592.64793577981652</v>
      </c>
      <c r="AX79" s="106">
        <v>0.84795613160518446</v>
      </c>
      <c r="AY79" s="106">
        <v>642.07238285144558</v>
      </c>
      <c r="AZ79" s="106">
        <v>0.31447587354409318</v>
      </c>
      <c r="BA79" s="106">
        <v>238.12113144758735</v>
      </c>
      <c r="BB79" s="106">
        <v>0.36082474226804129</v>
      </c>
      <c r="BC79" s="106">
        <v>273.21649484536084</v>
      </c>
      <c r="BD79" s="106">
        <v>0</v>
      </c>
      <c r="BE79" s="106">
        <v>0</v>
      </c>
      <c r="BF79" s="106">
        <v>0.32876712328767121</v>
      </c>
      <c r="BG79" s="106">
        <v>248.94246575342461</v>
      </c>
      <c r="BH79" s="106">
        <v>0.73783783783783785</v>
      </c>
      <c r="BI79" s="106">
        <v>558.69081081081072</v>
      </c>
      <c r="BJ79" s="106">
        <v>1.344325897187197</v>
      </c>
      <c r="BK79" s="106">
        <v>1017.9235693501455</v>
      </c>
      <c r="BL79" s="106">
        <v>0</v>
      </c>
      <c r="BM79" s="106">
        <v>0</v>
      </c>
      <c r="BN79" s="106">
        <v>0.73348519362186793</v>
      </c>
      <c r="BO79" s="106">
        <v>555.39498861047832</v>
      </c>
      <c r="BP79" s="106">
        <v>0.29822485207100591</v>
      </c>
      <c r="BQ79" s="106">
        <v>225.81585798816565</v>
      </c>
      <c r="BR79" s="106">
        <v>0.17463617463617465</v>
      </c>
      <c r="BS79" s="106">
        <v>132.23451143451143</v>
      </c>
      <c r="BT79" s="106">
        <v>0.42376681614349776</v>
      </c>
      <c r="BU79" s="106">
        <v>320.87623318385647</v>
      </c>
      <c r="BV79" s="106">
        <v>0.15840517241379312</v>
      </c>
      <c r="BW79" s="106">
        <v>119.94439655172414</v>
      </c>
      <c r="BX79" s="106">
        <v>0</v>
      </c>
      <c r="BY79" s="106">
        <v>0</v>
      </c>
      <c r="BZ79" s="106">
        <v>0.36206896551724138</v>
      </c>
      <c r="CA79" s="106">
        <v>274.15862068965515</v>
      </c>
      <c r="CB79" s="106">
        <v>0.33024976873265494</v>
      </c>
      <c r="CC79" s="106">
        <v>250.0651248843663</v>
      </c>
      <c r="CD79" s="106">
        <v>0.63287671232876719</v>
      </c>
      <c r="CE79" s="106">
        <v>479.21424657534249</v>
      </c>
      <c r="CF79" s="106">
        <v>0</v>
      </c>
      <c r="CG79" s="106">
        <v>0</v>
      </c>
      <c r="CH79" s="106">
        <v>0</v>
      </c>
      <c r="CI79" s="106">
        <v>0</v>
      </c>
      <c r="CJ79" s="106">
        <v>0.84259259259259256</v>
      </c>
      <c r="CK79" s="106">
        <v>638.01111111111106</v>
      </c>
      <c r="CL79" s="106">
        <v>0.9144634525660964</v>
      </c>
      <c r="CM79" s="106">
        <v>692.43172628304808</v>
      </c>
      <c r="CN79" s="106">
        <v>0.30701754385964908</v>
      </c>
      <c r="CO79" s="106">
        <v>232.47368421052627</v>
      </c>
      <c r="CP79" s="106">
        <v>0.29166666666666663</v>
      </c>
      <c r="CQ79" s="106">
        <v>220.84999999999997</v>
      </c>
      <c r="CR79" s="106">
        <v>0</v>
      </c>
      <c r="CS79" s="106">
        <v>0</v>
      </c>
      <c r="CT79" s="106">
        <v>0.65254237288135597</v>
      </c>
      <c r="CU79" s="106">
        <v>494.10508474576272</v>
      </c>
    </row>
    <row r="80" spans="2:99" x14ac:dyDescent="0.2">
      <c r="C80" s="105" t="s">
        <v>246</v>
      </c>
      <c r="D80" s="106">
        <v>0</v>
      </c>
      <c r="E80" s="106">
        <v>0</v>
      </c>
      <c r="F80" s="106">
        <v>2.1634738186462323</v>
      </c>
      <c r="G80" s="106">
        <v>1742.029118773946</v>
      </c>
      <c r="H80" s="106">
        <v>2.1858064516129034</v>
      </c>
      <c r="I80" s="106">
        <v>1760.0113548387096</v>
      </c>
      <c r="J80" s="106">
        <v>0.4050144648023144</v>
      </c>
      <c r="K80" s="106">
        <v>326.11764705882354</v>
      </c>
      <c r="L80" s="106">
        <v>0.43514965464313121</v>
      </c>
      <c r="M80" s="106">
        <v>350.38250191864921</v>
      </c>
      <c r="N80" s="106">
        <v>0.40533088235294118</v>
      </c>
      <c r="O80" s="106">
        <v>326.37242647058821</v>
      </c>
      <c r="P80" s="106">
        <v>0</v>
      </c>
      <c r="Q80" s="106">
        <v>0</v>
      </c>
      <c r="R80" s="106">
        <v>0.78638297872340435</v>
      </c>
      <c r="S80" s="106">
        <v>633.19557446808517</v>
      </c>
      <c r="T80" s="106">
        <v>0.21818181818181817</v>
      </c>
      <c r="U80" s="106">
        <v>175.67999999999998</v>
      </c>
      <c r="V80" s="106">
        <v>0.23818525519848774</v>
      </c>
      <c r="W80" s="106">
        <v>191.78676748582231</v>
      </c>
      <c r="X80" s="106">
        <v>0.53058510638297873</v>
      </c>
      <c r="Y80" s="106">
        <v>427.22712765957442</v>
      </c>
      <c r="Z80" s="106">
        <v>0.17992656058751527</v>
      </c>
      <c r="AA80" s="106">
        <v>144.87686658506729</v>
      </c>
      <c r="AB80" s="106">
        <v>0.52782764811490124</v>
      </c>
      <c r="AC80" s="106">
        <v>425.00682226211842</v>
      </c>
      <c r="AD80" s="106">
        <v>0</v>
      </c>
      <c r="AE80" s="106">
        <v>0</v>
      </c>
      <c r="AF80" s="106">
        <v>0.56565656565656564</v>
      </c>
      <c r="AG80" s="106">
        <v>455.46666666666658</v>
      </c>
      <c r="AH80" s="106">
        <v>0.79847908745247143</v>
      </c>
      <c r="AI80" s="106">
        <v>642.93536121672992</v>
      </c>
      <c r="AJ80" s="106">
        <v>0.19794344473007713</v>
      </c>
      <c r="AK80" s="106">
        <v>159.38406169665811</v>
      </c>
      <c r="AL80" s="106">
        <v>0.24254090471607315</v>
      </c>
      <c r="AM80" s="106">
        <v>195.29393647738209</v>
      </c>
      <c r="AN80" s="106">
        <v>0</v>
      </c>
      <c r="AO80" s="106">
        <v>0</v>
      </c>
      <c r="AP80" s="106">
        <v>0.35331230283911669</v>
      </c>
      <c r="AQ80" s="106">
        <v>284.48706624605671</v>
      </c>
      <c r="AR80" s="106">
        <v>1.0097951914514693</v>
      </c>
      <c r="AS80" s="106">
        <v>813.0870881567231</v>
      </c>
      <c r="AT80" s="106">
        <v>0.72413793103448276</v>
      </c>
      <c r="AU80" s="106">
        <v>583.07586206896542</v>
      </c>
      <c r="AV80" s="106">
        <v>0.66227064220183485</v>
      </c>
      <c r="AW80" s="106">
        <v>533.26032110091739</v>
      </c>
      <c r="AX80" s="106">
        <v>0.85842472582253238</v>
      </c>
      <c r="AY80" s="106">
        <v>691.20358923230299</v>
      </c>
      <c r="AZ80" s="106">
        <v>0.27953410981697174</v>
      </c>
      <c r="BA80" s="106">
        <v>225.08086522462563</v>
      </c>
      <c r="BB80" s="106">
        <v>0.39690721649484534</v>
      </c>
      <c r="BC80" s="106">
        <v>319.58969072164945</v>
      </c>
      <c r="BD80" s="106">
        <v>0</v>
      </c>
      <c r="BE80" s="106">
        <v>0</v>
      </c>
      <c r="BF80" s="106">
        <v>0.36986301369863012</v>
      </c>
      <c r="BG80" s="106">
        <v>297.81369863013697</v>
      </c>
      <c r="BH80" s="106">
        <v>0.79459459459459469</v>
      </c>
      <c r="BI80" s="106">
        <v>639.80756756756762</v>
      </c>
      <c r="BJ80" s="106">
        <v>1.3035887487875848</v>
      </c>
      <c r="BK80" s="106">
        <v>1049.6496605237633</v>
      </c>
      <c r="BL80" s="106">
        <v>0</v>
      </c>
      <c r="BM80" s="106">
        <v>0</v>
      </c>
      <c r="BN80" s="106">
        <v>0.73348519362186793</v>
      </c>
      <c r="BO80" s="106">
        <v>590.60227790432805</v>
      </c>
      <c r="BP80" s="106">
        <v>0.29822485207100591</v>
      </c>
      <c r="BQ80" s="106">
        <v>240.13065088757395</v>
      </c>
      <c r="BR80" s="106">
        <v>0.19646569646569648</v>
      </c>
      <c r="BS80" s="106">
        <v>158.19417879417878</v>
      </c>
      <c r="BT80" s="106">
        <v>0.37668161434977576</v>
      </c>
      <c r="BU80" s="106">
        <v>303.30403587443942</v>
      </c>
      <c r="BV80" s="106">
        <v>0.18103448275862069</v>
      </c>
      <c r="BW80" s="106">
        <v>145.76896551724136</v>
      </c>
      <c r="BX80" s="106">
        <v>0</v>
      </c>
      <c r="BY80" s="106">
        <v>0</v>
      </c>
      <c r="BZ80" s="106">
        <v>0.38017241379310346</v>
      </c>
      <c r="CA80" s="106">
        <v>306.1148275862069</v>
      </c>
      <c r="CB80" s="106">
        <v>0.29139685476410732</v>
      </c>
      <c r="CC80" s="106">
        <v>234.63274745605918</v>
      </c>
      <c r="CD80" s="106">
        <v>0.54657534246575346</v>
      </c>
      <c r="CE80" s="106">
        <v>440.10246575342467</v>
      </c>
      <c r="CF80" s="106">
        <v>0</v>
      </c>
      <c r="CG80" s="106">
        <v>0</v>
      </c>
      <c r="CH80" s="106">
        <v>0</v>
      </c>
      <c r="CI80" s="106">
        <v>0</v>
      </c>
      <c r="CJ80" s="106">
        <v>0.97222222222222221</v>
      </c>
      <c r="CK80" s="106">
        <v>782.83333333333326</v>
      </c>
      <c r="CL80" s="106">
        <v>1.0451010886469674</v>
      </c>
      <c r="CM80" s="106">
        <v>841.51539657853812</v>
      </c>
      <c r="CN80" s="106">
        <v>0.30701754385964908</v>
      </c>
      <c r="CO80" s="106">
        <v>247.21052631578942</v>
      </c>
      <c r="CP80" s="106">
        <v>0.31818181818181818</v>
      </c>
      <c r="CQ80" s="106">
        <v>256.2</v>
      </c>
      <c r="CR80" s="106">
        <v>0</v>
      </c>
      <c r="CS80" s="106">
        <v>0</v>
      </c>
      <c r="CT80" s="106">
        <v>0.65254237288135597</v>
      </c>
      <c r="CU80" s="106">
        <v>525.42711864406783</v>
      </c>
    </row>
    <row r="81" spans="2:99" x14ac:dyDescent="0.2">
      <c r="C81" s="105" t="s">
        <v>247</v>
      </c>
      <c r="D81" s="106">
        <v>0</v>
      </c>
      <c r="E81" s="106">
        <v>0</v>
      </c>
      <c r="F81" s="106">
        <v>1.8544061302681991</v>
      </c>
      <c r="G81" s="106">
        <v>1397.480459770115</v>
      </c>
      <c r="H81" s="106">
        <v>2.3419354838709681</v>
      </c>
      <c r="I81" s="106">
        <v>1764.8825806451616</v>
      </c>
      <c r="J81" s="106">
        <v>0.38476374156219867</v>
      </c>
      <c r="K81" s="106">
        <v>289.95795564127292</v>
      </c>
      <c r="L81" s="106">
        <v>0.40291634689178818</v>
      </c>
      <c r="M81" s="106">
        <v>303.6377590176516</v>
      </c>
      <c r="N81" s="106">
        <v>0.3860294117647059</v>
      </c>
      <c r="O81" s="106">
        <v>290.91176470588238</v>
      </c>
      <c r="P81" s="106">
        <v>0</v>
      </c>
      <c r="Q81" s="106">
        <v>0</v>
      </c>
      <c r="R81" s="106">
        <v>0.82212765957446798</v>
      </c>
      <c r="S81" s="106">
        <v>619.5554042553191</v>
      </c>
      <c r="T81" s="106">
        <v>0.21818181818181817</v>
      </c>
      <c r="U81" s="106">
        <v>164.42181818181817</v>
      </c>
      <c r="V81" s="106">
        <v>0.22495274102079396</v>
      </c>
      <c r="W81" s="106">
        <v>169.52438563327033</v>
      </c>
      <c r="X81" s="106">
        <v>0.53058510638297873</v>
      </c>
      <c r="Y81" s="106">
        <v>399.84893617021277</v>
      </c>
      <c r="Z81" s="106">
        <v>0.16707466340269278</v>
      </c>
      <c r="AA81" s="106">
        <v>125.90746634026928</v>
      </c>
      <c r="AB81" s="106">
        <v>0.60323159784560143</v>
      </c>
      <c r="AC81" s="106">
        <v>454.59533213644528</v>
      </c>
      <c r="AD81" s="106">
        <v>0</v>
      </c>
      <c r="AE81" s="106">
        <v>0</v>
      </c>
      <c r="AF81" s="106">
        <v>0.56565656565656564</v>
      </c>
      <c r="AG81" s="106">
        <v>426.27878787878785</v>
      </c>
      <c r="AH81" s="106">
        <v>0.95817490494296575</v>
      </c>
      <c r="AI81" s="106">
        <v>722.08060836501897</v>
      </c>
      <c r="AJ81" s="106">
        <v>0.19794344473007713</v>
      </c>
      <c r="AK81" s="106">
        <v>149.17017994858614</v>
      </c>
      <c r="AL81" s="106">
        <v>0.24254090471607315</v>
      </c>
      <c r="AM81" s="106">
        <v>182.77882579403274</v>
      </c>
      <c r="AN81" s="106">
        <v>0</v>
      </c>
      <c r="AO81" s="106">
        <v>0</v>
      </c>
      <c r="AP81" s="106">
        <v>0.39747634069400634</v>
      </c>
      <c r="AQ81" s="106">
        <v>299.53817034700319</v>
      </c>
      <c r="AR81" s="106">
        <v>0.94434550311665177</v>
      </c>
      <c r="AS81" s="106">
        <v>711.65877114870875</v>
      </c>
      <c r="AT81" s="106">
        <v>0.74910820451843041</v>
      </c>
      <c r="AU81" s="106">
        <v>564.52794292508918</v>
      </c>
      <c r="AV81" s="106">
        <v>0.67431192660550465</v>
      </c>
      <c r="AW81" s="106">
        <v>508.16146788990829</v>
      </c>
      <c r="AX81" s="106">
        <v>0.91076769690927228</v>
      </c>
      <c r="AY81" s="106">
        <v>686.35453639082766</v>
      </c>
      <c r="AZ81" s="106">
        <v>0.27953410981697174</v>
      </c>
      <c r="BA81" s="106">
        <v>210.65690515806992</v>
      </c>
      <c r="BB81" s="106">
        <v>0.32474226804123713</v>
      </c>
      <c r="BC81" s="106">
        <v>244.72577319587631</v>
      </c>
      <c r="BD81" s="106">
        <v>0</v>
      </c>
      <c r="BE81" s="106">
        <v>0</v>
      </c>
      <c r="BF81" s="106">
        <v>0.41095890410958902</v>
      </c>
      <c r="BG81" s="106">
        <v>309.69863013698631</v>
      </c>
      <c r="BH81" s="106">
        <v>0.81351351351351353</v>
      </c>
      <c r="BI81" s="106">
        <v>613.06378378378383</v>
      </c>
      <c r="BJ81" s="106">
        <v>1.4258001939864211</v>
      </c>
      <c r="BK81" s="106">
        <v>1074.4830261881671</v>
      </c>
      <c r="BL81" s="106">
        <v>0</v>
      </c>
      <c r="BM81" s="106">
        <v>0</v>
      </c>
      <c r="BN81" s="106">
        <v>0.84510250569476075</v>
      </c>
      <c r="BO81" s="106">
        <v>636.86924829157169</v>
      </c>
      <c r="BP81" s="106">
        <v>0.27337278106508872</v>
      </c>
      <c r="BQ81" s="106">
        <v>206.01372781065086</v>
      </c>
      <c r="BR81" s="106">
        <v>0.17463617463617465</v>
      </c>
      <c r="BS81" s="106">
        <v>131.60582120582123</v>
      </c>
      <c r="BT81" s="106">
        <v>0.42376681614349776</v>
      </c>
      <c r="BU81" s="106">
        <v>319.35067264573991</v>
      </c>
      <c r="BV81" s="106">
        <v>0.20366379310344829</v>
      </c>
      <c r="BW81" s="106">
        <v>153.48103448275864</v>
      </c>
      <c r="BX81" s="106">
        <v>0</v>
      </c>
      <c r="BY81" s="106">
        <v>0</v>
      </c>
      <c r="BZ81" s="106">
        <v>0.41637931034482761</v>
      </c>
      <c r="CA81" s="106">
        <v>313.7834482758621</v>
      </c>
      <c r="CB81" s="106">
        <v>0.3496762257169288</v>
      </c>
      <c r="CC81" s="106">
        <v>263.51600370027757</v>
      </c>
      <c r="CD81" s="106">
        <v>0.60410958904109591</v>
      </c>
      <c r="CE81" s="106">
        <v>455.25698630136986</v>
      </c>
      <c r="CF81" s="106">
        <v>0</v>
      </c>
      <c r="CG81" s="106">
        <v>0</v>
      </c>
      <c r="CH81" s="106">
        <v>0</v>
      </c>
      <c r="CI81" s="106">
        <v>0</v>
      </c>
      <c r="CJ81" s="106">
        <v>0.97222222222222221</v>
      </c>
      <c r="CK81" s="106">
        <v>732.66666666666663</v>
      </c>
      <c r="CL81" s="106">
        <v>0.9144634525660964</v>
      </c>
      <c r="CM81" s="106">
        <v>689.13965785381026</v>
      </c>
      <c r="CN81" s="106">
        <v>0.36842105263157893</v>
      </c>
      <c r="CO81" s="106">
        <v>277.64210526315787</v>
      </c>
      <c r="CP81" s="106">
        <v>0.34469696969696972</v>
      </c>
      <c r="CQ81" s="106">
        <v>259.76363636363641</v>
      </c>
      <c r="CR81" s="106">
        <v>0</v>
      </c>
      <c r="CS81" s="106">
        <v>0</v>
      </c>
      <c r="CT81" s="106">
        <v>0.65254237288135597</v>
      </c>
      <c r="CU81" s="106">
        <v>491.75593220338988</v>
      </c>
    </row>
    <row r="82" spans="2:99" x14ac:dyDescent="0.2">
      <c r="C82" s="105" t="s">
        <v>248</v>
      </c>
      <c r="D82" s="106">
        <v>0</v>
      </c>
      <c r="E82" s="106">
        <v>0</v>
      </c>
      <c r="F82" s="106">
        <v>2.0089399744572161</v>
      </c>
      <c r="G82" s="106">
        <v>1022.1486590038313</v>
      </c>
      <c r="H82" s="106">
        <v>2.1858064516129034</v>
      </c>
      <c r="I82" s="106">
        <v>1112.1383225806451</v>
      </c>
      <c r="J82" s="106">
        <v>0.4050144648023144</v>
      </c>
      <c r="K82" s="106">
        <v>206.07135969141751</v>
      </c>
      <c r="L82" s="106">
        <v>0.45126630851880278</v>
      </c>
      <c r="M82" s="106">
        <v>229.60429777436681</v>
      </c>
      <c r="N82" s="106">
        <v>0.40533088235294118</v>
      </c>
      <c r="O82" s="106">
        <v>206.23235294117643</v>
      </c>
      <c r="P82" s="106">
        <v>0</v>
      </c>
      <c r="Q82" s="106">
        <v>0</v>
      </c>
      <c r="R82" s="106">
        <v>0.75063829787234049</v>
      </c>
      <c r="S82" s="106">
        <v>381.92476595744677</v>
      </c>
      <c r="T82" s="106">
        <v>0.23181818181818181</v>
      </c>
      <c r="U82" s="106">
        <v>117.94909090909088</v>
      </c>
      <c r="V82" s="106">
        <v>0.22495274102079396</v>
      </c>
      <c r="W82" s="106">
        <v>114.45595463137994</v>
      </c>
      <c r="X82" s="106">
        <v>0.61436170212765961</v>
      </c>
      <c r="Y82" s="106">
        <v>312.58723404255318</v>
      </c>
      <c r="Z82" s="106">
        <v>0.17992656058751527</v>
      </c>
      <c r="AA82" s="106">
        <v>91.546634026927748</v>
      </c>
      <c r="AB82" s="106">
        <v>0.60323159784560143</v>
      </c>
      <c r="AC82" s="106">
        <v>306.92423698384192</v>
      </c>
      <c r="AD82" s="106">
        <v>0</v>
      </c>
      <c r="AE82" s="106">
        <v>0</v>
      </c>
      <c r="AF82" s="106">
        <v>0.60101010101010099</v>
      </c>
      <c r="AG82" s="106">
        <v>305.7939393939393</v>
      </c>
      <c r="AH82" s="106">
        <v>0.87832699619771859</v>
      </c>
      <c r="AI82" s="106">
        <v>446.89277566539914</v>
      </c>
      <c r="AJ82" s="106">
        <v>0.21593830334190231</v>
      </c>
      <c r="AK82" s="106">
        <v>109.86940874035987</v>
      </c>
      <c r="AL82" s="106">
        <v>0.26275264677574589</v>
      </c>
      <c r="AM82" s="106">
        <v>133.6885466794995</v>
      </c>
      <c r="AN82" s="106">
        <v>0</v>
      </c>
      <c r="AO82" s="106">
        <v>0</v>
      </c>
      <c r="AP82" s="106">
        <v>0.39747634069400634</v>
      </c>
      <c r="AQ82" s="106">
        <v>202.23596214511039</v>
      </c>
      <c r="AR82" s="106">
        <v>1.0752448797862868</v>
      </c>
      <c r="AS82" s="106">
        <v>547.08459483526258</v>
      </c>
      <c r="AT82" s="106">
        <v>0.8365041617122474</v>
      </c>
      <c r="AU82" s="106">
        <v>425.61331747919138</v>
      </c>
      <c r="AV82" s="106">
        <v>0.72247706422018354</v>
      </c>
      <c r="AW82" s="106">
        <v>367.59633027522932</v>
      </c>
      <c r="AX82" s="106">
        <v>0.93170488534396811</v>
      </c>
      <c r="AY82" s="106">
        <v>474.0514456630109</v>
      </c>
      <c r="AZ82" s="106">
        <v>0.31447587354409318</v>
      </c>
      <c r="BA82" s="106">
        <v>160.00532445923457</v>
      </c>
      <c r="BB82" s="106">
        <v>0.36082474226804129</v>
      </c>
      <c r="BC82" s="106">
        <v>183.58762886597938</v>
      </c>
      <c r="BD82" s="106">
        <v>0</v>
      </c>
      <c r="BE82" s="106">
        <v>0</v>
      </c>
      <c r="BF82" s="106">
        <v>0.41095890410958902</v>
      </c>
      <c r="BG82" s="106">
        <v>209.09589041095884</v>
      </c>
      <c r="BH82" s="106">
        <v>0.77567567567567564</v>
      </c>
      <c r="BI82" s="106">
        <v>394.66378378378369</v>
      </c>
      <c r="BJ82" s="106">
        <v>1.3850630455868089</v>
      </c>
      <c r="BK82" s="106">
        <v>704.72007759456824</v>
      </c>
      <c r="BL82" s="106">
        <v>0</v>
      </c>
      <c r="BM82" s="106">
        <v>0</v>
      </c>
      <c r="BN82" s="106">
        <v>0.86104783599088841</v>
      </c>
      <c r="BO82" s="106">
        <v>438.10113895216392</v>
      </c>
      <c r="BP82" s="106">
        <v>0.32307692307692309</v>
      </c>
      <c r="BQ82" s="106">
        <v>164.38153846153844</v>
      </c>
      <c r="BR82" s="106">
        <v>0.19646569646569648</v>
      </c>
      <c r="BS82" s="106">
        <v>99.96174636174635</v>
      </c>
      <c r="BT82" s="106">
        <v>0.42376681614349776</v>
      </c>
      <c r="BU82" s="106">
        <v>215.61255605381163</v>
      </c>
      <c r="BV82" s="106">
        <v>0.18103448275862069</v>
      </c>
      <c r="BW82" s="106">
        <v>92.110344827586189</v>
      </c>
      <c r="BX82" s="106">
        <v>0</v>
      </c>
      <c r="BY82" s="106">
        <v>0</v>
      </c>
      <c r="BZ82" s="106">
        <v>0.41637931034482761</v>
      </c>
      <c r="CA82" s="106">
        <v>211.85379310344825</v>
      </c>
      <c r="CB82" s="106">
        <v>0.3496762257169288</v>
      </c>
      <c r="CC82" s="106">
        <v>177.91526364477335</v>
      </c>
      <c r="CD82" s="106">
        <v>0.63287671232876719</v>
      </c>
      <c r="CE82" s="106">
        <v>322.0076712328767</v>
      </c>
      <c r="CF82" s="106">
        <v>0</v>
      </c>
      <c r="CG82" s="106">
        <v>0</v>
      </c>
      <c r="CH82" s="106">
        <v>0</v>
      </c>
      <c r="CI82" s="106">
        <v>0</v>
      </c>
      <c r="CJ82" s="106">
        <v>0.90740740740740733</v>
      </c>
      <c r="CK82" s="106">
        <v>461.68888888888875</v>
      </c>
      <c r="CL82" s="106">
        <v>0.9144634525660964</v>
      </c>
      <c r="CM82" s="106">
        <v>465.27900466562977</v>
      </c>
      <c r="CN82" s="106">
        <v>0.30701754385964908</v>
      </c>
      <c r="CO82" s="106">
        <v>156.21052631578942</v>
      </c>
      <c r="CP82" s="106">
        <v>0.34469696969696972</v>
      </c>
      <c r="CQ82" s="106">
        <v>175.38181818181815</v>
      </c>
      <c r="CR82" s="106">
        <v>0</v>
      </c>
      <c r="CS82" s="106">
        <v>0</v>
      </c>
      <c r="CT82" s="106">
        <v>0.59322033898305082</v>
      </c>
      <c r="CU82" s="106">
        <v>301.83050847457622</v>
      </c>
    </row>
    <row r="83" spans="2:99" x14ac:dyDescent="0.2">
      <c r="C83" s="105" t="s">
        <v>249</v>
      </c>
      <c r="D83" s="106">
        <v>0</v>
      </c>
      <c r="E83" s="106">
        <v>0</v>
      </c>
      <c r="F83" s="106">
        <v>1.8544061302681991</v>
      </c>
      <c r="G83" s="106">
        <v>1595.5310344827585</v>
      </c>
      <c r="H83" s="106">
        <v>2.3419354838709681</v>
      </c>
      <c r="I83" s="106">
        <v>2015.0012903225809</v>
      </c>
      <c r="J83" s="106">
        <v>0.46576663452266154</v>
      </c>
      <c r="K83" s="106">
        <v>400.74561234329798</v>
      </c>
      <c r="L83" s="106">
        <v>0.4190330007674597</v>
      </c>
      <c r="M83" s="106">
        <v>360.53599386032232</v>
      </c>
      <c r="N83" s="106">
        <v>0.42463235294117652</v>
      </c>
      <c r="O83" s="106">
        <v>365.35367647058825</v>
      </c>
      <c r="P83" s="106">
        <v>0</v>
      </c>
      <c r="Q83" s="106">
        <v>0</v>
      </c>
      <c r="R83" s="106">
        <v>0.78638297872340435</v>
      </c>
      <c r="S83" s="106">
        <v>676.60391489361712</v>
      </c>
      <c r="T83" s="106">
        <v>0.21818181818181817</v>
      </c>
      <c r="U83" s="106">
        <v>187.72363636363636</v>
      </c>
      <c r="V83" s="106">
        <v>0.23818525519848774</v>
      </c>
      <c r="W83" s="106">
        <v>204.93459357277885</v>
      </c>
      <c r="X83" s="106">
        <v>0.5585106382978724</v>
      </c>
      <c r="Y83" s="106">
        <v>480.54255319148939</v>
      </c>
      <c r="Z83" s="106">
        <v>0.16707466340269278</v>
      </c>
      <c r="AA83" s="106">
        <v>143.75104039167687</v>
      </c>
      <c r="AB83" s="106">
        <v>0.52782764811490124</v>
      </c>
      <c r="AC83" s="106">
        <v>454.142908438061</v>
      </c>
      <c r="AD83" s="106">
        <v>0</v>
      </c>
      <c r="AE83" s="106">
        <v>0</v>
      </c>
      <c r="AF83" s="106">
        <v>0.56565656565656564</v>
      </c>
      <c r="AG83" s="106">
        <v>486.69090909090909</v>
      </c>
      <c r="AH83" s="106">
        <v>0.87832699619771859</v>
      </c>
      <c r="AI83" s="106">
        <v>755.71254752851701</v>
      </c>
      <c r="AJ83" s="106">
        <v>0.19794344473007713</v>
      </c>
      <c r="AK83" s="106">
        <v>170.31053984575837</v>
      </c>
      <c r="AL83" s="106">
        <v>0.22232916265640038</v>
      </c>
      <c r="AM83" s="106">
        <v>191.29201154956687</v>
      </c>
      <c r="AN83" s="106">
        <v>0</v>
      </c>
      <c r="AO83" s="106">
        <v>0</v>
      </c>
      <c r="AP83" s="106">
        <v>0.44164037854889593</v>
      </c>
      <c r="AQ83" s="106">
        <v>379.98738170347002</v>
      </c>
      <c r="AR83" s="106">
        <v>1.0284951024042743</v>
      </c>
      <c r="AS83" s="106">
        <v>884.91718610863757</v>
      </c>
      <c r="AT83" s="106">
        <v>0.76159334126040423</v>
      </c>
      <c r="AU83" s="106">
        <v>655.27491082045174</v>
      </c>
      <c r="AV83" s="106">
        <v>0.74655963302752293</v>
      </c>
      <c r="AW83" s="106">
        <v>642.33990825688068</v>
      </c>
      <c r="AX83" s="106">
        <v>0.82701894317048852</v>
      </c>
      <c r="AY83" s="106">
        <v>711.56709870388829</v>
      </c>
      <c r="AZ83" s="106">
        <v>0.27953410981697174</v>
      </c>
      <c r="BA83" s="106">
        <v>240.51114808652247</v>
      </c>
      <c r="BB83" s="106">
        <v>0.36082474226804129</v>
      </c>
      <c r="BC83" s="106">
        <v>310.45360824742272</v>
      </c>
      <c r="BD83" s="106">
        <v>0</v>
      </c>
      <c r="BE83" s="106">
        <v>0</v>
      </c>
      <c r="BF83" s="106">
        <v>0.36986301369863012</v>
      </c>
      <c r="BG83" s="106">
        <v>318.23013698630132</v>
      </c>
      <c r="BH83" s="106">
        <v>0.81351351351351353</v>
      </c>
      <c r="BI83" s="106">
        <v>699.94702702702705</v>
      </c>
      <c r="BJ83" s="106">
        <v>1.2221144519883607</v>
      </c>
      <c r="BK83" s="106">
        <v>1051.5072744907854</v>
      </c>
      <c r="BL83" s="106">
        <v>0</v>
      </c>
      <c r="BM83" s="106">
        <v>0</v>
      </c>
      <c r="BN83" s="106">
        <v>0.76537585421412302</v>
      </c>
      <c r="BO83" s="106">
        <v>658.52938496583147</v>
      </c>
      <c r="BP83" s="106">
        <v>0.27337278106508872</v>
      </c>
      <c r="BQ83" s="106">
        <v>235.20994082840232</v>
      </c>
      <c r="BR83" s="106">
        <v>0.19646569646569648</v>
      </c>
      <c r="BS83" s="106">
        <v>169.03908523908524</v>
      </c>
      <c r="BT83" s="106">
        <v>0.37668161434977576</v>
      </c>
      <c r="BU83" s="106">
        <v>324.09686098654709</v>
      </c>
      <c r="BV83" s="106">
        <v>0.18103448275862069</v>
      </c>
      <c r="BW83" s="106">
        <v>155.76206896551724</v>
      </c>
      <c r="BX83" s="106">
        <v>0</v>
      </c>
      <c r="BY83" s="106">
        <v>0</v>
      </c>
      <c r="BZ83" s="106">
        <v>0.41637931034482761</v>
      </c>
      <c r="CA83" s="106">
        <v>358.25275862068969</v>
      </c>
      <c r="CB83" s="106">
        <v>0.33024976873265494</v>
      </c>
      <c r="CC83" s="106">
        <v>284.14690101757628</v>
      </c>
      <c r="CD83" s="106">
        <v>0.60410958904109591</v>
      </c>
      <c r="CE83" s="106">
        <v>519.77589041095894</v>
      </c>
      <c r="CF83" s="106">
        <v>0</v>
      </c>
      <c r="CG83" s="106">
        <v>0</v>
      </c>
      <c r="CH83" s="106">
        <v>0</v>
      </c>
      <c r="CI83" s="106">
        <v>0</v>
      </c>
      <c r="CJ83" s="106">
        <v>0.90740740740740733</v>
      </c>
      <c r="CK83" s="106">
        <v>780.73333333333323</v>
      </c>
      <c r="CL83" s="106">
        <v>0.97978227060653189</v>
      </c>
      <c r="CM83" s="106">
        <v>843.00466562986003</v>
      </c>
      <c r="CN83" s="106">
        <v>0.36842105263157893</v>
      </c>
      <c r="CO83" s="106">
        <v>316.98947368421051</v>
      </c>
      <c r="CP83" s="106">
        <v>0.34469696969696972</v>
      </c>
      <c r="CQ83" s="106">
        <v>296.57727272727277</v>
      </c>
      <c r="CR83" s="106">
        <v>0</v>
      </c>
      <c r="CS83" s="106">
        <v>0</v>
      </c>
      <c r="CT83" s="106">
        <v>0.65254237288135597</v>
      </c>
      <c r="CU83" s="106">
        <v>561.44745762711864</v>
      </c>
    </row>
    <row r="84" spans="2:99" x14ac:dyDescent="0.2">
      <c r="C84" s="105" t="s">
        <v>250</v>
      </c>
      <c r="D84" s="106">
        <v>0</v>
      </c>
      <c r="E84" s="106">
        <v>0</v>
      </c>
      <c r="F84" s="106">
        <v>2.3180076628352491</v>
      </c>
      <c r="G84" s="106">
        <v>1810.8275862068965</v>
      </c>
      <c r="H84" s="106">
        <v>2.3419354838709681</v>
      </c>
      <c r="I84" s="106">
        <v>1829.52</v>
      </c>
      <c r="J84" s="106">
        <v>0.42526518804243008</v>
      </c>
      <c r="K84" s="106">
        <v>332.21716489874632</v>
      </c>
      <c r="L84" s="106">
        <v>0.40291634689178818</v>
      </c>
      <c r="M84" s="106">
        <v>314.75825019186487</v>
      </c>
      <c r="N84" s="106">
        <v>0.4439338235294118</v>
      </c>
      <c r="O84" s="106">
        <v>346.80110294117645</v>
      </c>
      <c r="P84" s="106">
        <v>0</v>
      </c>
      <c r="Q84" s="106">
        <v>0</v>
      </c>
      <c r="R84" s="106">
        <v>0.82212765957446798</v>
      </c>
      <c r="S84" s="106">
        <v>642.24612765957431</v>
      </c>
      <c r="T84" s="106">
        <v>0.21818181818181817</v>
      </c>
      <c r="U84" s="106">
        <v>170.44363636363633</v>
      </c>
      <c r="V84" s="106">
        <v>0.22495274102079396</v>
      </c>
      <c r="W84" s="106">
        <v>175.73308128544423</v>
      </c>
      <c r="X84" s="106">
        <v>0.58643617021276595</v>
      </c>
      <c r="Y84" s="106">
        <v>458.12393617021274</v>
      </c>
      <c r="Z84" s="106">
        <v>0.16707466340269278</v>
      </c>
      <c r="AA84" s="106">
        <v>130.5187270501836</v>
      </c>
      <c r="AB84" s="106">
        <v>0.52782764811490124</v>
      </c>
      <c r="AC84" s="106">
        <v>412.3389587073608</v>
      </c>
      <c r="AD84" s="106">
        <v>0</v>
      </c>
      <c r="AE84" s="106">
        <v>0</v>
      </c>
      <c r="AF84" s="106">
        <v>0.56565656565656564</v>
      </c>
      <c r="AG84" s="106">
        <v>441.89090909090902</v>
      </c>
      <c r="AH84" s="106">
        <v>0.95817490494296575</v>
      </c>
      <c r="AI84" s="106">
        <v>748.52623574144479</v>
      </c>
      <c r="AJ84" s="106">
        <v>0.19794344473007713</v>
      </c>
      <c r="AK84" s="106">
        <v>154.63341902313624</v>
      </c>
      <c r="AL84" s="106">
        <v>0.24254090471607315</v>
      </c>
      <c r="AM84" s="106">
        <v>189.47295476419632</v>
      </c>
      <c r="AN84" s="106">
        <v>0</v>
      </c>
      <c r="AO84" s="106">
        <v>0</v>
      </c>
      <c r="AP84" s="106">
        <v>0.39747634069400634</v>
      </c>
      <c r="AQ84" s="106">
        <v>310.50851735015772</v>
      </c>
      <c r="AR84" s="106">
        <v>0.97239536954585937</v>
      </c>
      <c r="AS84" s="106">
        <v>759.63526268922521</v>
      </c>
      <c r="AT84" s="106">
        <v>0.78656361474435188</v>
      </c>
      <c r="AU84" s="106">
        <v>614.4634958382876</v>
      </c>
      <c r="AV84" s="106">
        <v>0.75860091743119262</v>
      </c>
      <c r="AW84" s="106">
        <v>592.61903669724768</v>
      </c>
      <c r="AX84" s="106">
        <v>0.83748753738783654</v>
      </c>
      <c r="AY84" s="106">
        <v>654.24526420737789</v>
      </c>
      <c r="AZ84" s="106">
        <v>0.27953410981697174</v>
      </c>
      <c r="BA84" s="106">
        <v>218.37204658901831</v>
      </c>
      <c r="BB84" s="106">
        <v>0.32474226804123713</v>
      </c>
      <c r="BC84" s="106">
        <v>253.68865979381442</v>
      </c>
      <c r="BD84" s="106">
        <v>0</v>
      </c>
      <c r="BE84" s="106">
        <v>0</v>
      </c>
      <c r="BF84" s="106">
        <v>0.32876712328767121</v>
      </c>
      <c r="BG84" s="106">
        <v>256.83287671232875</v>
      </c>
      <c r="BH84" s="106">
        <v>0.85135135135135143</v>
      </c>
      <c r="BI84" s="106">
        <v>665.07567567567571</v>
      </c>
      <c r="BJ84" s="106">
        <v>1.4258001939864211</v>
      </c>
      <c r="BK84" s="106">
        <v>1113.8351115421922</v>
      </c>
      <c r="BL84" s="106">
        <v>0</v>
      </c>
      <c r="BM84" s="106">
        <v>0</v>
      </c>
      <c r="BN84" s="106">
        <v>0.84510250569476075</v>
      </c>
      <c r="BO84" s="106">
        <v>660.19407744874707</v>
      </c>
      <c r="BP84" s="106">
        <v>0.27337278106508872</v>
      </c>
      <c r="BQ84" s="106">
        <v>213.55881656804729</v>
      </c>
      <c r="BR84" s="106">
        <v>0.19646569646569648</v>
      </c>
      <c r="BS84" s="106">
        <v>153.47900207900207</v>
      </c>
      <c r="BT84" s="106">
        <v>0.42376681614349776</v>
      </c>
      <c r="BU84" s="106">
        <v>331.04663677130043</v>
      </c>
      <c r="BV84" s="106">
        <v>0.18103448275862069</v>
      </c>
      <c r="BW84" s="106">
        <v>141.42413793103447</v>
      </c>
      <c r="BX84" s="106">
        <v>0</v>
      </c>
      <c r="BY84" s="106">
        <v>0</v>
      </c>
      <c r="BZ84" s="106">
        <v>0.38017241379310346</v>
      </c>
      <c r="CA84" s="106">
        <v>296.99068965517239</v>
      </c>
      <c r="CB84" s="106">
        <v>0.33024976873265494</v>
      </c>
      <c r="CC84" s="106">
        <v>257.99111933395</v>
      </c>
      <c r="CD84" s="106">
        <v>0.60410958904109591</v>
      </c>
      <c r="CE84" s="106">
        <v>471.93041095890408</v>
      </c>
      <c r="CF84" s="106">
        <v>0</v>
      </c>
      <c r="CG84" s="106">
        <v>0</v>
      </c>
      <c r="CH84" s="106">
        <v>0</v>
      </c>
      <c r="CI84" s="106">
        <v>0</v>
      </c>
      <c r="CJ84" s="106">
        <v>0.97222222222222221</v>
      </c>
      <c r="CK84" s="106">
        <v>759.49999999999989</v>
      </c>
      <c r="CL84" s="106">
        <v>0.9144634525660964</v>
      </c>
      <c r="CM84" s="106">
        <v>714.3788491446345</v>
      </c>
      <c r="CN84" s="106">
        <v>0.33771929824561403</v>
      </c>
      <c r="CO84" s="106">
        <v>263.82631578947365</v>
      </c>
      <c r="CP84" s="106">
        <v>0.34469696969696972</v>
      </c>
      <c r="CQ84" s="106">
        <v>269.2772727272727</v>
      </c>
      <c r="CR84" s="106">
        <v>0</v>
      </c>
      <c r="CS84" s="106">
        <v>0</v>
      </c>
      <c r="CT84" s="106">
        <v>0.65254237288135597</v>
      </c>
      <c r="CU84" s="106">
        <v>509.76610169491522</v>
      </c>
    </row>
    <row r="85" spans="2:99" x14ac:dyDescent="0.2">
      <c r="C85" s="105" t="s">
        <v>251</v>
      </c>
      <c r="D85" s="106">
        <v>0</v>
      </c>
      <c r="E85" s="106">
        <v>0</v>
      </c>
      <c r="F85" s="106">
        <v>2.3180076628352491</v>
      </c>
      <c r="G85" s="106">
        <v>347.70114942528738</v>
      </c>
      <c r="H85" s="106">
        <v>2.1858064516129034</v>
      </c>
      <c r="I85" s="106">
        <v>327.87096774193549</v>
      </c>
      <c r="J85" s="106">
        <v>0.4050144648023144</v>
      </c>
      <c r="K85" s="106">
        <v>60.752169720347162</v>
      </c>
      <c r="L85" s="106">
        <v>0.40291634689178818</v>
      </c>
      <c r="M85" s="106">
        <v>60.437452033768224</v>
      </c>
      <c r="N85" s="106">
        <v>0.46323529411764708</v>
      </c>
      <c r="O85" s="106">
        <v>69.485294117647058</v>
      </c>
      <c r="P85" s="106">
        <v>0</v>
      </c>
      <c r="Q85" s="106">
        <v>0</v>
      </c>
      <c r="R85" s="106">
        <v>0.82212765957446798</v>
      </c>
      <c r="S85" s="106">
        <v>123.31914893617019</v>
      </c>
      <c r="T85" s="106">
        <v>0.23181818181818181</v>
      </c>
      <c r="U85" s="106">
        <v>34.772727272727273</v>
      </c>
      <c r="V85" s="106">
        <v>0.23818525519848774</v>
      </c>
      <c r="W85" s="106">
        <v>35.727788279773158</v>
      </c>
      <c r="X85" s="106">
        <v>0.67021276595744672</v>
      </c>
      <c r="Y85" s="106">
        <v>100.53191489361701</v>
      </c>
      <c r="Z85" s="106">
        <v>0.17992656058751527</v>
      </c>
      <c r="AA85" s="106">
        <v>26.988984088127292</v>
      </c>
      <c r="AB85" s="106">
        <v>0.56552962298025133</v>
      </c>
      <c r="AC85" s="106">
        <v>84.829443447037704</v>
      </c>
      <c r="AD85" s="106">
        <v>0</v>
      </c>
      <c r="AE85" s="106">
        <v>0</v>
      </c>
      <c r="AF85" s="106">
        <v>0.67171717171717171</v>
      </c>
      <c r="AG85" s="106">
        <v>100.75757575757575</v>
      </c>
      <c r="AH85" s="106">
        <v>0.95817490494296575</v>
      </c>
      <c r="AI85" s="106">
        <v>143.72623574144487</v>
      </c>
      <c r="AJ85" s="106">
        <v>0.21593830334190231</v>
      </c>
      <c r="AK85" s="106">
        <v>32.390745501285345</v>
      </c>
      <c r="AL85" s="106">
        <v>0.22232916265640038</v>
      </c>
      <c r="AM85" s="106">
        <v>33.349374398460057</v>
      </c>
      <c r="AN85" s="106">
        <v>0</v>
      </c>
      <c r="AO85" s="106">
        <v>0</v>
      </c>
      <c r="AP85" s="106">
        <v>0.44164037854889593</v>
      </c>
      <c r="AQ85" s="106">
        <v>66.246056782334392</v>
      </c>
      <c r="AR85" s="106">
        <v>1.1126447016918968</v>
      </c>
      <c r="AS85" s="106">
        <v>166.89670525378452</v>
      </c>
      <c r="AT85" s="106">
        <v>0.7990487514863257</v>
      </c>
      <c r="AU85" s="106">
        <v>119.85731272294886</v>
      </c>
      <c r="AV85" s="106">
        <v>0.8669724770642202</v>
      </c>
      <c r="AW85" s="106">
        <v>130.04587155963304</v>
      </c>
      <c r="AX85" s="106">
        <v>1.1096709870388832</v>
      </c>
      <c r="AY85" s="106">
        <v>166.45064805583249</v>
      </c>
      <c r="AZ85" s="106">
        <v>0.31447587354409318</v>
      </c>
      <c r="BA85" s="106">
        <v>47.171381031613976</v>
      </c>
      <c r="BB85" s="106">
        <v>0.39690721649484534</v>
      </c>
      <c r="BC85" s="106">
        <v>59.536082474226802</v>
      </c>
      <c r="BD85" s="106">
        <v>0</v>
      </c>
      <c r="BE85" s="106">
        <v>0</v>
      </c>
      <c r="BF85" s="106">
        <v>0.41095890410958902</v>
      </c>
      <c r="BG85" s="106">
        <v>61.643835616438352</v>
      </c>
      <c r="BH85" s="106">
        <v>0.79459459459459469</v>
      </c>
      <c r="BI85" s="106">
        <v>119.18918918918921</v>
      </c>
      <c r="BJ85" s="106">
        <v>1.344325897187197</v>
      </c>
      <c r="BK85" s="106">
        <v>201.64888457807956</v>
      </c>
      <c r="BL85" s="106">
        <v>0</v>
      </c>
      <c r="BM85" s="106">
        <v>0</v>
      </c>
      <c r="BN85" s="106">
        <v>0.84510250569476075</v>
      </c>
      <c r="BO85" s="106">
        <v>126.76537585421411</v>
      </c>
      <c r="BP85" s="106">
        <v>0.29822485207100591</v>
      </c>
      <c r="BQ85" s="106">
        <v>44.733727810650883</v>
      </c>
      <c r="BR85" s="106">
        <v>0.19646569646569648</v>
      </c>
      <c r="BS85" s="106">
        <v>29.469854469854472</v>
      </c>
      <c r="BT85" s="106">
        <v>0.4708520179372197</v>
      </c>
      <c r="BU85" s="106">
        <v>70.627802690582953</v>
      </c>
      <c r="BV85" s="106">
        <v>0.18103448275862069</v>
      </c>
      <c r="BW85" s="106">
        <v>27.155172413793103</v>
      </c>
      <c r="BX85" s="106">
        <v>0</v>
      </c>
      <c r="BY85" s="106">
        <v>0</v>
      </c>
      <c r="BZ85" s="106">
        <v>0.41637931034482761</v>
      </c>
      <c r="CA85" s="106">
        <v>62.456896551724142</v>
      </c>
      <c r="CB85" s="106">
        <v>0.3496762257169288</v>
      </c>
      <c r="CC85" s="106">
        <v>52.451433857539321</v>
      </c>
      <c r="CD85" s="106">
        <v>0.57534246575342463</v>
      </c>
      <c r="CE85" s="106">
        <v>86.30136986301369</v>
      </c>
      <c r="CF85" s="106">
        <v>0</v>
      </c>
      <c r="CG85" s="106">
        <v>0</v>
      </c>
      <c r="CH85" s="106">
        <v>0</v>
      </c>
      <c r="CI85" s="106">
        <v>0</v>
      </c>
      <c r="CJ85" s="106">
        <v>0.90740740740740733</v>
      </c>
      <c r="CK85" s="106">
        <v>136.11111111111109</v>
      </c>
      <c r="CL85" s="106">
        <v>0.9144634525660964</v>
      </c>
      <c r="CM85" s="106">
        <v>137.16951788491446</v>
      </c>
      <c r="CN85" s="106">
        <v>0.36842105263157893</v>
      </c>
      <c r="CO85" s="106">
        <v>55.263157894736842</v>
      </c>
      <c r="CP85" s="106">
        <v>0.34469696969696972</v>
      </c>
      <c r="CQ85" s="106">
        <v>51.70454545454546</v>
      </c>
      <c r="CR85" s="106">
        <v>0</v>
      </c>
      <c r="CS85" s="106">
        <v>0</v>
      </c>
      <c r="CT85" s="106">
        <v>0.59322033898305082</v>
      </c>
      <c r="CU85" s="106">
        <v>88.983050847457619</v>
      </c>
    </row>
    <row r="86" spans="2:99" x14ac:dyDescent="0.2">
      <c r="C86" s="105" t="s">
        <v>252</v>
      </c>
      <c r="D86" s="106">
        <v>0</v>
      </c>
      <c r="E86" s="106">
        <v>0</v>
      </c>
      <c r="F86" s="106">
        <v>2.0089399744572161</v>
      </c>
      <c r="G86" s="106">
        <v>1084.8275862068967</v>
      </c>
      <c r="H86" s="106">
        <v>2.4980645161290322</v>
      </c>
      <c r="I86" s="106">
        <v>1348.9548387096775</v>
      </c>
      <c r="J86" s="106">
        <v>0.44551591128254581</v>
      </c>
      <c r="K86" s="106">
        <v>240.57859209257472</v>
      </c>
      <c r="L86" s="106">
        <v>0.46738296239447424</v>
      </c>
      <c r="M86" s="106">
        <v>252.38679969301609</v>
      </c>
      <c r="N86" s="106">
        <v>0.42463235294117652</v>
      </c>
      <c r="O86" s="106">
        <v>229.30147058823533</v>
      </c>
      <c r="P86" s="106">
        <v>0</v>
      </c>
      <c r="Q86" s="106">
        <v>0</v>
      </c>
      <c r="R86" s="106">
        <v>0.82212765957446798</v>
      </c>
      <c r="S86" s="106">
        <v>443.94893617021273</v>
      </c>
      <c r="T86" s="106">
        <v>0.21818181818181817</v>
      </c>
      <c r="U86" s="106">
        <v>117.81818181818181</v>
      </c>
      <c r="V86" s="106">
        <v>0.23818525519848774</v>
      </c>
      <c r="W86" s="106">
        <v>128.62003780718337</v>
      </c>
      <c r="X86" s="106">
        <v>0.5585106382978724</v>
      </c>
      <c r="Y86" s="106">
        <v>301.59574468085111</v>
      </c>
      <c r="Z86" s="106">
        <v>0.20563035495716031</v>
      </c>
      <c r="AA86" s="106">
        <v>111.04039167686656</v>
      </c>
      <c r="AB86" s="106">
        <v>0.56552962298025133</v>
      </c>
      <c r="AC86" s="106">
        <v>305.38599640933575</v>
      </c>
      <c r="AD86" s="106">
        <v>0</v>
      </c>
      <c r="AE86" s="106">
        <v>0</v>
      </c>
      <c r="AF86" s="106">
        <v>0.53030303030303028</v>
      </c>
      <c r="AG86" s="106">
        <v>286.36363636363637</v>
      </c>
      <c r="AH86" s="106">
        <v>0.87832699619771859</v>
      </c>
      <c r="AI86" s="106">
        <v>474.29657794676802</v>
      </c>
      <c r="AJ86" s="106">
        <v>0.17994858611825193</v>
      </c>
      <c r="AK86" s="106">
        <v>97.172236503856041</v>
      </c>
      <c r="AL86" s="106">
        <v>0.24254090471607315</v>
      </c>
      <c r="AM86" s="106">
        <v>130.97208854667949</v>
      </c>
      <c r="AN86" s="106">
        <v>0</v>
      </c>
      <c r="AO86" s="106">
        <v>0</v>
      </c>
      <c r="AP86" s="106">
        <v>0.39747634069400634</v>
      </c>
      <c r="AQ86" s="106">
        <v>214.63722397476343</v>
      </c>
      <c r="AR86" s="106">
        <v>0.90694568121104191</v>
      </c>
      <c r="AS86" s="106">
        <v>489.75066785396263</v>
      </c>
      <c r="AT86" s="106">
        <v>0.81153388822829975</v>
      </c>
      <c r="AU86" s="106">
        <v>438.22829964328184</v>
      </c>
      <c r="AV86" s="106">
        <v>0.71043577981651373</v>
      </c>
      <c r="AW86" s="106">
        <v>383.63532110091739</v>
      </c>
      <c r="AX86" s="106">
        <v>1.0259222333000997</v>
      </c>
      <c r="AY86" s="106">
        <v>553.99800598205388</v>
      </c>
      <c r="AZ86" s="106">
        <v>0.27953410981697174</v>
      </c>
      <c r="BA86" s="106">
        <v>150.94841930116473</v>
      </c>
      <c r="BB86" s="106">
        <v>0.39690721649484534</v>
      </c>
      <c r="BC86" s="106">
        <v>214.32989690721649</v>
      </c>
      <c r="BD86" s="106">
        <v>0</v>
      </c>
      <c r="BE86" s="106">
        <v>0</v>
      </c>
      <c r="BF86" s="106">
        <v>0.36986301369863012</v>
      </c>
      <c r="BG86" s="106">
        <v>199.72602739726025</v>
      </c>
      <c r="BH86" s="106">
        <v>0.87027027027027026</v>
      </c>
      <c r="BI86" s="106">
        <v>469.94594594594594</v>
      </c>
      <c r="BJ86" s="106">
        <v>1.4258001939864211</v>
      </c>
      <c r="BK86" s="106">
        <v>769.93210475266744</v>
      </c>
      <c r="BL86" s="106">
        <v>0</v>
      </c>
      <c r="BM86" s="106">
        <v>0</v>
      </c>
      <c r="BN86" s="106">
        <v>0.84510250569476075</v>
      </c>
      <c r="BO86" s="106">
        <v>456.3553530751708</v>
      </c>
      <c r="BP86" s="106">
        <v>0.29822485207100591</v>
      </c>
      <c r="BQ86" s="106">
        <v>161.04142011834318</v>
      </c>
      <c r="BR86" s="106">
        <v>0.17463617463617465</v>
      </c>
      <c r="BS86" s="106">
        <v>94.303534303534306</v>
      </c>
      <c r="BT86" s="106">
        <v>0.42376681614349776</v>
      </c>
      <c r="BU86" s="106">
        <v>228.8340807174888</v>
      </c>
      <c r="BV86" s="106">
        <v>0.18103448275862069</v>
      </c>
      <c r="BW86" s="106">
        <v>97.758620689655174</v>
      </c>
      <c r="BX86" s="106">
        <v>0</v>
      </c>
      <c r="BY86" s="106">
        <v>0</v>
      </c>
      <c r="BZ86" s="106">
        <v>0.43448275862068964</v>
      </c>
      <c r="CA86" s="106">
        <v>234.62068965517241</v>
      </c>
      <c r="CB86" s="106">
        <v>0.33024976873265494</v>
      </c>
      <c r="CC86" s="106">
        <v>178.33487511563368</v>
      </c>
      <c r="CD86" s="106">
        <v>0.54657534246575346</v>
      </c>
      <c r="CE86" s="106">
        <v>295.15068493150687</v>
      </c>
      <c r="CF86" s="106">
        <v>0</v>
      </c>
      <c r="CG86" s="106">
        <v>0</v>
      </c>
      <c r="CH86" s="106">
        <v>0</v>
      </c>
      <c r="CI86" s="106">
        <v>0</v>
      </c>
      <c r="CJ86" s="106">
        <v>0.97222222222222221</v>
      </c>
      <c r="CK86" s="106">
        <v>525</v>
      </c>
      <c r="CL86" s="106">
        <v>0.84914463452566102</v>
      </c>
      <c r="CM86" s="106">
        <v>458.53810264385697</v>
      </c>
      <c r="CN86" s="106">
        <v>0.33771929824561403</v>
      </c>
      <c r="CO86" s="106">
        <v>182.36842105263159</v>
      </c>
      <c r="CP86" s="106">
        <v>0.34469696969696972</v>
      </c>
      <c r="CQ86" s="106">
        <v>186.13636363636365</v>
      </c>
      <c r="CR86" s="106">
        <v>0</v>
      </c>
      <c r="CS86" s="106">
        <v>0</v>
      </c>
      <c r="CT86" s="106">
        <v>0.59322033898305082</v>
      </c>
      <c r="CU86" s="106">
        <v>320.33898305084745</v>
      </c>
    </row>
    <row r="87" spans="2:99" x14ac:dyDescent="0.2">
      <c r="B87" s="105" t="s">
        <v>131</v>
      </c>
      <c r="C87" s="105" t="s">
        <v>253</v>
      </c>
      <c r="D87" s="106">
        <v>0</v>
      </c>
      <c r="E87" s="106">
        <v>0</v>
      </c>
      <c r="F87" s="106">
        <v>2.1634738186462323</v>
      </c>
      <c r="G87" s="106">
        <v>4229.1586206896545</v>
      </c>
      <c r="H87" s="106">
        <v>2.4980645161290322</v>
      </c>
      <c r="I87" s="106">
        <v>4883.2165161290322</v>
      </c>
      <c r="J87" s="106">
        <v>0.26325940212150434</v>
      </c>
      <c r="K87" s="106">
        <v>514.61947926711662</v>
      </c>
      <c r="L87" s="106">
        <v>0.78971603990790484</v>
      </c>
      <c r="M87" s="106">
        <v>1543.7369148119724</v>
      </c>
      <c r="N87" s="106">
        <v>0.88786764705882359</v>
      </c>
      <c r="O87" s="106">
        <v>1735.6036764705884</v>
      </c>
      <c r="P87" s="106">
        <v>0</v>
      </c>
      <c r="Q87" s="106">
        <v>0</v>
      </c>
      <c r="R87" s="106">
        <v>1.2868085106382978</v>
      </c>
      <c r="S87" s="106">
        <v>2515.4532765957447</v>
      </c>
      <c r="T87" s="106">
        <v>0.51818181818181819</v>
      </c>
      <c r="U87" s="106">
        <v>1012.9418181818181</v>
      </c>
      <c r="V87" s="106">
        <v>0.88657844990548196</v>
      </c>
      <c r="W87" s="106">
        <v>1733.083553875236</v>
      </c>
      <c r="X87" s="106">
        <v>1.2845744680851063</v>
      </c>
      <c r="Y87" s="106">
        <v>2511.0861702127659</v>
      </c>
      <c r="Z87" s="106">
        <v>0.77111383108935128</v>
      </c>
      <c r="AA87" s="106">
        <v>1507.3733170134637</v>
      </c>
      <c r="AB87" s="106">
        <v>1.0179533213644523</v>
      </c>
      <c r="AC87" s="106">
        <v>1989.8951526032313</v>
      </c>
      <c r="AD87" s="106">
        <v>0</v>
      </c>
      <c r="AE87" s="106">
        <v>0</v>
      </c>
      <c r="AF87" s="106">
        <v>0.84848484848484851</v>
      </c>
      <c r="AG87" s="106">
        <v>1658.6181818181819</v>
      </c>
      <c r="AH87" s="106">
        <v>2.0760456273764256</v>
      </c>
      <c r="AI87" s="106">
        <v>4058.2539923954369</v>
      </c>
      <c r="AJ87" s="106">
        <v>1.3856041131105399</v>
      </c>
      <c r="AK87" s="106">
        <v>2708.5789203084832</v>
      </c>
      <c r="AL87" s="106">
        <v>1.0510105871029836</v>
      </c>
      <c r="AM87" s="106">
        <v>2054.5154956689121</v>
      </c>
      <c r="AN87" s="106">
        <v>0</v>
      </c>
      <c r="AO87" s="106">
        <v>0</v>
      </c>
      <c r="AP87" s="106">
        <v>2.2965299684542586</v>
      </c>
      <c r="AQ87" s="106">
        <v>4489.2567823343843</v>
      </c>
      <c r="AR87" s="106">
        <v>0.1495992876224399</v>
      </c>
      <c r="AS87" s="106">
        <v>292.43668744434552</v>
      </c>
      <c r="AT87" s="106">
        <v>0.11236623067776456</v>
      </c>
      <c r="AU87" s="106">
        <v>219.65350772889417</v>
      </c>
      <c r="AV87" s="106">
        <v>0.22878440366972477</v>
      </c>
      <c r="AW87" s="106">
        <v>447.22775229357796</v>
      </c>
      <c r="AX87" s="106">
        <v>0.1465603190428714</v>
      </c>
      <c r="AY87" s="106">
        <v>286.496111665005</v>
      </c>
      <c r="AZ87" s="106">
        <v>1.0482529118136439</v>
      </c>
      <c r="BA87" s="106">
        <v>2049.124792013311</v>
      </c>
      <c r="BB87" s="106">
        <v>1.0103092783505154</v>
      </c>
      <c r="BC87" s="106">
        <v>1974.9525773195876</v>
      </c>
      <c r="BD87" s="106">
        <v>0</v>
      </c>
      <c r="BE87" s="106">
        <v>0</v>
      </c>
      <c r="BF87" s="106">
        <v>0.61643835616438358</v>
      </c>
      <c r="BG87" s="106">
        <v>1205.013698630137</v>
      </c>
      <c r="BH87" s="106">
        <v>0.35945945945945945</v>
      </c>
      <c r="BI87" s="106">
        <v>702.67135135135129</v>
      </c>
      <c r="BJ87" s="106">
        <v>0.73326867119301653</v>
      </c>
      <c r="BK87" s="106">
        <v>1433.3935984481086</v>
      </c>
      <c r="BL87" s="106">
        <v>0</v>
      </c>
      <c r="BM87" s="106">
        <v>0</v>
      </c>
      <c r="BN87" s="106">
        <v>0.35079726651480636</v>
      </c>
      <c r="BO87" s="106">
        <v>685.7384965831435</v>
      </c>
      <c r="BP87" s="106">
        <v>0.8698224852071007</v>
      </c>
      <c r="BQ87" s="106">
        <v>1700.3289940828404</v>
      </c>
      <c r="BR87" s="106">
        <v>1.025987525987526</v>
      </c>
      <c r="BS87" s="106">
        <v>2005.6004158004157</v>
      </c>
      <c r="BT87" s="106">
        <v>1.8834080717488788</v>
      </c>
      <c r="BU87" s="106">
        <v>3681.6860986547081</v>
      </c>
      <c r="BV87" s="106">
        <v>1.2219827586206897</v>
      </c>
      <c r="BW87" s="106">
        <v>2388.7318965517243</v>
      </c>
      <c r="BX87" s="106">
        <v>0</v>
      </c>
      <c r="BY87" s="106">
        <v>0</v>
      </c>
      <c r="BZ87" s="106">
        <v>0.25344827586206897</v>
      </c>
      <c r="CA87" s="106">
        <v>495.44068965517243</v>
      </c>
      <c r="CB87" s="106">
        <v>0.36910268270120261</v>
      </c>
      <c r="CC87" s="106">
        <v>721.5219241443109</v>
      </c>
      <c r="CD87" s="106">
        <v>0.57534246575342463</v>
      </c>
      <c r="CE87" s="106">
        <v>1124.6794520547944</v>
      </c>
      <c r="CF87" s="106">
        <v>0</v>
      </c>
      <c r="CG87" s="106">
        <v>0</v>
      </c>
      <c r="CH87" s="106">
        <v>0</v>
      </c>
      <c r="CI87" s="106">
        <v>0</v>
      </c>
      <c r="CJ87" s="106">
        <v>1.8148148148148147</v>
      </c>
      <c r="CK87" s="106">
        <v>3547.5999999999995</v>
      </c>
      <c r="CL87" s="106">
        <v>1.5676516329704511</v>
      </c>
      <c r="CM87" s="106">
        <v>3064.4454121306376</v>
      </c>
      <c r="CN87" s="106">
        <v>0.24561403508771928</v>
      </c>
      <c r="CO87" s="106">
        <v>480.12631578947367</v>
      </c>
      <c r="CP87" s="106">
        <v>0.31818181818181818</v>
      </c>
      <c r="CQ87" s="106">
        <v>621.9818181818182</v>
      </c>
      <c r="CR87" s="106">
        <v>0</v>
      </c>
      <c r="CS87" s="106">
        <v>0</v>
      </c>
      <c r="CT87" s="106">
        <v>0.59322033898305082</v>
      </c>
      <c r="CU87" s="106">
        <v>1159.6271186440677</v>
      </c>
    </row>
    <row r="88" spans="2:99" x14ac:dyDescent="0.2">
      <c r="C88" s="105" t="s">
        <v>254</v>
      </c>
      <c r="D88" s="106">
        <v>0</v>
      </c>
      <c r="E88" s="106">
        <v>0</v>
      </c>
      <c r="F88" s="106">
        <v>2.6270753512132825</v>
      </c>
      <c r="G88" s="106">
        <v>4971.4773946360156</v>
      </c>
      <c r="H88" s="106">
        <v>2.3419354838709681</v>
      </c>
      <c r="I88" s="106">
        <v>4431.8787096774195</v>
      </c>
      <c r="J88" s="106">
        <v>0.24300867888138863</v>
      </c>
      <c r="K88" s="106">
        <v>459.86962391513981</v>
      </c>
      <c r="L88" s="106">
        <v>0.83806600153491939</v>
      </c>
      <c r="M88" s="106">
        <v>1585.9561013046814</v>
      </c>
      <c r="N88" s="106">
        <v>0.984375</v>
      </c>
      <c r="O88" s="106">
        <v>1862.83125</v>
      </c>
      <c r="P88" s="106">
        <v>0</v>
      </c>
      <c r="Q88" s="106">
        <v>0</v>
      </c>
      <c r="R88" s="106">
        <v>1.1438297872340426</v>
      </c>
      <c r="S88" s="106">
        <v>2164.583489361702</v>
      </c>
      <c r="T88" s="106">
        <v>0.6</v>
      </c>
      <c r="U88" s="106">
        <v>1135.4399999999998</v>
      </c>
      <c r="V88" s="106">
        <v>0.99243856332703217</v>
      </c>
      <c r="W88" s="106">
        <v>1878.0907372400754</v>
      </c>
      <c r="X88" s="106">
        <v>1.2566489361702129</v>
      </c>
      <c r="Y88" s="106">
        <v>2378.0824468085107</v>
      </c>
      <c r="Z88" s="106">
        <v>0.71970624235006109</v>
      </c>
      <c r="AA88" s="106">
        <v>1361.9720930232554</v>
      </c>
      <c r="AB88" s="106">
        <v>0.98025134649910228</v>
      </c>
      <c r="AC88" s="106">
        <v>1855.027648114901</v>
      </c>
      <c r="AD88" s="106">
        <v>0</v>
      </c>
      <c r="AE88" s="106">
        <v>0</v>
      </c>
      <c r="AF88" s="106">
        <v>0.84848484848484851</v>
      </c>
      <c r="AG88" s="106">
        <v>1605.6727272727271</v>
      </c>
      <c r="AH88" s="106">
        <v>1.9961977186311786</v>
      </c>
      <c r="AI88" s="106">
        <v>3777.604562737642</v>
      </c>
      <c r="AJ88" s="106">
        <v>1.5115681233933163</v>
      </c>
      <c r="AK88" s="106">
        <v>2860.4915167095114</v>
      </c>
      <c r="AL88" s="106">
        <v>1.1520692974013476</v>
      </c>
      <c r="AM88" s="106">
        <v>2180.1759384023098</v>
      </c>
      <c r="AN88" s="106">
        <v>0</v>
      </c>
      <c r="AO88" s="106">
        <v>0</v>
      </c>
      <c r="AP88" s="106">
        <v>2.3848580441640377</v>
      </c>
      <c r="AQ88" s="106">
        <v>4513.1053627760248</v>
      </c>
      <c r="AR88" s="106">
        <v>0.1589492430988424</v>
      </c>
      <c r="AS88" s="106">
        <v>300.79554764024931</v>
      </c>
      <c r="AT88" s="106">
        <v>0.12485136741973842</v>
      </c>
      <c r="AU88" s="106">
        <v>236.26872770511295</v>
      </c>
      <c r="AV88" s="106">
        <v>0.21674311926605505</v>
      </c>
      <c r="AW88" s="106">
        <v>410.16467889908256</v>
      </c>
      <c r="AX88" s="106">
        <v>0.13609172482552342</v>
      </c>
      <c r="AY88" s="106">
        <v>257.53998005982049</v>
      </c>
      <c r="AZ88" s="106">
        <v>1.0482529118136439</v>
      </c>
      <c r="BA88" s="106">
        <v>1983.7138103161396</v>
      </c>
      <c r="BB88" s="106">
        <v>1.0824742268041236</v>
      </c>
      <c r="BC88" s="106">
        <v>2048.4742268041236</v>
      </c>
      <c r="BD88" s="106">
        <v>0</v>
      </c>
      <c r="BE88" s="106">
        <v>0</v>
      </c>
      <c r="BF88" s="106">
        <v>0.69863013698630128</v>
      </c>
      <c r="BG88" s="106">
        <v>1322.0876712328763</v>
      </c>
      <c r="BH88" s="106">
        <v>0.30270270270270272</v>
      </c>
      <c r="BI88" s="106">
        <v>572.83459459459459</v>
      </c>
      <c r="BJ88" s="106">
        <v>0.61105722599418033</v>
      </c>
      <c r="BK88" s="106">
        <v>1156.3646944713869</v>
      </c>
      <c r="BL88" s="106">
        <v>0</v>
      </c>
      <c r="BM88" s="106">
        <v>0</v>
      </c>
      <c r="BN88" s="106">
        <v>0.38268792710706151</v>
      </c>
      <c r="BO88" s="106">
        <v>724.19863325740312</v>
      </c>
      <c r="BP88" s="106">
        <v>0.8698224852071007</v>
      </c>
      <c r="BQ88" s="106">
        <v>1646.0520710059172</v>
      </c>
      <c r="BR88" s="106">
        <v>1.0696465696465698</v>
      </c>
      <c r="BS88" s="106">
        <v>2024.1991683991685</v>
      </c>
      <c r="BT88" s="106">
        <v>2.0246636771300448</v>
      </c>
      <c r="BU88" s="106">
        <v>3831.4735426008965</v>
      </c>
      <c r="BV88" s="106">
        <v>1.267241379310345</v>
      </c>
      <c r="BW88" s="106">
        <v>2398.1275862068965</v>
      </c>
      <c r="BX88" s="106">
        <v>0</v>
      </c>
      <c r="BY88" s="106">
        <v>0</v>
      </c>
      <c r="BZ88" s="106">
        <v>0.2353448275862069</v>
      </c>
      <c r="CA88" s="106">
        <v>445.36655172413788</v>
      </c>
      <c r="CB88" s="106">
        <v>0.33024976873265494</v>
      </c>
      <c r="CC88" s="106">
        <v>624.96466234967613</v>
      </c>
      <c r="CD88" s="106">
        <v>0.63287671232876719</v>
      </c>
      <c r="CE88" s="106">
        <v>1197.655890410959</v>
      </c>
      <c r="CF88" s="106">
        <v>0</v>
      </c>
      <c r="CG88" s="106">
        <v>0</v>
      </c>
      <c r="CH88" s="106">
        <v>0</v>
      </c>
      <c r="CI88" s="106">
        <v>0</v>
      </c>
      <c r="CJ88" s="106">
        <v>1.6851851851851851</v>
      </c>
      <c r="CK88" s="106">
        <v>3189.0444444444443</v>
      </c>
      <c r="CL88" s="106">
        <v>1.5023328149300155</v>
      </c>
      <c r="CM88" s="106">
        <v>2843.014618973561</v>
      </c>
      <c r="CN88" s="106">
        <v>0.21491228070175439</v>
      </c>
      <c r="CO88" s="106">
        <v>406.7</v>
      </c>
      <c r="CP88" s="106">
        <v>0.31818181818181818</v>
      </c>
      <c r="CQ88" s="106">
        <v>602.12727272727273</v>
      </c>
      <c r="CR88" s="106">
        <v>0</v>
      </c>
      <c r="CS88" s="106">
        <v>0</v>
      </c>
      <c r="CT88" s="106">
        <v>0.53389830508474578</v>
      </c>
      <c r="CU88" s="106">
        <v>1010.3491525423728</v>
      </c>
    </row>
    <row r="89" spans="2:99" x14ac:dyDescent="0.2">
      <c r="C89" s="105" t="s">
        <v>255</v>
      </c>
      <c r="D89" s="106">
        <v>0</v>
      </c>
      <c r="E89" s="106">
        <v>0</v>
      </c>
      <c r="F89" s="106">
        <v>2.1634738186462323</v>
      </c>
      <c r="G89" s="106">
        <v>5187.1448275862067</v>
      </c>
      <c r="H89" s="106">
        <v>2.4980645161290322</v>
      </c>
      <c r="I89" s="106">
        <v>5989.3594838709678</v>
      </c>
      <c r="J89" s="106">
        <v>0.24300867888138863</v>
      </c>
      <c r="K89" s="106">
        <v>582.63760848601737</v>
      </c>
      <c r="L89" s="106">
        <v>0.72524942440521878</v>
      </c>
      <c r="M89" s="106">
        <v>1738.8580199539524</v>
      </c>
      <c r="N89" s="106">
        <v>0.88786764705882359</v>
      </c>
      <c r="O89" s="106">
        <v>2128.7514705882354</v>
      </c>
      <c r="P89" s="106">
        <v>0</v>
      </c>
      <c r="Q89" s="106">
        <v>0</v>
      </c>
      <c r="R89" s="106">
        <v>1.0723404255319149</v>
      </c>
      <c r="S89" s="106">
        <v>2571.0434042553188</v>
      </c>
      <c r="T89" s="106">
        <v>0.50454545454545452</v>
      </c>
      <c r="U89" s="106">
        <v>1209.6981818181816</v>
      </c>
      <c r="V89" s="106">
        <v>0.87334593572778829</v>
      </c>
      <c r="W89" s="106">
        <v>2093.9342155009449</v>
      </c>
      <c r="X89" s="106">
        <v>1.3125</v>
      </c>
      <c r="Y89" s="106">
        <v>3146.85</v>
      </c>
      <c r="Z89" s="106">
        <v>0.6940024479804161</v>
      </c>
      <c r="AA89" s="106">
        <v>1663.9402692778456</v>
      </c>
      <c r="AB89" s="106">
        <v>0.9048473967684022</v>
      </c>
      <c r="AC89" s="106">
        <v>2169.462118491921</v>
      </c>
      <c r="AD89" s="106">
        <v>0</v>
      </c>
      <c r="AE89" s="106">
        <v>0</v>
      </c>
      <c r="AF89" s="106">
        <v>0.88383838383838387</v>
      </c>
      <c r="AG89" s="106">
        <v>2119.090909090909</v>
      </c>
      <c r="AH89" s="106">
        <v>2.1558935361216731</v>
      </c>
      <c r="AI89" s="106">
        <v>5168.9703422053235</v>
      </c>
      <c r="AJ89" s="106">
        <v>1.1696658097686374</v>
      </c>
      <c r="AK89" s="106">
        <v>2804.390745501285</v>
      </c>
      <c r="AL89" s="106">
        <v>0.99037536092396539</v>
      </c>
      <c r="AM89" s="106">
        <v>2374.5239653512995</v>
      </c>
      <c r="AN89" s="106">
        <v>0</v>
      </c>
      <c r="AO89" s="106">
        <v>0</v>
      </c>
      <c r="AP89" s="106">
        <v>2.2523659305993693</v>
      </c>
      <c r="AQ89" s="106">
        <v>5400.2725552050479</v>
      </c>
      <c r="AR89" s="106">
        <v>0.13089937666963491</v>
      </c>
      <c r="AS89" s="106">
        <v>313.84434550311664</v>
      </c>
      <c r="AT89" s="106">
        <v>0.11236623067776456</v>
      </c>
      <c r="AU89" s="106">
        <v>269.40927467300833</v>
      </c>
      <c r="AV89" s="106">
        <v>0.19266055045871561</v>
      </c>
      <c r="AW89" s="106">
        <v>461.9229357798165</v>
      </c>
      <c r="AX89" s="106">
        <v>0.13609172482552342</v>
      </c>
      <c r="AY89" s="106">
        <v>326.29351944167496</v>
      </c>
      <c r="AZ89" s="106">
        <v>1.0482529118136439</v>
      </c>
      <c r="BA89" s="106">
        <v>2513.2911813643923</v>
      </c>
      <c r="BB89" s="106">
        <v>1.0824742268041236</v>
      </c>
      <c r="BC89" s="106">
        <v>2595.3402061855668</v>
      </c>
      <c r="BD89" s="106">
        <v>0</v>
      </c>
      <c r="BE89" s="106">
        <v>0</v>
      </c>
      <c r="BF89" s="106">
        <v>0.61643835616438358</v>
      </c>
      <c r="BG89" s="106">
        <v>1477.972602739726</v>
      </c>
      <c r="BH89" s="106">
        <v>0.32162162162162161</v>
      </c>
      <c r="BI89" s="106">
        <v>771.11999999999989</v>
      </c>
      <c r="BJ89" s="106">
        <v>0.61105722599418033</v>
      </c>
      <c r="BK89" s="106">
        <v>1465.0708050436467</v>
      </c>
      <c r="BL89" s="106">
        <v>0</v>
      </c>
      <c r="BM89" s="106">
        <v>0</v>
      </c>
      <c r="BN89" s="106">
        <v>0.35079726651480636</v>
      </c>
      <c r="BO89" s="106">
        <v>841.07152619589965</v>
      </c>
      <c r="BP89" s="106">
        <v>0.89467455621301772</v>
      </c>
      <c r="BQ89" s="106">
        <v>2145.0717159763312</v>
      </c>
      <c r="BR89" s="106">
        <v>1.025987525987526</v>
      </c>
      <c r="BS89" s="106">
        <v>2459.9076923076923</v>
      </c>
      <c r="BT89" s="106">
        <v>1.836322869955157</v>
      </c>
      <c r="BU89" s="106">
        <v>4402.767713004484</v>
      </c>
      <c r="BV89" s="106">
        <v>1.1993534482758621</v>
      </c>
      <c r="BW89" s="106">
        <v>2875.5698275862069</v>
      </c>
      <c r="BX89" s="106">
        <v>0</v>
      </c>
      <c r="BY89" s="106">
        <v>0</v>
      </c>
      <c r="BZ89" s="106">
        <v>0.2353448275862069</v>
      </c>
      <c r="CA89" s="106">
        <v>564.26275862068962</v>
      </c>
      <c r="CB89" s="106">
        <v>0.31082331174838113</v>
      </c>
      <c r="CC89" s="106">
        <v>745.22997224791857</v>
      </c>
      <c r="CD89" s="106">
        <v>0.51780821917808217</v>
      </c>
      <c r="CE89" s="106">
        <v>1241.4969863013698</v>
      </c>
      <c r="CF89" s="106">
        <v>0</v>
      </c>
      <c r="CG89" s="106">
        <v>0</v>
      </c>
      <c r="CH89" s="106">
        <v>0</v>
      </c>
      <c r="CI89" s="106">
        <v>0</v>
      </c>
      <c r="CJ89" s="106">
        <v>1.8148148148148147</v>
      </c>
      <c r="CK89" s="106">
        <v>4351.2</v>
      </c>
      <c r="CL89" s="106">
        <v>1.3716951788491447</v>
      </c>
      <c r="CM89" s="106">
        <v>3288.7763608087093</v>
      </c>
      <c r="CN89" s="106">
        <v>0.21491228070175439</v>
      </c>
      <c r="CO89" s="106">
        <v>515.27368421052631</v>
      </c>
      <c r="CP89" s="106">
        <v>0.31818181818181818</v>
      </c>
      <c r="CQ89" s="106">
        <v>762.87272727272727</v>
      </c>
      <c r="CR89" s="106">
        <v>0</v>
      </c>
      <c r="CS89" s="106">
        <v>0</v>
      </c>
      <c r="CT89" s="106">
        <v>0.53389830508474578</v>
      </c>
      <c r="CU89" s="106">
        <v>1280.0745762711865</v>
      </c>
    </row>
    <row r="90" spans="2:99" x14ac:dyDescent="0.2">
      <c r="C90" s="105" t="s">
        <v>256</v>
      </c>
      <c r="D90" s="106">
        <v>0</v>
      </c>
      <c r="E90" s="106">
        <v>0</v>
      </c>
      <c r="F90" s="106">
        <v>2.4725415070242658</v>
      </c>
      <c r="G90" s="106">
        <v>5432.6681992337162</v>
      </c>
      <c r="H90" s="106">
        <v>2.1858064516129034</v>
      </c>
      <c r="I90" s="106">
        <v>4802.6539354838715</v>
      </c>
      <c r="J90" s="106">
        <v>0.26325940212150434</v>
      </c>
      <c r="K90" s="106">
        <v>578.43355834136923</v>
      </c>
      <c r="L90" s="106">
        <v>0.70913277052954726</v>
      </c>
      <c r="M90" s="106">
        <v>1558.1065234075211</v>
      </c>
      <c r="N90" s="106">
        <v>0.92647058823529416</v>
      </c>
      <c r="O90" s="106">
        <v>2035.6411764705881</v>
      </c>
      <c r="P90" s="106">
        <v>0</v>
      </c>
      <c r="Q90" s="106">
        <v>0</v>
      </c>
      <c r="R90" s="106">
        <v>1.1438297872340426</v>
      </c>
      <c r="S90" s="106">
        <v>2513.2228085106381</v>
      </c>
      <c r="T90" s="106">
        <v>0.50454545454545452</v>
      </c>
      <c r="U90" s="106">
        <v>1108.5872727272726</v>
      </c>
      <c r="V90" s="106">
        <v>0.87334593572778829</v>
      </c>
      <c r="W90" s="106">
        <v>1918.9156899810962</v>
      </c>
      <c r="X90" s="106">
        <v>1.3683510638297873</v>
      </c>
      <c r="Y90" s="106">
        <v>3006.5409574468085</v>
      </c>
      <c r="Z90" s="106">
        <v>0.74541003671970629</v>
      </c>
      <c r="AA90" s="106">
        <v>1637.8149326805385</v>
      </c>
      <c r="AB90" s="106">
        <v>0.9425493716337523</v>
      </c>
      <c r="AC90" s="106">
        <v>2070.9694793536805</v>
      </c>
      <c r="AD90" s="106">
        <v>0</v>
      </c>
      <c r="AE90" s="106">
        <v>0</v>
      </c>
      <c r="AF90" s="106">
        <v>0.81313131313131304</v>
      </c>
      <c r="AG90" s="106">
        <v>1786.6121212121209</v>
      </c>
      <c r="AH90" s="106">
        <v>1.8365019011406845</v>
      </c>
      <c r="AI90" s="106">
        <v>4035.1619771863116</v>
      </c>
      <c r="AJ90" s="106">
        <v>1.3856041131105399</v>
      </c>
      <c r="AK90" s="106">
        <v>3044.4493573264781</v>
      </c>
      <c r="AL90" s="106">
        <v>0.99037536092396539</v>
      </c>
      <c r="AM90" s="106">
        <v>2176.0527430221364</v>
      </c>
      <c r="AN90" s="106">
        <v>0</v>
      </c>
      <c r="AO90" s="106">
        <v>0</v>
      </c>
      <c r="AP90" s="106">
        <v>2.5615141955835963</v>
      </c>
      <c r="AQ90" s="106">
        <v>5628.1589905362771</v>
      </c>
      <c r="AR90" s="106">
        <v>0.1495992876224399</v>
      </c>
      <c r="AS90" s="106">
        <v>328.69955476402492</v>
      </c>
      <c r="AT90" s="106">
        <v>0.12485136741973842</v>
      </c>
      <c r="AU90" s="106">
        <v>274.3234244946492</v>
      </c>
      <c r="AV90" s="106">
        <v>0.20470183486238533</v>
      </c>
      <c r="AW90" s="106">
        <v>449.77087155963301</v>
      </c>
      <c r="AX90" s="106">
        <v>0.15702891326021934</v>
      </c>
      <c r="AY90" s="106">
        <v>345.02392821535392</v>
      </c>
      <c r="AZ90" s="106">
        <v>1.0133111480865225</v>
      </c>
      <c r="BA90" s="106">
        <v>2226.4472545757071</v>
      </c>
      <c r="BB90" s="106">
        <v>1.0824742268041236</v>
      </c>
      <c r="BC90" s="106">
        <v>2378.4123711340203</v>
      </c>
      <c r="BD90" s="106">
        <v>0</v>
      </c>
      <c r="BE90" s="106">
        <v>0</v>
      </c>
      <c r="BF90" s="106">
        <v>0.73972602739726023</v>
      </c>
      <c r="BG90" s="106">
        <v>1625.3260273972601</v>
      </c>
      <c r="BH90" s="106">
        <v>0.32162162162162161</v>
      </c>
      <c r="BI90" s="106">
        <v>706.66702702702696</v>
      </c>
      <c r="BJ90" s="106">
        <v>0.61105722599418033</v>
      </c>
      <c r="BK90" s="106">
        <v>1342.614936954413</v>
      </c>
      <c r="BL90" s="106">
        <v>0</v>
      </c>
      <c r="BM90" s="106">
        <v>0</v>
      </c>
      <c r="BN90" s="106">
        <v>0.33485193621867887</v>
      </c>
      <c r="BO90" s="106">
        <v>735.73667425968119</v>
      </c>
      <c r="BP90" s="106">
        <v>0.89467455621301772</v>
      </c>
      <c r="BQ90" s="106">
        <v>1965.7789349112425</v>
      </c>
      <c r="BR90" s="106">
        <v>1.0478170478170479</v>
      </c>
      <c r="BS90" s="106">
        <v>2302.2636174636173</v>
      </c>
      <c r="BT90" s="106">
        <v>1.930493273542601</v>
      </c>
      <c r="BU90" s="106">
        <v>4241.6798206278027</v>
      </c>
      <c r="BV90" s="106">
        <v>1.0635775862068966</v>
      </c>
      <c r="BW90" s="106">
        <v>2336.8926724137928</v>
      </c>
      <c r="BX90" s="106">
        <v>0</v>
      </c>
      <c r="BY90" s="106">
        <v>0</v>
      </c>
      <c r="BZ90" s="106">
        <v>0.25344827586206897</v>
      </c>
      <c r="CA90" s="106">
        <v>556.87655172413793</v>
      </c>
      <c r="CB90" s="106">
        <v>0.36910268270120261</v>
      </c>
      <c r="CC90" s="106">
        <v>810.99241443108235</v>
      </c>
      <c r="CD90" s="106">
        <v>0.51780821917808217</v>
      </c>
      <c r="CE90" s="106">
        <v>1137.7282191780821</v>
      </c>
      <c r="CF90" s="106">
        <v>0</v>
      </c>
      <c r="CG90" s="106">
        <v>0</v>
      </c>
      <c r="CH90" s="106">
        <v>0</v>
      </c>
      <c r="CI90" s="106">
        <v>0</v>
      </c>
      <c r="CJ90" s="106">
        <v>1.6851851851851851</v>
      </c>
      <c r="CK90" s="106">
        <v>3702.6888888888884</v>
      </c>
      <c r="CL90" s="106">
        <v>1.4370139968895801</v>
      </c>
      <c r="CM90" s="106">
        <v>3157.4071539657853</v>
      </c>
      <c r="CN90" s="106">
        <v>0.21491228070175439</v>
      </c>
      <c r="CO90" s="106">
        <v>472.20526315789471</v>
      </c>
      <c r="CP90" s="106">
        <v>0.31818181818181818</v>
      </c>
      <c r="CQ90" s="106">
        <v>699.10909090909081</v>
      </c>
      <c r="CR90" s="106">
        <v>0</v>
      </c>
      <c r="CS90" s="106">
        <v>0</v>
      </c>
      <c r="CT90" s="106">
        <v>0.53389830508474578</v>
      </c>
      <c r="CU90" s="106">
        <v>1173.0813559322035</v>
      </c>
    </row>
    <row r="91" spans="2:99" x14ac:dyDescent="0.2">
      <c r="C91" s="105" t="s">
        <v>257</v>
      </c>
      <c r="D91" s="106">
        <v>0</v>
      </c>
      <c r="E91" s="106">
        <v>0</v>
      </c>
      <c r="F91" s="106">
        <v>2.4725415070242658</v>
      </c>
      <c r="G91" s="106">
        <v>5678.9333333333334</v>
      </c>
      <c r="H91" s="106">
        <v>2.4980645161290322</v>
      </c>
      <c r="I91" s="106">
        <v>5737.554580645161</v>
      </c>
      <c r="J91" s="106">
        <v>0.24300867888138863</v>
      </c>
      <c r="K91" s="106">
        <v>558.14233365477332</v>
      </c>
      <c r="L91" s="106">
        <v>0.6607828089025326</v>
      </c>
      <c r="M91" s="106">
        <v>1517.6859554873367</v>
      </c>
      <c r="N91" s="106">
        <v>0.96507352941176472</v>
      </c>
      <c r="O91" s="106">
        <v>2216.580882352941</v>
      </c>
      <c r="P91" s="106">
        <v>0</v>
      </c>
      <c r="Q91" s="106">
        <v>0</v>
      </c>
      <c r="R91" s="106">
        <v>1.1080851063829786</v>
      </c>
      <c r="S91" s="106">
        <v>2545.0498723404248</v>
      </c>
      <c r="T91" s="106">
        <v>0.54545454545454553</v>
      </c>
      <c r="U91" s="106">
        <v>1252.8</v>
      </c>
      <c r="V91" s="106">
        <v>0.87334593572778829</v>
      </c>
      <c r="W91" s="106">
        <v>2005.9009451795839</v>
      </c>
      <c r="X91" s="106">
        <v>1.3962765957446808</v>
      </c>
      <c r="Y91" s="106">
        <v>3206.9680851063822</v>
      </c>
      <c r="Z91" s="106">
        <v>0.68115055079559372</v>
      </c>
      <c r="AA91" s="106">
        <v>1564.4665850673196</v>
      </c>
      <c r="AB91" s="106">
        <v>0.8671454219030521</v>
      </c>
      <c r="AC91" s="106">
        <v>1991.6596050269297</v>
      </c>
      <c r="AD91" s="106">
        <v>0</v>
      </c>
      <c r="AE91" s="106">
        <v>0</v>
      </c>
      <c r="AF91" s="106">
        <v>0.88383838383838387</v>
      </c>
      <c r="AG91" s="106">
        <v>2029.9999999999998</v>
      </c>
      <c r="AH91" s="106">
        <v>1.8365019011406845</v>
      </c>
      <c r="AI91" s="106">
        <v>4218.0775665399233</v>
      </c>
      <c r="AJ91" s="106">
        <v>1.3856041131105399</v>
      </c>
      <c r="AK91" s="106">
        <v>3182.4555269922876</v>
      </c>
      <c r="AL91" s="106">
        <v>1.010587102983638</v>
      </c>
      <c r="AM91" s="106">
        <v>2321.1164581328194</v>
      </c>
      <c r="AN91" s="106">
        <v>0</v>
      </c>
      <c r="AO91" s="106">
        <v>0</v>
      </c>
      <c r="AP91" s="106">
        <v>2.1640378548895898</v>
      </c>
      <c r="AQ91" s="106">
        <v>4970.3621451104091</v>
      </c>
      <c r="AR91" s="106">
        <v>0.14024933214603738</v>
      </c>
      <c r="AS91" s="106">
        <v>322.1246660730186</v>
      </c>
      <c r="AT91" s="106">
        <v>0.11236623067776456</v>
      </c>
      <c r="AU91" s="106">
        <v>258.08275862068962</v>
      </c>
      <c r="AV91" s="106">
        <v>0.19266055045871561</v>
      </c>
      <c r="AW91" s="106">
        <v>442.50275229357794</v>
      </c>
      <c r="AX91" s="106">
        <v>0.15702891326021934</v>
      </c>
      <c r="AY91" s="106">
        <v>360.66400797607173</v>
      </c>
      <c r="AZ91" s="106">
        <v>1.0133111480865225</v>
      </c>
      <c r="BA91" s="106">
        <v>2327.3730449251243</v>
      </c>
      <c r="BB91" s="106">
        <v>0.97422680412371143</v>
      </c>
      <c r="BC91" s="106">
        <v>2237.60412371134</v>
      </c>
      <c r="BD91" s="106">
        <v>0</v>
      </c>
      <c r="BE91" s="106">
        <v>0</v>
      </c>
      <c r="BF91" s="106">
        <v>0.73972602739726023</v>
      </c>
      <c r="BG91" s="106">
        <v>1699.0027397260271</v>
      </c>
      <c r="BH91" s="106">
        <v>0.30270270270270272</v>
      </c>
      <c r="BI91" s="106">
        <v>695.24756756756756</v>
      </c>
      <c r="BJ91" s="106">
        <v>0.6517943743937924</v>
      </c>
      <c r="BK91" s="106">
        <v>1497.0413191076623</v>
      </c>
      <c r="BL91" s="106">
        <v>0</v>
      </c>
      <c r="BM91" s="106">
        <v>0</v>
      </c>
      <c r="BN91" s="106">
        <v>0.33485193621867887</v>
      </c>
      <c r="BO91" s="106">
        <v>769.08792710706155</v>
      </c>
      <c r="BP91" s="106">
        <v>0.82011834319526622</v>
      </c>
      <c r="BQ91" s="106">
        <v>1883.6478106508873</v>
      </c>
      <c r="BR91" s="106">
        <v>1.0041580041580043</v>
      </c>
      <c r="BS91" s="106">
        <v>2306.3501039501039</v>
      </c>
      <c r="BT91" s="106">
        <v>1.6479820627802693</v>
      </c>
      <c r="BU91" s="106">
        <v>3785.0852017937218</v>
      </c>
      <c r="BV91" s="106">
        <v>1.1314655172413792</v>
      </c>
      <c r="BW91" s="106">
        <v>2598.7499999999995</v>
      </c>
      <c r="BX91" s="106">
        <v>0</v>
      </c>
      <c r="BY91" s="106">
        <v>0</v>
      </c>
      <c r="BZ91" s="106">
        <v>0.25344827586206897</v>
      </c>
      <c r="CA91" s="106">
        <v>582.11999999999989</v>
      </c>
      <c r="CB91" s="106">
        <v>0.3496762257169288</v>
      </c>
      <c r="CC91" s="106">
        <v>803.13635522664197</v>
      </c>
      <c r="CD91" s="106">
        <v>0.54657534246575346</v>
      </c>
      <c r="CE91" s="106">
        <v>1255.3742465753423</v>
      </c>
      <c r="CF91" s="106">
        <v>0</v>
      </c>
      <c r="CG91" s="106">
        <v>0</v>
      </c>
      <c r="CH91" s="106">
        <v>0</v>
      </c>
      <c r="CI91" s="106">
        <v>0</v>
      </c>
      <c r="CJ91" s="106">
        <v>1.6203703703703702</v>
      </c>
      <c r="CK91" s="106">
        <v>3721.6666666666661</v>
      </c>
      <c r="CL91" s="106">
        <v>1.4370139968895801</v>
      </c>
      <c r="CM91" s="106">
        <v>3300.533748055987</v>
      </c>
      <c r="CN91" s="106">
        <v>0.21491228070175439</v>
      </c>
      <c r="CO91" s="106">
        <v>493.6105263157894</v>
      </c>
      <c r="CP91" s="106">
        <v>0.34469696969696972</v>
      </c>
      <c r="CQ91" s="106">
        <v>791.69999999999993</v>
      </c>
      <c r="CR91" s="106">
        <v>0</v>
      </c>
      <c r="CS91" s="106">
        <v>0</v>
      </c>
      <c r="CT91" s="106">
        <v>0.47457627118644069</v>
      </c>
      <c r="CU91" s="106">
        <v>1090.0067796610169</v>
      </c>
    </row>
    <row r="92" spans="2:99" x14ac:dyDescent="0.2">
      <c r="C92" s="105" t="s">
        <v>258</v>
      </c>
      <c r="D92" s="106">
        <v>0</v>
      </c>
      <c r="E92" s="106">
        <v>0</v>
      </c>
      <c r="F92" s="106">
        <v>2.3180076628352491</v>
      </c>
      <c r="G92" s="106">
        <v>3293.4252873563219</v>
      </c>
      <c r="H92" s="106">
        <v>2.6541935483870969</v>
      </c>
      <c r="I92" s="106">
        <v>3771.0781935483869</v>
      </c>
      <c r="J92" s="106">
        <v>0.28351012536162007</v>
      </c>
      <c r="K92" s="106">
        <v>402.8111861137898</v>
      </c>
      <c r="L92" s="106">
        <v>0.85418265541059091</v>
      </c>
      <c r="M92" s="106">
        <v>1213.6227168073676</v>
      </c>
      <c r="N92" s="106">
        <v>0.92647058823529416</v>
      </c>
      <c r="O92" s="106">
        <v>1316.3294117647058</v>
      </c>
      <c r="P92" s="106">
        <v>0</v>
      </c>
      <c r="Q92" s="106">
        <v>0</v>
      </c>
      <c r="R92" s="106">
        <v>1.2510638297872341</v>
      </c>
      <c r="S92" s="106">
        <v>1777.5114893617022</v>
      </c>
      <c r="T92" s="106">
        <v>0.64090909090909087</v>
      </c>
      <c r="U92" s="106">
        <v>910.60363636363627</v>
      </c>
      <c r="V92" s="106">
        <v>1.0453686200378072</v>
      </c>
      <c r="W92" s="106">
        <v>1485.2597353497165</v>
      </c>
      <c r="X92" s="106">
        <v>1.5917553191489362</v>
      </c>
      <c r="Y92" s="106">
        <v>2261.5659574468086</v>
      </c>
      <c r="Z92" s="106">
        <v>0.83537331701346385</v>
      </c>
      <c r="AA92" s="106">
        <v>1186.8984088127295</v>
      </c>
      <c r="AB92" s="106">
        <v>1.0933572710951527</v>
      </c>
      <c r="AC92" s="106">
        <v>1553.442010771993</v>
      </c>
      <c r="AD92" s="106">
        <v>0</v>
      </c>
      <c r="AE92" s="106">
        <v>0</v>
      </c>
      <c r="AF92" s="106">
        <v>0.88383838383838387</v>
      </c>
      <c r="AG92" s="106">
        <v>1255.7575757575758</v>
      </c>
      <c r="AH92" s="106">
        <v>2.3954372623574147</v>
      </c>
      <c r="AI92" s="106">
        <v>3403.4372623574145</v>
      </c>
      <c r="AJ92" s="106">
        <v>1.6375321336760926</v>
      </c>
      <c r="AK92" s="106">
        <v>2326.6056555269925</v>
      </c>
      <c r="AL92" s="106">
        <v>1.1924927815206929</v>
      </c>
      <c r="AM92" s="106">
        <v>1694.2937439846005</v>
      </c>
      <c r="AN92" s="106">
        <v>0</v>
      </c>
      <c r="AO92" s="106">
        <v>0</v>
      </c>
      <c r="AP92" s="106">
        <v>2.6498422712933754</v>
      </c>
      <c r="AQ92" s="106">
        <v>3764.8958990536275</v>
      </c>
      <c r="AR92" s="106">
        <v>0.1495992876224399</v>
      </c>
      <c r="AS92" s="106">
        <v>212.55066785396261</v>
      </c>
      <c r="AT92" s="106">
        <v>0.12485136741973842</v>
      </c>
      <c r="AU92" s="106">
        <v>177.38882282996434</v>
      </c>
      <c r="AV92" s="106">
        <v>0.22878440366972477</v>
      </c>
      <c r="AW92" s="106">
        <v>325.05688073394492</v>
      </c>
      <c r="AX92" s="106">
        <v>0.1465603190428714</v>
      </c>
      <c r="AY92" s="106">
        <v>208.23290129611166</v>
      </c>
      <c r="AZ92" s="106">
        <v>1.118136439267887</v>
      </c>
      <c r="BA92" s="106">
        <v>1588.6482529118139</v>
      </c>
      <c r="BB92" s="106">
        <v>1.0824742268041236</v>
      </c>
      <c r="BC92" s="106">
        <v>1537.9793814432987</v>
      </c>
      <c r="BD92" s="106">
        <v>0</v>
      </c>
      <c r="BE92" s="106">
        <v>0</v>
      </c>
      <c r="BF92" s="106">
        <v>0.73972602739726023</v>
      </c>
      <c r="BG92" s="106">
        <v>1051.0027397260274</v>
      </c>
      <c r="BH92" s="106">
        <v>0.30270270270270272</v>
      </c>
      <c r="BI92" s="106">
        <v>430.08</v>
      </c>
      <c r="BJ92" s="106">
        <v>0.69253152279340446</v>
      </c>
      <c r="BK92" s="106">
        <v>983.94878758486902</v>
      </c>
      <c r="BL92" s="106">
        <v>0</v>
      </c>
      <c r="BM92" s="106">
        <v>0</v>
      </c>
      <c r="BN92" s="106">
        <v>0.38268792710706151</v>
      </c>
      <c r="BO92" s="106">
        <v>543.72300683371293</v>
      </c>
      <c r="BP92" s="106">
        <v>0.9443786982248521</v>
      </c>
      <c r="BQ92" s="106">
        <v>1341.7732544378698</v>
      </c>
      <c r="BR92" s="106">
        <v>1.1133056133056134</v>
      </c>
      <c r="BS92" s="106">
        <v>1581.7846153846156</v>
      </c>
      <c r="BT92" s="106">
        <v>2.0717488789237666</v>
      </c>
      <c r="BU92" s="106">
        <v>2943.5408071748875</v>
      </c>
      <c r="BV92" s="106">
        <v>1.267241379310345</v>
      </c>
      <c r="BW92" s="106">
        <v>1800.496551724138</v>
      </c>
      <c r="BX92" s="106">
        <v>0</v>
      </c>
      <c r="BY92" s="106">
        <v>0</v>
      </c>
      <c r="BZ92" s="106">
        <v>0.25344827586206897</v>
      </c>
      <c r="CA92" s="106">
        <v>360.09931034482759</v>
      </c>
      <c r="CB92" s="106">
        <v>0.36910268270120261</v>
      </c>
      <c r="CC92" s="106">
        <v>524.42109158186861</v>
      </c>
      <c r="CD92" s="106">
        <v>0.60410958904109591</v>
      </c>
      <c r="CE92" s="106">
        <v>858.31890410958908</v>
      </c>
      <c r="CF92" s="106">
        <v>0</v>
      </c>
      <c r="CG92" s="106">
        <v>0</v>
      </c>
      <c r="CH92" s="106">
        <v>0</v>
      </c>
      <c r="CI92" s="106">
        <v>0</v>
      </c>
      <c r="CJ92" s="106">
        <v>1.8796296296296295</v>
      </c>
      <c r="CK92" s="106">
        <v>2670.5777777777776</v>
      </c>
      <c r="CL92" s="106">
        <v>1.698289269051322</v>
      </c>
      <c r="CM92" s="106">
        <v>2412.9293934681182</v>
      </c>
      <c r="CN92" s="106">
        <v>0.21491228070175439</v>
      </c>
      <c r="CO92" s="106">
        <v>305.34736842105264</v>
      </c>
      <c r="CP92" s="106">
        <v>0.31818181818181818</v>
      </c>
      <c r="CQ92" s="106">
        <v>452.07272727272726</v>
      </c>
      <c r="CR92" s="106">
        <v>0</v>
      </c>
      <c r="CS92" s="106">
        <v>0</v>
      </c>
      <c r="CT92" s="106">
        <v>0.59322033898305082</v>
      </c>
      <c r="CU92" s="106">
        <v>842.84745762711862</v>
      </c>
    </row>
    <row r="93" spans="2:99" x14ac:dyDescent="0.2">
      <c r="C93" s="105" t="s">
        <v>259</v>
      </c>
      <c r="D93" s="106">
        <v>0</v>
      </c>
      <c r="E93" s="106">
        <v>0</v>
      </c>
      <c r="F93" s="106">
        <v>2.4725415070242658</v>
      </c>
      <c r="G93" s="106">
        <v>4382.3325670498079</v>
      </c>
      <c r="H93" s="106">
        <v>2.3419354838709681</v>
      </c>
      <c r="I93" s="106">
        <v>4150.8464516129034</v>
      </c>
      <c r="J93" s="106">
        <v>0.26325940212150434</v>
      </c>
      <c r="K93" s="106">
        <v>466.60096432015428</v>
      </c>
      <c r="L93" s="106">
        <v>0.82194934765924799</v>
      </c>
      <c r="M93" s="106">
        <v>1456.823023791251</v>
      </c>
      <c r="N93" s="106">
        <v>0.88786764705882359</v>
      </c>
      <c r="O93" s="106">
        <v>1573.6566176470587</v>
      </c>
      <c r="P93" s="106">
        <v>0</v>
      </c>
      <c r="Q93" s="106">
        <v>0</v>
      </c>
      <c r="R93" s="106">
        <v>1.1438297872340426</v>
      </c>
      <c r="S93" s="106">
        <v>2027.323914893617</v>
      </c>
      <c r="T93" s="106">
        <v>0.61363636363636365</v>
      </c>
      <c r="U93" s="106">
        <v>1087.6090909090908</v>
      </c>
      <c r="V93" s="106">
        <v>0.99243856332703217</v>
      </c>
      <c r="W93" s="106">
        <v>1758.9981096408317</v>
      </c>
      <c r="X93" s="106">
        <v>1.3125</v>
      </c>
      <c r="Y93" s="106">
        <v>2326.2749999999996</v>
      </c>
      <c r="Z93" s="106">
        <v>0.77111383108935128</v>
      </c>
      <c r="AA93" s="106">
        <v>1366.722154222766</v>
      </c>
      <c r="AB93" s="106">
        <v>1.0556552962298025</v>
      </c>
      <c r="AC93" s="106">
        <v>1871.0434470377018</v>
      </c>
      <c r="AD93" s="106">
        <v>0</v>
      </c>
      <c r="AE93" s="106">
        <v>0</v>
      </c>
      <c r="AF93" s="106">
        <v>0.84848484848484851</v>
      </c>
      <c r="AG93" s="106">
        <v>1503.8545454545454</v>
      </c>
      <c r="AH93" s="106">
        <v>1.9961977186311786</v>
      </c>
      <c r="AI93" s="106">
        <v>3538.0608365019007</v>
      </c>
      <c r="AJ93" s="106">
        <v>1.3316195372750643</v>
      </c>
      <c r="AK93" s="106">
        <v>2360.1624678663238</v>
      </c>
      <c r="AL93" s="106">
        <v>1.1924927815206929</v>
      </c>
      <c r="AM93" s="106">
        <v>2113.5742059672762</v>
      </c>
      <c r="AN93" s="106">
        <v>0</v>
      </c>
      <c r="AO93" s="106">
        <v>0</v>
      </c>
      <c r="AP93" s="106">
        <v>2.7381703470031544</v>
      </c>
      <c r="AQ93" s="106">
        <v>4853.1331230283904</v>
      </c>
      <c r="AR93" s="106">
        <v>0.1589492430988424</v>
      </c>
      <c r="AS93" s="106">
        <v>281.72163846838822</v>
      </c>
      <c r="AT93" s="106">
        <v>0.12485136741973842</v>
      </c>
      <c r="AU93" s="106">
        <v>221.28656361474435</v>
      </c>
      <c r="AV93" s="106">
        <v>0.21674311926605505</v>
      </c>
      <c r="AW93" s="106">
        <v>384.15550458715592</v>
      </c>
      <c r="AX93" s="106">
        <v>0.16749750747756728</v>
      </c>
      <c r="AY93" s="106">
        <v>296.87258225324024</v>
      </c>
      <c r="AZ93" s="106">
        <v>1.118136439267887</v>
      </c>
      <c r="BA93" s="106">
        <v>1981.7850249584028</v>
      </c>
      <c r="BB93" s="106">
        <v>1.1907216494845361</v>
      </c>
      <c r="BC93" s="106">
        <v>2110.4350515463916</v>
      </c>
      <c r="BD93" s="106">
        <v>0</v>
      </c>
      <c r="BE93" s="106">
        <v>0</v>
      </c>
      <c r="BF93" s="106">
        <v>0.69863013698630128</v>
      </c>
      <c r="BG93" s="106">
        <v>1238.2520547945203</v>
      </c>
      <c r="BH93" s="106">
        <v>0.30270270270270272</v>
      </c>
      <c r="BI93" s="106">
        <v>536.51027027027021</v>
      </c>
      <c r="BJ93" s="106">
        <v>0.6517943743937924</v>
      </c>
      <c r="BK93" s="106">
        <v>1155.2403491755576</v>
      </c>
      <c r="BL93" s="106">
        <v>0</v>
      </c>
      <c r="BM93" s="106">
        <v>0</v>
      </c>
      <c r="BN93" s="106">
        <v>0.38268792710706151</v>
      </c>
      <c r="BO93" s="106">
        <v>678.27608200455575</v>
      </c>
      <c r="BP93" s="106">
        <v>1.0189349112426036</v>
      </c>
      <c r="BQ93" s="106">
        <v>1805.9602366863905</v>
      </c>
      <c r="BR93" s="106">
        <v>1.0478170478170479</v>
      </c>
      <c r="BS93" s="106">
        <v>1857.1509355509354</v>
      </c>
      <c r="BT93" s="106">
        <v>1.836322869955157</v>
      </c>
      <c r="BU93" s="106">
        <v>3254.6986547085203</v>
      </c>
      <c r="BV93" s="106">
        <v>1.2219827586206897</v>
      </c>
      <c r="BW93" s="106">
        <v>2165.8422413793105</v>
      </c>
      <c r="BX93" s="106">
        <v>0</v>
      </c>
      <c r="BY93" s="106">
        <v>0</v>
      </c>
      <c r="BZ93" s="106">
        <v>0.2353448275862069</v>
      </c>
      <c r="CA93" s="106">
        <v>417.12517241379305</v>
      </c>
      <c r="CB93" s="106">
        <v>0.33024976873265494</v>
      </c>
      <c r="CC93" s="106">
        <v>585.33469010175759</v>
      </c>
      <c r="CD93" s="106">
        <v>0.54657534246575346</v>
      </c>
      <c r="CE93" s="106">
        <v>968.7501369863013</v>
      </c>
      <c r="CF93" s="106">
        <v>0</v>
      </c>
      <c r="CG93" s="106">
        <v>0</v>
      </c>
      <c r="CH93" s="106">
        <v>0</v>
      </c>
      <c r="CI93" s="106">
        <v>0</v>
      </c>
      <c r="CJ93" s="106">
        <v>1.75</v>
      </c>
      <c r="CK93" s="106">
        <v>3101.7</v>
      </c>
      <c r="CL93" s="106">
        <v>1.5676516329704511</v>
      </c>
      <c r="CM93" s="106">
        <v>2778.5057542768272</v>
      </c>
      <c r="CN93" s="106">
        <v>0.24561403508771928</v>
      </c>
      <c r="CO93" s="106">
        <v>435.32631578947365</v>
      </c>
      <c r="CP93" s="106">
        <v>0.31818181818181818</v>
      </c>
      <c r="CQ93" s="106">
        <v>563.94545454545448</v>
      </c>
      <c r="CR93" s="106">
        <v>0</v>
      </c>
      <c r="CS93" s="106">
        <v>0</v>
      </c>
      <c r="CT93" s="106">
        <v>0.53389830508474578</v>
      </c>
      <c r="CU93" s="106">
        <v>946.28135593220338</v>
      </c>
    </row>
    <row r="94" spans="2:99" x14ac:dyDescent="0.2">
      <c r="C94" s="105" t="s">
        <v>260</v>
      </c>
      <c r="D94" s="106">
        <v>0</v>
      </c>
      <c r="E94" s="106">
        <v>0</v>
      </c>
      <c r="F94" s="106">
        <v>2.3180076628352491</v>
      </c>
      <c r="G94" s="106">
        <v>5552.0919540229879</v>
      </c>
      <c r="H94" s="106">
        <v>2.3419354838709681</v>
      </c>
      <c r="I94" s="106">
        <v>5609.4038709677425</v>
      </c>
      <c r="J94" s="106">
        <v>0.24300867888138863</v>
      </c>
      <c r="K94" s="106">
        <v>582.05438765670203</v>
      </c>
      <c r="L94" s="106">
        <v>0.70913277052954726</v>
      </c>
      <c r="M94" s="106">
        <v>1698.5148119723715</v>
      </c>
      <c r="N94" s="106">
        <v>0.94577205882352944</v>
      </c>
      <c r="O94" s="106">
        <v>2265.3132352941175</v>
      </c>
      <c r="P94" s="106">
        <v>0</v>
      </c>
      <c r="Q94" s="106">
        <v>0</v>
      </c>
      <c r="R94" s="106">
        <v>1.0723404255319149</v>
      </c>
      <c r="S94" s="106">
        <v>2568.4697872340425</v>
      </c>
      <c r="T94" s="106">
        <v>0.46363636363636362</v>
      </c>
      <c r="U94" s="106">
        <v>1110.5018181818182</v>
      </c>
      <c r="V94" s="106">
        <v>0.89981096408317585</v>
      </c>
      <c r="W94" s="106">
        <v>2155.2272211720228</v>
      </c>
      <c r="X94" s="106">
        <v>1.1728723404255319</v>
      </c>
      <c r="Y94" s="106">
        <v>2809.2638297872336</v>
      </c>
      <c r="Z94" s="106">
        <v>0.65544675642594863</v>
      </c>
      <c r="AA94" s="106">
        <v>1569.926070991432</v>
      </c>
      <c r="AB94" s="106">
        <v>0.8294434470377019</v>
      </c>
      <c r="AC94" s="106">
        <v>1986.6829443447034</v>
      </c>
      <c r="AD94" s="106">
        <v>0</v>
      </c>
      <c r="AE94" s="106">
        <v>0</v>
      </c>
      <c r="AF94" s="106">
        <v>0.77777777777777768</v>
      </c>
      <c r="AG94" s="106">
        <v>1862.9333333333329</v>
      </c>
      <c r="AH94" s="106">
        <v>2.0760456273764256</v>
      </c>
      <c r="AI94" s="106">
        <v>4972.5444866920143</v>
      </c>
      <c r="AJ94" s="106">
        <v>1.3676092544987146</v>
      </c>
      <c r="AK94" s="106">
        <v>3275.6976863753212</v>
      </c>
      <c r="AL94" s="106">
        <v>1.0510105871029836</v>
      </c>
      <c r="AM94" s="106">
        <v>2517.3805582290661</v>
      </c>
      <c r="AN94" s="106">
        <v>0</v>
      </c>
      <c r="AO94" s="106">
        <v>0</v>
      </c>
      <c r="AP94" s="106">
        <v>2.5173501577287065</v>
      </c>
      <c r="AQ94" s="106">
        <v>6029.5570977917978</v>
      </c>
      <c r="AR94" s="106">
        <v>0.1589492430988424</v>
      </c>
      <c r="AS94" s="106">
        <v>380.71522707034728</v>
      </c>
      <c r="AT94" s="106">
        <v>9.9881093935790713E-2</v>
      </c>
      <c r="AU94" s="106">
        <v>239.2351961950059</v>
      </c>
      <c r="AV94" s="106">
        <v>0.21674311926605505</v>
      </c>
      <c r="AW94" s="106">
        <v>519.14311926605501</v>
      </c>
      <c r="AX94" s="106">
        <v>0.13609172482552342</v>
      </c>
      <c r="AY94" s="106">
        <v>325.96689930209368</v>
      </c>
      <c r="AZ94" s="106">
        <v>0.90848585690515815</v>
      </c>
      <c r="BA94" s="106">
        <v>2176.0053244592345</v>
      </c>
      <c r="BB94" s="106">
        <v>1.0824742268041236</v>
      </c>
      <c r="BC94" s="106">
        <v>2592.7422680412369</v>
      </c>
      <c r="BD94" s="106">
        <v>0</v>
      </c>
      <c r="BE94" s="106">
        <v>0</v>
      </c>
      <c r="BF94" s="106">
        <v>0.65753424657534243</v>
      </c>
      <c r="BG94" s="106">
        <v>1574.92602739726</v>
      </c>
      <c r="BH94" s="106">
        <v>0.32162162162162161</v>
      </c>
      <c r="BI94" s="106">
        <v>770.34810810810802</v>
      </c>
      <c r="BJ94" s="106">
        <v>0.69253152279340446</v>
      </c>
      <c r="BK94" s="106">
        <v>1658.7515033947623</v>
      </c>
      <c r="BL94" s="106">
        <v>0</v>
      </c>
      <c r="BM94" s="106">
        <v>0</v>
      </c>
      <c r="BN94" s="106">
        <v>0.33485193621867887</v>
      </c>
      <c r="BO94" s="106">
        <v>802.03735763097961</v>
      </c>
      <c r="BP94" s="106">
        <v>0.9443786982248521</v>
      </c>
      <c r="BQ94" s="106">
        <v>2261.9758579881654</v>
      </c>
      <c r="BR94" s="106">
        <v>1.0478170478170479</v>
      </c>
      <c r="BS94" s="106">
        <v>2509.7313929313927</v>
      </c>
      <c r="BT94" s="106">
        <v>1.8834080717488788</v>
      </c>
      <c r="BU94" s="106">
        <v>4511.1390134529138</v>
      </c>
      <c r="BV94" s="106">
        <v>1.1540948275862069</v>
      </c>
      <c r="BW94" s="106">
        <v>2764.2879310344824</v>
      </c>
      <c r="BX94" s="106">
        <v>0</v>
      </c>
      <c r="BY94" s="106">
        <v>0</v>
      </c>
      <c r="BZ94" s="106">
        <v>0.25344827586206897</v>
      </c>
      <c r="CA94" s="106">
        <v>607.05931034482751</v>
      </c>
      <c r="CB94" s="106">
        <v>0.33024976873265494</v>
      </c>
      <c r="CC94" s="106">
        <v>791.01424606845501</v>
      </c>
      <c r="CD94" s="106">
        <v>0.60410958904109591</v>
      </c>
      <c r="CE94" s="106">
        <v>1446.9632876712328</v>
      </c>
      <c r="CF94" s="106">
        <v>0</v>
      </c>
      <c r="CG94" s="106">
        <v>0</v>
      </c>
      <c r="CH94" s="106">
        <v>0</v>
      </c>
      <c r="CI94" s="106">
        <v>0</v>
      </c>
      <c r="CJ94" s="106">
        <v>1.8148148148148147</v>
      </c>
      <c r="CK94" s="106">
        <v>4346.844444444444</v>
      </c>
      <c r="CL94" s="106">
        <v>1.5676516329704511</v>
      </c>
      <c r="CM94" s="106">
        <v>3754.8391912908241</v>
      </c>
      <c r="CN94" s="106">
        <v>0.21491228070175439</v>
      </c>
      <c r="CO94" s="106">
        <v>514.7578947368421</v>
      </c>
      <c r="CP94" s="106">
        <v>0.34469696969696972</v>
      </c>
      <c r="CQ94" s="106">
        <v>825.61818181818182</v>
      </c>
      <c r="CR94" s="106">
        <v>0</v>
      </c>
      <c r="CS94" s="106">
        <v>0</v>
      </c>
      <c r="CT94" s="106">
        <v>0.53389830508474578</v>
      </c>
      <c r="CU94" s="106">
        <v>1278.793220338983</v>
      </c>
    </row>
    <row r="95" spans="2:99" x14ac:dyDescent="0.2">
      <c r="B95" s="105" t="s">
        <v>132</v>
      </c>
      <c r="C95" s="105" t="s">
        <v>261</v>
      </c>
      <c r="D95" s="106">
        <v>0</v>
      </c>
      <c r="E95" s="106">
        <v>0</v>
      </c>
      <c r="F95" s="106">
        <v>4.7905491698595153</v>
      </c>
      <c r="G95" s="106">
        <v>8301.0636015325672</v>
      </c>
      <c r="H95" s="106">
        <v>4.2154838709677414</v>
      </c>
      <c r="I95" s="106">
        <v>7304.5904516129021</v>
      </c>
      <c r="J95" s="106">
        <v>1.012536162005786</v>
      </c>
      <c r="K95" s="106">
        <v>1754.5226615236259</v>
      </c>
      <c r="L95" s="106">
        <v>0.6607828089025326</v>
      </c>
      <c r="M95" s="106">
        <v>1145.0044512663085</v>
      </c>
      <c r="N95" s="106">
        <v>0.52113970588235292</v>
      </c>
      <c r="O95" s="106">
        <v>903.03088235294115</v>
      </c>
      <c r="P95" s="106">
        <v>0</v>
      </c>
      <c r="Q95" s="106">
        <v>0</v>
      </c>
      <c r="R95" s="106">
        <v>1.7872340425531914</v>
      </c>
      <c r="S95" s="106">
        <v>3096.9191489361701</v>
      </c>
      <c r="T95" s="106">
        <v>1.2</v>
      </c>
      <c r="U95" s="106">
        <v>2079.3599999999997</v>
      </c>
      <c r="V95" s="106">
        <v>0.83364839319470696</v>
      </c>
      <c r="W95" s="106">
        <v>1444.5459357277882</v>
      </c>
      <c r="X95" s="106">
        <v>1.8989361702127661</v>
      </c>
      <c r="Y95" s="106">
        <v>3290.4765957446812</v>
      </c>
      <c r="Z95" s="106">
        <v>1.2337821297429621</v>
      </c>
      <c r="AA95" s="106">
        <v>2137.8976744186048</v>
      </c>
      <c r="AB95" s="106">
        <v>0.30161579892280072</v>
      </c>
      <c r="AC95" s="106">
        <v>522.6398563734291</v>
      </c>
      <c r="AD95" s="106">
        <v>0</v>
      </c>
      <c r="AE95" s="106">
        <v>0</v>
      </c>
      <c r="AF95" s="106">
        <v>0.35353535353535354</v>
      </c>
      <c r="AG95" s="106">
        <v>612.60606060606062</v>
      </c>
      <c r="AH95" s="106">
        <v>0.87832699619771859</v>
      </c>
      <c r="AI95" s="106">
        <v>1521.9650190114066</v>
      </c>
      <c r="AJ95" s="106">
        <v>0.50385604113110538</v>
      </c>
      <c r="AK95" s="106">
        <v>873.0817480719794</v>
      </c>
      <c r="AL95" s="106">
        <v>0.56592877767083727</v>
      </c>
      <c r="AM95" s="106">
        <v>980.64138594802682</v>
      </c>
      <c r="AN95" s="106">
        <v>0</v>
      </c>
      <c r="AO95" s="106">
        <v>0</v>
      </c>
      <c r="AP95" s="106">
        <v>1.1482649842271293</v>
      </c>
      <c r="AQ95" s="106">
        <v>1989.7135646687695</v>
      </c>
      <c r="AR95" s="106">
        <v>0.31789848619768479</v>
      </c>
      <c r="AS95" s="106">
        <v>550.85449688334825</v>
      </c>
      <c r="AT95" s="106">
        <v>0.64922711058263971</v>
      </c>
      <c r="AU95" s="106">
        <v>1124.9807372175981</v>
      </c>
      <c r="AV95" s="106">
        <v>0.60206422018348627</v>
      </c>
      <c r="AW95" s="106">
        <v>1043.2568807339451</v>
      </c>
      <c r="AX95" s="106">
        <v>0.41874376869391827</v>
      </c>
      <c r="AY95" s="106">
        <v>725.59920239282155</v>
      </c>
      <c r="AZ95" s="106">
        <v>0.73377703826955065</v>
      </c>
      <c r="BA95" s="106">
        <v>1271.4888519134774</v>
      </c>
      <c r="BB95" s="106">
        <v>0.4329896907216495</v>
      </c>
      <c r="BC95" s="106">
        <v>750.28453608247423</v>
      </c>
      <c r="BD95" s="106">
        <v>0</v>
      </c>
      <c r="BE95" s="106">
        <v>0</v>
      </c>
      <c r="BF95" s="106">
        <v>0.69863013698630128</v>
      </c>
      <c r="BG95" s="106">
        <v>1210.5863013698629</v>
      </c>
      <c r="BH95" s="106">
        <v>0.3783783783783784</v>
      </c>
      <c r="BI95" s="106">
        <v>655.65405405405409</v>
      </c>
      <c r="BJ95" s="106">
        <v>1.0999030067895248</v>
      </c>
      <c r="BK95" s="106">
        <v>1905.9119301648884</v>
      </c>
      <c r="BL95" s="106">
        <v>0</v>
      </c>
      <c r="BM95" s="106">
        <v>0</v>
      </c>
      <c r="BN95" s="106">
        <v>0.36674259681093396</v>
      </c>
      <c r="BO95" s="106">
        <v>635.49157175398636</v>
      </c>
      <c r="BP95" s="106">
        <v>0.74556213017751483</v>
      </c>
      <c r="BQ95" s="106">
        <v>1291.9100591715976</v>
      </c>
      <c r="BR95" s="106">
        <v>0.69854469854469858</v>
      </c>
      <c r="BS95" s="106">
        <v>1210.4382536382536</v>
      </c>
      <c r="BT95" s="106">
        <v>1.695067264573991</v>
      </c>
      <c r="BU95" s="106">
        <v>2937.2125560538116</v>
      </c>
      <c r="BV95" s="106">
        <v>0.63362068965517249</v>
      </c>
      <c r="BW95" s="106">
        <v>1097.9379310344827</v>
      </c>
      <c r="BX95" s="106">
        <v>0</v>
      </c>
      <c r="BY95" s="106">
        <v>0</v>
      </c>
      <c r="BZ95" s="106">
        <v>0.94137931034482758</v>
      </c>
      <c r="CA95" s="106">
        <v>1631.2220689655171</v>
      </c>
      <c r="CB95" s="106">
        <v>1.1267345050878814</v>
      </c>
      <c r="CC95" s="106">
        <v>1952.4055504162809</v>
      </c>
      <c r="CD95" s="106">
        <v>2.3876712328767122</v>
      </c>
      <c r="CE95" s="106">
        <v>4137.3567123287667</v>
      </c>
      <c r="CF95" s="106">
        <v>0</v>
      </c>
      <c r="CG95" s="106">
        <v>0</v>
      </c>
      <c r="CH95" s="106">
        <v>0</v>
      </c>
      <c r="CI95" s="106">
        <v>0</v>
      </c>
      <c r="CJ95" s="106">
        <v>0.77777777777777768</v>
      </c>
      <c r="CK95" s="106">
        <v>1347.7333333333331</v>
      </c>
      <c r="CL95" s="106">
        <v>0.84914463452566102</v>
      </c>
      <c r="CM95" s="106">
        <v>1471.3978227060654</v>
      </c>
      <c r="CN95" s="106">
        <v>1.2587719298245614</v>
      </c>
      <c r="CO95" s="106">
        <v>2181.1999999999998</v>
      </c>
      <c r="CP95" s="106">
        <v>1.1401515151515151</v>
      </c>
      <c r="CQ95" s="106">
        <v>1975.6545454545453</v>
      </c>
      <c r="CR95" s="106">
        <v>0</v>
      </c>
      <c r="CS95" s="106">
        <v>0</v>
      </c>
      <c r="CT95" s="106">
        <v>2.1949152542372881</v>
      </c>
      <c r="CU95" s="106">
        <v>3803.3491525423728</v>
      </c>
    </row>
    <row r="96" spans="2:99" x14ac:dyDescent="0.2">
      <c r="C96" s="105" t="s">
        <v>262</v>
      </c>
      <c r="D96" s="106">
        <v>0</v>
      </c>
      <c r="E96" s="106">
        <v>0</v>
      </c>
      <c r="F96" s="106">
        <v>5.5632183908045976</v>
      </c>
      <c r="G96" s="106">
        <v>4579.6413793103447</v>
      </c>
      <c r="H96" s="106">
        <v>4.3716129032258069</v>
      </c>
      <c r="I96" s="106">
        <v>3598.711741935484</v>
      </c>
      <c r="J96" s="106">
        <v>1.2352941176470589</v>
      </c>
      <c r="K96" s="106">
        <v>1016.8941176470588</v>
      </c>
      <c r="L96" s="106">
        <v>0.77359938603223333</v>
      </c>
      <c r="M96" s="106">
        <v>636.82701458173437</v>
      </c>
      <c r="N96" s="106">
        <v>0.61764705882352944</v>
      </c>
      <c r="O96" s="106">
        <v>508.4470588235294</v>
      </c>
      <c r="P96" s="106">
        <v>0</v>
      </c>
      <c r="Q96" s="106">
        <v>0</v>
      </c>
      <c r="R96" s="106">
        <v>1.8587234042553191</v>
      </c>
      <c r="S96" s="106">
        <v>1530.1011063829785</v>
      </c>
      <c r="T96" s="106">
        <v>1.3909090909090909</v>
      </c>
      <c r="U96" s="106">
        <v>1144.9963636363634</v>
      </c>
      <c r="V96" s="106">
        <v>1.1247637051039698</v>
      </c>
      <c r="W96" s="106">
        <v>925.9054820415879</v>
      </c>
      <c r="X96" s="106">
        <v>2.1223404255319149</v>
      </c>
      <c r="Y96" s="106">
        <v>1747.1106382978721</v>
      </c>
      <c r="Z96" s="106">
        <v>1.2337821297429621</v>
      </c>
      <c r="AA96" s="106">
        <v>1015.6494492044063</v>
      </c>
      <c r="AB96" s="106">
        <v>0.33931777378815076</v>
      </c>
      <c r="AC96" s="106">
        <v>279.32639138240569</v>
      </c>
      <c r="AD96" s="106">
        <v>0</v>
      </c>
      <c r="AE96" s="106">
        <v>0</v>
      </c>
      <c r="AF96" s="106">
        <v>0.42424242424242425</v>
      </c>
      <c r="AG96" s="106">
        <v>349.23636363636359</v>
      </c>
      <c r="AH96" s="106">
        <v>0.95817490494296575</v>
      </c>
      <c r="AI96" s="106">
        <v>788.76958174904939</v>
      </c>
      <c r="AJ96" s="106">
        <v>0.61182519280205649</v>
      </c>
      <c r="AK96" s="106">
        <v>503.65449871465285</v>
      </c>
      <c r="AL96" s="106">
        <v>0.70741097208854675</v>
      </c>
      <c r="AM96" s="106">
        <v>582.34071222329169</v>
      </c>
      <c r="AN96" s="106">
        <v>0</v>
      </c>
      <c r="AO96" s="106">
        <v>0</v>
      </c>
      <c r="AP96" s="106">
        <v>1.2807570977917981</v>
      </c>
      <c r="AQ96" s="106">
        <v>1054.3192429022081</v>
      </c>
      <c r="AR96" s="106">
        <v>0.36464826357969726</v>
      </c>
      <c r="AS96" s="106">
        <v>300.17845057880675</v>
      </c>
      <c r="AT96" s="106">
        <v>0.71165279429250894</v>
      </c>
      <c r="AU96" s="106">
        <v>585.83258026159331</v>
      </c>
      <c r="AV96" s="106">
        <v>0.62614678899082576</v>
      </c>
      <c r="AW96" s="106">
        <v>515.44403669724772</v>
      </c>
      <c r="AX96" s="106">
        <v>0.46061814556331004</v>
      </c>
      <c r="AY96" s="106">
        <v>379.18085742771677</v>
      </c>
      <c r="AZ96" s="106">
        <v>0.66389351081530779</v>
      </c>
      <c r="BA96" s="106">
        <v>546.5171381031613</v>
      </c>
      <c r="BB96" s="106">
        <v>0.50515463917525771</v>
      </c>
      <c r="BC96" s="106">
        <v>415.84329896907212</v>
      </c>
      <c r="BD96" s="106">
        <v>0</v>
      </c>
      <c r="BE96" s="106">
        <v>0</v>
      </c>
      <c r="BF96" s="106">
        <v>0.69863013698630128</v>
      </c>
      <c r="BG96" s="106">
        <v>575.11232876712313</v>
      </c>
      <c r="BH96" s="106">
        <v>0.39729729729729735</v>
      </c>
      <c r="BI96" s="106">
        <v>327.05513513513517</v>
      </c>
      <c r="BJ96" s="106">
        <v>1.3035887487875848</v>
      </c>
      <c r="BK96" s="106">
        <v>1073.1142580019398</v>
      </c>
      <c r="BL96" s="106">
        <v>0</v>
      </c>
      <c r="BM96" s="106">
        <v>0</v>
      </c>
      <c r="BN96" s="106">
        <v>0.35079726651480636</v>
      </c>
      <c r="BO96" s="106">
        <v>288.77630979498855</v>
      </c>
      <c r="BP96" s="106">
        <v>0.69585798816568045</v>
      </c>
      <c r="BQ96" s="106">
        <v>572.83029585798806</v>
      </c>
      <c r="BR96" s="106">
        <v>0.87318087318087323</v>
      </c>
      <c r="BS96" s="106">
        <v>718.80249480249483</v>
      </c>
      <c r="BT96" s="106">
        <v>1.8834080717488788</v>
      </c>
      <c r="BU96" s="106">
        <v>1550.421524663677</v>
      </c>
      <c r="BV96" s="106">
        <v>0.70150862068965514</v>
      </c>
      <c r="BW96" s="106">
        <v>577.48189655172405</v>
      </c>
      <c r="BX96" s="106">
        <v>0</v>
      </c>
      <c r="BY96" s="106">
        <v>0</v>
      </c>
      <c r="BZ96" s="106">
        <v>1.267241379310345</v>
      </c>
      <c r="CA96" s="106">
        <v>1043.1931034482759</v>
      </c>
      <c r="CB96" s="106">
        <v>1.2627197039777984</v>
      </c>
      <c r="CC96" s="106">
        <v>1039.4708603145236</v>
      </c>
      <c r="CD96" s="106">
        <v>2.963013698630137</v>
      </c>
      <c r="CE96" s="106">
        <v>2439.1528767123286</v>
      </c>
      <c r="CF96" s="106">
        <v>0</v>
      </c>
      <c r="CG96" s="106">
        <v>0</v>
      </c>
      <c r="CH96" s="106">
        <v>0</v>
      </c>
      <c r="CI96" s="106">
        <v>0</v>
      </c>
      <c r="CJ96" s="106">
        <v>0.84259259259259256</v>
      </c>
      <c r="CK96" s="106">
        <v>693.62222222222215</v>
      </c>
      <c r="CL96" s="106">
        <v>0.9144634525660964</v>
      </c>
      <c r="CM96" s="106">
        <v>752.78631415241045</v>
      </c>
      <c r="CN96" s="106">
        <v>1.1973684210526314</v>
      </c>
      <c r="CO96" s="106">
        <v>985.67368421052606</v>
      </c>
      <c r="CP96" s="106">
        <v>1.3257575757575759</v>
      </c>
      <c r="CQ96" s="106">
        <v>1091.3636363636365</v>
      </c>
      <c r="CR96" s="106">
        <v>0</v>
      </c>
      <c r="CS96" s="106">
        <v>0</v>
      </c>
      <c r="CT96" s="106">
        <v>2.6101694915254239</v>
      </c>
      <c r="CU96" s="106">
        <v>2148.6915254237288</v>
      </c>
    </row>
    <row r="97" spans="2:99" x14ac:dyDescent="0.2">
      <c r="C97" s="105" t="s">
        <v>263</v>
      </c>
      <c r="D97" s="106">
        <v>0</v>
      </c>
      <c r="E97" s="106">
        <v>0</v>
      </c>
      <c r="F97" s="106">
        <v>4.7905491698595153</v>
      </c>
      <c r="G97" s="106">
        <v>8760.9563218390813</v>
      </c>
      <c r="H97" s="106">
        <v>3.903225806451613</v>
      </c>
      <c r="I97" s="106">
        <v>7138.2193548387095</v>
      </c>
      <c r="J97" s="106">
        <v>0.91128254580520729</v>
      </c>
      <c r="K97" s="106">
        <v>1666.5535197685631</v>
      </c>
      <c r="L97" s="106">
        <v>0.70913277052954726</v>
      </c>
      <c r="M97" s="106">
        <v>1296.862010744436</v>
      </c>
      <c r="N97" s="106">
        <v>0.57904411764705876</v>
      </c>
      <c r="O97" s="106">
        <v>1058.955882352941</v>
      </c>
      <c r="P97" s="106">
        <v>0</v>
      </c>
      <c r="Q97" s="106">
        <v>0</v>
      </c>
      <c r="R97" s="106">
        <v>1.8229787234042554</v>
      </c>
      <c r="S97" s="106">
        <v>3333.8634893617022</v>
      </c>
      <c r="T97" s="106">
        <v>1.1863636363636363</v>
      </c>
      <c r="U97" s="106">
        <v>2169.6218181818181</v>
      </c>
      <c r="V97" s="106">
        <v>0.91304347826086951</v>
      </c>
      <c r="W97" s="106">
        <v>1669.7739130434782</v>
      </c>
      <c r="X97" s="106">
        <v>1.9268617021276595</v>
      </c>
      <c r="Y97" s="106">
        <v>3523.8446808510635</v>
      </c>
      <c r="Z97" s="106">
        <v>1.1181150550795593</v>
      </c>
      <c r="AA97" s="106">
        <v>2044.808812729498</v>
      </c>
      <c r="AB97" s="106">
        <v>0.30161579892280072</v>
      </c>
      <c r="AC97" s="106">
        <v>551.59497307001789</v>
      </c>
      <c r="AD97" s="106">
        <v>0</v>
      </c>
      <c r="AE97" s="106">
        <v>0</v>
      </c>
      <c r="AF97" s="106">
        <v>0.35353535353535354</v>
      </c>
      <c r="AG97" s="106">
        <v>646.5454545454545</v>
      </c>
      <c r="AH97" s="106">
        <v>0.87832699619771859</v>
      </c>
      <c r="AI97" s="106">
        <v>1606.2844106463876</v>
      </c>
      <c r="AJ97" s="106">
        <v>0.50385604113110538</v>
      </c>
      <c r="AK97" s="106">
        <v>921.45192802056545</v>
      </c>
      <c r="AL97" s="106">
        <v>0.60635226179018287</v>
      </c>
      <c r="AM97" s="106">
        <v>1108.8970163618865</v>
      </c>
      <c r="AN97" s="106">
        <v>0</v>
      </c>
      <c r="AO97" s="106">
        <v>0</v>
      </c>
      <c r="AP97" s="106">
        <v>1.1482649842271293</v>
      </c>
      <c r="AQ97" s="106">
        <v>2099.9470031545738</v>
      </c>
      <c r="AR97" s="106">
        <v>0.32724844167408723</v>
      </c>
      <c r="AS97" s="106">
        <v>598.47195013357066</v>
      </c>
      <c r="AT97" s="106">
        <v>0.56183115338882283</v>
      </c>
      <c r="AU97" s="106">
        <v>1027.4768133174791</v>
      </c>
      <c r="AV97" s="106">
        <v>0.59002293577981657</v>
      </c>
      <c r="AW97" s="106">
        <v>1079.0339449541286</v>
      </c>
      <c r="AX97" s="106">
        <v>0.38733798604187436</v>
      </c>
      <c r="AY97" s="106">
        <v>708.36370887337978</v>
      </c>
      <c r="AZ97" s="106">
        <v>0.62895174708818635</v>
      </c>
      <c r="BA97" s="106">
        <v>1150.2269550748751</v>
      </c>
      <c r="BB97" s="106">
        <v>0.4329896907216495</v>
      </c>
      <c r="BC97" s="106">
        <v>791.85154639175255</v>
      </c>
      <c r="BD97" s="106">
        <v>0</v>
      </c>
      <c r="BE97" s="106">
        <v>0</v>
      </c>
      <c r="BF97" s="106">
        <v>0.69863013698630128</v>
      </c>
      <c r="BG97" s="106">
        <v>1277.6547945205477</v>
      </c>
      <c r="BH97" s="106">
        <v>0.41621621621621618</v>
      </c>
      <c r="BI97" s="106">
        <v>761.17621621621618</v>
      </c>
      <c r="BJ97" s="106">
        <v>1.344325897187197</v>
      </c>
      <c r="BK97" s="106">
        <v>2458.503200775946</v>
      </c>
      <c r="BL97" s="106">
        <v>0</v>
      </c>
      <c r="BM97" s="106">
        <v>0</v>
      </c>
      <c r="BN97" s="106">
        <v>0.36674259681093396</v>
      </c>
      <c r="BO97" s="106">
        <v>670.69886104783598</v>
      </c>
      <c r="BP97" s="106">
        <v>0.67100591715976332</v>
      </c>
      <c r="BQ97" s="106">
        <v>1227.135621301775</v>
      </c>
      <c r="BR97" s="106">
        <v>0.82952182952182962</v>
      </c>
      <c r="BS97" s="106">
        <v>1517.0295218295221</v>
      </c>
      <c r="BT97" s="106">
        <v>1.4596412556053813</v>
      </c>
      <c r="BU97" s="106">
        <v>2669.391928251121</v>
      </c>
      <c r="BV97" s="106">
        <v>0.63362068965517249</v>
      </c>
      <c r="BW97" s="106">
        <v>1158.7655172413795</v>
      </c>
      <c r="BX97" s="106">
        <v>0</v>
      </c>
      <c r="BY97" s="106">
        <v>0</v>
      </c>
      <c r="BZ97" s="106">
        <v>1.0137931034482759</v>
      </c>
      <c r="CA97" s="106">
        <v>1854.0248275862068</v>
      </c>
      <c r="CB97" s="106">
        <v>1.1267345050878814</v>
      </c>
      <c r="CC97" s="106">
        <v>2060.5720629047173</v>
      </c>
      <c r="CD97" s="106">
        <v>2.2150684931506848</v>
      </c>
      <c r="CE97" s="106">
        <v>4050.9172602739723</v>
      </c>
      <c r="CF97" s="106">
        <v>0</v>
      </c>
      <c r="CG97" s="106">
        <v>0</v>
      </c>
      <c r="CH97" s="106">
        <v>0</v>
      </c>
      <c r="CI97" s="106">
        <v>0</v>
      </c>
      <c r="CJ97" s="106">
        <v>0.77777777777777768</v>
      </c>
      <c r="CK97" s="106">
        <v>1422.3999999999999</v>
      </c>
      <c r="CL97" s="106">
        <v>0.9144634525660964</v>
      </c>
      <c r="CM97" s="106">
        <v>1672.3707620528771</v>
      </c>
      <c r="CN97" s="106">
        <v>1.1973684210526314</v>
      </c>
      <c r="CO97" s="106">
        <v>2189.7473684210522</v>
      </c>
      <c r="CP97" s="106">
        <v>1.1401515151515151</v>
      </c>
      <c r="CQ97" s="106">
        <v>2085.1090909090908</v>
      </c>
      <c r="CR97" s="106">
        <v>0</v>
      </c>
      <c r="CS97" s="106">
        <v>0</v>
      </c>
      <c r="CT97" s="106">
        <v>2.1949152542372881</v>
      </c>
      <c r="CU97" s="106">
        <v>4014.0610169491524</v>
      </c>
    </row>
    <row r="98" spans="2:99" x14ac:dyDescent="0.2">
      <c r="C98" s="105" t="s">
        <v>264</v>
      </c>
      <c r="D98" s="106">
        <v>0</v>
      </c>
      <c r="E98" s="106">
        <v>0</v>
      </c>
      <c r="F98" s="106">
        <v>5.254150702426565</v>
      </c>
      <c r="G98" s="106">
        <v>6639.1448275862067</v>
      </c>
      <c r="H98" s="106">
        <v>4.84</v>
      </c>
      <c r="I98" s="106">
        <v>6115.8239999999996</v>
      </c>
      <c r="J98" s="106">
        <v>0.95178399228543875</v>
      </c>
      <c r="K98" s="106">
        <v>1202.6742526518804</v>
      </c>
      <c r="L98" s="106">
        <v>0.69301611665387564</v>
      </c>
      <c r="M98" s="106">
        <v>875.69516500383725</v>
      </c>
      <c r="N98" s="106">
        <v>0.52113970588235292</v>
      </c>
      <c r="O98" s="106">
        <v>658.51213235294108</v>
      </c>
      <c r="P98" s="106">
        <v>0</v>
      </c>
      <c r="Q98" s="106">
        <v>0</v>
      </c>
      <c r="R98" s="106">
        <v>1.7157446808510637</v>
      </c>
      <c r="S98" s="106">
        <v>2168.0149787234041</v>
      </c>
      <c r="T98" s="106">
        <v>1.0909090909090911</v>
      </c>
      <c r="U98" s="106">
        <v>1378.4727272727273</v>
      </c>
      <c r="V98" s="106">
        <v>0.9262759924385634</v>
      </c>
      <c r="W98" s="106">
        <v>1170.4423440453686</v>
      </c>
      <c r="X98" s="106">
        <v>2.2619680851063828</v>
      </c>
      <c r="Y98" s="106">
        <v>2858.2228723404251</v>
      </c>
      <c r="Z98" s="106">
        <v>1.0924112607099143</v>
      </c>
      <c r="AA98" s="106">
        <v>1380.3708690330477</v>
      </c>
      <c r="AB98" s="106">
        <v>0.30161579892280072</v>
      </c>
      <c r="AC98" s="106">
        <v>381.12172351885096</v>
      </c>
      <c r="AD98" s="106">
        <v>0</v>
      </c>
      <c r="AE98" s="106">
        <v>0</v>
      </c>
      <c r="AF98" s="106">
        <v>0.42424242424242425</v>
      </c>
      <c r="AG98" s="106">
        <v>536.07272727272721</v>
      </c>
      <c r="AH98" s="106">
        <v>0.95817490494296575</v>
      </c>
      <c r="AI98" s="106">
        <v>1210.7498098859314</v>
      </c>
      <c r="AJ98" s="106">
        <v>0.55784061696658105</v>
      </c>
      <c r="AK98" s="106">
        <v>704.88740359897179</v>
      </c>
      <c r="AL98" s="106">
        <v>0.66698748796920115</v>
      </c>
      <c r="AM98" s="106">
        <v>842.80538979788253</v>
      </c>
      <c r="AN98" s="106">
        <v>0</v>
      </c>
      <c r="AO98" s="106">
        <v>0</v>
      </c>
      <c r="AP98" s="106">
        <v>1.2365930599369086</v>
      </c>
      <c r="AQ98" s="106">
        <v>1562.5589905362776</v>
      </c>
      <c r="AR98" s="106">
        <v>0.38334817453250225</v>
      </c>
      <c r="AS98" s="106">
        <v>484.39875333926983</v>
      </c>
      <c r="AT98" s="106">
        <v>0.62425683709869206</v>
      </c>
      <c r="AU98" s="106">
        <v>788.81093935790727</v>
      </c>
      <c r="AV98" s="106">
        <v>0.62614678899082576</v>
      </c>
      <c r="AW98" s="106">
        <v>791.1990825688074</v>
      </c>
      <c r="AX98" s="106">
        <v>0.47108673978065807</v>
      </c>
      <c r="AY98" s="106">
        <v>595.26520438683951</v>
      </c>
      <c r="AZ98" s="106">
        <v>0.66389351081530779</v>
      </c>
      <c r="BA98" s="106">
        <v>838.89584026622288</v>
      </c>
      <c r="BB98" s="106">
        <v>0.39690721649484534</v>
      </c>
      <c r="BC98" s="106">
        <v>501.53195876288652</v>
      </c>
      <c r="BD98" s="106">
        <v>0</v>
      </c>
      <c r="BE98" s="106">
        <v>0</v>
      </c>
      <c r="BF98" s="106">
        <v>0.69863013698630128</v>
      </c>
      <c r="BG98" s="106">
        <v>882.78904109589018</v>
      </c>
      <c r="BH98" s="106">
        <v>0.3783783783783784</v>
      </c>
      <c r="BI98" s="106">
        <v>478.11891891891889</v>
      </c>
      <c r="BJ98" s="106">
        <v>1.3850630455868089</v>
      </c>
      <c r="BK98" s="106">
        <v>1750.1656644034917</v>
      </c>
      <c r="BL98" s="106">
        <v>0</v>
      </c>
      <c r="BM98" s="106">
        <v>0</v>
      </c>
      <c r="BN98" s="106">
        <v>0.36674259681093396</v>
      </c>
      <c r="BO98" s="106">
        <v>463.4159453302961</v>
      </c>
      <c r="BP98" s="106">
        <v>0.79526627218934909</v>
      </c>
      <c r="BQ98" s="106">
        <v>1004.8984615384614</v>
      </c>
      <c r="BR98" s="106">
        <v>0.87318087318087323</v>
      </c>
      <c r="BS98" s="106">
        <v>1103.3513513513512</v>
      </c>
      <c r="BT98" s="106">
        <v>1.600896860986547</v>
      </c>
      <c r="BU98" s="106">
        <v>2022.8932735426008</v>
      </c>
      <c r="BV98" s="106">
        <v>0.63362068965517249</v>
      </c>
      <c r="BW98" s="106">
        <v>800.64310344827595</v>
      </c>
      <c r="BX98" s="106">
        <v>0</v>
      </c>
      <c r="BY98" s="106">
        <v>0</v>
      </c>
      <c r="BZ98" s="106">
        <v>1.05</v>
      </c>
      <c r="CA98" s="106">
        <v>1326.78</v>
      </c>
      <c r="CB98" s="106">
        <v>1.0684551341350601</v>
      </c>
      <c r="CC98" s="106">
        <v>1350.0999074930619</v>
      </c>
      <c r="CD98" s="106">
        <v>2.617808219178082</v>
      </c>
      <c r="CE98" s="106">
        <v>3307.8624657534242</v>
      </c>
      <c r="CF98" s="106">
        <v>0</v>
      </c>
      <c r="CG98" s="106">
        <v>0</v>
      </c>
      <c r="CH98" s="106">
        <v>0</v>
      </c>
      <c r="CI98" s="106">
        <v>0</v>
      </c>
      <c r="CJ98" s="106">
        <v>0.84259259259259256</v>
      </c>
      <c r="CK98" s="106">
        <v>1064.6999999999998</v>
      </c>
      <c r="CL98" s="106">
        <v>0.97978227060653189</v>
      </c>
      <c r="CM98" s="106">
        <v>1238.0528771384136</v>
      </c>
      <c r="CN98" s="106">
        <v>1.2280701754385963</v>
      </c>
      <c r="CO98" s="106">
        <v>1551.7894736842102</v>
      </c>
      <c r="CP98" s="106">
        <v>1.0871212121212122</v>
      </c>
      <c r="CQ98" s="106">
        <v>1373.6863636363635</v>
      </c>
      <c r="CR98" s="106">
        <v>0</v>
      </c>
      <c r="CS98" s="106">
        <v>0</v>
      </c>
      <c r="CT98" s="106">
        <v>2.4915254237288136</v>
      </c>
      <c r="CU98" s="106">
        <v>3148.2915254237287</v>
      </c>
    </row>
    <row r="99" spans="2:99" x14ac:dyDescent="0.2">
      <c r="C99" s="105" t="s">
        <v>265</v>
      </c>
      <c r="D99" s="106">
        <v>0</v>
      </c>
      <c r="E99" s="106">
        <v>0</v>
      </c>
      <c r="F99" s="106">
        <v>3.245210727969349</v>
      </c>
      <c r="G99" s="106">
        <v>17788.947126436782</v>
      </c>
      <c r="H99" s="106">
        <v>2.8103225806451615</v>
      </c>
      <c r="I99" s="106">
        <v>15405.064258064516</v>
      </c>
      <c r="J99" s="106">
        <v>0.7087753134040502</v>
      </c>
      <c r="K99" s="106">
        <v>3885.2227579556411</v>
      </c>
      <c r="L99" s="106">
        <v>0.46738296239447424</v>
      </c>
      <c r="M99" s="106">
        <v>2562.0064466615499</v>
      </c>
      <c r="N99" s="106">
        <v>0.40533088235294118</v>
      </c>
      <c r="O99" s="106">
        <v>2221.8617647058823</v>
      </c>
      <c r="P99" s="106">
        <v>0</v>
      </c>
      <c r="Q99" s="106">
        <v>0</v>
      </c>
      <c r="R99" s="106">
        <v>1.1438297872340426</v>
      </c>
      <c r="S99" s="106">
        <v>6270.0173617021273</v>
      </c>
      <c r="T99" s="106">
        <v>0.72272727272727266</v>
      </c>
      <c r="U99" s="106">
        <v>3961.7018181818175</v>
      </c>
      <c r="V99" s="106">
        <v>0.51606805293005664</v>
      </c>
      <c r="W99" s="106">
        <v>2828.8786389413981</v>
      </c>
      <c r="X99" s="106">
        <v>1.1449468085106385</v>
      </c>
      <c r="Y99" s="106">
        <v>6276.1404255319148</v>
      </c>
      <c r="Z99" s="106">
        <v>0.64259485924112603</v>
      </c>
      <c r="AA99" s="106">
        <v>3522.447980416156</v>
      </c>
      <c r="AB99" s="106">
        <v>0.22621184919210055</v>
      </c>
      <c r="AC99" s="106">
        <v>1240.0028725314182</v>
      </c>
      <c r="AD99" s="106">
        <v>0</v>
      </c>
      <c r="AE99" s="106">
        <v>0</v>
      </c>
      <c r="AF99" s="106">
        <v>0.31818181818181818</v>
      </c>
      <c r="AG99" s="106">
        <v>1744.1454545454544</v>
      </c>
      <c r="AH99" s="106">
        <v>0.79847908745247143</v>
      </c>
      <c r="AI99" s="106">
        <v>4376.9429657794672</v>
      </c>
      <c r="AJ99" s="106">
        <v>0.34190231362467866</v>
      </c>
      <c r="AK99" s="106">
        <v>1874.1717223650382</v>
      </c>
      <c r="AL99" s="106">
        <v>0.42444658325312801</v>
      </c>
      <c r="AM99" s="106">
        <v>2326.6463907603461</v>
      </c>
      <c r="AN99" s="106">
        <v>0</v>
      </c>
      <c r="AO99" s="106">
        <v>0</v>
      </c>
      <c r="AP99" s="106">
        <v>0.97160883280757093</v>
      </c>
      <c r="AQ99" s="106">
        <v>5325.9709779179802</v>
      </c>
      <c r="AR99" s="106">
        <v>0.22439893143365985</v>
      </c>
      <c r="AS99" s="106">
        <v>1230.0651825467498</v>
      </c>
      <c r="AT99" s="106">
        <v>0.38703923900118903</v>
      </c>
      <c r="AU99" s="106">
        <v>2121.5942925089175</v>
      </c>
      <c r="AV99" s="106">
        <v>0.39736238532110096</v>
      </c>
      <c r="AW99" s="106">
        <v>2178.1816513761469</v>
      </c>
      <c r="AX99" s="106">
        <v>0.27218344965104685</v>
      </c>
      <c r="AY99" s="106">
        <v>1492.0007976071784</v>
      </c>
      <c r="AZ99" s="106">
        <v>0.45424292845257908</v>
      </c>
      <c r="BA99" s="106">
        <v>2489.9780366056571</v>
      </c>
      <c r="BB99" s="106">
        <v>0.32474226804123713</v>
      </c>
      <c r="BC99" s="106">
        <v>1780.1072164948453</v>
      </c>
      <c r="BD99" s="106">
        <v>0</v>
      </c>
      <c r="BE99" s="106">
        <v>0</v>
      </c>
      <c r="BF99" s="106">
        <v>0.49315068493150682</v>
      </c>
      <c r="BG99" s="106">
        <v>2703.2547945205474</v>
      </c>
      <c r="BH99" s="106">
        <v>0.26486486486486488</v>
      </c>
      <c r="BI99" s="106">
        <v>1451.8832432432432</v>
      </c>
      <c r="BJ99" s="106">
        <v>0.85548011639185251</v>
      </c>
      <c r="BK99" s="106">
        <v>4689.3998060135782</v>
      </c>
      <c r="BL99" s="106">
        <v>0</v>
      </c>
      <c r="BM99" s="106">
        <v>0</v>
      </c>
      <c r="BN99" s="106">
        <v>0.27107061503416857</v>
      </c>
      <c r="BO99" s="106">
        <v>1485.9006833712983</v>
      </c>
      <c r="BP99" s="106">
        <v>0.44733727810650886</v>
      </c>
      <c r="BQ99" s="106">
        <v>2452.1240236686385</v>
      </c>
      <c r="BR99" s="106">
        <v>0.48024948024948028</v>
      </c>
      <c r="BS99" s="106">
        <v>2632.5355509355509</v>
      </c>
      <c r="BT99" s="106">
        <v>1.0358744394618833</v>
      </c>
      <c r="BU99" s="106">
        <v>5678.2493273542586</v>
      </c>
      <c r="BV99" s="106">
        <v>0.40732758620689657</v>
      </c>
      <c r="BW99" s="106">
        <v>2232.8068965517241</v>
      </c>
      <c r="BX99" s="106">
        <v>0</v>
      </c>
      <c r="BY99" s="106">
        <v>0</v>
      </c>
      <c r="BZ99" s="106">
        <v>0.59741379310344833</v>
      </c>
      <c r="CA99" s="106">
        <v>3274.7834482758622</v>
      </c>
      <c r="CB99" s="106">
        <v>0.60222016651248844</v>
      </c>
      <c r="CC99" s="106">
        <v>3301.1300647548564</v>
      </c>
      <c r="CD99" s="106">
        <v>1.4958904109589042</v>
      </c>
      <c r="CE99" s="106">
        <v>8199.8728767123284</v>
      </c>
      <c r="CF99" s="106">
        <v>0</v>
      </c>
      <c r="CG99" s="106">
        <v>0</v>
      </c>
      <c r="CH99" s="106">
        <v>0</v>
      </c>
      <c r="CI99" s="106">
        <v>0</v>
      </c>
      <c r="CJ99" s="106">
        <v>0.64814814814814814</v>
      </c>
      <c r="CK99" s="106">
        <v>3552.8888888888887</v>
      </c>
      <c r="CL99" s="106">
        <v>0.65318818040435467</v>
      </c>
      <c r="CM99" s="106">
        <v>3580.5163297045101</v>
      </c>
      <c r="CN99" s="106">
        <v>0.82894736842105254</v>
      </c>
      <c r="CO99" s="106">
        <v>4543.9578947368409</v>
      </c>
      <c r="CP99" s="106">
        <v>0.68939393939393945</v>
      </c>
      <c r="CQ99" s="106">
        <v>3778.9818181818182</v>
      </c>
      <c r="CR99" s="106">
        <v>0</v>
      </c>
      <c r="CS99" s="106">
        <v>0</v>
      </c>
      <c r="CT99" s="106">
        <v>1.6016949152542375</v>
      </c>
      <c r="CU99" s="106">
        <v>8779.8508474576265</v>
      </c>
    </row>
    <row r="100" spans="2:99" x14ac:dyDescent="0.2">
      <c r="C100" s="105" t="s">
        <v>266</v>
      </c>
      <c r="D100" s="106">
        <v>0</v>
      </c>
      <c r="E100" s="106">
        <v>0</v>
      </c>
      <c r="F100" s="106">
        <v>4.9450830140485316</v>
      </c>
      <c r="G100" s="106">
        <v>8022.9026819923365</v>
      </c>
      <c r="H100" s="106">
        <v>3.903225806451613</v>
      </c>
      <c r="I100" s="106">
        <v>6332.5935483870962</v>
      </c>
      <c r="J100" s="106">
        <v>0.97203471552555454</v>
      </c>
      <c r="K100" s="106">
        <v>1577.0291224686596</v>
      </c>
      <c r="L100" s="106">
        <v>0.77359938603223333</v>
      </c>
      <c r="M100" s="106">
        <v>1255.0876438986952</v>
      </c>
      <c r="N100" s="106">
        <v>0.50183823529411764</v>
      </c>
      <c r="O100" s="106">
        <v>814.18235294117642</v>
      </c>
      <c r="P100" s="106">
        <v>0</v>
      </c>
      <c r="Q100" s="106">
        <v>0</v>
      </c>
      <c r="R100" s="106">
        <v>1.68</v>
      </c>
      <c r="S100" s="106">
        <v>2725.6319999999996</v>
      </c>
      <c r="T100" s="106">
        <v>1.2272727272727273</v>
      </c>
      <c r="U100" s="106">
        <v>1991.1272727272726</v>
      </c>
      <c r="V100" s="106">
        <v>0.88657844990548196</v>
      </c>
      <c r="W100" s="106">
        <v>1438.3848771266539</v>
      </c>
      <c r="X100" s="106">
        <v>1.7872340425531914</v>
      </c>
      <c r="Y100" s="106">
        <v>2899.6085106382975</v>
      </c>
      <c r="Z100" s="106">
        <v>1.2080783353733169</v>
      </c>
      <c r="AA100" s="106">
        <v>1959.9862913096692</v>
      </c>
      <c r="AB100" s="106">
        <v>0.30161579892280072</v>
      </c>
      <c r="AC100" s="106">
        <v>489.34147217235181</v>
      </c>
      <c r="AD100" s="106">
        <v>0</v>
      </c>
      <c r="AE100" s="106">
        <v>0</v>
      </c>
      <c r="AF100" s="106">
        <v>0.38888888888888884</v>
      </c>
      <c r="AG100" s="106">
        <v>630.93333333333317</v>
      </c>
      <c r="AH100" s="106">
        <v>0.79847908745247143</v>
      </c>
      <c r="AI100" s="106">
        <v>1295.4524714828895</v>
      </c>
      <c r="AJ100" s="106">
        <v>0.52185089974293064</v>
      </c>
      <c r="AK100" s="106">
        <v>846.65089974293062</v>
      </c>
      <c r="AL100" s="106">
        <v>0.66698748796920115</v>
      </c>
      <c r="AM100" s="106">
        <v>1082.1205004812318</v>
      </c>
      <c r="AN100" s="106">
        <v>0</v>
      </c>
      <c r="AO100" s="106">
        <v>0</v>
      </c>
      <c r="AP100" s="106">
        <v>1.3249211356466877</v>
      </c>
      <c r="AQ100" s="106">
        <v>2149.5520504731858</v>
      </c>
      <c r="AR100" s="106">
        <v>0.31789848619768479</v>
      </c>
      <c r="AS100" s="106">
        <v>515.75850400712375</v>
      </c>
      <c r="AT100" s="106">
        <v>0.58680142687277059</v>
      </c>
      <c r="AU100" s="106">
        <v>952.02663495838294</v>
      </c>
      <c r="AV100" s="106">
        <v>0.61410550458715596</v>
      </c>
      <c r="AW100" s="106">
        <v>996.32477064220177</v>
      </c>
      <c r="AX100" s="106">
        <v>0.47108673978065807</v>
      </c>
      <c r="AY100" s="106">
        <v>764.29112662013961</v>
      </c>
      <c r="AZ100" s="106">
        <v>0.69883527454242922</v>
      </c>
      <c r="BA100" s="106">
        <v>1133.7903494176371</v>
      </c>
      <c r="BB100" s="106">
        <v>0.4329896907216495</v>
      </c>
      <c r="BC100" s="106">
        <v>702.48247422680413</v>
      </c>
      <c r="BD100" s="106">
        <v>0</v>
      </c>
      <c r="BE100" s="106">
        <v>0</v>
      </c>
      <c r="BF100" s="106">
        <v>0.61643835616438358</v>
      </c>
      <c r="BG100" s="106">
        <v>1000.1095890410959</v>
      </c>
      <c r="BH100" s="106">
        <v>0.3783783783783784</v>
      </c>
      <c r="BI100" s="106">
        <v>613.88108108108111</v>
      </c>
      <c r="BJ100" s="106">
        <v>1.1813773035887489</v>
      </c>
      <c r="BK100" s="106">
        <v>1916.6665373423862</v>
      </c>
      <c r="BL100" s="106">
        <v>0</v>
      </c>
      <c r="BM100" s="106">
        <v>0</v>
      </c>
      <c r="BN100" s="106">
        <v>0.38268792710706151</v>
      </c>
      <c r="BO100" s="106">
        <v>620.87289293849653</v>
      </c>
      <c r="BP100" s="106">
        <v>0.74556213017751483</v>
      </c>
      <c r="BQ100" s="106">
        <v>1209.5999999999999</v>
      </c>
      <c r="BR100" s="106">
        <v>0.74220374220374219</v>
      </c>
      <c r="BS100" s="106">
        <v>1204.1513513513512</v>
      </c>
      <c r="BT100" s="106">
        <v>1.695067264573991</v>
      </c>
      <c r="BU100" s="106">
        <v>2750.0771300448428</v>
      </c>
      <c r="BV100" s="106">
        <v>0.65625</v>
      </c>
      <c r="BW100" s="106">
        <v>1064.6999999999998</v>
      </c>
      <c r="BX100" s="106">
        <v>0</v>
      </c>
      <c r="BY100" s="106">
        <v>0</v>
      </c>
      <c r="BZ100" s="106">
        <v>1.05</v>
      </c>
      <c r="CA100" s="106">
        <v>1703.52</v>
      </c>
      <c r="CB100" s="106">
        <v>1.0684551341350601</v>
      </c>
      <c r="CC100" s="106">
        <v>1733.4616096207214</v>
      </c>
      <c r="CD100" s="106">
        <v>2.5315068493150688</v>
      </c>
      <c r="CE100" s="106">
        <v>4107.1167123287669</v>
      </c>
      <c r="CF100" s="106">
        <v>0</v>
      </c>
      <c r="CG100" s="106">
        <v>0</v>
      </c>
      <c r="CH100" s="106">
        <v>0</v>
      </c>
      <c r="CI100" s="106">
        <v>0</v>
      </c>
      <c r="CJ100" s="106">
        <v>0.77777777777777768</v>
      </c>
      <c r="CK100" s="106">
        <v>1261.8666666666663</v>
      </c>
      <c r="CL100" s="106">
        <v>0.84914463452566102</v>
      </c>
      <c r="CM100" s="106">
        <v>1377.6522550544323</v>
      </c>
      <c r="CN100" s="106">
        <v>1.1666666666666665</v>
      </c>
      <c r="CO100" s="106">
        <v>1892.7999999999995</v>
      </c>
      <c r="CP100" s="106">
        <v>1.1666666666666665</v>
      </c>
      <c r="CQ100" s="106">
        <v>1892.7999999999995</v>
      </c>
      <c r="CR100" s="106">
        <v>0</v>
      </c>
      <c r="CS100" s="106">
        <v>0</v>
      </c>
      <c r="CT100" s="106">
        <v>2.1355932203389831</v>
      </c>
      <c r="CU100" s="106">
        <v>3464.7864406779659</v>
      </c>
    </row>
    <row r="101" spans="2:99" x14ac:dyDescent="0.2">
      <c r="C101" s="105" t="s">
        <v>267</v>
      </c>
      <c r="D101" s="106">
        <v>0</v>
      </c>
      <c r="E101" s="106">
        <v>0</v>
      </c>
      <c r="F101" s="106">
        <v>5.254150702426565</v>
      </c>
      <c r="G101" s="106">
        <v>6254.5409961685818</v>
      </c>
      <c r="H101" s="106">
        <v>4.9961290322580645</v>
      </c>
      <c r="I101" s="106">
        <v>5947.3919999999989</v>
      </c>
      <c r="J101" s="106">
        <v>0.99228543876567021</v>
      </c>
      <c r="K101" s="106">
        <v>1181.2165863066537</v>
      </c>
      <c r="L101" s="106">
        <v>0.69301611665387564</v>
      </c>
      <c r="M101" s="106">
        <v>824.96638526477341</v>
      </c>
      <c r="N101" s="106">
        <v>0.57904411764705876</v>
      </c>
      <c r="O101" s="106">
        <v>689.29411764705867</v>
      </c>
      <c r="P101" s="106">
        <v>0</v>
      </c>
      <c r="Q101" s="106">
        <v>0</v>
      </c>
      <c r="R101" s="106">
        <v>1.7872340425531914</v>
      </c>
      <c r="S101" s="106">
        <v>2127.5234042553188</v>
      </c>
      <c r="T101" s="106">
        <v>1.2818181818181817</v>
      </c>
      <c r="U101" s="106">
        <v>1525.8763636363633</v>
      </c>
      <c r="V101" s="106">
        <v>0.89981096408317585</v>
      </c>
      <c r="W101" s="106">
        <v>1071.1349716446125</v>
      </c>
      <c r="X101" s="106">
        <v>2.0664893617021276</v>
      </c>
      <c r="Y101" s="106">
        <v>2459.9489361702126</v>
      </c>
      <c r="Z101" s="106">
        <v>1.1181150550795593</v>
      </c>
      <c r="AA101" s="106">
        <v>1331.0041615667074</v>
      </c>
      <c r="AB101" s="106">
        <v>0.30161579892280072</v>
      </c>
      <c r="AC101" s="106">
        <v>359.04344703770192</v>
      </c>
      <c r="AD101" s="106">
        <v>0</v>
      </c>
      <c r="AE101" s="106">
        <v>0</v>
      </c>
      <c r="AF101" s="106">
        <v>0.38888888888888884</v>
      </c>
      <c r="AG101" s="106">
        <v>462.93333333333322</v>
      </c>
      <c r="AH101" s="106">
        <v>0.79847908745247143</v>
      </c>
      <c r="AI101" s="106">
        <v>950.50950570342184</v>
      </c>
      <c r="AJ101" s="106">
        <v>0.52185089974293064</v>
      </c>
      <c r="AK101" s="106">
        <v>621.21131105398456</v>
      </c>
      <c r="AL101" s="106">
        <v>0.66698748796920115</v>
      </c>
      <c r="AM101" s="106">
        <v>793.98190567853692</v>
      </c>
      <c r="AN101" s="106">
        <v>0</v>
      </c>
      <c r="AO101" s="106">
        <v>0</v>
      </c>
      <c r="AP101" s="106">
        <v>1.3249211356466877</v>
      </c>
      <c r="AQ101" s="106">
        <v>1577.1861198738168</v>
      </c>
      <c r="AR101" s="106">
        <v>0.33659839715048973</v>
      </c>
      <c r="AS101" s="106">
        <v>400.68673196794293</v>
      </c>
      <c r="AT101" s="106">
        <v>0.68668252080856129</v>
      </c>
      <c r="AU101" s="106">
        <v>817.4268727705113</v>
      </c>
      <c r="AV101" s="106">
        <v>0.61410550458715596</v>
      </c>
      <c r="AW101" s="106">
        <v>731.03119266055035</v>
      </c>
      <c r="AX101" s="106">
        <v>0.41874376869391827</v>
      </c>
      <c r="AY101" s="106">
        <v>498.47258225324026</v>
      </c>
      <c r="AZ101" s="106">
        <v>0.62895174708818635</v>
      </c>
      <c r="BA101" s="106">
        <v>748.70415973377692</v>
      </c>
      <c r="BB101" s="106">
        <v>0.4329896907216495</v>
      </c>
      <c r="BC101" s="106">
        <v>515.43092783505153</v>
      </c>
      <c r="BD101" s="106">
        <v>0</v>
      </c>
      <c r="BE101" s="106">
        <v>0</v>
      </c>
      <c r="BF101" s="106">
        <v>0.69863013698630128</v>
      </c>
      <c r="BG101" s="106">
        <v>831.64931506849291</v>
      </c>
      <c r="BH101" s="106">
        <v>0.39729729729729735</v>
      </c>
      <c r="BI101" s="106">
        <v>472.94270270270272</v>
      </c>
      <c r="BJ101" s="106">
        <v>1.1813773035887489</v>
      </c>
      <c r="BK101" s="106">
        <v>1406.3115421920465</v>
      </c>
      <c r="BL101" s="106">
        <v>0</v>
      </c>
      <c r="BM101" s="106">
        <v>0</v>
      </c>
      <c r="BN101" s="106">
        <v>0.35079726651480636</v>
      </c>
      <c r="BO101" s="106">
        <v>417.58906605922544</v>
      </c>
      <c r="BP101" s="106">
        <v>0.79526627218934909</v>
      </c>
      <c r="BQ101" s="106">
        <v>946.68497041420108</v>
      </c>
      <c r="BR101" s="106">
        <v>0.89501039501039503</v>
      </c>
      <c r="BS101" s="106">
        <v>1065.420374220374</v>
      </c>
      <c r="BT101" s="106">
        <v>1.742152466367713</v>
      </c>
      <c r="BU101" s="106">
        <v>2073.8582959641253</v>
      </c>
      <c r="BV101" s="106">
        <v>0.74676724137931039</v>
      </c>
      <c r="BW101" s="106">
        <v>888.95172413793102</v>
      </c>
      <c r="BX101" s="106">
        <v>0</v>
      </c>
      <c r="BY101" s="106">
        <v>0</v>
      </c>
      <c r="BZ101" s="106">
        <v>1.1405172413793103</v>
      </c>
      <c r="CA101" s="106">
        <v>1357.6717241379308</v>
      </c>
      <c r="CB101" s="106">
        <v>1.1655874190564293</v>
      </c>
      <c r="CC101" s="106">
        <v>1387.5152636447733</v>
      </c>
      <c r="CD101" s="106">
        <v>2.5315068493150688</v>
      </c>
      <c r="CE101" s="106">
        <v>3013.5057534246575</v>
      </c>
      <c r="CF101" s="106">
        <v>0</v>
      </c>
      <c r="CG101" s="106">
        <v>0</v>
      </c>
      <c r="CH101" s="106">
        <v>0</v>
      </c>
      <c r="CI101" s="106">
        <v>0</v>
      </c>
      <c r="CJ101" s="106">
        <v>0.77777777777777768</v>
      </c>
      <c r="CK101" s="106">
        <v>925.86666666666645</v>
      </c>
      <c r="CL101" s="106">
        <v>0.97978227060653189</v>
      </c>
      <c r="CM101" s="106">
        <v>1166.3328149300155</v>
      </c>
      <c r="CN101" s="106">
        <v>1.1973684210526314</v>
      </c>
      <c r="CO101" s="106">
        <v>1425.3473684210524</v>
      </c>
      <c r="CP101" s="106">
        <v>1.1666666666666665</v>
      </c>
      <c r="CQ101" s="106">
        <v>1388.7999999999997</v>
      </c>
      <c r="CR101" s="106">
        <v>0</v>
      </c>
      <c r="CS101" s="106">
        <v>0</v>
      </c>
      <c r="CT101" s="106">
        <v>2.550847457627119</v>
      </c>
      <c r="CU101" s="106">
        <v>3036.5288135593219</v>
      </c>
    </row>
    <row r="102" spans="2:99" x14ac:dyDescent="0.2">
      <c r="C102" s="105" t="s">
        <v>268</v>
      </c>
      <c r="D102" s="106">
        <v>0</v>
      </c>
      <c r="E102" s="106">
        <v>0</v>
      </c>
      <c r="F102" s="106">
        <v>4.481481481481481</v>
      </c>
      <c r="G102" s="106">
        <v>8690.4888888888872</v>
      </c>
      <c r="H102" s="106">
        <v>4.5277419354838715</v>
      </c>
      <c r="I102" s="106">
        <v>8780.1971612903235</v>
      </c>
      <c r="J102" s="106">
        <v>0.97203471552555454</v>
      </c>
      <c r="K102" s="106">
        <v>1884.9697203471551</v>
      </c>
      <c r="L102" s="106">
        <v>0.70913277052954726</v>
      </c>
      <c r="M102" s="106">
        <v>1375.1502686108979</v>
      </c>
      <c r="N102" s="106">
        <v>0.5404411764705882</v>
      </c>
      <c r="O102" s="106">
        <v>1048.0235294117645</v>
      </c>
      <c r="P102" s="106">
        <v>0</v>
      </c>
      <c r="Q102" s="106">
        <v>0</v>
      </c>
      <c r="R102" s="106">
        <v>1.7872340425531914</v>
      </c>
      <c r="S102" s="106">
        <v>3465.8042553191485</v>
      </c>
      <c r="T102" s="106">
        <v>1.0363636363636364</v>
      </c>
      <c r="U102" s="106">
        <v>2009.7163636363634</v>
      </c>
      <c r="V102" s="106">
        <v>0.91304347826086951</v>
      </c>
      <c r="W102" s="106">
        <v>1770.5739130434779</v>
      </c>
      <c r="X102" s="106">
        <v>2.0944148936170213</v>
      </c>
      <c r="Y102" s="106">
        <v>4061.4893617021271</v>
      </c>
      <c r="Z102" s="106">
        <v>1.0024479804161566</v>
      </c>
      <c r="AA102" s="106">
        <v>1943.9471236230106</v>
      </c>
      <c r="AB102" s="106">
        <v>0.30161579892280072</v>
      </c>
      <c r="AC102" s="106">
        <v>584.89335727109506</v>
      </c>
      <c r="AD102" s="106">
        <v>0</v>
      </c>
      <c r="AE102" s="106">
        <v>0</v>
      </c>
      <c r="AF102" s="106">
        <v>0.38888888888888884</v>
      </c>
      <c r="AG102" s="106">
        <v>754.13333333333321</v>
      </c>
      <c r="AH102" s="106">
        <v>0.79847908745247143</v>
      </c>
      <c r="AI102" s="106">
        <v>1548.4106463878325</v>
      </c>
      <c r="AJ102" s="106">
        <v>0.52185089974293064</v>
      </c>
      <c r="AK102" s="106">
        <v>1011.973264781491</v>
      </c>
      <c r="AL102" s="106">
        <v>0.66698748796920115</v>
      </c>
      <c r="AM102" s="106">
        <v>1293.4221366698748</v>
      </c>
      <c r="AN102" s="106">
        <v>0</v>
      </c>
      <c r="AO102" s="106">
        <v>0</v>
      </c>
      <c r="AP102" s="106">
        <v>1.2807570977917981</v>
      </c>
      <c r="AQ102" s="106">
        <v>2483.6441640378548</v>
      </c>
      <c r="AR102" s="106">
        <v>0.3085485307212823</v>
      </c>
      <c r="AS102" s="106">
        <v>598.33731077471055</v>
      </c>
      <c r="AT102" s="106">
        <v>0.59928656361474442</v>
      </c>
      <c r="AU102" s="106">
        <v>1162.1365041617123</v>
      </c>
      <c r="AV102" s="106">
        <v>0.57798165137614688</v>
      </c>
      <c r="AW102" s="106">
        <v>1120.8220183486239</v>
      </c>
      <c r="AX102" s="106">
        <v>0.41874376869391827</v>
      </c>
      <c r="AY102" s="106">
        <v>812.02791625124621</v>
      </c>
      <c r="AZ102" s="106">
        <v>0.62895174708818635</v>
      </c>
      <c r="BA102" s="106">
        <v>1219.6632279534108</v>
      </c>
      <c r="BB102" s="106">
        <v>0.39690721649484534</v>
      </c>
      <c r="BC102" s="106">
        <v>769.68247422680406</v>
      </c>
      <c r="BD102" s="106">
        <v>0</v>
      </c>
      <c r="BE102" s="106">
        <v>0</v>
      </c>
      <c r="BF102" s="106">
        <v>0.57534246575342463</v>
      </c>
      <c r="BG102" s="106">
        <v>1115.7041095890409</v>
      </c>
      <c r="BH102" s="106">
        <v>0.39729729729729735</v>
      </c>
      <c r="BI102" s="106">
        <v>770.43891891891894</v>
      </c>
      <c r="BJ102" s="106">
        <v>1.2628516003879728</v>
      </c>
      <c r="BK102" s="106">
        <v>2448.9218234723567</v>
      </c>
      <c r="BL102" s="106">
        <v>0</v>
      </c>
      <c r="BM102" s="106">
        <v>0</v>
      </c>
      <c r="BN102" s="106">
        <v>0.33485193621867887</v>
      </c>
      <c r="BO102" s="106">
        <v>649.34487471526199</v>
      </c>
      <c r="BP102" s="106">
        <v>0.69585798816568045</v>
      </c>
      <c r="BQ102" s="106">
        <v>1349.4078106508873</v>
      </c>
      <c r="BR102" s="106">
        <v>0.72037422037422039</v>
      </c>
      <c r="BS102" s="106">
        <v>1396.949688149688</v>
      </c>
      <c r="BT102" s="106">
        <v>1.5538116591928253</v>
      </c>
      <c r="BU102" s="106">
        <v>3013.1515695067264</v>
      </c>
      <c r="BV102" s="106">
        <v>0.67887931034482762</v>
      </c>
      <c r="BW102" s="106">
        <v>1316.4827586206895</v>
      </c>
      <c r="BX102" s="106">
        <v>0</v>
      </c>
      <c r="BY102" s="106">
        <v>0</v>
      </c>
      <c r="BZ102" s="106">
        <v>1.05</v>
      </c>
      <c r="CA102" s="106">
        <v>2036.1599999999999</v>
      </c>
      <c r="CB102" s="106">
        <v>1.0490286771507862</v>
      </c>
      <c r="CC102" s="106">
        <v>2034.2764107308044</v>
      </c>
      <c r="CD102" s="106">
        <v>2.2438356164383562</v>
      </c>
      <c r="CE102" s="106">
        <v>4351.2460273972601</v>
      </c>
      <c r="CF102" s="106">
        <v>0</v>
      </c>
      <c r="CG102" s="106">
        <v>0</v>
      </c>
      <c r="CH102" s="106">
        <v>0</v>
      </c>
      <c r="CI102" s="106">
        <v>0</v>
      </c>
      <c r="CJ102" s="106">
        <v>0.71296296296296291</v>
      </c>
      <c r="CK102" s="106">
        <v>1382.5777777777776</v>
      </c>
      <c r="CL102" s="106">
        <v>0.97978227060653189</v>
      </c>
      <c r="CM102" s="106">
        <v>1899.9937791601865</v>
      </c>
      <c r="CN102" s="106">
        <v>1.0438596491228069</v>
      </c>
      <c r="CO102" s="106">
        <v>2024.2526315789471</v>
      </c>
      <c r="CP102" s="106">
        <v>1.1136363636363638</v>
      </c>
      <c r="CQ102" s="106">
        <v>2159.5636363636363</v>
      </c>
      <c r="CR102" s="106">
        <v>0</v>
      </c>
      <c r="CS102" s="106">
        <v>0</v>
      </c>
      <c r="CT102" s="106">
        <v>2.3728813559322033</v>
      </c>
      <c r="CU102" s="106">
        <v>4601.4915254237285</v>
      </c>
    </row>
    <row r="103" spans="2:99" x14ac:dyDescent="0.2">
      <c r="C103" s="105" t="s">
        <v>269</v>
      </c>
      <c r="D103" s="106">
        <v>0</v>
      </c>
      <c r="E103" s="106">
        <v>0</v>
      </c>
      <c r="F103" s="106">
        <v>4.481481481481481</v>
      </c>
      <c r="G103" s="106">
        <v>9088.4444444444434</v>
      </c>
      <c r="H103" s="106">
        <v>4.5277419354838715</v>
      </c>
      <c r="I103" s="106">
        <v>9182.2606451612919</v>
      </c>
      <c r="J103" s="106">
        <v>0.99228543876567021</v>
      </c>
      <c r="K103" s="106">
        <v>2012.3548698167792</v>
      </c>
      <c r="L103" s="106">
        <v>0.74136607828089018</v>
      </c>
      <c r="M103" s="106">
        <v>1503.4904067536454</v>
      </c>
      <c r="N103" s="106">
        <v>0.55974264705882348</v>
      </c>
      <c r="O103" s="106">
        <v>1135.1580882352939</v>
      </c>
      <c r="P103" s="106">
        <v>0</v>
      </c>
      <c r="Q103" s="106">
        <v>0</v>
      </c>
      <c r="R103" s="106">
        <v>1.644255319148936</v>
      </c>
      <c r="S103" s="106">
        <v>3334.549787234042</v>
      </c>
      <c r="T103" s="106">
        <v>1.1181818181818182</v>
      </c>
      <c r="U103" s="106">
        <v>2267.6727272727271</v>
      </c>
      <c r="V103" s="106">
        <v>0.87334593572778829</v>
      </c>
      <c r="W103" s="106">
        <v>1771.1455576559547</v>
      </c>
      <c r="X103" s="106">
        <v>1.8151595744680853</v>
      </c>
      <c r="Y103" s="106">
        <v>3681.1436170212769</v>
      </c>
      <c r="Z103" s="106">
        <v>1.0281517747858018</v>
      </c>
      <c r="AA103" s="106">
        <v>2085.0917992656059</v>
      </c>
      <c r="AB103" s="106">
        <v>0.30161579892280072</v>
      </c>
      <c r="AC103" s="106">
        <v>611.67684021543982</v>
      </c>
      <c r="AD103" s="106">
        <v>0</v>
      </c>
      <c r="AE103" s="106">
        <v>0</v>
      </c>
      <c r="AF103" s="106">
        <v>0.38888888888888884</v>
      </c>
      <c r="AG103" s="106">
        <v>788.66666666666652</v>
      </c>
      <c r="AH103" s="106">
        <v>0.79847908745247143</v>
      </c>
      <c r="AI103" s="106">
        <v>1619.315589353612</v>
      </c>
      <c r="AJ103" s="106">
        <v>0.53984575835475579</v>
      </c>
      <c r="AK103" s="106">
        <v>1094.8071979434446</v>
      </c>
      <c r="AL103" s="106">
        <v>0.66698748796920115</v>
      </c>
      <c r="AM103" s="106">
        <v>1352.65062560154</v>
      </c>
      <c r="AN103" s="106">
        <v>0</v>
      </c>
      <c r="AO103" s="106">
        <v>0</v>
      </c>
      <c r="AP103" s="106">
        <v>1.2807570977917981</v>
      </c>
      <c r="AQ103" s="106">
        <v>2597.3753943217666</v>
      </c>
      <c r="AR103" s="106">
        <v>0.31789848619768479</v>
      </c>
      <c r="AS103" s="106">
        <v>644.69813000890474</v>
      </c>
      <c r="AT103" s="106">
        <v>0.61177170035671824</v>
      </c>
      <c r="AU103" s="106">
        <v>1240.6730083234245</v>
      </c>
      <c r="AV103" s="106">
        <v>0.50573394495412849</v>
      </c>
      <c r="AW103" s="106">
        <v>1025.6284403669727</v>
      </c>
      <c r="AX103" s="106">
        <v>0.39780658025922233</v>
      </c>
      <c r="AY103" s="106">
        <v>806.75174476570294</v>
      </c>
      <c r="AZ103" s="106">
        <v>0.59400998336106492</v>
      </c>
      <c r="BA103" s="106">
        <v>1204.6522462562396</v>
      </c>
      <c r="BB103" s="106">
        <v>0.39690721649484534</v>
      </c>
      <c r="BC103" s="106">
        <v>804.92783505154637</v>
      </c>
      <c r="BD103" s="106">
        <v>0</v>
      </c>
      <c r="BE103" s="106">
        <v>0</v>
      </c>
      <c r="BF103" s="106">
        <v>0.65753424657534243</v>
      </c>
      <c r="BG103" s="106">
        <v>1333.4794520547944</v>
      </c>
      <c r="BH103" s="106">
        <v>0.41621621621621618</v>
      </c>
      <c r="BI103" s="106">
        <v>844.08648648648636</v>
      </c>
      <c r="BJ103" s="106">
        <v>1.2221144519883607</v>
      </c>
      <c r="BK103" s="106">
        <v>2478.4481086323954</v>
      </c>
      <c r="BL103" s="106">
        <v>0</v>
      </c>
      <c r="BM103" s="106">
        <v>0</v>
      </c>
      <c r="BN103" s="106">
        <v>0.36674259681093396</v>
      </c>
      <c r="BO103" s="106">
        <v>743.75398633257407</v>
      </c>
      <c r="BP103" s="106">
        <v>0.67100591715976332</v>
      </c>
      <c r="BQ103" s="106">
        <v>1360.8</v>
      </c>
      <c r="BR103" s="106">
        <v>0.80769230769230771</v>
      </c>
      <c r="BS103" s="106">
        <v>1638</v>
      </c>
      <c r="BT103" s="106">
        <v>1.4125560538116593</v>
      </c>
      <c r="BU103" s="106">
        <v>2864.663677130045</v>
      </c>
      <c r="BV103" s="106">
        <v>0.65625</v>
      </c>
      <c r="BW103" s="106">
        <v>1330.875</v>
      </c>
      <c r="BX103" s="106">
        <v>0</v>
      </c>
      <c r="BY103" s="106">
        <v>0</v>
      </c>
      <c r="BZ103" s="106">
        <v>0.88706896551724146</v>
      </c>
      <c r="CA103" s="106">
        <v>1798.9758620689656</v>
      </c>
      <c r="CB103" s="106">
        <v>0.99074930619796486</v>
      </c>
      <c r="CC103" s="106">
        <v>2009.2395929694728</v>
      </c>
      <c r="CD103" s="106">
        <v>2.2438356164383562</v>
      </c>
      <c r="CE103" s="106">
        <v>4550.4986301369863</v>
      </c>
      <c r="CF103" s="106">
        <v>0</v>
      </c>
      <c r="CG103" s="106">
        <v>0</v>
      </c>
      <c r="CH103" s="106">
        <v>0</v>
      </c>
      <c r="CI103" s="106">
        <v>0</v>
      </c>
      <c r="CJ103" s="106">
        <v>0.71296296296296291</v>
      </c>
      <c r="CK103" s="106">
        <v>1445.8888888888887</v>
      </c>
      <c r="CL103" s="106">
        <v>0.84914463452566102</v>
      </c>
      <c r="CM103" s="106">
        <v>1722.0653188180406</v>
      </c>
      <c r="CN103" s="106">
        <v>1.1052631578947367</v>
      </c>
      <c r="CO103" s="106">
        <v>2241.4736842105262</v>
      </c>
      <c r="CP103" s="106">
        <v>1.0871212121212122</v>
      </c>
      <c r="CQ103" s="106">
        <v>2204.6818181818185</v>
      </c>
      <c r="CR103" s="106">
        <v>0</v>
      </c>
      <c r="CS103" s="106">
        <v>0</v>
      </c>
      <c r="CT103" s="106">
        <v>2.3728813559322033</v>
      </c>
      <c r="CU103" s="106">
        <v>4812.2033898305081</v>
      </c>
    </row>
    <row r="104" spans="2:99" x14ac:dyDescent="0.2">
      <c r="C104" s="105" t="s">
        <v>270</v>
      </c>
      <c r="D104" s="106">
        <v>0</v>
      </c>
      <c r="E104" s="106">
        <v>0</v>
      </c>
      <c r="F104" s="106">
        <v>4.481481481481481</v>
      </c>
      <c r="G104" s="106">
        <v>9287.4222222222215</v>
      </c>
      <c r="H104" s="106">
        <v>4.2154838709677414</v>
      </c>
      <c r="I104" s="106">
        <v>8736.1687741935475</v>
      </c>
      <c r="J104" s="106">
        <v>0.89103182256509161</v>
      </c>
      <c r="K104" s="106">
        <v>1846.5743490838959</v>
      </c>
      <c r="L104" s="106">
        <v>0.62854950115118957</v>
      </c>
      <c r="M104" s="106">
        <v>1302.6059861857252</v>
      </c>
      <c r="N104" s="106">
        <v>0.55974264705882348</v>
      </c>
      <c r="O104" s="106">
        <v>1160.0106617647059</v>
      </c>
      <c r="P104" s="106">
        <v>0</v>
      </c>
      <c r="Q104" s="106">
        <v>0</v>
      </c>
      <c r="R104" s="106">
        <v>1.5370212765957447</v>
      </c>
      <c r="S104" s="106">
        <v>3185.3228936170217</v>
      </c>
      <c r="T104" s="106">
        <v>1.0772727272727274</v>
      </c>
      <c r="U104" s="106">
        <v>2232.5400000000004</v>
      </c>
      <c r="V104" s="106">
        <v>0.84688090737240074</v>
      </c>
      <c r="W104" s="106">
        <v>1755.0759924385634</v>
      </c>
      <c r="X104" s="106">
        <v>1.9547872340425532</v>
      </c>
      <c r="Y104" s="106">
        <v>4051.1010638297876</v>
      </c>
      <c r="Z104" s="106">
        <v>1.0410036719706242</v>
      </c>
      <c r="AA104" s="106">
        <v>2157.3760097919217</v>
      </c>
      <c r="AB104" s="106">
        <v>0.26391382405745062</v>
      </c>
      <c r="AC104" s="106">
        <v>546.9350089766607</v>
      </c>
      <c r="AD104" s="106">
        <v>0</v>
      </c>
      <c r="AE104" s="106">
        <v>0</v>
      </c>
      <c r="AF104" s="106">
        <v>0.35353535353535354</v>
      </c>
      <c r="AG104" s="106">
        <v>732.66666666666674</v>
      </c>
      <c r="AH104" s="106">
        <v>0.79847908745247143</v>
      </c>
      <c r="AI104" s="106">
        <v>1654.7680608365019</v>
      </c>
      <c r="AJ104" s="106">
        <v>0.53984575835475579</v>
      </c>
      <c r="AK104" s="106">
        <v>1118.7763496143959</v>
      </c>
      <c r="AL104" s="106">
        <v>0.56592877767083727</v>
      </c>
      <c r="AM104" s="106">
        <v>1172.8307988450433</v>
      </c>
      <c r="AN104" s="106">
        <v>0</v>
      </c>
      <c r="AO104" s="106">
        <v>0</v>
      </c>
      <c r="AP104" s="106">
        <v>1.2807570977917981</v>
      </c>
      <c r="AQ104" s="106">
        <v>2654.2410094637225</v>
      </c>
      <c r="AR104" s="106">
        <v>0.34594835262689222</v>
      </c>
      <c r="AS104" s="106">
        <v>716.94336598397149</v>
      </c>
      <c r="AT104" s="106">
        <v>0.52437574316290136</v>
      </c>
      <c r="AU104" s="106">
        <v>1086.7162901307968</v>
      </c>
      <c r="AV104" s="106">
        <v>0.54185779816513768</v>
      </c>
      <c r="AW104" s="106">
        <v>1122.9461009174313</v>
      </c>
      <c r="AX104" s="106">
        <v>0.37686939182452645</v>
      </c>
      <c r="AY104" s="106">
        <v>781.02412761714868</v>
      </c>
      <c r="AZ104" s="106">
        <v>0.73377703826955065</v>
      </c>
      <c r="BA104" s="106">
        <v>1520.6795341098168</v>
      </c>
      <c r="BB104" s="106">
        <v>0.39690721649484534</v>
      </c>
      <c r="BC104" s="106">
        <v>822.55051546391746</v>
      </c>
      <c r="BD104" s="106">
        <v>0</v>
      </c>
      <c r="BE104" s="106">
        <v>0</v>
      </c>
      <c r="BF104" s="106">
        <v>0.61643835616438358</v>
      </c>
      <c r="BG104" s="106">
        <v>1277.5068493150686</v>
      </c>
      <c r="BH104" s="106">
        <v>0.35945945945945945</v>
      </c>
      <c r="BI104" s="106">
        <v>744.94378378378383</v>
      </c>
      <c r="BJ104" s="106">
        <v>1.1813773035887489</v>
      </c>
      <c r="BK104" s="106">
        <v>2448.2863239573235</v>
      </c>
      <c r="BL104" s="106">
        <v>0</v>
      </c>
      <c r="BM104" s="106">
        <v>0</v>
      </c>
      <c r="BN104" s="106">
        <v>0.33485193621867887</v>
      </c>
      <c r="BO104" s="106">
        <v>693.94715261959016</v>
      </c>
      <c r="BP104" s="106">
        <v>0.72071005917159758</v>
      </c>
      <c r="BQ104" s="106">
        <v>1493.5995266272189</v>
      </c>
      <c r="BR104" s="106">
        <v>0.74220374220374219</v>
      </c>
      <c r="BS104" s="106">
        <v>1538.1430353430353</v>
      </c>
      <c r="BT104" s="106">
        <v>1.506726457399103</v>
      </c>
      <c r="BU104" s="106">
        <v>3122.5399103139011</v>
      </c>
      <c r="BV104" s="106">
        <v>0.56573275862068961</v>
      </c>
      <c r="BW104" s="106">
        <v>1172.4245689655172</v>
      </c>
      <c r="BX104" s="106">
        <v>0</v>
      </c>
      <c r="BY104" s="106">
        <v>0</v>
      </c>
      <c r="BZ104" s="106">
        <v>0.95948275862068966</v>
      </c>
      <c r="CA104" s="106">
        <v>1988.4320689655174</v>
      </c>
      <c r="CB104" s="106">
        <v>1.0296022201665125</v>
      </c>
      <c r="CC104" s="106">
        <v>2133.7476410730806</v>
      </c>
      <c r="CD104" s="106">
        <v>2.1</v>
      </c>
      <c r="CE104" s="106">
        <v>4352.04</v>
      </c>
      <c r="CF104" s="106">
        <v>0</v>
      </c>
      <c r="CG104" s="106">
        <v>0</v>
      </c>
      <c r="CH104" s="106">
        <v>0</v>
      </c>
      <c r="CI104" s="106">
        <v>0</v>
      </c>
      <c r="CJ104" s="106">
        <v>0.77777777777777768</v>
      </c>
      <c r="CK104" s="106">
        <v>1611.8666666666666</v>
      </c>
      <c r="CL104" s="106">
        <v>0.84914463452566102</v>
      </c>
      <c r="CM104" s="106">
        <v>1759.76734059098</v>
      </c>
      <c r="CN104" s="106">
        <v>1.1052631578947367</v>
      </c>
      <c r="CO104" s="106">
        <v>2290.5473684210524</v>
      </c>
      <c r="CP104" s="106">
        <v>1.1136363636363638</v>
      </c>
      <c r="CQ104" s="106">
        <v>2307.9000000000005</v>
      </c>
      <c r="CR104" s="106">
        <v>0</v>
      </c>
      <c r="CS104" s="106">
        <v>0</v>
      </c>
      <c r="CT104" s="106">
        <v>2.0169491525423728</v>
      </c>
      <c r="CU104" s="106">
        <v>4179.9254237288133</v>
      </c>
    </row>
    <row r="105" spans="2:99" x14ac:dyDescent="0.2">
      <c r="C105" s="105" t="s">
        <v>271</v>
      </c>
      <c r="D105" s="106">
        <v>0</v>
      </c>
      <c r="E105" s="106">
        <v>0</v>
      </c>
      <c r="F105" s="106">
        <v>4.7905491698595153</v>
      </c>
      <c r="G105" s="106">
        <v>9571.5172413793116</v>
      </c>
      <c r="H105" s="106">
        <v>4.0593548387096776</v>
      </c>
      <c r="I105" s="106">
        <v>8110.5909677419359</v>
      </c>
      <c r="J105" s="106">
        <v>0.99228543876567021</v>
      </c>
      <c r="K105" s="106">
        <v>1982.5863066538091</v>
      </c>
      <c r="L105" s="106">
        <v>0.70913277052954726</v>
      </c>
      <c r="M105" s="106">
        <v>1416.8472755180355</v>
      </c>
      <c r="N105" s="106">
        <v>0.57904411764705876</v>
      </c>
      <c r="O105" s="106">
        <v>1156.9301470588234</v>
      </c>
      <c r="P105" s="106">
        <v>0</v>
      </c>
      <c r="Q105" s="106">
        <v>0</v>
      </c>
      <c r="R105" s="106">
        <v>1.5727659574468087</v>
      </c>
      <c r="S105" s="106">
        <v>3142.3863829787238</v>
      </c>
      <c r="T105" s="106">
        <v>1.1454545454545455</v>
      </c>
      <c r="U105" s="106">
        <v>2288.6181818181817</v>
      </c>
      <c r="V105" s="106">
        <v>0.89981096408317585</v>
      </c>
      <c r="W105" s="106">
        <v>1797.8223062381853</v>
      </c>
      <c r="X105" s="106">
        <v>2.0106382978723403</v>
      </c>
      <c r="Y105" s="106">
        <v>4017.255319148936</v>
      </c>
      <c r="Z105" s="106">
        <v>1.1052631578947367</v>
      </c>
      <c r="AA105" s="106">
        <v>2208.3157894736842</v>
      </c>
      <c r="AB105" s="106">
        <v>0.30161579892280072</v>
      </c>
      <c r="AC105" s="106">
        <v>602.62836624775582</v>
      </c>
      <c r="AD105" s="106">
        <v>0</v>
      </c>
      <c r="AE105" s="106">
        <v>0</v>
      </c>
      <c r="AF105" s="106">
        <v>0.35353535353535354</v>
      </c>
      <c r="AG105" s="106">
        <v>706.36363636363637</v>
      </c>
      <c r="AH105" s="106">
        <v>0.87832699619771859</v>
      </c>
      <c r="AI105" s="106">
        <v>1754.8973384030417</v>
      </c>
      <c r="AJ105" s="106">
        <v>0.48586118251928018</v>
      </c>
      <c r="AK105" s="106">
        <v>970.75064267352184</v>
      </c>
      <c r="AL105" s="106">
        <v>0.66698748796920115</v>
      </c>
      <c r="AM105" s="106">
        <v>1332.641000962464</v>
      </c>
      <c r="AN105" s="106">
        <v>0</v>
      </c>
      <c r="AO105" s="106">
        <v>0</v>
      </c>
      <c r="AP105" s="106">
        <v>1.2807570977917981</v>
      </c>
      <c r="AQ105" s="106">
        <v>2558.9526813880125</v>
      </c>
      <c r="AR105" s="106">
        <v>0.29919857524487981</v>
      </c>
      <c r="AS105" s="106">
        <v>597.79875333926987</v>
      </c>
      <c r="AT105" s="106">
        <v>0.53686087990487519</v>
      </c>
      <c r="AU105" s="106">
        <v>1072.6480380499406</v>
      </c>
      <c r="AV105" s="106">
        <v>0.57798165137614688</v>
      </c>
      <c r="AW105" s="106">
        <v>1154.8073394495414</v>
      </c>
      <c r="AX105" s="106">
        <v>0.38733798604187436</v>
      </c>
      <c r="AY105" s="106">
        <v>773.90129611166492</v>
      </c>
      <c r="AZ105" s="106">
        <v>0.59400998336106492</v>
      </c>
      <c r="BA105" s="106">
        <v>1186.8319467554077</v>
      </c>
      <c r="BB105" s="106">
        <v>0.4329896907216495</v>
      </c>
      <c r="BC105" s="106">
        <v>865.11340206185571</v>
      </c>
      <c r="BD105" s="106">
        <v>0</v>
      </c>
      <c r="BE105" s="106">
        <v>0</v>
      </c>
      <c r="BF105" s="106">
        <v>0.61643835616438358</v>
      </c>
      <c r="BG105" s="106">
        <v>1231.6438356164383</v>
      </c>
      <c r="BH105" s="106">
        <v>0.39729729729729735</v>
      </c>
      <c r="BI105" s="106">
        <v>793.80000000000007</v>
      </c>
      <c r="BJ105" s="106">
        <v>1.1813773035887489</v>
      </c>
      <c r="BK105" s="106">
        <v>2360.3918525703202</v>
      </c>
      <c r="BL105" s="106">
        <v>0</v>
      </c>
      <c r="BM105" s="106">
        <v>0</v>
      </c>
      <c r="BN105" s="106">
        <v>0.35079726651480636</v>
      </c>
      <c r="BO105" s="106">
        <v>700.89293849658316</v>
      </c>
      <c r="BP105" s="106">
        <v>0.62130177514792895</v>
      </c>
      <c r="BQ105" s="106">
        <v>1241.3609467455619</v>
      </c>
      <c r="BR105" s="106">
        <v>0.69854469854469858</v>
      </c>
      <c r="BS105" s="106">
        <v>1395.6923076923078</v>
      </c>
      <c r="BT105" s="106">
        <v>1.6479820627802693</v>
      </c>
      <c r="BU105" s="106">
        <v>3292.6681614349782</v>
      </c>
      <c r="BV105" s="106">
        <v>0.63362068965517249</v>
      </c>
      <c r="BW105" s="106">
        <v>1265.9741379310346</v>
      </c>
      <c r="BX105" s="106">
        <v>0</v>
      </c>
      <c r="BY105" s="106">
        <v>0</v>
      </c>
      <c r="BZ105" s="106">
        <v>0.88706896551724146</v>
      </c>
      <c r="CA105" s="106">
        <v>1772.3637931034484</v>
      </c>
      <c r="CB105" s="106">
        <v>0.95189639222941713</v>
      </c>
      <c r="CC105" s="106">
        <v>1901.8889916743753</v>
      </c>
      <c r="CD105" s="106">
        <v>2.1863013698630138</v>
      </c>
      <c r="CE105" s="106">
        <v>4368.2301369863017</v>
      </c>
      <c r="CF105" s="106">
        <v>0</v>
      </c>
      <c r="CG105" s="106">
        <v>0</v>
      </c>
      <c r="CH105" s="106">
        <v>0</v>
      </c>
      <c r="CI105" s="106">
        <v>0</v>
      </c>
      <c r="CJ105" s="106">
        <v>0.77777777777777768</v>
      </c>
      <c r="CK105" s="106">
        <v>1553.9999999999998</v>
      </c>
      <c r="CL105" s="106">
        <v>0.84914463452566102</v>
      </c>
      <c r="CM105" s="106">
        <v>1696.5909797822708</v>
      </c>
      <c r="CN105" s="106">
        <v>1.1052631578947367</v>
      </c>
      <c r="CO105" s="106">
        <v>2208.3157894736842</v>
      </c>
      <c r="CP105" s="106">
        <v>1.0075757575757576</v>
      </c>
      <c r="CQ105" s="106">
        <v>2013.1363636363635</v>
      </c>
      <c r="CR105" s="106">
        <v>0</v>
      </c>
      <c r="CS105" s="106">
        <v>0</v>
      </c>
      <c r="CT105" s="106">
        <v>2.0762711864406782</v>
      </c>
      <c r="CU105" s="106">
        <v>4148.3898305084749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36.6359667874679</v>
      </c>
      <c r="E112" s="106">
        <f>SUM(L$49:L$70)+SUM(N$49:N$70)+SUM(P$49:P$70)+SUM(R$49:R$70)</f>
        <v>2.4908321720982771</v>
      </c>
      <c r="F112" s="106">
        <f>SUM(T$49:T$70)+SUM(V$49:V$70)+SUM(X$49:X$70)+SUM(Z$49:Z$70)</f>
        <v>1.7583381658874631</v>
      </c>
      <c r="G112" s="106">
        <f>SUM(AB$49:AB$70)+SUM(AD$49:AD$70)+SUM(AF$49:AF$70)+SUM(AH$49:AH$70)</f>
        <v>3.3067529435565697</v>
      </c>
      <c r="H112" s="106">
        <f>SUM(AJ$49:AJ$70)+SUM(AL$49:AL$70)+SUM(AN$49:AN$70)+SUM(AP$49:AP$70)</f>
        <v>5.2063773846793007</v>
      </c>
      <c r="I112" s="106">
        <f>SUM(AR$49:AR$70)+SUM(AT$49:AT$70)+SUM(AV$49:AV$70)+SUM(AX$49:AX$70)</f>
        <v>3.1465510174698168</v>
      </c>
      <c r="J112" s="106">
        <f>SUM(AZ$49:AZ$70)+SUM(BB$49:BB$70)+SUM(BD$49:BD$70)+SUM(BF$49:BF$70)</f>
        <v>5.2247707241214743</v>
      </c>
      <c r="K112" s="106">
        <f>SUM(BH$49:BH$70)+SUM(BJ$49:BJ$70)+SUM(BL$49:BL$70)+SUM(BN$49:BN$70)</f>
        <v>4.2152389990214694</v>
      </c>
      <c r="L112" s="106">
        <f>SUM(BP$49:BP$70)+SUM(BR$49:BR$70)+SUM(BT$49:BT$70)+SUM(BV$49:BV$70)</f>
        <v>7.1902479248494817</v>
      </c>
      <c r="M112" s="106">
        <f>SUM(BX$49:BX$70)+SUM(BZ$49:BZ$70)+SUM(CB$49:CB$70)+SUM(CD$49:CD$70)</f>
        <v>5.5875475370737835</v>
      </c>
      <c r="N112" s="106">
        <f>SUM(CF$49:CF$70)+SUM(CH$49:CH$70)+SUM(CJ$49:CJ$70)+SUM(CL$49:CL$70)</f>
        <v>9.8253412821842048</v>
      </c>
      <c r="O112" s="106">
        <f>SUM(CN$49:CN$70)+SUM(CP$49:CP$70)+SUM(CR$49:CR$70)+SUM(CT$49:CT$70)</f>
        <v>5.2407989349336361</v>
      </c>
    </row>
    <row r="113" spans="2:15" x14ac:dyDescent="0.2">
      <c r="C113" s="105" t="s">
        <v>130</v>
      </c>
      <c r="D113" s="106">
        <f>SUM(D$71:D$86)+SUM(F$71:F$86)+SUM(H$71:H$86)+SUM(J$71:J$86)</f>
        <v>76.871189556626888</v>
      </c>
      <c r="E113" s="106">
        <f>SUM(L$71:L$86)+SUM(N$71:N$86)+SUM(P$71:P$86)+SUM(R$71:R$86)</f>
        <v>26.907177287514997</v>
      </c>
      <c r="F113" s="106">
        <f>SUM(T$71:T$86)+SUM(V$71:V$86)+SUM(X$71:X$86)+SUM(Z$71:Z$86)</f>
        <v>19.82721898405622</v>
      </c>
      <c r="G113" s="106">
        <f>SUM(AB$71:AB$86)+SUM(AD$71:AD$86)+SUM(AF$71:AF$86)+SUM(AH$71:AH$86)</f>
        <v>33.124405305279907</v>
      </c>
      <c r="H113" s="106">
        <f>SUM(AJ$71:AJ$86)+SUM(AL$71:AL$86)+SUM(AN$71:AN$86)+SUM(AP$71:AP$86)</f>
        <v>13.342995262327943</v>
      </c>
      <c r="I113" s="106">
        <f>SUM(AR$71:AR$86)+SUM(AT$71:AT$86)+SUM(AV$71:AV$86)+SUM(AX$71:AX$86)</f>
        <v>55.062010584447066</v>
      </c>
      <c r="J113" s="106">
        <f>SUM(AZ$71:AZ$86)+SUM(BB$71:BB$86)+SUM(BD$71:BD$86)+SUM(BF$71:BF$86)</f>
        <v>16.690349441135275</v>
      </c>
      <c r="K113" s="106">
        <f>SUM(BH$71:BH$86)+SUM(BJ$71:BJ$86)+SUM(BL$71:BL$86)+SUM(BN$71:BN$86)</f>
        <v>47.91757783536449</v>
      </c>
      <c r="L113" s="106">
        <f>SUM(BP$71:BP$86)+SUM(BR$71:BR$86)+SUM(BT$71:BT$86)+SUM(BV$71:BV$86)</f>
        <v>17.383298807047339</v>
      </c>
      <c r="M113" s="106">
        <f>SUM(BX$71:BX$86)+SUM(BZ$71:BZ$86)+SUM(CB$71:CB$86)+SUM(CD$71:CD$86)</f>
        <v>21.332827192495269</v>
      </c>
      <c r="N113" s="106">
        <f>SUM(CF$71:CF$86)+SUM(CH$71:CH$86)+SUM(CJ$71:CJ$86)+SUM(CL$71:CL$86)</f>
        <v>29.867432751569602</v>
      </c>
      <c r="O113" s="106">
        <f>SUM(CN$71:CN$86)+SUM(CP$71:CP$86)+SUM(CR$71:CR$86)+SUM(CT$71:CT$86)</f>
        <v>20.958772605628091</v>
      </c>
    </row>
    <row r="114" spans="2:15" x14ac:dyDescent="0.2">
      <c r="C114" s="105" t="s">
        <v>131</v>
      </c>
      <c r="D114" s="106">
        <f>SUM(D$87:D$94)+SUM(F$87:F$94)+SUM(H$87:H$94)+SUM(J$87:J$94)</f>
        <v>40.412985882500735</v>
      </c>
      <c r="E114" s="106">
        <f>SUM(L$87:L$94)+SUM(N$87:N$94)+SUM(P$87:P$94)+SUM(R$87:R$94)</f>
        <v>22.742104184336327</v>
      </c>
      <c r="F114" s="106">
        <f>SUM(T$87:T$94)+SUM(V$87:V$94)+SUM(X$87:X$94)+SUM(Z$87:Z$94)</f>
        <v>28.396377795641133</v>
      </c>
      <c r="G114" s="106">
        <f>SUM(AB$87:AB$94)+SUM(AD$87:AD$94)+SUM(AF$87:AF$94)+SUM(AH$87:AH$94)</f>
        <v>30.847902953185869</v>
      </c>
      <c r="H114" s="106">
        <f>SUM(AJ$87:AJ$94)+SUM(AL$87:AL$94)+SUM(AN$87:AN$94)+SUM(AP$87:AP$94)</f>
        <v>39.369889827139801</v>
      </c>
      <c r="I114" s="106">
        <f>SUM(AR$87:AR$94)+SUM(AT$87:AT$94)+SUM(AV$87:AV$94)+SUM(AX$87:AX$94)</f>
        <v>5.0139518041053073</v>
      </c>
      <c r="J114" s="106">
        <f>SUM(AZ$87:AZ$94)+SUM(BB$87:BB$94)+SUM(BD$87:BD$94)+SUM(BF$87:BF$94)</f>
        <v>22.410617948102782</v>
      </c>
      <c r="K114" s="106">
        <f>SUM(BH$87:BH$94)+SUM(BJ$87:BJ$94)+SUM(BL$87:BL$94)+SUM(BN$87:BN$94)</f>
        <v>10.644441401691921</v>
      </c>
      <c r="L114" s="106">
        <f>SUM(BP$87:BP$94)+SUM(BR$87:BR$94)+SUM(BT$87:BT$94)+SUM(BV$87:BV$94)</f>
        <v>40.280630547221364</v>
      </c>
      <c r="M114" s="106">
        <f>SUM(BX$87:BX$94)+SUM(BZ$87:BZ$94)+SUM(CB$87:CB$94)+SUM(CD$87:CD$94)</f>
        <v>9.2770382332879038</v>
      </c>
      <c r="N114" s="106">
        <f>SUM(CF$87:CF$94)+SUM(CH$87:CH$94)+SUM(CJ$87:CJ$94)+SUM(CL$87:CL$94)</f>
        <v>26.21411497033581</v>
      </c>
      <c r="O114" s="106">
        <f>SUM(CN$87:CN$94)+SUM(CP$87:CP$94)+SUM(CR$87:CR$94)+SUM(CT$87:CT$94)</f>
        <v>8.7096950774470834</v>
      </c>
    </row>
    <row r="115" spans="2:15" x14ac:dyDescent="0.2">
      <c r="C115" s="105" t="s">
        <v>132</v>
      </c>
      <c r="D115" s="106">
        <f>SUM(D$95:D$105)+SUM(F$95:F$105)+SUM(H$95:H$105)+SUM(J$95:J$105)</f>
        <v>109.07985777340451</v>
      </c>
      <c r="E115" s="106">
        <f>SUM(L$95:L$105)+SUM(N$95:N$105)+SUM(P$95:P$105)+SUM(R$95:R$105)</f>
        <v>31.859886356050396</v>
      </c>
      <c r="F115" s="106">
        <f>SUM(T$95:T$105)+SUM(V$95:V$105)+SUM(X$95:X$105)+SUM(Z$95:Z$105)</f>
        <v>55.018065054415189</v>
      </c>
      <c r="G115" s="106">
        <f>SUM(AB$95:AB$105)+SUM(AD$95:AD$105)+SUM(AF$95:AF$105)+SUM(AH$95:AH$105)</f>
        <v>16.720938797977659</v>
      </c>
      <c r="H115" s="106">
        <f>SUM(AJ$95:AJ$105)+SUM(AL$95:AL$105)+SUM(AN$95:AN$105)+SUM(AP$95:AP$105)</f>
        <v>26.080737525852957</v>
      </c>
      <c r="I115" s="106">
        <f>SUM(AR$95:AR$105)+SUM(AT$95:AT$105)+SUM(AV$95:AV$105)+SUM(AX$95:AX$105)</f>
        <v>20.777486593977823</v>
      </c>
      <c r="J115" s="106">
        <f>SUM(AZ$95:AZ$105)+SUM(BB$95:BB$105)+SUM(BD$95:BD$105)+SUM(BF$95:BF$105)</f>
        <v>18.674261886640473</v>
      </c>
      <c r="K115" s="106">
        <f>SUM(BH$95:BH$105)+SUM(BJ$95:BJ$105)+SUM(BL$95:BL$105)+SUM(BN$95:BN$105)</f>
        <v>21.222741763922123</v>
      </c>
      <c r="L115" s="106">
        <f>SUM(BP$95:BP$105)+SUM(BR$95:BR$105)+SUM(BT$95:BT$105)+SUM(BV$95:BV$105)</f>
        <v>40.145822720881824</v>
      </c>
      <c r="M115" s="106">
        <f>SUM(BX$95:BX$105)+SUM(BZ$95:BZ$105)+SUM(CB$95:CB$105)+SUM(CD$95:CD$105)</f>
        <v>47.802587037143049</v>
      </c>
      <c r="N115" s="106">
        <f>SUM(CF$95:CF$105)+SUM(CH$95:CH$105)+SUM(CJ$95:CJ$105)+SUM(CL$95:CL$105)</f>
        <v>18.093110995910372</v>
      </c>
      <c r="O115" s="106">
        <f>SUM(CN$95:CN$105)+SUM(CP$95:CP$105)+SUM(CR$95:CR$105)+SUM(CT$95:CT$105)</f>
        <v>49.090733381991186</v>
      </c>
    </row>
    <row r="116" spans="2:15" x14ac:dyDescent="0.2">
      <c r="C116" s="105" t="s">
        <v>278</v>
      </c>
      <c r="D116" s="106">
        <f t="shared" ref="D116:O116" si="0">SUM(D$109:D$115)</f>
        <v>263.00000000000006</v>
      </c>
      <c r="E116" s="106">
        <f t="shared" si="0"/>
        <v>84</v>
      </c>
      <c r="F116" s="106">
        <f t="shared" si="0"/>
        <v>105</v>
      </c>
      <c r="G116" s="106">
        <f t="shared" si="0"/>
        <v>84</v>
      </c>
      <c r="H116" s="106">
        <f t="shared" si="0"/>
        <v>84</v>
      </c>
      <c r="I116" s="106">
        <f t="shared" si="0"/>
        <v>84.000000000000014</v>
      </c>
      <c r="J116" s="106">
        <f t="shared" si="0"/>
        <v>63.000000000000007</v>
      </c>
      <c r="K116" s="106">
        <f t="shared" si="0"/>
        <v>84</v>
      </c>
      <c r="L116" s="106">
        <f t="shared" si="0"/>
        <v>105</v>
      </c>
      <c r="M116" s="106">
        <f t="shared" si="0"/>
        <v>84</v>
      </c>
      <c r="N116" s="106">
        <f t="shared" si="0"/>
        <v>84</v>
      </c>
      <c r="O116" s="106">
        <f t="shared" si="0"/>
        <v>84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0</v>
      </c>
      <c r="E120" s="106">
        <f>E109*pricing!E15*2000</f>
        <v>0</v>
      </c>
      <c r="F120" s="106">
        <f>F109*pricing!F15*2000</f>
        <v>0</v>
      </c>
      <c r="G120" s="106">
        <f>G109*pricing!G15*2000</f>
        <v>0</v>
      </c>
      <c r="H120" s="106">
        <f>H109*pricing!H15*2000</f>
        <v>0</v>
      </c>
      <c r="I120" s="106">
        <f>I109*pricing!I15*2000</f>
        <v>0</v>
      </c>
      <c r="J120" s="106">
        <f>J109*pricing!J15*2000</f>
        <v>0</v>
      </c>
      <c r="K120" s="106">
        <f>K109*pricing!K15*2000</f>
        <v>0</v>
      </c>
      <c r="L120" s="106">
        <f>L109*pricing!L15*2000</f>
        <v>0</v>
      </c>
      <c r="M120" s="106">
        <f>M109*pricing!M15*2000</f>
        <v>0</v>
      </c>
      <c r="N120" s="106">
        <f>N109*pricing!N15*2000</f>
        <v>0</v>
      </c>
      <c r="O120" s="106">
        <f>O109*pricing!O15*2000</f>
        <v>0</v>
      </c>
    </row>
    <row r="121" spans="2:15" x14ac:dyDescent="0.2">
      <c r="C121" s="105" t="s">
        <v>127</v>
      </c>
      <c r="D121" s="106">
        <f>D110*pricing!D16*2000</f>
        <v>0</v>
      </c>
      <c r="E121" s="106">
        <f>E110*pricing!E16*2000</f>
        <v>0</v>
      </c>
      <c r="F121" s="106">
        <f>F110*pricing!F16*2000</f>
        <v>0</v>
      </c>
      <c r="G121" s="106">
        <f>G110*pricing!G16*2000</f>
        <v>0</v>
      </c>
      <c r="H121" s="106">
        <f>H110*pricing!H16*2000</f>
        <v>0</v>
      </c>
      <c r="I121" s="106">
        <f>I110*pricing!I16*2000</f>
        <v>0</v>
      </c>
      <c r="J121" s="106">
        <f>J110*pricing!J16*2000</f>
        <v>0</v>
      </c>
      <c r="K121" s="106">
        <f>K110*pricing!K16*2000</f>
        <v>0</v>
      </c>
      <c r="L121" s="106">
        <f>L110*pricing!L16*2000</f>
        <v>0</v>
      </c>
      <c r="M121" s="106">
        <f>M110*pricing!M16*2000</f>
        <v>0</v>
      </c>
      <c r="N121" s="106">
        <f>N110*pricing!N16*2000</f>
        <v>0</v>
      </c>
      <c r="O121" s="106">
        <f>O110*pricing!O16*2000</f>
        <v>0</v>
      </c>
    </row>
    <row r="122" spans="2:15" x14ac:dyDescent="0.2">
      <c r="C122" s="105" t="s">
        <v>128</v>
      </c>
      <c r="D122" s="106">
        <f>D111*pricing!D17*2000</f>
        <v>0</v>
      </c>
      <c r="E122" s="106">
        <f>E111*pricing!E17*2000</f>
        <v>0</v>
      </c>
      <c r="F122" s="106">
        <f>F111*pricing!F17*2000</f>
        <v>0</v>
      </c>
      <c r="G122" s="106">
        <f>G111*pricing!G17*2000</f>
        <v>0</v>
      </c>
      <c r="H122" s="106">
        <f>H111*pricing!H17*2000</f>
        <v>0</v>
      </c>
      <c r="I122" s="106">
        <f>I111*pricing!I17*2000</f>
        <v>0</v>
      </c>
      <c r="J122" s="106">
        <f>J111*pricing!J17*2000</f>
        <v>0</v>
      </c>
      <c r="K122" s="106">
        <f>K111*pricing!K17*2000</f>
        <v>0</v>
      </c>
      <c r="L122" s="106">
        <f>L111*pricing!L17*2000</f>
        <v>0</v>
      </c>
      <c r="M122" s="106">
        <f>M111*pricing!M17*2000</f>
        <v>0</v>
      </c>
      <c r="N122" s="106">
        <f>N111*pricing!N17*2000</f>
        <v>0</v>
      </c>
      <c r="O122" s="106">
        <f>O111*pricing!O17*2000</f>
        <v>0</v>
      </c>
    </row>
    <row r="123" spans="2:15" x14ac:dyDescent="0.2">
      <c r="C123" s="105" t="s">
        <v>129</v>
      </c>
      <c r="D123" s="106">
        <f>D112*pricing!D18*2000</f>
        <v>101376.64765511296</v>
      </c>
      <c r="E123" s="106">
        <f>E112*pricing!E18*2000</f>
        <v>13464.794723359273</v>
      </c>
      <c r="F123" s="106">
        <f>F112*pricing!F18*2000</f>
        <v>10901.83921665454</v>
      </c>
      <c r="G123" s="106">
        <f>G112*pricing!G18*2000</f>
        <v>23114.009521824682</v>
      </c>
      <c r="H123" s="106">
        <f>H112*pricing!H18*2000</f>
        <v>19523.876232486095</v>
      </c>
      <c r="I123" s="106">
        <f>I112*pricing!I18*2000</f>
        <v>12075.707544685316</v>
      </c>
      <c r="J123" s="106">
        <f>J112*pricing!J18*2000</f>
        <v>26144.542127820165</v>
      </c>
      <c r="K123" s="106">
        <f>K112*pricing!K18*2000</f>
        <v>16988.807474062298</v>
      </c>
      <c r="L123" s="106">
        <f>L112*pricing!L18*2000</f>
        <v>32854.056884573307</v>
      </c>
      <c r="M123" s="106">
        <f>M112*pricing!M18*2000</f>
        <v>19199.447374994241</v>
      </c>
      <c r="N123" s="106">
        <f>N112*pricing!N18*2000</f>
        <v>40309.633818257164</v>
      </c>
      <c r="O123" s="106">
        <f>O112*pricing!O18*2000</f>
        <v>26272.016938504326</v>
      </c>
    </row>
    <row r="124" spans="2:15" x14ac:dyDescent="0.2">
      <c r="C124" s="105" t="s">
        <v>130</v>
      </c>
      <c r="D124" s="106">
        <f>D113*pricing!D19*2000</f>
        <v>376382.68886865955</v>
      </c>
      <c r="E124" s="106">
        <f>E113*pricing!E19*2000</f>
        <v>111910.75072523265</v>
      </c>
      <c r="F124" s="106">
        <f>F113*pricing!F19*2000</f>
        <v>101721.70874453358</v>
      </c>
      <c r="G124" s="106">
        <f>G113*pricing!G19*2000</f>
        <v>193170.58675784321</v>
      </c>
      <c r="H124" s="106">
        <f>H113*pricing!H19*2000</f>
        <v>81954.594467268587</v>
      </c>
      <c r="I124" s="106">
        <f>I113*pricing!I19*2000</f>
        <v>132159.76813133</v>
      </c>
      <c r="J124" s="106">
        <f>J113*pricing!J19*2000</f>
        <v>119911.29790114958</v>
      </c>
      <c r="K124" s="106">
        <f>K113*pricing!K19*2000</f>
        <v>161760.2707984013</v>
      </c>
      <c r="L124" s="106">
        <f>L113*pricing!L19*2000</f>
        <v>118415.4748651196</v>
      </c>
      <c r="M124" s="106">
        <f>M113*pricing!M19*2000</f>
        <v>117042.13181298735</v>
      </c>
      <c r="N124" s="106">
        <f>N113*pricing!N19*2000</f>
        <v>198752.45638552081</v>
      </c>
      <c r="O124" s="106">
        <f>O113*pricing!O19*2000</f>
        <v>123234.33503713641</v>
      </c>
    </row>
    <row r="125" spans="2:15" x14ac:dyDescent="0.2">
      <c r="C125" s="105" t="s">
        <v>131</v>
      </c>
      <c r="D125" s="106">
        <f>D114*pricing!D20*2000</f>
        <v>203701.83113460563</v>
      </c>
      <c r="E125" s="106">
        <f>E114*pricing!E20*2000</f>
        <v>62806.595850266698</v>
      </c>
      <c r="F125" s="106">
        <f>F114*pricing!F20*2000</f>
        <v>62535.809115819466</v>
      </c>
      <c r="G125" s="106">
        <f>G114*pricing!G20*2000</f>
        <v>120447.14835121181</v>
      </c>
      <c r="H125" s="106">
        <f>H114*pricing!H20*2000</f>
        <v>85267.464487025922</v>
      </c>
      <c r="I125" s="106">
        <f>I114*pricing!I20*2000</f>
        <v>25605.288099484045</v>
      </c>
      <c r="J125" s="106">
        <f>J114*pricing!J20*2000</f>
        <v>82413.04492129451</v>
      </c>
      <c r="K125" s="106">
        <f>K114*pricing!K20*2000</f>
        <v>41942.616295020256</v>
      </c>
      <c r="L125" s="106">
        <f>L114*pricing!L20*2000</f>
        <v>108216.19786747482</v>
      </c>
      <c r="M125" s="106">
        <f>M114*pricing!M20*2000</f>
        <v>42363.336301842675</v>
      </c>
      <c r="N125" s="106">
        <f>N114*pricing!N20*2000</f>
        <v>82514.840457726692</v>
      </c>
      <c r="O125" s="106">
        <f>O114*pricing!O20*2000</f>
        <v>52320.006894132617</v>
      </c>
    </row>
    <row r="126" spans="2:15" x14ac:dyDescent="0.2">
      <c r="C126" s="105" t="s">
        <v>132</v>
      </c>
      <c r="D126" s="106">
        <f>D115*pricing!D21*2000</f>
        <v>332292.5761309081</v>
      </c>
      <c r="E126" s="106">
        <f>E115*pricing!E21*2000</f>
        <v>100457.14917441636</v>
      </c>
      <c r="F126" s="106">
        <f>F115*pricing!F21*2000</f>
        <v>123851.30968245577</v>
      </c>
      <c r="G126" s="106">
        <f>G115*pricing!G21*2000</f>
        <v>105156.86936080655</v>
      </c>
      <c r="H126" s="106">
        <f>H115*pricing!H21*2000</f>
        <v>92899.321362203933</v>
      </c>
      <c r="I126" s="106">
        <f>I115*pricing!I21*2000</f>
        <v>65756.961960679604</v>
      </c>
      <c r="J126" s="106">
        <f>J115*pricing!J21*2000</f>
        <v>92244.552240682271</v>
      </c>
      <c r="K126" s="106">
        <f>K115*pricing!K21*2000</f>
        <v>84847.221307359578</v>
      </c>
      <c r="L126" s="106">
        <f>L115*pricing!L21*2000</f>
        <v>129837.48411589005</v>
      </c>
      <c r="M126" s="106">
        <f>M115*pricing!M21*2000</f>
        <v>106226.20443335781</v>
      </c>
      <c r="N126" s="106">
        <f>N115*pricing!N21*2000</f>
        <v>103159.86972833495</v>
      </c>
      <c r="O126" s="106">
        <f>O115*pricing!O21*2000</f>
        <v>157120.14169579593</v>
      </c>
    </row>
    <row r="127" spans="2:15" x14ac:dyDescent="0.2">
      <c r="C127" s="105" t="s">
        <v>278</v>
      </c>
      <c r="D127" s="106">
        <f t="shared" ref="D127:O127" si="1">SUM(D$120:D$126)</f>
        <v>1013753.7437892862</v>
      </c>
      <c r="E127" s="106">
        <f t="shared" si="1"/>
        <v>288639.290473275</v>
      </c>
      <c r="F127" s="106">
        <f t="shared" si="1"/>
        <v>299010.66675946338</v>
      </c>
      <c r="G127" s="106">
        <f t="shared" si="1"/>
        <v>441888.61399168626</v>
      </c>
      <c r="H127" s="106">
        <f t="shared" si="1"/>
        <v>279645.25654898456</v>
      </c>
      <c r="I127" s="106">
        <f t="shared" si="1"/>
        <v>235597.72573617898</v>
      </c>
      <c r="J127" s="106">
        <f t="shared" si="1"/>
        <v>320713.43719094654</v>
      </c>
      <c r="K127" s="106">
        <f t="shared" si="1"/>
        <v>305538.91587484343</v>
      </c>
      <c r="L127" s="106">
        <f t="shared" si="1"/>
        <v>389323.21373305778</v>
      </c>
      <c r="M127" s="106">
        <f t="shared" si="1"/>
        <v>284831.11992318206</v>
      </c>
      <c r="N127" s="106">
        <f t="shared" si="1"/>
        <v>424736.80038983963</v>
      </c>
      <c r="O127" s="106">
        <f t="shared" si="1"/>
        <v>358946.50056556927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40414.172402567849</v>
      </c>
      <c r="E134" s="112">
        <f>SUM(M$49:M$70)+SUM(O$49:O$70)+SUM(Q$49:Q$70)+SUM(S$49:S$70)</f>
        <v>2738.3850846470114</v>
      </c>
      <c r="F134" s="112">
        <f>SUM(U$49:U$70)+SUM(W$49:W$70)+SUM(Y$49:Y$70)+SUM(AA$49:AA$70)</f>
        <v>1943.240687764521</v>
      </c>
      <c r="G134" s="112">
        <f>SUM(AC$49:AC$70)+SUM(AE$49:AE$70)+SUM(AG$49:AG$70)+SUM(AI$49:AI$70)</f>
        <v>3650.2285792301232</v>
      </c>
      <c r="H134" s="112">
        <f>SUM(AK$49:AK$70)+SUM(AM$49:AM$70)+SUM(AO$49:AO$70)+SUM(AQ$49:AQ$70)</f>
        <v>5743.3761246057838</v>
      </c>
      <c r="I134" s="112">
        <f>SUM(AS$49:AS$70)+SUM(AU$49:AU$70)+SUM(AW$49:AW$70)+SUM(AY$49:AY$70)</f>
        <v>3470.7645727782647</v>
      </c>
      <c r="J134" s="112">
        <f>SUM(BA$49:BA$70)+SUM(BC$49:BC$70)+SUM(BE$49:BE$70)+SUM(BG$49:BG$70)</f>
        <v>5763.843624322406</v>
      </c>
      <c r="K134" s="112">
        <f>SUM(BI$49:BI$70)+SUM(BK$49:BK$70)+SUM(BM$49:BM$70)+SUM(BO$49:BO$70)</f>
        <v>4632.0259640464092</v>
      </c>
      <c r="L134" s="112">
        <f>SUM(BQ$49:BQ$70)+SUM(BS$49:BS$70)+SUM(BU$49:BU$70)+SUM(BW$49:BW$70)</f>
        <v>7934.5240347412273</v>
      </c>
      <c r="M134" s="112">
        <f>SUM(BY$49:BY$70)+SUM(CA$49:CA$70)+SUM(CC$49:CC$70)+SUM(CE$49:CE$70)</f>
        <v>6153.0399899627564</v>
      </c>
      <c r="N134" s="112">
        <f>SUM(CG$49:CG$70)+SUM(CI$49:CI$70)+SUM(CK$49:CK$70)+SUM(CM$49:CM$70)</f>
        <v>10856.042353551062</v>
      </c>
      <c r="O134" s="112">
        <f>SUM(CO$49:CO$70)+SUM(CQ$49:CQ$70)+SUM(CS$49:CS$70)+SUM(CU$49:CU$70)</f>
        <v>5792.8037344903078</v>
      </c>
    </row>
    <row r="135" spans="2:15" x14ac:dyDescent="0.2">
      <c r="C135" s="111" t="s">
        <v>130</v>
      </c>
      <c r="D135" s="112">
        <f>SUM(E$71:E$86)+SUM(G$71:G$86)+SUM(I$71:I$86)+SUM(K$71:K$86)</f>
        <v>43206.152214403017</v>
      </c>
      <c r="E135" s="112">
        <f>SUM(M$71:M$86)+SUM(O$71:O$86)+SUM(Q$71:Q$86)+SUM(S$71:S$86)</f>
        <v>15086.080259394177</v>
      </c>
      <c r="F135" s="112">
        <f>SUM(U$71:U$86)+SUM(W$71:W$86)+SUM(Y$71:Y$86)+SUM(AA$71:AA$86)</f>
        <v>11005.978019179867</v>
      </c>
      <c r="G135" s="112">
        <f>SUM(AC$71:AC$86)+SUM(AE$71:AE$86)+SUM(AG$71:AG$86)+SUM(AI$71:AI$86)</f>
        <v>18529.888589949573</v>
      </c>
      <c r="H135" s="112">
        <f>SUM(AK$71:AK$86)+SUM(AM$71:AM$86)+SUM(AO$71:AO$86)+SUM(AQ$71:AQ$86)</f>
        <v>7465.1633298886281</v>
      </c>
      <c r="I135" s="112">
        <f>SUM(AS$71:AS$86)+SUM(AU$71:AU$86)+SUM(AW$71:AW$86)+SUM(AY$71:AY$86)</f>
        <v>30504.49127967222</v>
      </c>
      <c r="J135" s="112">
        <f>SUM(BA$71:BA$86)+SUM(BC$71:BC$86)+SUM(BE$71:BE$86)+SUM(BG$71:BG$86)</f>
        <v>9275.9962057306457</v>
      </c>
      <c r="K135" s="112">
        <f>SUM(BI$71:BI$86)+SUM(BK$71:BK$86)+SUM(BM$71:BM$86)+SUM(BO$71:BO$86)</f>
        <v>26749.363991025482</v>
      </c>
      <c r="L135" s="112">
        <f>SUM(BQ$71:BQ$86)+SUM(BS$71:BS$86)+SUM(BU$71:BU$86)+SUM(BW$71:BW$86)</f>
        <v>9709.0129108249766</v>
      </c>
      <c r="M135" s="112">
        <f>SUM(BY$71:BY$86)+SUM(CA$71:CA$86)+SUM(CC$71:CC$86)+SUM(CE$71:CE$86)</f>
        <v>11938.10971293572</v>
      </c>
      <c r="N135" s="112">
        <f>SUM(CG$71:CG$86)+SUM(CI$71:CI$86)+SUM(CK$71:CK$86)+SUM(CM$71:CM$86)</f>
        <v>16809.987247278383</v>
      </c>
      <c r="O135" s="112">
        <f>SUM(CO$71:CO$86)+SUM(CQ$71:CQ$86)+SUM(CS$71:CS$86)+SUM(CU$71:CU$86)</f>
        <v>11735.560088395101</v>
      </c>
    </row>
    <row r="136" spans="2:15" x14ac:dyDescent="0.2">
      <c r="C136" s="111" t="s">
        <v>131</v>
      </c>
      <c r="D136" s="112">
        <f>SUM(E$87:E$94)+SUM(G$87:G$94)+SUM(I$87:I$94)+SUM(K$87:K$94)</f>
        <v>82248.39306759859</v>
      </c>
      <c r="E136" s="112">
        <f>SUM(M$87:M$94)+SUM(O$87:O$94)+SUM(Q$87:Q$94)+SUM(S$87:S$94)</f>
        <v>46130.669830677885</v>
      </c>
      <c r="F136" s="112">
        <f>SUM(U$87:U$94)+SUM(W$87:W$94)+SUM(Y$87:Y$94)+SUM(AA$87:AA$94)</f>
        <v>57363.338304019184</v>
      </c>
      <c r="G136" s="112">
        <f>SUM(AC$87:AC$94)+SUM(AE$87:AE$94)+SUM(AG$87:AG$94)+SUM(AI$87:AI$94)</f>
        <v>62482.832826300422</v>
      </c>
      <c r="H136" s="112">
        <f>SUM(AK$87:AK$94)+SUM(AM$87:AM$94)+SUM(AO$87:AO$94)+SUM(AQ$87:AQ$94)</f>
        <v>79643.206941201061</v>
      </c>
      <c r="I136" s="112">
        <f>SUM(AS$87:AS$94)+SUM(AU$87:AU$94)+SUM(AW$87:AW$94)+SUM(AY$87:AY$94)</f>
        <v>10175.571036301737</v>
      </c>
      <c r="J136" s="112">
        <f>SUM(BA$87:BA$94)+SUM(BC$87:BC$94)+SUM(BE$87:BE$94)+SUM(BG$87:BG$94)</f>
        <v>45515.912453353529</v>
      </c>
      <c r="K136" s="112">
        <f>SUM(BI$87:BI$94)+SUM(BK$87:BK$94)+SUM(BM$87:BM$94)+SUM(BO$87:BO$94)</f>
        <v>21657.774616971761</v>
      </c>
      <c r="L136" s="112">
        <f>SUM(BQ$87:BQ$94)+SUM(BS$87:BS$94)+SUM(BU$87:BU$94)+SUM(BW$87:BW$94)</f>
        <v>81778.346376442074</v>
      </c>
      <c r="M136" s="112">
        <f>SUM(BY$87:BY$94)+SUM(CA$87:CA$94)+SUM(CC$87:CC$94)+SUM(CE$87:CE$94)</f>
        <v>18865.932824266965</v>
      </c>
      <c r="N136" s="112">
        <f>SUM(CG$87:CG$94)+SUM(CI$87:CI$94)+SUM(CK$87:CK$94)+SUM(CM$87:CM$94)</f>
        <v>53231.77385519266</v>
      </c>
      <c r="O136" s="112">
        <f>SUM(CO$87:CO$94)+SUM(CQ$87:CQ$94)+SUM(CS$87:CS$94)+SUM(CU$87:CU$94)</f>
        <v>17723.835658097476</v>
      </c>
    </row>
    <row r="137" spans="2:15" x14ac:dyDescent="0.2">
      <c r="C137" s="111" t="s">
        <v>132</v>
      </c>
      <c r="D137" s="112">
        <f>SUM(E$95:E$105)+SUM(G$95:G$105)+SUM(I$95:I$105)+SUM(K$95:K$105)</f>
        <v>203647.2808992503</v>
      </c>
      <c r="E137" s="112">
        <f>SUM(M$95:M$105)+SUM(O$95:O$105)+SUM(Q$95:Q$105)+SUM(S$95:S$105)</f>
        <v>59929.084480647332</v>
      </c>
      <c r="F137" s="112">
        <f>SUM(U$95:U$105)+SUM(W$95:W$105)+SUM(Y$95:Y$105)+SUM(AA$95:AA$105)</f>
        <v>101346.62555041959</v>
      </c>
      <c r="G137" s="112">
        <f>SUM(AC$95:AC$105)+SUM(AE$95:AE$105)+SUM(AG$95:AG$105)+SUM(AI$95:AI$105)</f>
        <v>32461.572738339699</v>
      </c>
      <c r="H137" s="112">
        <f>SUM(AK$95:AK$105)+SUM(AM$95:AM$105)+SUM(AO$95:AO$105)+SUM(AQ$95:AQ$105)</f>
        <v>49463.856028649272</v>
      </c>
      <c r="I137" s="112">
        <f>SUM(AS$95:AS$105)+SUM(AU$95:AU$105)+SUM(AW$95:AW$105)+SUM(AY$95:AY$105)</f>
        <v>38714.068363644605</v>
      </c>
      <c r="J137" s="112">
        <f>SUM(BA$95:BA$105)+SUM(BC$95:BC$105)+SUM(BE$95:BE$105)+SUM(BG$95:BG$105)</f>
        <v>35470.724882715593</v>
      </c>
      <c r="K137" s="112">
        <f>SUM(BI$95:BI$105)+SUM(BK$95:BK$105)+SUM(BM$95:BM$105)+SUM(BO$95:BO$105)</f>
        <v>40220.785870527347</v>
      </c>
      <c r="L137" s="112">
        <f>SUM(BQ$95:BQ$105)+SUM(BS$95:BS$105)+SUM(BU$95:BU$105)+SUM(BW$95:BW$105)</f>
        <v>74453.036534033105</v>
      </c>
      <c r="M137" s="112">
        <f>SUM(BY$95:BY$105)+SUM(CA$95:CA$105)+SUM(CC$95:CC$105)+SUM(CE$95:CE$105)</f>
        <v>87568.734304203186</v>
      </c>
      <c r="N137" s="112">
        <f>SUM(CG$95:CG$105)+SUM(CI$95:CI$105)+SUM(CK$95:CK$105)+SUM(CM$95:CM$105)</f>
        <v>34600.937705201315</v>
      </c>
      <c r="O137" s="112">
        <f>SUM(CO$95:CO$105)+SUM(CQ$95:CQ$105)+SUM(CS$95:CS$105)+SUM(CU$95:CU$105)</f>
        <v>91944.352027410583</v>
      </c>
    </row>
    <row r="138" spans="2:15" x14ac:dyDescent="0.2">
      <c r="C138" s="111" t="s">
        <v>278</v>
      </c>
      <c r="D138" s="106">
        <f t="shared" ref="D138:O138" si="2">SUM(D$131:D$137)</f>
        <v>369515.99858381978</v>
      </c>
      <c r="E138" s="106">
        <f t="shared" si="2"/>
        <v>123884.21965536641</v>
      </c>
      <c r="F138" s="106">
        <f t="shared" si="2"/>
        <v>171659.18256138318</v>
      </c>
      <c r="G138" s="106">
        <f t="shared" si="2"/>
        <v>117124.52273381982</v>
      </c>
      <c r="H138" s="106">
        <f t="shared" si="2"/>
        <v>142315.60242434475</v>
      </c>
      <c r="I138" s="106">
        <f t="shared" si="2"/>
        <v>82864.895252396818</v>
      </c>
      <c r="J138" s="106">
        <f t="shared" si="2"/>
        <v>96026.477166122175</v>
      </c>
      <c r="K138" s="106">
        <f t="shared" si="2"/>
        <v>93259.950442570989</v>
      </c>
      <c r="L138" s="106">
        <f t="shared" si="2"/>
        <v>173874.91985604138</v>
      </c>
      <c r="M138" s="106">
        <f t="shared" si="2"/>
        <v>124525.81683136863</v>
      </c>
      <c r="N138" s="106">
        <f t="shared" si="2"/>
        <v>115498.74116122343</v>
      </c>
      <c r="O138" s="106">
        <f t="shared" si="2"/>
        <v>127196.55150839347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281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23</v>
      </c>
      <c r="E49" s="106">
        <v>22659.599999999999</v>
      </c>
      <c r="F49" s="106">
        <v>19</v>
      </c>
      <c r="G49" s="106">
        <v>18718.8</v>
      </c>
      <c r="H49" s="106">
        <v>22</v>
      </c>
      <c r="I49" s="106">
        <v>21674.399999999998</v>
      </c>
      <c r="J49" s="106">
        <v>21.115075662400535</v>
      </c>
      <c r="K49" s="106">
        <v>20802.572542597005</v>
      </c>
      <c r="L49" s="106">
        <v>23.031713814687048</v>
      </c>
      <c r="M49" s="106">
        <v>22690.844450229677</v>
      </c>
      <c r="N49" s="106">
        <v>22.053000986699828</v>
      </c>
      <c r="O49" s="106">
        <v>21726.616572096671</v>
      </c>
      <c r="P49" s="106">
        <v>17</v>
      </c>
      <c r="Q49" s="106">
        <v>16748.399999999998</v>
      </c>
      <c r="R49" s="106">
        <v>20.08961419646899</v>
      </c>
      <c r="S49" s="106">
        <v>19792.287906361245</v>
      </c>
      <c r="T49" s="106">
        <v>20.021520661157023</v>
      </c>
      <c r="U49" s="106">
        <v>19725.202155371899</v>
      </c>
      <c r="V49" s="106">
        <v>20.018280380644722</v>
      </c>
      <c r="W49" s="106">
        <v>19722.009831011179</v>
      </c>
      <c r="X49" s="106">
        <v>23.048862253847894</v>
      </c>
      <c r="Y49" s="106">
        <v>22707.739092490941</v>
      </c>
      <c r="Z49" s="106">
        <v>14.025373451847146</v>
      </c>
      <c r="AA49" s="106">
        <v>13817.797924759807</v>
      </c>
      <c r="AB49" s="106">
        <v>6.0507927503392436</v>
      </c>
      <c r="AC49" s="106">
        <v>5961.2410176342228</v>
      </c>
      <c r="AD49" s="106">
        <v>4</v>
      </c>
      <c r="AE49" s="106">
        <v>3940.7999999999997</v>
      </c>
      <c r="AF49" s="106">
        <v>5.0409243954698502</v>
      </c>
      <c r="AG49" s="106">
        <v>4966.318714416896</v>
      </c>
      <c r="AH49" s="106">
        <v>5.1175555523428127</v>
      </c>
      <c r="AI49" s="106">
        <v>5041.8157301681385</v>
      </c>
      <c r="AJ49" s="106">
        <v>5.0671499659663892</v>
      </c>
      <c r="AK49" s="106">
        <v>4992.1561464700862</v>
      </c>
      <c r="AL49" s="106">
        <v>7.1148587197469988</v>
      </c>
      <c r="AM49" s="106">
        <v>7009.5588106947425</v>
      </c>
      <c r="AN49" s="106">
        <v>4</v>
      </c>
      <c r="AO49" s="106">
        <v>3940.7999999999997</v>
      </c>
      <c r="AP49" s="106">
        <v>7.1604115873379177</v>
      </c>
      <c r="AQ49" s="106">
        <v>7054.4374958453163</v>
      </c>
      <c r="AR49" s="106">
        <v>6.0314926149505723</v>
      </c>
      <c r="AS49" s="106">
        <v>5942.2265242493031</v>
      </c>
      <c r="AT49" s="106">
        <v>8.0739755486150475</v>
      </c>
      <c r="AU49" s="106">
        <v>7954.4807104955444</v>
      </c>
      <c r="AV49" s="106">
        <v>7.0713777512414779</v>
      </c>
      <c r="AW49" s="106">
        <v>6966.7213605231036</v>
      </c>
      <c r="AX49" s="106">
        <v>8.0352206093583654</v>
      </c>
      <c r="AY49" s="106">
        <v>7916.2993443398609</v>
      </c>
      <c r="AZ49" s="106">
        <v>35.067441673749521</v>
      </c>
      <c r="BA49" s="106">
        <v>34548.443536978026</v>
      </c>
      <c r="BB49" s="106">
        <v>43.125209905409712</v>
      </c>
      <c r="BC49" s="106">
        <v>42486.956798809646</v>
      </c>
      <c r="BD49" s="106">
        <v>31</v>
      </c>
      <c r="BE49" s="106">
        <v>30541.199999999997</v>
      </c>
      <c r="BF49" s="106">
        <v>24.149746669168699</v>
      </c>
      <c r="BG49" s="106">
        <v>23792.330418465001</v>
      </c>
      <c r="BH49" s="106">
        <v>4.096517165814463</v>
      </c>
      <c r="BI49" s="106">
        <v>4035.8887117604086</v>
      </c>
      <c r="BJ49" s="106">
        <v>6.1172328994196397</v>
      </c>
      <c r="BK49" s="106">
        <v>6026.6978525082286</v>
      </c>
      <c r="BL49" s="106">
        <v>5</v>
      </c>
      <c r="BM49" s="106">
        <v>4926</v>
      </c>
      <c r="BN49" s="106">
        <v>7.0847318143845248</v>
      </c>
      <c r="BO49" s="106">
        <v>6979.8777835316332</v>
      </c>
      <c r="BP49" s="106">
        <v>7.0823971149469553</v>
      </c>
      <c r="BQ49" s="106">
        <v>6977.5776376457397</v>
      </c>
      <c r="BR49" s="106">
        <v>5.0768707777023785</v>
      </c>
      <c r="BS49" s="106">
        <v>5001.7330901923833</v>
      </c>
      <c r="BT49" s="106">
        <v>6.1974200164893727</v>
      </c>
      <c r="BU49" s="106">
        <v>6105.6982002453296</v>
      </c>
      <c r="BV49" s="106">
        <v>3.1105861232907253</v>
      </c>
      <c r="BW49" s="106">
        <v>3064.5494486660223</v>
      </c>
      <c r="BX49" s="106">
        <v>8</v>
      </c>
      <c r="BY49" s="106">
        <v>7881.5999999999995</v>
      </c>
      <c r="BZ49" s="106">
        <v>8.1279851367419731</v>
      </c>
      <c r="CA49" s="106">
        <v>8007.690956718191</v>
      </c>
      <c r="CB49" s="106">
        <v>9.0990551627172227</v>
      </c>
      <c r="CC49" s="106">
        <v>8964.3891463090076</v>
      </c>
      <c r="CD49" s="106">
        <v>8.156461625070369</v>
      </c>
      <c r="CE49" s="106">
        <v>8035.7459930193272</v>
      </c>
      <c r="CF49" s="106">
        <v>10</v>
      </c>
      <c r="CG49" s="106">
        <v>9852</v>
      </c>
      <c r="CH49" s="106">
        <v>7</v>
      </c>
      <c r="CI49" s="106">
        <v>6896.4</v>
      </c>
      <c r="CJ49" s="106">
        <v>7.3273148148148151</v>
      </c>
      <c r="CK49" s="106">
        <v>7218.8705555555553</v>
      </c>
      <c r="CL49" s="106">
        <v>10.280840442231085</v>
      </c>
      <c r="CM49" s="106">
        <v>10128.684003686065</v>
      </c>
      <c r="CN49" s="106">
        <v>20.089277469990765</v>
      </c>
      <c r="CO49" s="106">
        <v>19791.956163434901</v>
      </c>
      <c r="CP49" s="106">
        <v>24.06194903581267</v>
      </c>
      <c r="CQ49" s="106">
        <v>23705.832190082641</v>
      </c>
      <c r="CR49" s="106">
        <v>33</v>
      </c>
      <c r="CS49" s="106">
        <v>32511.599999999999</v>
      </c>
      <c r="CT49" s="106">
        <v>23.178569376615915</v>
      </c>
      <c r="CU49" s="106">
        <v>22835.526549841998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20</v>
      </c>
      <c r="E56" s="106">
        <v>23016</v>
      </c>
      <c r="F56" s="106">
        <v>19</v>
      </c>
      <c r="G56" s="106">
        <v>21865.200000000001</v>
      </c>
      <c r="H56" s="106">
        <v>22</v>
      </c>
      <c r="I56" s="106">
        <v>25317.599999999999</v>
      </c>
      <c r="J56" s="106">
        <v>24.107139409821187</v>
      </c>
      <c r="K56" s="106">
        <v>27742.496032822222</v>
      </c>
      <c r="L56" s="106">
        <v>20.028542433218341</v>
      </c>
      <c r="M56" s="106">
        <v>23048.846632147666</v>
      </c>
      <c r="N56" s="106">
        <v>24.049215201935553</v>
      </c>
      <c r="O56" s="106">
        <v>27675.836854387435</v>
      </c>
      <c r="P56" s="106">
        <v>20</v>
      </c>
      <c r="Q56" s="106">
        <v>23016</v>
      </c>
      <c r="R56" s="106">
        <v>18.082720796740606</v>
      </c>
      <c r="S56" s="106">
        <v>20809.595092889089</v>
      </c>
      <c r="T56" s="106">
        <v>18.021520661157023</v>
      </c>
      <c r="U56" s="106">
        <v>20739.165976859502</v>
      </c>
      <c r="V56" s="106">
        <v>19.018280380644722</v>
      </c>
      <c r="W56" s="106">
        <v>21886.237062045944</v>
      </c>
      <c r="X56" s="106">
        <v>23.048862253847894</v>
      </c>
      <c r="Y56" s="106">
        <v>26524.630681728155</v>
      </c>
      <c r="Z56" s="106">
        <v>14.022836106662432</v>
      </c>
      <c r="AA56" s="106">
        <v>16137.479791547126</v>
      </c>
      <c r="AB56" s="106">
        <v>6.0435366431479229</v>
      </c>
      <c r="AC56" s="106">
        <v>6954.9019689346296</v>
      </c>
      <c r="AD56" s="106">
        <v>4</v>
      </c>
      <c r="AE56" s="106">
        <v>4603.2</v>
      </c>
      <c r="AF56" s="106">
        <v>5.0409243954698502</v>
      </c>
      <c r="AG56" s="106">
        <v>5801.0957943067033</v>
      </c>
      <c r="AH56" s="106">
        <v>5.1175555523428127</v>
      </c>
      <c r="AI56" s="106">
        <v>5889.2829296361087</v>
      </c>
      <c r="AJ56" s="106">
        <v>5.0636157572313163</v>
      </c>
      <c r="AK56" s="106">
        <v>5827.2090134217988</v>
      </c>
      <c r="AL56" s="106">
        <v>7.1069374287299647</v>
      </c>
      <c r="AM56" s="106">
        <v>8178.6635929824433</v>
      </c>
      <c r="AN56" s="106">
        <v>4</v>
      </c>
      <c r="AO56" s="106">
        <v>4603.2</v>
      </c>
      <c r="AP56" s="106">
        <v>7.1688543024609661</v>
      </c>
      <c r="AQ56" s="106">
        <v>8249.9175312720799</v>
      </c>
      <c r="AR56" s="106">
        <v>6.0296401081887741</v>
      </c>
      <c r="AS56" s="106">
        <v>6938.9098365036407</v>
      </c>
      <c r="AT56" s="106">
        <v>9.0739755486150475</v>
      </c>
      <c r="AU56" s="106">
        <v>10442.331061346196</v>
      </c>
      <c r="AV56" s="106">
        <v>6.0642399761173298</v>
      </c>
      <c r="AW56" s="106">
        <v>6978.727364515823</v>
      </c>
      <c r="AX56" s="106">
        <v>8.0372924099088578</v>
      </c>
      <c r="AY56" s="106">
        <v>9249.3161053231124</v>
      </c>
      <c r="AZ56" s="106">
        <v>38.074185841124468</v>
      </c>
      <c r="BA56" s="106">
        <v>43815.773065966037</v>
      </c>
      <c r="BB56" s="106">
        <v>45.104341587841425</v>
      </c>
      <c r="BC56" s="106">
        <v>51906.07629928791</v>
      </c>
      <c r="BD56" s="106">
        <v>32</v>
      </c>
      <c r="BE56" s="106">
        <v>36825.599999999999</v>
      </c>
      <c r="BF56" s="106">
        <v>24.149746669168699</v>
      </c>
      <c r="BG56" s="106">
        <v>27791.528466879339</v>
      </c>
      <c r="BH56" s="106">
        <v>5.0816683710737767</v>
      </c>
      <c r="BI56" s="106">
        <v>5847.9839614317016</v>
      </c>
      <c r="BJ56" s="106">
        <v>5.1094173727916639</v>
      </c>
      <c r="BK56" s="106">
        <v>5879.9175126086466</v>
      </c>
      <c r="BL56" s="106">
        <v>6</v>
      </c>
      <c r="BM56" s="106">
        <v>6904.7999999999993</v>
      </c>
      <c r="BN56" s="106">
        <v>7.0721789529942249</v>
      </c>
      <c r="BO56" s="106">
        <v>8138.6635391057534</v>
      </c>
      <c r="BP56" s="106">
        <v>7.0920908931760094</v>
      </c>
      <c r="BQ56" s="106">
        <v>8161.5781998669509</v>
      </c>
      <c r="BR56" s="106">
        <v>6.0768707777023785</v>
      </c>
      <c r="BS56" s="106">
        <v>6993.2628909798968</v>
      </c>
      <c r="BT56" s="106">
        <v>6.2063936536025253</v>
      </c>
      <c r="BU56" s="106">
        <v>7142.3178165657855</v>
      </c>
      <c r="BV56" s="106">
        <v>3.1061626783590963</v>
      </c>
      <c r="BW56" s="106">
        <v>3574.5720102556479</v>
      </c>
      <c r="BX56" s="106">
        <v>9</v>
      </c>
      <c r="BY56" s="106">
        <v>10357.199999999999</v>
      </c>
      <c r="BZ56" s="106">
        <v>7.1137645659928657</v>
      </c>
      <c r="CA56" s="106">
        <v>8186.5202625445891</v>
      </c>
      <c r="CB56" s="106">
        <v>9.0952453487665608</v>
      </c>
      <c r="CC56" s="106">
        <v>10466.808347360558</v>
      </c>
      <c r="CD56" s="106">
        <v>9.1452857947082009</v>
      </c>
      <c r="CE56" s="106">
        <v>10524.394892550197</v>
      </c>
      <c r="CF56" s="106">
        <v>10</v>
      </c>
      <c r="CG56" s="106">
        <v>11508</v>
      </c>
      <c r="CH56" s="106">
        <v>8</v>
      </c>
      <c r="CI56" s="106">
        <v>9206.4</v>
      </c>
      <c r="CJ56" s="106">
        <v>6.2909465020576132</v>
      </c>
      <c r="CK56" s="106">
        <v>7239.6212345679014</v>
      </c>
      <c r="CL56" s="106">
        <v>10.317471804261228</v>
      </c>
      <c r="CM56" s="106">
        <v>11873.346552343821</v>
      </c>
      <c r="CN56" s="106">
        <v>22.089277469990765</v>
      </c>
      <c r="CO56" s="106">
        <v>25420.340512465373</v>
      </c>
      <c r="CP56" s="106">
        <v>27.056786616161617</v>
      </c>
      <c r="CQ56" s="106">
        <v>31136.950037878789</v>
      </c>
      <c r="CR56" s="106">
        <v>29</v>
      </c>
      <c r="CS56" s="106">
        <v>33373.199999999997</v>
      </c>
      <c r="CT56" s="106">
        <v>22.178569376615915</v>
      </c>
      <c r="CU56" s="106">
        <v>25523.097638609594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23</v>
      </c>
      <c r="E58" s="106">
        <v>27075.600000000002</v>
      </c>
      <c r="F58" s="106">
        <v>20</v>
      </c>
      <c r="G58" s="106">
        <v>23544</v>
      </c>
      <c r="H58" s="106">
        <v>23</v>
      </c>
      <c r="I58" s="106">
        <v>27075.600000000002</v>
      </c>
      <c r="J58" s="106">
        <v>23.107139409821187</v>
      </c>
      <c r="K58" s="106">
        <v>27201.724513241501</v>
      </c>
      <c r="L58" s="106">
        <v>21.028542433218341</v>
      </c>
      <c r="M58" s="106">
        <v>24754.800152384632</v>
      </c>
      <c r="N58" s="106">
        <v>23.045429417171281</v>
      </c>
      <c r="O58" s="106">
        <v>27129.079509894033</v>
      </c>
      <c r="P58" s="106">
        <v>18</v>
      </c>
      <c r="Q58" s="106">
        <v>21189.600000000002</v>
      </c>
      <c r="R58" s="106">
        <v>20.075827397012223</v>
      </c>
      <c r="S58" s="106">
        <v>23633.264011762789</v>
      </c>
      <c r="T58" s="106">
        <v>18.024210743801653</v>
      </c>
      <c r="U58" s="106">
        <v>21218.100887603308</v>
      </c>
      <c r="V58" s="106">
        <v>18.018280380644722</v>
      </c>
      <c r="W58" s="106">
        <v>21211.119664094967</v>
      </c>
      <c r="X58" s="106">
        <v>21.048862253847894</v>
      </c>
      <c r="Y58" s="106">
        <v>24778.72064522974</v>
      </c>
      <c r="Z58" s="106">
        <v>14.027910797031861</v>
      </c>
      <c r="AA58" s="106">
        <v>16513.656590265909</v>
      </c>
      <c r="AB58" s="106">
        <v>6.0507927503392436</v>
      </c>
      <c r="AC58" s="106">
        <v>7122.9932256993579</v>
      </c>
      <c r="AD58" s="106">
        <v>4</v>
      </c>
      <c r="AE58" s="106">
        <v>4708.8</v>
      </c>
      <c r="AF58" s="106">
        <v>5.0409243954698502</v>
      </c>
      <c r="AG58" s="106">
        <v>5934.1761983471079</v>
      </c>
      <c r="AH58" s="106">
        <v>6.1175555523428127</v>
      </c>
      <c r="AI58" s="106">
        <v>7201.5863962179592</v>
      </c>
      <c r="AJ58" s="106">
        <v>5.0671499659663892</v>
      </c>
      <c r="AK58" s="106">
        <v>5965.0489399356338</v>
      </c>
      <c r="AL58" s="106">
        <v>6.0990161377129297</v>
      </c>
      <c r="AM58" s="106">
        <v>7179.7617973156612</v>
      </c>
      <c r="AN58" s="106">
        <v>4</v>
      </c>
      <c r="AO58" s="106">
        <v>4708.8</v>
      </c>
      <c r="AP58" s="106">
        <v>8.1604115873379168</v>
      </c>
      <c r="AQ58" s="106">
        <v>9606.4365206141956</v>
      </c>
      <c r="AR58" s="106">
        <v>5.0314926149505723</v>
      </c>
      <c r="AS58" s="106">
        <v>5923.0731063198136</v>
      </c>
      <c r="AT58" s="106">
        <v>8.0715096969945463</v>
      </c>
      <c r="AU58" s="106">
        <v>9501.7812153019804</v>
      </c>
      <c r="AV58" s="106">
        <v>6.0666192344920464</v>
      </c>
      <c r="AW58" s="106">
        <v>7141.6241628440375</v>
      </c>
      <c r="AX58" s="106">
        <v>9.0352206093583654</v>
      </c>
      <c r="AY58" s="106">
        <v>10636.261701336669</v>
      </c>
      <c r="AZ58" s="106">
        <v>35.067441673749521</v>
      </c>
      <c r="BA58" s="106">
        <v>41281.392338337937</v>
      </c>
      <c r="BB58" s="106">
        <v>39.125209905409712</v>
      </c>
      <c r="BC58" s="106">
        <v>46058.197100648315</v>
      </c>
      <c r="BD58" s="106">
        <v>33</v>
      </c>
      <c r="BE58" s="106">
        <v>38847.599999999999</v>
      </c>
      <c r="BF58" s="106">
        <v>25.141865265528242</v>
      </c>
      <c r="BG58" s="106">
        <v>29597.003790579849</v>
      </c>
      <c r="BH58" s="106">
        <v>4.0816683710737767</v>
      </c>
      <c r="BI58" s="106">
        <v>4804.9400064280499</v>
      </c>
      <c r="BJ58" s="106">
        <v>6.1016018461636881</v>
      </c>
      <c r="BK58" s="106">
        <v>7182.8056933038943</v>
      </c>
      <c r="BL58" s="106">
        <v>6</v>
      </c>
      <c r="BM58" s="106">
        <v>7063.2000000000007</v>
      </c>
      <c r="BN58" s="106">
        <v>8.0753171683417992</v>
      </c>
      <c r="BO58" s="106">
        <v>9506.2633705719672</v>
      </c>
      <c r="BP58" s="106">
        <v>7.0920908931760094</v>
      </c>
      <c r="BQ58" s="106">
        <v>8348.8093994467981</v>
      </c>
      <c r="BR58" s="106">
        <v>5.0768707777023785</v>
      </c>
      <c r="BS58" s="106">
        <v>5976.4922795112398</v>
      </c>
      <c r="BT58" s="106">
        <v>6.1794727422630658</v>
      </c>
      <c r="BU58" s="106">
        <v>7274.4753121920812</v>
      </c>
      <c r="BV58" s="106">
        <v>3.0928923435642091</v>
      </c>
      <c r="BW58" s="106">
        <v>3640.952866843787</v>
      </c>
      <c r="BX58" s="106">
        <v>9</v>
      </c>
      <c r="BY58" s="106">
        <v>10594.800000000001</v>
      </c>
      <c r="BZ58" s="106">
        <v>8.1173197086801423</v>
      </c>
      <c r="CA58" s="106">
        <v>9555.7087610582639</v>
      </c>
      <c r="CB58" s="106">
        <v>8.1028649766678846</v>
      </c>
      <c r="CC58" s="106">
        <v>9538.6926505334341</v>
      </c>
      <c r="CD58" s="106">
        <v>8.1341099643460311</v>
      </c>
      <c r="CE58" s="106">
        <v>9575.4742500281482</v>
      </c>
      <c r="CF58" s="106">
        <v>11</v>
      </c>
      <c r="CG58" s="106">
        <v>12949.2</v>
      </c>
      <c r="CH58" s="106">
        <v>6</v>
      </c>
      <c r="CI58" s="106">
        <v>7063.2000000000007</v>
      </c>
      <c r="CJ58" s="106">
        <v>7.2909465020576132</v>
      </c>
      <c r="CK58" s="106">
        <v>8582.9022222222229</v>
      </c>
      <c r="CL58" s="106">
        <v>10.329682258271275</v>
      </c>
      <c r="CM58" s="106">
        <v>12160.101954436945</v>
      </c>
      <c r="CN58" s="106">
        <v>22.095229301323485</v>
      </c>
      <c r="CO58" s="106">
        <v>26010.503933518008</v>
      </c>
      <c r="CP58" s="106">
        <v>23.072273875114785</v>
      </c>
      <c r="CQ58" s="106">
        <v>27160.680805785127</v>
      </c>
      <c r="CR58" s="106">
        <v>31</v>
      </c>
      <c r="CS58" s="106">
        <v>36493.200000000004</v>
      </c>
      <c r="CT58" s="106">
        <v>23.178569376615915</v>
      </c>
      <c r="CU58" s="106">
        <v>27285.811870152254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9</v>
      </c>
      <c r="E71" s="106">
        <v>5076</v>
      </c>
      <c r="F71" s="106">
        <v>7.3658287785297079</v>
      </c>
      <c r="G71" s="106">
        <v>4154.3274310907555</v>
      </c>
      <c r="H71" s="106">
        <v>11.395258272632674</v>
      </c>
      <c r="I71" s="106">
        <v>6426.9256657648284</v>
      </c>
      <c r="J71" s="106">
        <v>6.0793625257934716</v>
      </c>
      <c r="K71" s="106">
        <v>3428.760464547518</v>
      </c>
      <c r="L71" s="106">
        <v>3.0792845367176165</v>
      </c>
      <c r="M71" s="106">
        <v>1736.7164787087356</v>
      </c>
      <c r="N71" s="106">
        <v>5.0908588343425603</v>
      </c>
      <c r="O71" s="106">
        <v>2871.2443825692039</v>
      </c>
      <c r="P71" s="106">
        <v>4</v>
      </c>
      <c r="Q71" s="106">
        <v>2256</v>
      </c>
      <c r="R71" s="106">
        <v>5.1723349932095974</v>
      </c>
      <c r="S71" s="106">
        <v>2917.1969361702131</v>
      </c>
      <c r="T71" s="106">
        <v>25.051111570247933</v>
      </c>
      <c r="U71" s="106">
        <v>14128.826925619835</v>
      </c>
      <c r="V71" s="106">
        <v>31.044395210137186</v>
      </c>
      <c r="W71" s="106">
        <v>17509.038898517374</v>
      </c>
      <c r="X71" s="106">
        <v>21.119441064961521</v>
      </c>
      <c r="Y71" s="106">
        <v>11911.364760638298</v>
      </c>
      <c r="Z71" s="106">
        <v>18.040597522955434</v>
      </c>
      <c r="AA71" s="106">
        <v>10174.897002946864</v>
      </c>
      <c r="AB71" s="106">
        <v>16.123353822252447</v>
      </c>
      <c r="AC71" s="106">
        <v>9093.5715557503809</v>
      </c>
      <c r="AD71" s="106">
        <v>16</v>
      </c>
      <c r="AE71" s="106">
        <v>9024</v>
      </c>
      <c r="AF71" s="106">
        <v>11.12277318640955</v>
      </c>
      <c r="AG71" s="106">
        <v>6273.2440771349857</v>
      </c>
      <c r="AH71" s="106">
        <v>19.161638884471369</v>
      </c>
      <c r="AI71" s="106">
        <v>10807.164330841852</v>
      </c>
      <c r="AJ71" s="106">
        <v>13.042410504820877</v>
      </c>
      <c r="AK71" s="106">
        <v>7355.9195247189746</v>
      </c>
      <c r="AL71" s="106">
        <v>16.047527746102208</v>
      </c>
      <c r="AM71" s="106">
        <v>9050.8056488016446</v>
      </c>
      <c r="AN71" s="106">
        <v>12</v>
      </c>
      <c r="AO71" s="106">
        <v>6768</v>
      </c>
      <c r="AP71" s="106">
        <v>13.067541720984387</v>
      </c>
      <c r="AQ71" s="106">
        <v>7370.0935306351939</v>
      </c>
      <c r="AR71" s="106">
        <v>19.187103182941634</v>
      </c>
      <c r="AS71" s="106">
        <v>10821.526195179082</v>
      </c>
      <c r="AT71" s="106">
        <v>14.155348652091602</v>
      </c>
      <c r="AU71" s="106">
        <v>7983.6166397796633</v>
      </c>
      <c r="AV71" s="106">
        <v>15.142755502482956</v>
      </c>
      <c r="AW71" s="106">
        <v>8540.5141034003864</v>
      </c>
      <c r="AX71" s="106">
        <v>15.169887645140351</v>
      </c>
      <c r="AY71" s="106">
        <v>8555.8166318591575</v>
      </c>
      <c r="AZ71" s="106">
        <v>6.053953338999615</v>
      </c>
      <c r="BA71" s="106">
        <v>3414.4296831957827</v>
      </c>
      <c r="BB71" s="106">
        <v>4.0765171644170479</v>
      </c>
      <c r="BC71" s="106">
        <v>2299.1556807312149</v>
      </c>
      <c r="BD71" s="106">
        <v>6</v>
      </c>
      <c r="BE71" s="106">
        <v>3384</v>
      </c>
      <c r="BF71" s="106">
        <v>5.0709326327641211</v>
      </c>
      <c r="BG71" s="106">
        <v>2860.0060048789642</v>
      </c>
      <c r="BH71" s="106">
        <v>11.170761139517897</v>
      </c>
      <c r="BI71" s="106">
        <v>6300.3092826880938</v>
      </c>
      <c r="BJ71" s="106">
        <v>13.27354343197916</v>
      </c>
      <c r="BK71" s="106">
        <v>7486.2784956362466</v>
      </c>
      <c r="BL71" s="106">
        <v>10</v>
      </c>
      <c r="BM71" s="106">
        <v>5640</v>
      </c>
      <c r="BN71" s="106">
        <v>17.156910767378751</v>
      </c>
      <c r="BO71" s="106">
        <v>9676.4976728016154</v>
      </c>
      <c r="BP71" s="106">
        <v>5.0581626693743216</v>
      </c>
      <c r="BQ71" s="106">
        <v>2852.8037455271174</v>
      </c>
      <c r="BR71" s="106">
        <v>7.034164790089946</v>
      </c>
      <c r="BS71" s="106">
        <v>3967.2689416107296</v>
      </c>
      <c r="BT71" s="106">
        <v>8.0717890969052259</v>
      </c>
      <c r="BU71" s="106">
        <v>4552.4890506545471</v>
      </c>
      <c r="BV71" s="106">
        <v>9.0353875594530315</v>
      </c>
      <c r="BW71" s="106">
        <v>5095.9585835315102</v>
      </c>
      <c r="BX71" s="106">
        <v>6</v>
      </c>
      <c r="BY71" s="106">
        <v>3384</v>
      </c>
      <c r="BZ71" s="106">
        <v>6.0746579964328182</v>
      </c>
      <c r="CA71" s="106">
        <v>3426.1071099881096</v>
      </c>
      <c r="CB71" s="106">
        <v>5.060957023210598</v>
      </c>
      <c r="CC71" s="106">
        <v>2854.3797610907773</v>
      </c>
      <c r="CD71" s="106">
        <v>8.1229341339838612</v>
      </c>
      <c r="CE71" s="106">
        <v>4581.3348515668977</v>
      </c>
      <c r="CF71" s="106">
        <v>17</v>
      </c>
      <c r="CG71" s="106">
        <v>9588</v>
      </c>
      <c r="CH71" s="106">
        <v>18</v>
      </c>
      <c r="CI71" s="106">
        <v>10152</v>
      </c>
      <c r="CJ71" s="106">
        <v>13.181841563786008</v>
      </c>
      <c r="CK71" s="106">
        <v>7434.558641975309</v>
      </c>
      <c r="CL71" s="106">
        <v>20.170946356140661</v>
      </c>
      <c r="CM71" s="106">
        <v>11376.413744863332</v>
      </c>
      <c r="CN71" s="106">
        <v>7.0595183133271773</v>
      </c>
      <c r="CO71" s="106">
        <v>3981.568328716528</v>
      </c>
      <c r="CP71" s="106">
        <v>6.0619490358126722</v>
      </c>
      <c r="CQ71" s="106">
        <v>3418.9392561983473</v>
      </c>
      <c r="CR71" s="106">
        <v>5</v>
      </c>
      <c r="CS71" s="106">
        <v>2820</v>
      </c>
      <c r="CT71" s="106">
        <v>6.1116058603849472</v>
      </c>
      <c r="CU71" s="106">
        <v>3446.9457052571101</v>
      </c>
    </row>
    <row r="72" spans="2:99" x14ac:dyDescent="0.2">
      <c r="C72" s="105" t="s">
        <v>238</v>
      </c>
      <c r="D72" s="106">
        <v>9</v>
      </c>
      <c r="E72" s="106">
        <v>669.59999999999991</v>
      </c>
      <c r="F72" s="106">
        <v>9.3396981514918718</v>
      </c>
      <c r="G72" s="106">
        <v>694.87354247099518</v>
      </c>
      <c r="H72" s="106">
        <v>10.368907721123829</v>
      </c>
      <c r="I72" s="106">
        <v>771.44673445161277</v>
      </c>
      <c r="J72" s="106">
        <v>7.0912669046624925</v>
      </c>
      <c r="K72" s="106">
        <v>527.59025770688936</v>
      </c>
      <c r="L72" s="106">
        <v>3.0919700625924351</v>
      </c>
      <c r="M72" s="106">
        <v>230.04257265687716</v>
      </c>
      <c r="N72" s="106">
        <v>5.0870730495782874</v>
      </c>
      <c r="O72" s="106">
        <v>378.47823488862451</v>
      </c>
      <c r="P72" s="106">
        <v>3</v>
      </c>
      <c r="Q72" s="106">
        <v>223.2</v>
      </c>
      <c r="R72" s="106">
        <v>5.1585481937528295</v>
      </c>
      <c r="S72" s="106">
        <v>383.79598561521044</v>
      </c>
      <c r="T72" s="106">
        <v>26.051111570247933</v>
      </c>
      <c r="U72" s="106">
        <v>1938.2027008264461</v>
      </c>
      <c r="V72" s="106">
        <v>32.047006693086431</v>
      </c>
      <c r="W72" s="106">
        <v>2384.2972979656302</v>
      </c>
      <c r="X72" s="106">
        <v>27.114011925645087</v>
      </c>
      <c r="Y72" s="106">
        <v>2017.2824872679942</v>
      </c>
      <c r="Z72" s="106">
        <v>20.040597522955434</v>
      </c>
      <c r="AA72" s="106">
        <v>1491.0204557078841</v>
      </c>
      <c r="AB72" s="106">
        <v>16.116097715061127</v>
      </c>
      <c r="AC72" s="106">
        <v>1199.0376700005477</v>
      </c>
      <c r="AD72" s="106">
        <v>18</v>
      </c>
      <c r="AE72" s="106">
        <v>1339.1999999999998</v>
      </c>
      <c r="AF72" s="106">
        <v>13.115952453831241</v>
      </c>
      <c r="AG72" s="106">
        <v>975.82686256504428</v>
      </c>
      <c r="AH72" s="106">
        <v>18.161638884471369</v>
      </c>
      <c r="AI72" s="106">
        <v>1351.2259330046697</v>
      </c>
      <c r="AJ72" s="106">
        <v>14.038876296085805</v>
      </c>
      <c r="AK72" s="106">
        <v>1044.4923964287839</v>
      </c>
      <c r="AL72" s="106">
        <v>15.051488391610723</v>
      </c>
      <c r="AM72" s="106">
        <v>1119.8307363358376</v>
      </c>
      <c r="AN72" s="106">
        <v>13</v>
      </c>
      <c r="AO72" s="106">
        <v>967.19999999999993</v>
      </c>
      <c r="AP72" s="106">
        <v>12.075984436107435</v>
      </c>
      <c r="AQ72" s="106">
        <v>898.45324204639303</v>
      </c>
      <c r="AR72" s="106">
        <v>22.209333264083213</v>
      </c>
      <c r="AS72" s="106">
        <v>1652.3743948477909</v>
      </c>
      <c r="AT72" s="106">
        <v>13.16767791019411</v>
      </c>
      <c r="AU72" s="106">
        <v>979.67523651844169</v>
      </c>
      <c r="AV72" s="106">
        <v>16.166548086230115</v>
      </c>
      <c r="AW72" s="106">
        <v>1202.7911776155204</v>
      </c>
      <c r="AX72" s="106">
        <v>15.18853385009478</v>
      </c>
      <c r="AY72" s="106">
        <v>1130.0269184470515</v>
      </c>
      <c r="AZ72" s="106">
        <v>6.053953338999615</v>
      </c>
      <c r="BA72" s="106">
        <v>450.41412842157132</v>
      </c>
      <c r="BB72" s="106">
        <v>4.0765171644170479</v>
      </c>
      <c r="BC72" s="106">
        <v>303.29287703262833</v>
      </c>
      <c r="BD72" s="106">
        <v>6</v>
      </c>
      <c r="BE72" s="106">
        <v>446.4</v>
      </c>
      <c r="BF72" s="106">
        <v>5.0788140364045784</v>
      </c>
      <c r="BG72" s="106">
        <v>377.86376430850061</v>
      </c>
      <c r="BH72" s="106">
        <v>12.167048940832725</v>
      </c>
      <c r="BI72" s="106">
        <v>905.22844119795468</v>
      </c>
      <c r="BJ72" s="106">
        <v>14.27354343197916</v>
      </c>
      <c r="BK72" s="106">
        <v>1061.9516313392494</v>
      </c>
      <c r="BL72" s="106">
        <v>11</v>
      </c>
      <c r="BM72" s="106">
        <v>818.39999999999986</v>
      </c>
      <c r="BN72" s="106">
        <v>17.1757400594642</v>
      </c>
      <c r="BO72" s="106">
        <v>1277.8750604241363</v>
      </c>
      <c r="BP72" s="106">
        <v>6.0581626693743216</v>
      </c>
      <c r="BQ72" s="106">
        <v>450.72730260144948</v>
      </c>
      <c r="BR72" s="106">
        <v>7.0427059876124325</v>
      </c>
      <c r="BS72" s="106">
        <v>523.97732547836495</v>
      </c>
      <c r="BT72" s="106">
        <v>9.0807627340183803</v>
      </c>
      <c r="BU72" s="106">
        <v>675.60874741096745</v>
      </c>
      <c r="BV72" s="106">
        <v>8.0398110043846618</v>
      </c>
      <c r="BW72" s="106">
        <v>598.16193872621875</v>
      </c>
      <c r="BX72" s="106">
        <v>7</v>
      </c>
      <c r="BY72" s="106">
        <v>520.79999999999995</v>
      </c>
      <c r="BZ72" s="106">
        <v>6.0817682818073724</v>
      </c>
      <c r="CA72" s="106">
        <v>452.48356016646846</v>
      </c>
      <c r="CB72" s="106">
        <v>6.060957023210598</v>
      </c>
      <c r="CC72" s="106">
        <v>450.93520252686847</v>
      </c>
      <c r="CD72" s="106">
        <v>8.1341099643460311</v>
      </c>
      <c r="CE72" s="106">
        <v>605.17778134734465</v>
      </c>
      <c r="CF72" s="106">
        <v>20</v>
      </c>
      <c r="CG72" s="106">
        <v>1487.9999999999998</v>
      </c>
      <c r="CH72" s="106">
        <v>17</v>
      </c>
      <c r="CI72" s="106">
        <v>1264.8</v>
      </c>
      <c r="CJ72" s="106">
        <v>15.157596021947874</v>
      </c>
      <c r="CK72" s="106">
        <v>1127.7251440329217</v>
      </c>
      <c r="CL72" s="106">
        <v>18.18315681015071</v>
      </c>
      <c r="CM72" s="106">
        <v>1352.8268666752126</v>
      </c>
      <c r="CN72" s="106">
        <v>7.0714219759926129</v>
      </c>
      <c r="CO72" s="106">
        <v>526.11379501385034</v>
      </c>
      <c r="CP72" s="106">
        <v>7.0671114554637278</v>
      </c>
      <c r="CQ72" s="106">
        <v>525.79309228650129</v>
      </c>
      <c r="CR72" s="106">
        <v>5</v>
      </c>
      <c r="CS72" s="106">
        <v>371.99999999999994</v>
      </c>
      <c r="CT72" s="106">
        <v>6.1339270324619362</v>
      </c>
      <c r="CU72" s="106">
        <v>456.36417121516797</v>
      </c>
    </row>
    <row r="73" spans="2:99" x14ac:dyDescent="0.2">
      <c r="C73" s="105" t="s">
        <v>239</v>
      </c>
      <c r="D73" s="106">
        <v>9</v>
      </c>
      <c r="E73" s="106">
        <v>5032.7999999999993</v>
      </c>
      <c r="F73" s="106">
        <v>9.3135675244540348</v>
      </c>
      <c r="G73" s="106">
        <v>5208.1469596746956</v>
      </c>
      <c r="H73" s="106">
        <v>11.368907721123829</v>
      </c>
      <c r="I73" s="106">
        <v>6357.4931976524449</v>
      </c>
      <c r="J73" s="106">
        <v>6.0793625257934716</v>
      </c>
      <c r="K73" s="106">
        <v>3399.5795244237088</v>
      </c>
      <c r="L73" s="106">
        <v>3.0919700625924351</v>
      </c>
      <c r="M73" s="106">
        <v>1729.0296590016894</v>
      </c>
      <c r="N73" s="106">
        <v>5.0908588343425603</v>
      </c>
      <c r="O73" s="106">
        <v>2846.8082601643591</v>
      </c>
      <c r="P73" s="106">
        <v>4</v>
      </c>
      <c r="Q73" s="106">
        <v>2236.7999999999997</v>
      </c>
      <c r="R73" s="106">
        <v>5.165441593481213</v>
      </c>
      <c r="S73" s="106">
        <v>2888.5149390746938</v>
      </c>
      <c r="T73" s="106">
        <v>22.051111570247933</v>
      </c>
      <c r="U73" s="106">
        <v>12330.981590082643</v>
      </c>
      <c r="V73" s="106">
        <v>33.044395210137182</v>
      </c>
      <c r="W73" s="106">
        <v>18478.425801508711</v>
      </c>
      <c r="X73" s="106">
        <v>22.114011925645087</v>
      </c>
      <c r="Y73" s="106">
        <v>12366.155468820731</v>
      </c>
      <c r="Z73" s="106">
        <v>19.035522832586004</v>
      </c>
      <c r="AA73" s="106">
        <v>10644.664367982092</v>
      </c>
      <c r="AB73" s="106">
        <v>17.116097715061127</v>
      </c>
      <c r="AC73" s="106">
        <v>9571.3218422621812</v>
      </c>
      <c r="AD73" s="106">
        <v>16</v>
      </c>
      <c r="AE73" s="106">
        <v>8947.1999999999989</v>
      </c>
      <c r="AF73" s="106">
        <v>11.115952453831241</v>
      </c>
      <c r="AG73" s="106">
        <v>6216.040612182429</v>
      </c>
      <c r="AH73" s="106">
        <v>17.161638884471369</v>
      </c>
      <c r="AI73" s="106">
        <v>9596.7884641963883</v>
      </c>
      <c r="AJ73" s="106">
        <v>13.038876296085805</v>
      </c>
      <c r="AK73" s="106">
        <v>7291.3396247711817</v>
      </c>
      <c r="AL73" s="106">
        <v>15.047527746102206</v>
      </c>
      <c r="AM73" s="106">
        <v>8414.5775156203526</v>
      </c>
      <c r="AN73" s="106">
        <v>12</v>
      </c>
      <c r="AO73" s="106">
        <v>6710.4</v>
      </c>
      <c r="AP73" s="106">
        <v>13.067541720984387</v>
      </c>
      <c r="AQ73" s="106">
        <v>7307.3693303744685</v>
      </c>
      <c r="AR73" s="106">
        <v>20.19080819646523</v>
      </c>
      <c r="AS73" s="106">
        <v>11290.699943463356</v>
      </c>
      <c r="AT73" s="106">
        <v>13.140553542368592</v>
      </c>
      <c r="AU73" s="106">
        <v>7348.1975408925155</v>
      </c>
      <c r="AV73" s="106">
        <v>15.135617727358808</v>
      </c>
      <c r="AW73" s="106">
        <v>8463.8374331390442</v>
      </c>
      <c r="AX73" s="106">
        <v>13.176103046791829</v>
      </c>
      <c r="AY73" s="106">
        <v>7368.0768237659895</v>
      </c>
      <c r="AZ73" s="106">
        <v>6.053953338999615</v>
      </c>
      <c r="BA73" s="106">
        <v>3385.3707071685844</v>
      </c>
      <c r="BB73" s="106">
        <v>4.0695610585609518</v>
      </c>
      <c r="BC73" s="106">
        <v>2275.6985439472842</v>
      </c>
      <c r="BD73" s="106">
        <v>5</v>
      </c>
      <c r="BE73" s="106">
        <v>2795.9999999999995</v>
      </c>
      <c r="BF73" s="106">
        <v>4.0709326327641211</v>
      </c>
      <c r="BG73" s="106">
        <v>2276.4655282416961</v>
      </c>
      <c r="BH73" s="106">
        <v>10.152200146092039</v>
      </c>
      <c r="BI73" s="106">
        <v>5677.1103216946676</v>
      </c>
      <c r="BJ73" s="106">
        <v>14.242281325467257</v>
      </c>
      <c r="BK73" s="106">
        <v>7964.2837172012887</v>
      </c>
      <c r="BL73" s="106">
        <v>11</v>
      </c>
      <c r="BM73" s="106">
        <v>6151.1999999999989</v>
      </c>
      <c r="BN73" s="106">
        <v>15.16946362876905</v>
      </c>
      <c r="BO73" s="106">
        <v>8482.764061207652</v>
      </c>
      <c r="BP73" s="106">
        <v>5.0581626693743216</v>
      </c>
      <c r="BQ73" s="106">
        <v>2828.5245647141201</v>
      </c>
      <c r="BR73" s="106">
        <v>6.0384353888511892</v>
      </c>
      <c r="BS73" s="106">
        <v>3376.6930694455846</v>
      </c>
      <c r="BT73" s="106">
        <v>8.0717890969052259</v>
      </c>
      <c r="BU73" s="106">
        <v>4513.7444629894017</v>
      </c>
      <c r="BV73" s="106">
        <v>9.0353875594530315</v>
      </c>
      <c r="BW73" s="106">
        <v>5052.5887232461346</v>
      </c>
      <c r="BX73" s="106">
        <v>7</v>
      </c>
      <c r="BY73" s="106">
        <v>3914.3999999999996</v>
      </c>
      <c r="BZ73" s="106">
        <v>7.0782131391200949</v>
      </c>
      <c r="CA73" s="106">
        <v>3958.1367873959566</v>
      </c>
      <c r="CB73" s="106">
        <v>6.0685766511119228</v>
      </c>
      <c r="CC73" s="106">
        <v>3393.5480633017869</v>
      </c>
      <c r="CD73" s="106">
        <v>8.1173462188027781</v>
      </c>
      <c r="CE73" s="106">
        <v>4539.2200055545127</v>
      </c>
      <c r="CF73" s="106">
        <v>17</v>
      </c>
      <c r="CG73" s="106">
        <v>9506.4</v>
      </c>
      <c r="CH73" s="106">
        <v>18</v>
      </c>
      <c r="CI73" s="106">
        <v>10065.599999999999</v>
      </c>
      <c r="CJ73" s="106">
        <v>15.157596021947874</v>
      </c>
      <c r="CK73" s="106">
        <v>8476.1276954732512</v>
      </c>
      <c r="CL73" s="106">
        <v>17.170946356140661</v>
      </c>
      <c r="CM73" s="106">
        <v>9601.9932023538568</v>
      </c>
      <c r="CN73" s="106">
        <v>7.0595183133271773</v>
      </c>
      <c r="CO73" s="106">
        <v>3947.6826408125571</v>
      </c>
      <c r="CP73" s="106">
        <v>6.0722738751147842</v>
      </c>
      <c r="CQ73" s="106">
        <v>3395.6155509641872</v>
      </c>
      <c r="CR73" s="106">
        <v>6</v>
      </c>
      <c r="CS73" s="106">
        <v>3355.2</v>
      </c>
      <c r="CT73" s="106">
        <v>6.1227664464234417</v>
      </c>
      <c r="CU73" s="106">
        <v>3423.8509968399881</v>
      </c>
    </row>
    <row r="74" spans="2:99" x14ac:dyDescent="0.2">
      <c r="C74" s="105" t="s">
        <v>240</v>
      </c>
      <c r="D74" s="106">
        <v>9</v>
      </c>
      <c r="E74" s="106">
        <v>3628.7999999999997</v>
      </c>
      <c r="F74" s="106">
        <v>7.3396981514918718</v>
      </c>
      <c r="G74" s="106">
        <v>2959.3662946815225</v>
      </c>
      <c r="H74" s="106">
        <v>10.368907721123829</v>
      </c>
      <c r="I74" s="106">
        <v>4180.7435931571281</v>
      </c>
      <c r="J74" s="106">
        <v>6.0872987783728192</v>
      </c>
      <c r="K74" s="106">
        <v>2454.3988674399207</v>
      </c>
      <c r="L74" s="106">
        <v>3.0824559181863211</v>
      </c>
      <c r="M74" s="106">
        <v>1242.8462262127246</v>
      </c>
      <c r="N74" s="106">
        <v>4.0908588343425603</v>
      </c>
      <c r="O74" s="106">
        <v>1649.4342820069203</v>
      </c>
      <c r="P74" s="106">
        <v>4</v>
      </c>
      <c r="Q74" s="106">
        <v>1612.8</v>
      </c>
      <c r="R74" s="106">
        <v>4.1585481937528295</v>
      </c>
      <c r="S74" s="106">
        <v>1676.7266317211408</v>
      </c>
      <c r="T74" s="106">
        <v>26.048421487603306</v>
      </c>
      <c r="U74" s="106">
        <v>10502.723543801652</v>
      </c>
      <c r="V74" s="106">
        <v>29.044395210137186</v>
      </c>
      <c r="W74" s="106">
        <v>11710.700148727314</v>
      </c>
      <c r="X74" s="106">
        <v>23.130299343594388</v>
      </c>
      <c r="Y74" s="106">
        <v>9326.1366953372562</v>
      </c>
      <c r="Z74" s="106">
        <v>20.040597522955434</v>
      </c>
      <c r="AA74" s="106">
        <v>8080.368921255631</v>
      </c>
      <c r="AB74" s="106">
        <v>16.101585500678489</v>
      </c>
      <c r="AC74" s="106">
        <v>6492.1592738735662</v>
      </c>
      <c r="AD74" s="106">
        <v>18</v>
      </c>
      <c r="AE74" s="106">
        <v>7257.5999999999995</v>
      </c>
      <c r="AF74" s="106">
        <v>12.12277318640955</v>
      </c>
      <c r="AG74" s="106">
        <v>4887.9021487603304</v>
      </c>
      <c r="AH74" s="106">
        <v>19.161638884471369</v>
      </c>
      <c r="AI74" s="106">
        <v>7725.972798218856</v>
      </c>
      <c r="AJ74" s="106">
        <v>13.038876296085805</v>
      </c>
      <c r="AK74" s="106">
        <v>5257.2749225817961</v>
      </c>
      <c r="AL74" s="106">
        <v>16.051488391610725</v>
      </c>
      <c r="AM74" s="106">
        <v>6471.9601194974439</v>
      </c>
      <c r="AN74" s="106">
        <v>12</v>
      </c>
      <c r="AO74" s="106">
        <v>4838.3999999999996</v>
      </c>
      <c r="AP74" s="106">
        <v>12.075984436107435</v>
      </c>
      <c r="AQ74" s="106">
        <v>4869.0369246385171</v>
      </c>
      <c r="AR74" s="106">
        <v>20.185250676179837</v>
      </c>
      <c r="AS74" s="106">
        <v>8138.6930726357105</v>
      </c>
      <c r="AT74" s="106">
        <v>13.165212058573609</v>
      </c>
      <c r="AU74" s="106">
        <v>5308.2135020168789</v>
      </c>
      <c r="AV74" s="106">
        <v>17.157031052731252</v>
      </c>
      <c r="AW74" s="106">
        <v>6917.7149204612406</v>
      </c>
      <c r="AX74" s="106">
        <v>13.176103046791829</v>
      </c>
      <c r="AY74" s="106">
        <v>5312.604748466465</v>
      </c>
      <c r="AZ74" s="106">
        <v>6.053953338999615</v>
      </c>
      <c r="BA74" s="106">
        <v>2440.9539862846445</v>
      </c>
      <c r="BB74" s="106">
        <v>4.0765171644170479</v>
      </c>
      <c r="BC74" s="106">
        <v>1643.6517206929536</v>
      </c>
      <c r="BD74" s="106">
        <v>6</v>
      </c>
      <c r="BE74" s="106">
        <v>2419.1999999999998</v>
      </c>
      <c r="BF74" s="106">
        <v>5.0788140364045784</v>
      </c>
      <c r="BG74" s="106">
        <v>2047.7778194783259</v>
      </c>
      <c r="BH74" s="106">
        <v>10.159624543462382</v>
      </c>
      <c r="BI74" s="106">
        <v>4096.3606159240326</v>
      </c>
      <c r="BJ74" s="106">
        <v>13.27354343197916</v>
      </c>
      <c r="BK74" s="106">
        <v>5351.8927117739968</v>
      </c>
      <c r="BL74" s="106">
        <v>12</v>
      </c>
      <c r="BM74" s="106">
        <v>4838.3999999999996</v>
      </c>
      <c r="BN74" s="106">
        <v>16.163187198073899</v>
      </c>
      <c r="BO74" s="106">
        <v>6516.9970782633964</v>
      </c>
      <c r="BP74" s="106">
        <v>6.0630095584888481</v>
      </c>
      <c r="BQ74" s="106">
        <v>2444.6054539827037</v>
      </c>
      <c r="BR74" s="106">
        <v>6.0384353888511892</v>
      </c>
      <c r="BS74" s="106">
        <v>2434.6971487847995</v>
      </c>
      <c r="BT74" s="106">
        <v>8.0717890969052259</v>
      </c>
      <c r="BU74" s="106">
        <v>3254.545363872187</v>
      </c>
      <c r="BV74" s="106">
        <v>9.0353875594530315</v>
      </c>
      <c r="BW74" s="106">
        <v>3643.0682639714623</v>
      </c>
      <c r="BX74" s="106">
        <v>6</v>
      </c>
      <c r="BY74" s="106">
        <v>2419.1999999999998</v>
      </c>
      <c r="BZ74" s="106">
        <v>6.0817682818073724</v>
      </c>
      <c r="CA74" s="106">
        <v>2452.1689712247326</v>
      </c>
      <c r="CB74" s="106">
        <v>6.0647668371612609</v>
      </c>
      <c r="CC74" s="106">
        <v>2445.3139887434204</v>
      </c>
      <c r="CD74" s="106">
        <v>8.1173462188027781</v>
      </c>
      <c r="CE74" s="106">
        <v>3272.9139954212801</v>
      </c>
      <c r="CF74" s="106">
        <v>20</v>
      </c>
      <c r="CG74" s="106">
        <v>8064</v>
      </c>
      <c r="CH74" s="106">
        <v>18</v>
      </c>
      <c r="CI74" s="106">
        <v>7257.5999999999995</v>
      </c>
      <c r="CJ74" s="106">
        <v>14.181841563786008</v>
      </c>
      <c r="CK74" s="106">
        <v>5718.1185185185186</v>
      </c>
      <c r="CL74" s="106">
        <v>19.18315681015071</v>
      </c>
      <c r="CM74" s="106">
        <v>7734.6488258527661</v>
      </c>
      <c r="CN74" s="106">
        <v>8.0714219759926138</v>
      </c>
      <c r="CO74" s="106">
        <v>3254.3973407202216</v>
      </c>
      <c r="CP74" s="106">
        <v>6.0671114554637278</v>
      </c>
      <c r="CQ74" s="106">
        <v>2446.259338842975</v>
      </c>
      <c r="CR74" s="106">
        <v>6</v>
      </c>
      <c r="CS74" s="106">
        <v>2419.1999999999998</v>
      </c>
      <c r="CT74" s="106">
        <v>6.1339270324619362</v>
      </c>
      <c r="CU74" s="106">
        <v>2473.1993794886525</v>
      </c>
    </row>
    <row r="75" spans="2:99" x14ac:dyDescent="0.2">
      <c r="C75" s="105" t="s">
        <v>241</v>
      </c>
      <c r="D75" s="106">
        <v>10</v>
      </c>
      <c r="E75" s="106">
        <v>6431.9999999999991</v>
      </c>
      <c r="F75" s="106">
        <v>7.3658287785297079</v>
      </c>
      <c r="G75" s="106">
        <v>4737.7010703503074</v>
      </c>
      <c r="H75" s="106">
        <v>9.3952582726326739</v>
      </c>
      <c r="I75" s="106">
        <v>6043.0301209573354</v>
      </c>
      <c r="J75" s="106">
        <v>6.0753943995037982</v>
      </c>
      <c r="K75" s="106">
        <v>3907.6936777608425</v>
      </c>
      <c r="L75" s="106">
        <v>3.0856272996550258</v>
      </c>
      <c r="M75" s="106">
        <v>1984.6754791381125</v>
      </c>
      <c r="N75" s="106">
        <v>5.0832872648140137</v>
      </c>
      <c r="O75" s="106">
        <v>3269.5703687283731</v>
      </c>
      <c r="P75" s="106">
        <v>3</v>
      </c>
      <c r="Q75" s="106">
        <v>1929.6</v>
      </c>
      <c r="R75" s="106">
        <v>5.1447613942960615</v>
      </c>
      <c r="S75" s="106">
        <v>3309.1105288112262</v>
      </c>
      <c r="T75" s="106">
        <v>26.04304132231405</v>
      </c>
      <c r="U75" s="106">
        <v>16750.884178512395</v>
      </c>
      <c r="V75" s="106">
        <v>30.047006693086431</v>
      </c>
      <c r="W75" s="106">
        <v>19326.234704993189</v>
      </c>
      <c r="X75" s="106">
        <v>23.108582786328654</v>
      </c>
      <c r="Y75" s="106">
        <v>14863.440448166588</v>
      </c>
      <c r="Z75" s="106">
        <v>20.035522832586004</v>
      </c>
      <c r="AA75" s="106">
        <v>12886.848285919317</v>
      </c>
      <c r="AB75" s="106">
        <v>17.116097715061127</v>
      </c>
      <c r="AC75" s="106">
        <v>11009.074050327315</v>
      </c>
      <c r="AD75" s="106">
        <v>17</v>
      </c>
      <c r="AE75" s="106">
        <v>10934.4</v>
      </c>
      <c r="AF75" s="106">
        <v>12.102310988674626</v>
      </c>
      <c r="AG75" s="106">
        <v>7784.2064279155184</v>
      </c>
      <c r="AH75" s="106">
        <v>20.146944440428516</v>
      </c>
      <c r="AI75" s="106">
        <v>12958.514664083621</v>
      </c>
      <c r="AJ75" s="106">
        <v>12.035342087350731</v>
      </c>
      <c r="AK75" s="106">
        <v>7741.132030583989</v>
      </c>
      <c r="AL75" s="106">
        <v>15.047527746102206</v>
      </c>
      <c r="AM75" s="106">
        <v>9678.5698462929377</v>
      </c>
      <c r="AN75" s="106">
        <v>11</v>
      </c>
      <c r="AO75" s="106">
        <v>7075.1999999999989</v>
      </c>
      <c r="AP75" s="106">
        <v>11.067541720984387</v>
      </c>
      <c r="AQ75" s="106">
        <v>7118.6428349371572</v>
      </c>
      <c r="AR75" s="106">
        <v>19.188955689703434</v>
      </c>
      <c r="AS75" s="106">
        <v>12342.336299617247</v>
      </c>
      <c r="AT75" s="106">
        <v>13.13808769074809</v>
      </c>
      <c r="AU75" s="106">
        <v>8450.41800268917</v>
      </c>
      <c r="AV75" s="106">
        <v>15.140376244108239</v>
      </c>
      <c r="AW75" s="106">
        <v>9738.2900002104179</v>
      </c>
      <c r="AX75" s="106">
        <v>16.192677451195763</v>
      </c>
      <c r="AY75" s="106">
        <v>10415.130136609114</v>
      </c>
      <c r="AZ75" s="106">
        <v>6.053953338999615</v>
      </c>
      <c r="BA75" s="106">
        <v>3893.9027876445521</v>
      </c>
      <c r="BB75" s="106">
        <v>4.0695610585609518</v>
      </c>
      <c r="BC75" s="106">
        <v>2617.541672866404</v>
      </c>
      <c r="BD75" s="106">
        <v>5</v>
      </c>
      <c r="BE75" s="106">
        <v>3215.9999999999995</v>
      </c>
      <c r="BF75" s="106">
        <v>5.0709326327641211</v>
      </c>
      <c r="BG75" s="106">
        <v>3261.6238693938822</v>
      </c>
      <c r="BH75" s="106">
        <v>11.144775748721695</v>
      </c>
      <c r="BI75" s="106">
        <v>7168.3197615777935</v>
      </c>
      <c r="BJ75" s="106">
        <v>13.234465798839279</v>
      </c>
      <c r="BK75" s="106">
        <v>8512.4084018134236</v>
      </c>
      <c r="BL75" s="106">
        <v>11</v>
      </c>
      <c r="BM75" s="106">
        <v>7075.1999999999989</v>
      </c>
      <c r="BN75" s="106">
        <v>16.160048982726323</v>
      </c>
      <c r="BO75" s="106">
        <v>10394.14350568957</v>
      </c>
      <c r="BP75" s="106">
        <v>6.0581626693743216</v>
      </c>
      <c r="BQ75" s="106">
        <v>3896.610228941563</v>
      </c>
      <c r="BR75" s="106">
        <v>7.0384353888511892</v>
      </c>
      <c r="BS75" s="106">
        <v>4527.1216421090849</v>
      </c>
      <c r="BT75" s="106">
        <v>8.0807627340183803</v>
      </c>
      <c r="BU75" s="106">
        <v>5197.546590520622</v>
      </c>
      <c r="BV75" s="106">
        <v>10.035387559453032</v>
      </c>
      <c r="BW75" s="106">
        <v>6454.7612782401893</v>
      </c>
      <c r="BX75" s="106">
        <v>6</v>
      </c>
      <c r="BY75" s="106">
        <v>3859.2</v>
      </c>
      <c r="BZ75" s="106">
        <v>6.0711028537455407</v>
      </c>
      <c r="CA75" s="106">
        <v>3904.9333555291314</v>
      </c>
      <c r="CB75" s="106">
        <v>6.0571472092599361</v>
      </c>
      <c r="CC75" s="106">
        <v>3895.9570849959905</v>
      </c>
      <c r="CD75" s="106">
        <v>8.1229341339838612</v>
      </c>
      <c r="CE75" s="106">
        <v>5224.6712349784193</v>
      </c>
      <c r="CF75" s="106">
        <v>17</v>
      </c>
      <c r="CG75" s="106">
        <v>10934.4</v>
      </c>
      <c r="CH75" s="106">
        <v>16</v>
      </c>
      <c r="CI75" s="106">
        <v>10291.199999999999</v>
      </c>
      <c r="CJ75" s="106">
        <v>14.157596021947874</v>
      </c>
      <c r="CK75" s="106">
        <v>9106.1657613168718</v>
      </c>
      <c r="CL75" s="106">
        <v>19.158735902130612</v>
      </c>
      <c r="CM75" s="106">
        <v>12322.898932250408</v>
      </c>
      <c r="CN75" s="106">
        <v>8.0595183133271782</v>
      </c>
      <c r="CO75" s="106">
        <v>5183.8821791320406</v>
      </c>
      <c r="CP75" s="106">
        <v>5.0567866161616157</v>
      </c>
      <c r="CQ75" s="106">
        <v>3252.5251515151508</v>
      </c>
      <c r="CR75" s="106">
        <v>5</v>
      </c>
      <c r="CS75" s="106">
        <v>3215.9999999999995</v>
      </c>
      <c r="CT75" s="106">
        <v>6.1116058603849472</v>
      </c>
      <c r="CU75" s="106">
        <v>3930.9848893995977</v>
      </c>
    </row>
    <row r="76" spans="2:99" x14ac:dyDescent="0.2">
      <c r="C76" s="105" t="s">
        <v>242</v>
      </c>
      <c r="D76" s="106">
        <v>8</v>
      </c>
      <c r="E76" s="106">
        <v>6230.4</v>
      </c>
      <c r="F76" s="106">
        <v>8.3396981514918718</v>
      </c>
      <c r="G76" s="106">
        <v>6494.9569203818692</v>
      </c>
      <c r="H76" s="106">
        <v>11.395258272632674</v>
      </c>
      <c r="I76" s="106">
        <v>8874.6271427263255</v>
      </c>
      <c r="J76" s="106">
        <v>6.0753943995037982</v>
      </c>
      <c r="K76" s="106">
        <v>4731.5171583335577</v>
      </c>
      <c r="L76" s="106">
        <v>3.0824559181863211</v>
      </c>
      <c r="M76" s="106">
        <v>2400.6166690835066</v>
      </c>
      <c r="N76" s="106">
        <v>5.0757156952854672</v>
      </c>
      <c r="O76" s="106">
        <v>3952.9673834883215</v>
      </c>
      <c r="P76" s="106">
        <v>4</v>
      </c>
      <c r="Q76" s="106">
        <v>3115.2</v>
      </c>
      <c r="R76" s="106">
        <v>5.165441593481213</v>
      </c>
      <c r="S76" s="106">
        <v>4022.8459130031683</v>
      </c>
      <c r="T76" s="106">
        <v>23.048421487603306</v>
      </c>
      <c r="U76" s="106">
        <v>17950.110654545453</v>
      </c>
      <c r="V76" s="106">
        <v>27.041783727187937</v>
      </c>
      <c r="W76" s="106">
        <v>21060.141166733963</v>
      </c>
      <c r="X76" s="106">
        <v>24.119441064961521</v>
      </c>
      <c r="Y76" s="106">
        <v>18784.220701392031</v>
      </c>
      <c r="Z76" s="106">
        <v>19.032985487401291</v>
      </c>
      <c r="AA76" s="106">
        <v>14822.889097588124</v>
      </c>
      <c r="AB76" s="106">
        <v>16.108841607869806</v>
      </c>
      <c r="AC76" s="106">
        <v>12545.565844209004</v>
      </c>
      <c r="AD76" s="106">
        <v>15</v>
      </c>
      <c r="AE76" s="106">
        <v>11682</v>
      </c>
      <c r="AF76" s="106">
        <v>12.102310988674626</v>
      </c>
      <c r="AG76" s="106">
        <v>9425.2797979797979</v>
      </c>
      <c r="AH76" s="106">
        <v>18.176333328514218</v>
      </c>
      <c r="AI76" s="106">
        <v>14155.728396246872</v>
      </c>
      <c r="AJ76" s="106">
        <v>13.038876296085805</v>
      </c>
      <c r="AK76" s="106">
        <v>10154.676859391624</v>
      </c>
      <c r="AL76" s="106">
        <v>14.043567100593689</v>
      </c>
      <c r="AM76" s="106">
        <v>10937.130057942364</v>
      </c>
      <c r="AN76" s="106">
        <v>12</v>
      </c>
      <c r="AO76" s="106">
        <v>9345.5999999999985</v>
      </c>
      <c r="AP76" s="106">
        <v>12.084427151230482</v>
      </c>
      <c r="AQ76" s="106">
        <v>9411.3518653782994</v>
      </c>
      <c r="AR76" s="106">
        <v>19.194513209988827</v>
      </c>
      <c r="AS76" s="106">
        <v>14948.686887939297</v>
      </c>
      <c r="AT76" s="106">
        <v>12.155348652091602</v>
      </c>
      <c r="AU76" s="106">
        <v>9466.5855302489399</v>
      </c>
      <c r="AV76" s="106">
        <v>17.145134760857673</v>
      </c>
      <c r="AW76" s="106">
        <v>13352.630951755955</v>
      </c>
      <c r="AX76" s="106">
        <v>14.186462049544289</v>
      </c>
      <c r="AY76" s="106">
        <v>11048.416644185092</v>
      </c>
      <c r="AZ76" s="106">
        <v>6.0472091716246634</v>
      </c>
      <c r="BA76" s="106">
        <v>4709.5665028612875</v>
      </c>
      <c r="BB76" s="106">
        <v>4.0765171644170479</v>
      </c>
      <c r="BC76" s="106">
        <v>3174.7915676479965</v>
      </c>
      <c r="BD76" s="106">
        <v>6</v>
      </c>
      <c r="BE76" s="106">
        <v>4672.7999999999993</v>
      </c>
      <c r="BF76" s="106">
        <v>4.0709326327641211</v>
      </c>
      <c r="BG76" s="106">
        <v>3170.4423343966973</v>
      </c>
      <c r="BH76" s="106">
        <v>11.159624543462382</v>
      </c>
      <c r="BI76" s="106">
        <v>8691.1155944485017</v>
      </c>
      <c r="BJ76" s="106">
        <v>12.257912378723208</v>
      </c>
      <c r="BK76" s="106">
        <v>9546.4621605496341</v>
      </c>
      <c r="BL76" s="106">
        <v>11</v>
      </c>
      <c r="BM76" s="106">
        <v>8566.7999999999993</v>
      </c>
      <c r="BN76" s="106">
        <v>18.156910767378751</v>
      </c>
      <c r="BO76" s="106">
        <v>14140.602105634571</v>
      </c>
      <c r="BP76" s="106">
        <v>6.0630095584888481</v>
      </c>
      <c r="BQ76" s="106">
        <v>4721.8718441511146</v>
      </c>
      <c r="BR76" s="106">
        <v>6.0384353888511892</v>
      </c>
      <c r="BS76" s="106">
        <v>4702.7334808373062</v>
      </c>
      <c r="BT76" s="106">
        <v>8.0807627340183803</v>
      </c>
      <c r="BU76" s="106">
        <v>6293.2980172535144</v>
      </c>
      <c r="BV76" s="106">
        <v>8.0398110043846618</v>
      </c>
      <c r="BW76" s="106">
        <v>6261.4048102147744</v>
      </c>
      <c r="BX76" s="106">
        <v>6</v>
      </c>
      <c r="BY76" s="106">
        <v>4672.7999999999993</v>
      </c>
      <c r="BZ76" s="106">
        <v>6.0817682818073724</v>
      </c>
      <c r="CA76" s="106">
        <v>4736.4811378715813</v>
      </c>
      <c r="CB76" s="106">
        <v>5.0647668371612609</v>
      </c>
      <c r="CC76" s="106">
        <v>3944.4404127811899</v>
      </c>
      <c r="CD76" s="106">
        <v>7.1173462188027772</v>
      </c>
      <c r="CE76" s="106">
        <v>5542.9892352036022</v>
      </c>
      <c r="CF76" s="106">
        <v>16</v>
      </c>
      <c r="CG76" s="106">
        <v>12460.8</v>
      </c>
      <c r="CH76" s="106">
        <v>16</v>
      </c>
      <c r="CI76" s="106">
        <v>12460.8</v>
      </c>
      <c r="CJ76" s="106">
        <v>13.157596021947874</v>
      </c>
      <c r="CK76" s="106">
        <v>10247.135781893005</v>
      </c>
      <c r="CL76" s="106">
        <v>19.18315681015071</v>
      </c>
      <c r="CM76" s="106">
        <v>14939.842523745372</v>
      </c>
      <c r="CN76" s="106">
        <v>7.0654701446598951</v>
      </c>
      <c r="CO76" s="106">
        <v>5502.5881486611261</v>
      </c>
      <c r="CP76" s="106">
        <v>6.0671114554637278</v>
      </c>
      <c r="CQ76" s="106">
        <v>4725.0664015151506</v>
      </c>
      <c r="CR76" s="106">
        <v>6</v>
      </c>
      <c r="CS76" s="106">
        <v>4672.7999999999993</v>
      </c>
      <c r="CT76" s="106">
        <v>6.1227664464234417</v>
      </c>
      <c r="CU76" s="106">
        <v>4768.4105084745761</v>
      </c>
    </row>
    <row r="77" spans="2:99" x14ac:dyDescent="0.2">
      <c r="C77" s="105" t="s">
        <v>243</v>
      </c>
      <c r="D77" s="106">
        <v>9</v>
      </c>
      <c r="E77" s="106">
        <v>2505.6</v>
      </c>
      <c r="F77" s="106">
        <v>8.3919594055675439</v>
      </c>
      <c r="G77" s="106">
        <v>2336.3214985100039</v>
      </c>
      <c r="H77" s="106">
        <v>11.421608824141519</v>
      </c>
      <c r="I77" s="106">
        <v>3179.7758966409983</v>
      </c>
      <c r="J77" s="106">
        <v>6.0793625257934716</v>
      </c>
      <c r="K77" s="106">
        <v>1692.4945271809024</v>
      </c>
      <c r="L77" s="106">
        <v>3.0761131552489118</v>
      </c>
      <c r="M77" s="106">
        <v>856.38990242129694</v>
      </c>
      <c r="N77" s="106">
        <v>5.0870730495782874</v>
      </c>
      <c r="O77" s="106">
        <v>1416.241137002595</v>
      </c>
      <c r="P77" s="106">
        <v>4</v>
      </c>
      <c r="Q77" s="106">
        <v>1113.5999999999999</v>
      </c>
      <c r="R77" s="106">
        <v>5.1585481937528295</v>
      </c>
      <c r="S77" s="106">
        <v>1436.1398171407875</v>
      </c>
      <c r="T77" s="106">
        <v>25.051111570247933</v>
      </c>
      <c r="U77" s="106">
        <v>6974.2294611570242</v>
      </c>
      <c r="V77" s="106">
        <v>31.044395210137186</v>
      </c>
      <c r="W77" s="106">
        <v>8642.7596265021912</v>
      </c>
      <c r="X77" s="106">
        <v>23.119441064961521</v>
      </c>
      <c r="Y77" s="106">
        <v>6436.4523924852865</v>
      </c>
      <c r="Z77" s="106">
        <v>18.038060177770721</v>
      </c>
      <c r="AA77" s="106">
        <v>5021.795953491368</v>
      </c>
      <c r="AB77" s="106">
        <v>17.123353822252447</v>
      </c>
      <c r="AC77" s="106">
        <v>4767.1417041150808</v>
      </c>
      <c r="AD77" s="106">
        <v>18</v>
      </c>
      <c r="AE77" s="106">
        <v>5011.2</v>
      </c>
      <c r="AF77" s="106">
        <v>11.115952453831241</v>
      </c>
      <c r="AG77" s="106">
        <v>3094.6811631466171</v>
      </c>
      <c r="AH77" s="106">
        <v>19.161638884471369</v>
      </c>
      <c r="AI77" s="106">
        <v>5334.6002654368285</v>
      </c>
      <c r="AJ77" s="106">
        <v>13.038876296085805</v>
      </c>
      <c r="AK77" s="106">
        <v>3630.0231608302879</v>
      </c>
      <c r="AL77" s="106">
        <v>17.051488391610725</v>
      </c>
      <c r="AM77" s="106">
        <v>4747.1343682244251</v>
      </c>
      <c r="AN77" s="106">
        <v>12</v>
      </c>
      <c r="AO77" s="106">
        <v>3340.7999999999997</v>
      </c>
      <c r="AP77" s="106">
        <v>13.075984436107435</v>
      </c>
      <c r="AQ77" s="106">
        <v>3640.3540670123093</v>
      </c>
      <c r="AR77" s="106">
        <v>18.19266070322703</v>
      </c>
      <c r="AS77" s="106">
        <v>5064.836739778405</v>
      </c>
      <c r="AT77" s="106">
        <v>13.160280355332604</v>
      </c>
      <c r="AU77" s="106">
        <v>3663.8220509245966</v>
      </c>
      <c r="AV77" s="106">
        <v>18.154651794356536</v>
      </c>
      <c r="AW77" s="106">
        <v>5054.2550595488592</v>
      </c>
      <c r="AX77" s="106">
        <v>15.190605650645272</v>
      </c>
      <c r="AY77" s="106">
        <v>4229.0646131396434</v>
      </c>
      <c r="AZ77" s="106">
        <v>6.053953338999615</v>
      </c>
      <c r="BA77" s="106">
        <v>1685.4206095774928</v>
      </c>
      <c r="BB77" s="106">
        <v>4.0695610585609518</v>
      </c>
      <c r="BC77" s="106">
        <v>1132.9657987033688</v>
      </c>
      <c r="BD77" s="106">
        <v>6</v>
      </c>
      <c r="BE77" s="106">
        <v>1670.3999999999999</v>
      </c>
      <c r="BF77" s="106">
        <v>4.0788140364045784</v>
      </c>
      <c r="BG77" s="106">
        <v>1135.5418277350345</v>
      </c>
      <c r="BH77" s="106">
        <v>10.152200146092039</v>
      </c>
      <c r="BI77" s="106">
        <v>2826.3725206720233</v>
      </c>
      <c r="BJ77" s="106">
        <v>14.265727905351184</v>
      </c>
      <c r="BK77" s="106">
        <v>3971.5786488497693</v>
      </c>
      <c r="BL77" s="106">
        <v>11</v>
      </c>
      <c r="BM77" s="106">
        <v>3062.3999999999996</v>
      </c>
      <c r="BN77" s="106">
        <v>16.178878274811776</v>
      </c>
      <c r="BO77" s="106">
        <v>4504.199711707598</v>
      </c>
      <c r="BP77" s="106">
        <v>6.0581626693743216</v>
      </c>
      <c r="BQ77" s="106">
        <v>1686.5924871538109</v>
      </c>
      <c r="BR77" s="106">
        <v>7.0384353888511892</v>
      </c>
      <c r="BS77" s="106">
        <v>1959.5004122561709</v>
      </c>
      <c r="BT77" s="106">
        <v>9.0807627340183803</v>
      </c>
      <c r="BU77" s="106">
        <v>2528.0843451507167</v>
      </c>
      <c r="BV77" s="106">
        <v>8.0353875594530315</v>
      </c>
      <c r="BW77" s="106">
        <v>2237.051896551724</v>
      </c>
      <c r="BX77" s="106">
        <v>7</v>
      </c>
      <c r="BY77" s="106">
        <v>1948.7999999999997</v>
      </c>
      <c r="BZ77" s="106">
        <v>6.0711028537455407</v>
      </c>
      <c r="CA77" s="106">
        <v>1690.1950344827585</v>
      </c>
      <c r="CB77" s="106">
        <v>6.0685766511119228</v>
      </c>
      <c r="CC77" s="106">
        <v>1689.4917396695591</v>
      </c>
      <c r="CD77" s="106">
        <v>7.1229341339838621</v>
      </c>
      <c r="CE77" s="106">
        <v>1983.0248629011071</v>
      </c>
      <c r="CF77" s="106">
        <v>21</v>
      </c>
      <c r="CG77" s="106">
        <v>5846.4</v>
      </c>
      <c r="CH77" s="106">
        <v>18</v>
      </c>
      <c r="CI77" s="106">
        <v>5011.2</v>
      </c>
      <c r="CJ77" s="106">
        <v>15.169718792866941</v>
      </c>
      <c r="CK77" s="106">
        <v>4223.249711934156</v>
      </c>
      <c r="CL77" s="106">
        <v>20.207577718170803</v>
      </c>
      <c r="CM77" s="106">
        <v>5625.7896367387511</v>
      </c>
      <c r="CN77" s="106">
        <v>8.065470144659896</v>
      </c>
      <c r="CO77" s="106">
        <v>2245.4268882733149</v>
      </c>
      <c r="CP77" s="106">
        <v>5.0671114554637278</v>
      </c>
      <c r="CQ77" s="106">
        <v>1410.6838292011016</v>
      </c>
      <c r="CR77" s="106">
        <v>6</v>
      </c>
      <c r="CS77" s="106">
        <v>1670.3999999999999</v>
      </c>
      <c r="CT77" s="106">
        <v>7.1227664464234417</v>
      </c>
      <c r="CU77" s="106">
        <v>1982.9781786842859</v>
      </c>
    </row>
    <row r="78" spans="2:99" x14ac:dyDescent="0.2">
      <c r="C78" s="105" t="s">
        <v>244</v>
      </c>
      <c r="D78" s="106">
        <v>8</v>
      </c>
      <c r="E78" s="106">
        <v>4416</v>
      </c>
      <c r="F78" s="106">
        <v>9.3396981514918718</v>
      </c>
      <c r="G78" s="106">
        <v>5155.5133796235132</v>
      </c>
      <c r="H78" s="106">
        <v>10.421608824141519</v>
      </c>
      <c r="I78" s="106">
        <v>5752.7280709261186</v>
      </c>
      <c r="J78" s="106">
        <v>6.0793625257934716</v>
      </c>
      <c r="K78" s="106">
        <v>3355.8081142379965</v>
      </c>
      <c r="L78" s="106">
        <v>3.0887986811237305</v>
      </c>
      <c r="M78" s="106">
        <v>1705.0168719802991</v>
      </c>
      <c r="N78" s="106">
        <v>5.0795014800497409</v>
      </c>
      <c r="O78" s="106">
        <v>2803.8848169874568</v>
      </c>
      <c r="P78" s="106">
        <v>3</v>
      </c>
      <c r="Q78" s="106">
        <v>1656</v>
      </c>
      <c r="R78" s="106">
        <v>4.165441593481213</v>
      </c>
      <c r="S78" s="106">
        <v>2299.3237596016297</v>
      </c>
      <c r="T78" s="106">
        <v>23.051111570247933</v>
      </c>
      <c r="U78" s="106">
        <v>12724.213586776859</v>
      </c>
      <c r="V78" s="106">
        <v>31.044395210137186</v>
      </c>
      <c r="W78" s="106">
        <v>17136.506155995725</v>
      </c>
      <c r="X78" s="106">
        <v>26.108582786328654</v>
      </c>
      <c r="Y78" s="106">
        <v>14411.937698053416</v>
      </c>
      <c r="Z78" s="106">
        <v>17.032985487401291</v>
      </c>
      <c r="AA78" s="106">
        <v>9402.2079890455134</v>
      </c>
      <c r="AB78" s="106">
        <v>16.116097715061127</v>
      </c>
      <c r="AC78" s="106">
        <v>8896.0859387137425</v>
      </c>
      <c r="AD78" s="106">
        <v>16</v>
      </c>
      <c r="AE78" s="106">
        <v>8832</v>
      </c>
      <c r="AF78" s="106">
        <v>11.115952453831241</v>
      </c>
      <c r="AG78" s="106">
        <v>6136.0057545148447</v>
      </c>
      <c r="AH78" s="106">
        <v>20.176333328514218</v>
      </c>
      <c r="AI78" s="106">
        <v>11137.335997339849</v>
      </c>
      <c r="AJ78" s="106">
        <v>12.038876296085805</v>
      </c>
      <c r="AK78" s="106">
        <v>6645.4597154393641</v>
      </c>
      <c r="AL78" s="106">
        <v>15.043567100593689</v>
      </c>
      <c r="AM78" s="106">
        <v>8304.0490395277156</v>
      </c>
      <c r="AN78" s="106">
        <v>12</v>
      </c>
      <c r="AO78" s="106">
        <v>6624</v>
      </c>
      <c r="AP78" s="106">
        <v>12.075984436107435</v>
      </c>
      <c r="AQ78" s="106">
        <v>6665.9434087313039</v>
      </c>
      <c r="AR78" s="106">
        <v>20.20192323703602</v>
      </c>
      <c r="AS78" s="106">
        <v>11151.461626843882</v>
      </c>
      <c r="AT78" s="106">
        <v>14.152882800471099</v>
      </c>
      <c r="AU78" s="106">
        <v>7812.3913058600465</v>
      </c>
      <c r="AV78" s="106">
        <v>16.159410311105969</v>
      </c>
      <c r="AW78" s="106">
        <v>8919.9944917304947</v>
      </c>
      <c r="AX78" s="106">
        <v>14.192677451195765</v>
      </c>
      <c r="AY78" s="106">
        <v>7834.3579530600618</v>
      </c>
      <c r="AZ78" s="106">
        <v>6.0606975063745674</v>
      </c>
      <c r="BA78" s="106">
        <v>3345.5050235187614</v>
      </c>
      <c r="BB78" s="106">
        <v>4.0765171644170479</v>
      </c>
      <c r="BC78" s="106">
        <v>2250.2374747582103</v>
      </c>
      <c r="BD78" s="106">
        <v>6</v>
      </c>
      <c r="BE78" s="106">
        <v>3312</v>
      </c>
      <c r="BF78" s="106">
        <v>4.0788140364045784</v>
      </c>
      <c r="BG78" s="106">
        <v>2251.5053480953275</v>
      </c>
      <c r="BH78" s="106">
        <v>10.170761139517897</v>
      </c>
      <c r="BI78" s="106">
        <v>5614.2601490138786</v>
      </c>
      <c r="BJ78" s="106">
        <v>12.281358958607136</v>
      </c>
      <c r="BK78" s="106">
        <v>6779.3101451511393</v>
      </c>
      <c r="BL78" s="106">
        <v>11</v>
      </c>
      <c r="BM78" s="106">
        <v>6072</v>
      </c>
      <c r="BN78" s="106">
        <v>15.147496121336024</v>
      </c>
      <c r="BO78" s="106">
        <v>8361.4178589774856</v>
      </c>
      <c r="BP78" s="106">
        <v>6.0581626693743216</v>
      </c>
      <c r="BQ78" s="106">
        <v>3344.1057934946257</v>
      </c>
      <c r="BR78" s="106">
        <v>7.0384353888511892</v>
      </c>
      <c r="BS78" s="106">
        <v>3885.2163346458565</v>
      </c>
      <c r="BT78" s="106">
        <v>8.0807627340183803</v>
      </c>
      <c r="BU78" s="106">
        <v>4460.5810291781463</v>
      </c>
      <c r="BV78" s="106">
        <v>9.0353875594530315</v>
      </c>
      <c r="BW78" s="106">
        <v>4987.5339328180735</v>
      </c>
      <c r="BX78" s="106">
        <v>7</v>
      </c>
      <c r="BY78" s="106">
        <v>3864</v>
      </c>
      <c r="BZ78" s="106">
        <v>7.0746579964328182</v>
      </c>
      <c r="CA78" s="106">
        <v>3905.2112140309155</v>
      </c>
      <c r="CB78" s="106">
        <v>5.0685766511119228</v>
      </c>
      <c r="CC78" s="106">
        <v>2797.8543114137815</v>
      </c>
      <c r="CD78" s="106">
        <v>7.1061703884406082</v>
      </c>
      <c r="CE78" s="106">
        <v>3922.6060544192155</v>
      </c>
      <c r="CF78" s="106">
        <v>19</v>
      </c>
      <c r="CG78" s="106">
        <v>10488</v>
      </c>
      <c r="CH78" s="106">
        <v>17</v>
      </c>
      <c r="CI78" s="106">
        <v>9384</v>
      </c>
      <c r="CJ78" s="106">
        <v>13.181841563786008</v>
      </c>
      <c r="CK78" s="106">
        <v>7276.3765432098771</v>
      </c>
      <c r="CL78" s="106">
        <v>19.195367264160755</v>
      </c>
      <c r="CM78" s="106">
        <v>10595.842729816737</v>
      </c>
      <c r="CN78" s="106">
        <v>7.0654701446598951</v>
      </c>
      <c r="CO78" s="106">
        <v>3900.1395198522623</v>
      </c>
      <c r="CP78" s="106">
        <v>6.0671114554637278</v>
      </c>
      <c r="CQ78" s="106">
        <v>3349.0455234159776</v>
      </c>
      <c r="CR78" s="106">
        <v>6</v>
      </c>
      <c r="CS78" s="106">
        <v>3312</v>
      </c>
      <c r="CT78" s="106">
        <v>6.1116058603849472</v>
      </c>
      <c r="CU78" s="106">
        <v>3373.6064349324911</v>
      </c>
    </row>
    <row r="79" spans="2:99" x14ac:dyDescent="0.2">
      <c r="C79" s="105" t="s">
        <v>245</v>
      </c>
      <c r="D79" s="106">
        <v>8</v>
      </c>
      <c r="E79" s="106">
        <v>6057.5999999999995</v>
      </c>
      <c r="F79" s="106">
        <v>8.3396981514918718</v>
      </c>
      <c r="G79" s="106">
        <v>6314.819440309645</v>
      </c>
      <c r="H79" s="106">
        <v>9.4216088241415186</v>
      </c>
      <c r="I79" s="106">
        <v>7134.0422016399571</v>
      </c>
      <c r="J79" s="106">
        <v>6.0793625257934716</v>
      </c>
      <c r="K79" s="106">
        <v>4603.2933045308164</v>
      </c>
      <c r="L79" s="106">
        <v>3.0887986811237305</v>
      </c>
      <c r="M79" s="106">
        <v>2338.8383613468886</v>
      </c>
      <c r="N79" s="106">
        <v>5.0832872648140137</v>
      </c>
      <c r="O79" s="106">
        <v>3849.0651169171711</v>
      </c>
      <c r="P79" s="106">
        <v>3</v>
      </c>
      <c r="Q79" s="106">
        <v>2271.6</v>
      </c>
      <c r="R79" s="106">
        <v>5.165441593481213</v>
      </c>
      <c r="S79" s="106">
        <v>3911.2723745839739</v>
      </c>
      <c r="T79" s="106">
        <v>24.045731404958676</v>
      </c>
      <c r="U79" s="106">
        <v>18207.427819834709</v>
      </c>
      <c r="V79" s="106">
        <v>26.041783727187937</v>
      </c>
      <c r="W79" s="106">
        <v>19718.838638226705</v>
      </c>
      <c r="X79" s="106">
        <v>22.119441064961521</v>
      </c>
      <c r="Y79" s="106">
        <v>16748.840774388864</v>
      </c>
      <c r="Z79" s="106">
        <v>18.032985487401291</v>
      </c>
      <c r="AA79" s="106">
        <v>13654.576611060256</v>
      </c>
      <c r="AB79" s="106">
        <v>17.116097715061127</v>
      </c>
      <c r="AC79" s="106">
        <v>12960.309189844284</v>
      </c>
      <c r="AD79" s="106">
        <v>16</v>
      </c>
      <c r="AE79" s="106">
        <v>12115.199999999999</v>
      </c>
      <c r="AF79" s="106">
        <v>11.12277318640955</v>
      </c>
      <c r="AG79" s="106">
        <v>8422.1638567493101</v>
      </c>
      <c r="AH79" s="106">
        <v>19.176333328514218</v>
      </c>
      <c r="AI79" s="106">
        <v>14520.319596350964</v>
      </c>
      <c r="AJ79" s="106">
        <v>13.035342087350731</v>
      </c>
      <c r="AK79" s="106">
        <v>9870.3610285419727</v>
      </c>
      <c r="AL79" s="106">
        <v>16.043567100593688</v>
      </c>
      <c r="AM79" s="106">
        <v>12148.18900856954</v>
      </c>
      <c r="AN79" s="106">
        <v>10</v>
      </c>
      <c r="AO79" s="106">
        <v>7571.9999999999991</v>
      </c>
      <c r="AP79" s="106">
        <v>11.075984436107435</v>
      </c>
      <c r="AQ79" s="106">
        <v>8386.7354150205483</v>
      </c>
      <c r="AR79" s="106">
        <v>18.181545662656237</v>
      </c>
      <c r="AS79" s="106">
        <v>13767.066375763301</v>
      </c>
      <c r="AT79" s="106">
        <v>14.147951097230097</v>
      </c>
      <c r="AU79" s="106">
        <v>10712.828570822629</v>
      </c>
      <c r="AV79" s="106">
        <v>16.154651794356536</v>
      </c>
      <c r="AW79" s="106">
        <v>12232.302338686768</v>
      </c>
      <c r="AX79" s="106">
        <v>13.16781584458986</v>
      </c>
      <c r="AY79" s="106">
        <v>9970.670157523442</v>
      </c>
      <c r="AZ79" s="106">
        <v>6.0606975063745674</v>
      </c>
      <c r="BA79" s="106">
        <v>4589.1601518268217</v>
      </c>
      <c r="BB79" s="106">
        <v>4.0695610585609518</v>
      </c>
      <c r="BC79" s="106">
        <v>3081.4716335423523</v>
      </c>
      <c r="BD79" s="106">
        <v>5</v>
      </c>
      <c r="BE79" s="106">
        <v>3785.9999999999995</v>
      </c>
      <c r="BF79" s="106">
        <v>4.0630512291236629</v>
      </c>
      <c r="BG79" s="106">
        <v>3076.5423906924375</v>
      </c>
      <c r="BH79" s="106">
        <v>10.144775748721695</v>
      </c>
      <c r="BI79" s="106">
        <v>7681.6241969320672</v>
      </c>
      <c r="BJ79" s="106">
        <v>13.257912378723208</v>
      </c>
      <c r="BK79" s="106">
        <v>10038.891253169213</v>
      </c>
      <c r="BL79" s="106">
        <v>11</v>
      </c>
      <c r="BM79" s="106">
        <v>8329.1999999999989</v>
      </c>
      <c r="BN79" s="106">
        <v>17.14435790598845</v>
      </c>
      <c r="BO79" s="106">
        <v>12981.707806414453</v>
      </c>
      <c r="BP79" s="106">
        <v>5.0581626693743216</v>
      </c>
      <c r="BQ79" s="106">
        <v>3830.0407732502358</v>
      </c>
      <c r="BR79" s="106">
        <v>7.034164790089946</v>
      </c>
      <c r="BS79" s="106">
        <v>5326.2695790561065</v>
      </c>
      <c r="BT79" s="106">
        <v>8.0807627340183803</v>
      </c>
      <c r="BU79" s="106">
        <v>6118.7535421987168</v>
      </c>
      <c r="BV79" s="106">
        <v>9.030964114521403</v>
      </c>
      <c r="BW79" s="106">
        <v>6838.2460275156054</v>
      </c>
      <c r="BX79" s="106">
        <v>6</v>
      </c>
      <c r="BY79" s="106">
        <v>4543.2</v>
      </c>
      <c r="BZ79" s="106">
        <v>7.0711028537455407</v>
      </c>
      <c r="CA79" s="106">
        <v>5354.2390808561231</v>
      </c>
      <c r="CB79" s="106">
        <v>5.0647668371612609</v>
      </c>
      <c r="CC79" s="106">
        <v>3835.0414490985063</v>
      </c>
      <c r="CD79" s="106">
        <v>7.1229341339838621</v>
      </c>
      <c r="CE79" s="106">
        <v>5393.4857262525802</v>
      </c>
      <c r="CF79" s="106">
        <v>19</v>
      </c>
      <c r="CG79" s="106">
        <v>14386.8</v>
      </c>
      <c r="CH79" s="106">
        <v>17</v>
      </c>
      <c r="CI79" s="106">
        <v>12872.4</v>
      </c>
      <c r="CJ79" s="106">
        <v>15.157596021947874</v>
      </c>
      <c r="CK79" s="106">
        <v>11477.33170781893</v>
      </c>
      <c r="CL79" s="106">
        <v>20.170946356140661</v>
      </c>
      <c r="CM79" s="106">
        <v>15273.440580869707</v>
      </c>
      <c r="CN79" s="106">
        <v>7.0595183133271773</v>
      </c>
      <c r="CO79" s="106">
        <v>5345.4672668513385</v>
      </c>
      <c r="CP79" s="106">
        <v>6.0567866161616157</v>
      </c>
      <c r="CQ79" s="106">
        <v>4586.1988257575749</v>
      </c>
      <c r="CR79" s="106">
        <v>5</v>
      </c>
      <c r="CS79" s="106">
        <v>3785.9999999999995</v>
      </c>
      <c r="CT79" s="106">
        <v>5.1227664464234417</v>
      </c>
      <c r="CU79" s="106">
        <v>3878.9587532318296</v>
      </c>
    </row>
    <row r="80" spans="2:99" x14ac:dyDescent="0.2">
      <c r="C80" s="105" t="s">
        <v>246</v>
      </c>
      <c r="D80" s="106">
        <v>8</v>
      </c>
      <c r="E80" s="106">
        <v>6441.5999999999995</v>
      </c>
      <c r="F80" s="106">
        <v>8.365828778529707</v>
      </c>
      <c r="G80" s="106">
        <v>6736.1653324721192</v>
      </c>
      <c r="H80" s="106">
        <v>10.368907721123829</v>
      </c>
      <c r="I80" s="106">
        <v>8349.0444970489061</v>
      </c>
      <c r="J80" s="106">
        <v>6.0793625257934716</v>
      </c>
      <c r="K80" s="106">
        <v>4895.1027057689025</v>
      </c>
      <c r="L80" s="106">
        <v>3.0856272996550258</v>
      </c>
      <c r="M80" s="106">
        <v>2484.5471016822266</v>
      </c>
      <c r="N80" s="106">
        <v>5.0795014800497409</v>
      </c>
      <c r="O80" s="106">
        <v>4090.014591736051</v>
      </c>
      <c r="P80" s="106">
        <v>3</v>
      </c>
      <c r="Q80" s="106">
        <v>2415.6</v>
      </c>
      <c r="R80" s="106">
        <v>5.151654794024445</v>
      </c>
      <c r="S80" s="106">
        <v>4148.1124401484831</v>
      </c>
      <c r="T80" s="106">
        <v>22.04304132231405</v>
      </c>
      <c r="U80" s="106">
        <v>17749.056872727273</v>
      </c>
      <c r="V80" s="106">
        <v>29.047006693086431</v>
      </c>
      <c r="W80" s="106">
        <v>23388.649789273193</v>
      </c>
      <c r="X80" s="106">
        <v>25.103153647012224</v>
      </c>
      <c r="Y80" s="106">
        <v>20213.059316574239</v>
      </c>
      <c r="Z80" s="106">
        <v>17.035522832586004</v>
      </c>
      <c r="AA80" s="106">
        <v>13717.00298479825</v>
      </c>
      <c r="AB80" s="106">
        <v>16.101585500678489</v>
      </c>
      <c r="AC80" s="106">
        <v>12964.996645146319</v>
      </c>
      <c r="AD80" s="106">
        <v>15</v>
      </c>
      <c r="AE80" s="106">
        <v>12077.999999999998</v>
      </c>
      <c r="AF80" s="106">
        <v>10.109131721252933</v>
      </c>
      <c r="AG80" s="106">
        <v>8139.8728619528611</v>
      </c>
      <c r="AH80" s="106">
        <v>19.146944440428516</v>
      </c>
      <c r="AI80" s="106">
        <v>15417.119663433041</v>
      </c>
      <c r="AJ80" s="106">
        <v>11.038876296085805</v>
      </c>
      <c r="AK80" s="106">
        <v>8888.5031936082887</v>
      </c>
      <c r="AL80" s="106">
        <v>15.047527746102206</v>
      </c>
      <c r="AM80" s="106">
        <v>12116.269341161496</v>
      </c>
      <c r="AN80" s="106">
        <v>12</v>
      </c>
      <c r="AO80" s="106">
        <v>9662.4</v>
      </c>
      <c r="AP80" s="106">
        <v>13.067541720984387</v>
      </c>
      <c r="AQ80" s="106">
        <v>10521.984593736628</v>
      </c>
      <c r="AR80" s="106">
        <v>17.200070730274224</v>
      </c>
      <c r="AS80" s="106">
        <v>13849.496952016803</v>
      </c>
      <c r="AT80" s="106">
        <v>13.143019393989093</v>
      </c>
      <c r="AU80" s="106">
        <v>10582.759216040016</v>
      </c>
      <c r="AV80" s="106">
        <v>14.130859210609376</v>
      </c>
      <c r="AW80" s="106">
        <v>11378.167836382669</v>
      </c>
      <c r="AX80" s="106">
        <v>15.169887645140351</v>
      </c>
      <c r="AY80" s="106">
        <v>12214.79353186701</v>
      </c>
      <c r="AZ80" s="106">
        <v>6.053953338999615</v>
      </c>
      <c r="BA80" s="106">
        <v>4874.6432285624896</v>
      </c>
      <c r="BB80" s="106">
        <v>4.0765171644170479</v>
      </c>
      <c r="BC80" s="106">
        <v>3282.4116207886068</v>
      </c>
      <c r="BD80" s="106">
        <v>6</v>
      </c>
      <c r="BE80" s="106">
        <v>4831.2</v>
      </c>
      <c r="BF80" s="106">
        <v>4.0709326327641211</v>
      </c>
      <c r="BG80" s="106">
        <v>3277.9149559016701</v>
      </c>
      <c r="BH80" s="106">
        <v>11.15591234477721</v>
      </c>
      <c r="BI80" s="106">
        <v>8982.7406200146088</v>
      </c>
      <c r="BJ80" s="106">
        <v>13.250096852095233</v>
      </c>
      <c r="BK80" s="106">
        <v>10668.977985307081</v>
      </c>
      <c r="BL80" s="106">
        <v>11</v>
      </c>
      <c r="BM80" s="106">
        <v>8857.1999999999989</v>
      </c>
      <c r="BN80" s="106">
        <v>15.14435790598845</v>
      </c>
      <c r="BO80" s="106">
        <v>12194.236985901898</v>
      </c>
      <c r="BP80" s="106">
        <v>5.0581626693743216</v>
      </c>
      <c r="BQ80" s="106">
        <v>4072.8325813802035</v>
      </c>
      <c r="BR80" s="106">
        <v>6.0384353888511892</v>
      </c>
      <c r="BS80" s="106">
        <v>4862.1481751029769</v>
      </c>
      <c r="BT80" s="106">
        <v>8.0717890969052259</v>
      </c>
      <c r="BU80" s="106">
        <v>6499.4045808280871</v>
      </c>
      <c r="BV80" s="106">
        <v>8.0353875594530315</v>
      </c>
      <c r="BW80" s="106">
        <v>6470.0940628715807</v>
      </c>
      <c r="BX80" s="106">
        <v>6</v>
      </c>
      <c r="BY80" s="106">
        <v>4831.2</v>
      </c>
      <c r="BZ80" s="106">
        <v>6.0746579964328182</v>
      </c>
      <c r="CA80" s="106">
        <v>4891.3146187277052</v>
      </c>
      <c r="CB80" s="106">
        <v>5.0571472092599361</v>
      </c>
      <c r="CC80" s="106">
        <v>4072.0149328961002</v>
      </c>
      <c r="CD80" s="106">
        <v>7.1061703884406082</v>
      </c>
      <c r="CE80" s="106">
        <v>5721.8883967723768</v>
      </c>
      <c r="CF80" s="106">
        <v>18</v>
      </c>
      <c r="CG80" s="106">
        <v>14493.599999999999</v>
      </c>
      <c r="CH80" s="106">
        <v>15</v>
      </c>
      <c r="CI80" s="106">
        <v>12077.999999999998</v>
      </c>
      <c r="CJ80" s="106">
        <v>13.181841563786008</v>
      </c>
      <c r="CK80" s="106">
        <v>10614.018827160493</v>
      </c>
      <c r="CL80" s="106">
        <v>17.195367264160755</v>
      </c>
      <c r="CM80" s="106">
        <v>13845.709721102239</v>
      </c>
      <c r="CN80" s="106">
        <v>7.0595183133271773</v>
      </c>
      <c r="CO80" s="106">
        <v>5684.3241458910425</v>
      </c>
      <c r="CP80" s="106">
        <v>6.0619490358126722</v>
      </c>
      <c r="CQ80" s="106">
        <v>4881.0813636363637</v>
      </c>
      <c r="CR80" s="106">
        <v>5</v>
      </c>
      <c r="CS80" s="106">
        <v>4025.9999999999995</v>
      </c>
      <c r="CT80" s="106">
        <v>5.1227664464234417</v>
      </c>
      <c r="CU80" s="106">
        <v>4124.8515426601552</v>
      </c>
    </row>
    <row r="81" spans="2:99" x14ac:dyDescent="0.2">
      <c r="C81" s="105" t="s">
        <v>247</v>
      </c>
      <c r="D81" s="106">
        <v>8</v>
      </c>
      <c r="E81" s="106">
        <v>6028.8</v>
      </c>
      <c r="F81" s="106">
        <v>8.3135675244540348</v>
      </c>
      <c r="G81" s="106">
        <v>6265.1044864285604</v>
      </c>
      <c r="H81" s="106">
        <v>11.395258272632674</v>
      </c>
      <c r="I81" s="106">
        <v>8587.4666342559831</v>
      </c>
      <c r="J81" s="106">
        <v>6.0753943995037982</v>
      </c>
      <c r="K81" s="106">
        <v>4578.4172194660623</v>
      </c>
      <c r="L81" s="106">
        <v>3.0792845367176165</v>
      </c>
      <c r="M81" s="106">
        <v>2320.5488268703957</v>
      </c>
      <c r="N81" s="106">
        <v>5.0757156952854672</v>
      </c>
      <c r="O81" s="106">
        <v>3825.0593479671284</v>
      </c>
      <c r="P81" s="106">
        <v>4</v>
      </c>
      <c r="Q81" s="106">
        <v>3014.4</v>
      </c>
      <c r="R81" s="106">
        <v>4.1585481937528295</v>
      </c>
      <c r="S81" s="106">
        <v>3133.8819188121324</v>
      </c>
      <c r="T81" s="106">
        <v>25.04304132231405</v>
      </c>
      <c r="U81" s="106">
        <v>18872.435940495867</v>
      </c>
      <c r="V81" s="106">
        <v>32.044395210137182</v>
      </c>
      <c r="W81" s="106">
        <v>24148.656230359382</v>
      </c>
      <c r="X81" s="106">
        <v>23.103153647012224</v>
      </c>
      <c r="Y81" s="106">
        <v>17410.536588388411</v>
      </c>
      <c r="Z81" s="106">
        <v>20.032985487401291</v>
      </c>
      <c r="AA81" s="106">
        <v>15096.857863305613</v>
      </c>
      <c r="AB81" s="106">
        <v>16.116097715061127</v>
      </c>
      <c r="AC81" s="106">
        <v>12145.091238070065</v>
      </c>
      <c r="AD81" s="106">
        <v>16</v>
      </c>
      <c r="AE81" s="106">
        <v>12057.6</v>
      </c>
      <c r="AF81" s="106">
        <v>12.109131721252933</v>
      </c>
      <c r="AG81" s="106">
        <v>9125.4416651362098</v>
      </c>
      <c r="AH81" s="106">
        <v>19.176333328514218</v>
      </c>
      <c r="AI81" s="106">
        <v>14451.284796368314</v>
      </c>
      <c r="AJ81" s="106">
        <v>13.038876296085805</v>
      </c>
      <c r="AK81" s="106">
        <v>9826.0971767302635</v>
      </c>
      <c r="AL81" s="106">
        <v>15.047527746102206</v>
      </c>
      <c r="AM81" s="106">
        <v>11339.816909462623</v>
      </c>
      <c r="AN81" s="106">
        <v>12</v>
      </c>
      <c r="AO81" s="106">
        <v>9043.2000000000007</v>
      </c>
      <c r="AP81" s="106">
        <v>12.075984436107435</v>
      </c>
      <c r="AQ81" s="106">
        <v>9100.4618710505638</v>
      </c>
      <c r="AR81" s="106">
        <v>21.187103182941634</v>
      </c>
      <c r="AS81" s="106">
        <v>15966.600958664816</v>
      </c>
      <c r="AT81" s="106">
        <v>12.147951097230097</v>
      </c>
      <c r="AU81" s="106">
        <v>9154.6959468726018</v>
      </c>
      <c r="AV81" s="106">
        <v>16.133238468984093</v>
      </c>
      <c r="AW81" s="106">
        <v>12158.008510226413</v>
      </c>
      <c r="AX81" s="106">
        <v>15.180246647892812</v>
      </c>
      <c r="AY81" s="106">
        <v>11439.833873852023</v>
      </c>
      <c r="AZ81" s="106">
        <v>6.053953338999615</v>
      </c>
      <c r="BA81" s="106">
        <v>4562.2592362701098</v>
      </c>
      <c r="BB81" s="106">
        <v>4.0626049527048567</v>
      </c>
      <c r="BC81" s="106">
        <v>3061.57909235838</v>
      </c>
      <c r="BD81" s="106">
        <v>6</v>
      </c>
      <c r="BE81" s="106">
        <v>4521.6000000000004</v>
      </c>
      <c r="BF81" s="106">
        <v>4.0788140364045784</v>
      </c>
      <c r="BG81" s="106">
        <v>3073.7942578344905</v>
      </c>
      <c r="BH81" s="106">
        <v>10.159624543462382</v>
      </c>
      <c r="BI81" s="106">
        <v>7656.2930559532515</v>
      </c>
      <c r="BJ81" s="106">
        <v>13.27354343197916</v>
      </c>
      <c r="BK81" s="106">
        <v>10002.942330339496</v>
      </c>
      <c r="BL81" s="106">
        <v>12</v>
      </c>
      <c r="BM81" s="106">
        <v>9043.2000000000007</v>
      </c>
      <c r="BN81" s="106">
        <v>15.166325413421475</v>
      </c>
      <c r="BO81" s="106">
        <v>11429.342831554424</v>
      </c>
      <c r="BP81" s="106">
        <v>5.053315780259795</v>
      </c>
      <c r="BQ81" s="106">
        <v>3808.1787720037814</v>
      </c>
      <c r="BR81" s="106">
        <v>6.034164790089946</v>
      </c>
      <c r="BS81" s="106">
        <v>4547.3465858117834</v>
      </c>
      <c r="BT81" s="106">
        <v>9.0807627340183803</v>
      </c>
      <c r="BU81" s="106">
        <v>6843.2627963562518</v>
      </c>
      <c r="BV81" s="106">
        <v>9.0398110043846618</v>
      </c>
      <c r="BW81" s="106">
        <v>6812.4015729042812</v>
      </c>
      <c r="BX81" s="106">
        <v>7</v>
      </c>
      <c r="BY81" s="106">
        <v>5275.2</v>
      </c>
      <c r="BZ81" s="106">
        <v>6.0817682818073724</v>
      </c>
      <c r="CA81" s="106">
        <v>4583.2205771700355</v>
      </c>
      <c r="CB81" s="106">
        <v>5.0685766511119228</v>
      </c>
      <c r="CC81" s="106">
        <v>3819.6793642779453</v>
      </c>
      <c r="CD81" s="106">
        <v>7.1173462188027772</v>
      </c>
      <c r="CE81" s="106">
        <v>5363.6321104897734</v>
      </c>
      <c r="CF81" s="106">
        <v>19</v>
      </c>
      <c r="CG81" s="106">
        <v>14318.4</v>
      </c>
      <c r="CH81" s="106">
        <v>17</v>
      </c>
      <c r="CI81" s="106">
        <v>12811.2</v>
      </c>
      <c r="CJ81" s="106">
        <v>13.181841563786008</v>
      </c>
      <c r="CK81" s="106">
        <v>9933.835802469137</v>
      </c>
      <c r="CL81" s="106">
        <v>18.170946356140661</v>
      </c>
      <c r="CM81" s="106">
        <v>13693.625173987602</v>
      </c>
      <c r="CN81" s="106">
        <v>7.0714219759926129</v>
      </c>
      <c r="CO81" s="106">
        <v>5329.0236011080333</v>
      </c>
      <c r="CP81" s="106">
        <v>5.0671114554637278</v>
      </c>
      <c r="CQ81" s="106">
        <v>3818.5751928374652</v>
      </c>
      <c r="CR81" s="106">
        <v>6</v>
      </c>
      <c r="CS81" s="106">
        <v>4521.6000000000004</v>
      </c>
      <c r="CT81" s="106">
        <v>6.1227664464234417</v>
      </c>
      <c r="CU81" s="106">
        <v>4614.116794024706</v>
      </c>
    </row>
    <row r="82" spans="2:99" x14ac:dyDescent="0.2">
      <c r="C82" s="105" t="s">
        <v>248</v>
      </c>
      <c r="D82" s="106">
        <v>9</v>
      </c>
      <c r="E82" s="106">
        <v>4579.1999999999989</v>
      </c>
      <c r="F82" s="106">
        <v>8.3396981514918718</v>
      </c>
      <c r="G82" s="106">
        <v>4243.2384194790639</v>
      </c>
      <c r="H82" s="106">
        <v>10.368907721123829</v>
      </c>
      <c r="I82" s="106">
        <v>5275.7002485078028</v>
      </c>
      <c r="J82" s="106">
        <v>6.0793625257934716</v>
      </c>
      <c r="K82" s="106">
        <v>3093.1796531237178</v>
      </c>
      <c r="L82" s="106">
        <v>3.0887986811237305</v>
      </c>
      <c r="M82" s="106">
        <v>1571.5807689557537</v>
      </c>
      <c r="N82" s="106">
        <v>5.0795014800497409</v>
      </c>
      <c r="O82" s="106">
        <v>2584.4503530493075</v>
      </c>
      <c r="P82" s="106">
        <v>4</v>
      </c>
      <c r="Q82" s="106">
        <v>2035.1999999999996</v>
      </c>
      <c r="R82" s="106">
        <v>5.1447613942960615</v>
      </c>
      <c r="S82" s="106">
        <v>2617.6545974178357</v>
      </c>
      <c r="T82" s="106">
        <v>23.045731404958676</v>
      </c>
      <c r="U82" s="106">
        <v>11725.668138842972</v>
      </c>
      <c r="V82" s="106">
        <v>29.044395210137186</v>
      </c>
      <c r="W82" s="106">
        <v>14777.788282917798</v>
      </c>
      <c r="X82" s="106">
        <v>22.119441064961521</v>
      </c>
      <c r="Y82" s="106">
        <v>11254.37161385242</v>
      </c>
      <c r="Z82" s="106">
        <v>19.035522832586004</v>
      </c>
      <c r="AA82" s="106">
        <v>9685.2740172197573</v>
      </c>
      <c r="AB82" s="106">
        <v>17.116097715061127</v>
      </c>
      <c r="AC82" s="106">
        <v>8708.6705174230992</v>
      </c>
      <c r="AD82" s="106">
        <v>16</v>
      </c>
      <c r="AE82" s="106">
        <v>8140.7999999999984</v>
      </c>
      <c r="AF82" s="106">
        <v>11.115952453831241</v>
      </c>
      <c r="AG82" s="106">
        <v>5655.796608509334</v>
      </c>
      <c r="AH82" s="106">
        <v>18.161638884471369</v>
      </c>
      <c r="AI82" s="106">
        <v>9240.6418644190308</v>
      </c>
      <c r="AJ82" s="106">
        <v>13.042410504820877</v>
      </c>
      <c r="AK82" s="106">
        <v>6635.9784648528612</v>
      </c>
      <c r="AL82" s="106">
        <v>17.051488391610725</v>
      </c>
      <c r="AM82" s="106">
        <v>8675.7972936515343</v>
      </c>
      <c r="AN82" s="106">
        <v>13</v>
      </c>
      <c r="AO82" s="106">
        <v>6614.3999999999987</v>
      </c>
      <c r="AP82" s="106">
        <v>13.075984436107435</v>
      </c>
      <c r="AQ82" s="106">
        <v>6653.0608810914619</v>
      </c>
      <c r="AR82" s="106">
        <v>20.21303827760681</v>
      </c>
      <c r="AS82" s="106">
        <v>10284.393875646343</v>
      </c>
      <c r="AT82" s="106">
        <v>13.165212058573609</v>
      </c>
      <c r="AU82" s="106">
        <v>6698.4598954022504</v>
      </c>
      <c r="AV82" s="106">
        <v>17.142755502482956</v>
      </c>
      <c r="AW82" s="106">
        <v>8722.2339996633254</v>
      </c>
      <c r="AX82" s="106">
        <v>14.184390248993797</v>
      </c>
      <c r="AY82" s="106">
        <v>7217.0177586880427</v>
      </c>
      <c r="AZ82" s="106">
        <v>7.0606975063745674</v>
      </c>
      <c r="BA82" s="106">
        <v>3592.4828912433791</v>
      </c>
      <c r="BB82" s="106">
        <v>4.0695610585609518</v>
      </c>
      <c r="BC82" s="106">
        <v>2070.5926665958118</v>
      </c>
      <c r="BD82" s="106">
        <v>6</v>
      </c>
      <c r="BE82" s="106">
        <v>3052.7999999999993</v>
      </c>
      <c r="BF82" s="106">
        <v>4.0788140364045784</v>
      </c>
      <c r="BG82" s="106">
        <v>2075.300581722649</v>
      </c>
      <c r="BH82" s="106">
        <v>10.152200146092039</v>
      </c>
      <c r="BI82" s="106">
        <v>5165.439434331628</v>
      </c>
      <c r="BJ82" s="106">
        <v>14.265727905351184</v>
      </c>
      <c r="BK82" s="106">
        <v>7258.4023582426807</v>
      </c>
      <c r="BL82" s="106">
        <v>11</v>
      </c>
      <c r="BM82" s="106">
        <v>5596.7999999999993</v>
      </c>
      <c r="BN82" s="106">
        <v>18.169463628769048</v>
      </c>
      <c r="BO82" s="106">
        <v>9244.6230943176888</v>
      </c>
      <c r="BP82" s="106">
        <v>5.0630095584888481</v>
      </c>
      <c r="BQ82" s="106">
        <v>2576.0592633591255</v>
      </c>
      <c r="BR82" s="106">
        <v>7.0384353888511892</v>
      </c>
      <c r="BS82" s="106">
        <v>3581.1559258474845</v>
      </c>
      <c r="BT82" s="106">
        <v>9.0807627340183803</v>
      </c>
      <c r="BU82" s="106">
        <v>4620.2920790685512</v>
      </c>
      <c r="BV82" s="106">
        <v>9.0353875594530315</v>
      </c>
      <c r="BW82" s="106">
        <v>4597.2051902497014</v>
      </c>
      <c r="BX82" s="106">
        <v>7</v>
      </c>
      <c r="BY82" s="106">
        <v>3561.5999999999995</v>
      </c>
      <c r="BZ82" s="106">
        <v>6.0817682818073724</v>
      </c>
      <c r="CA82" s="106">
        <v>3094.4037017835903</v>
      </c>
      <c r="CB82" s="106">
        <v>5.0685766511119228</v>
      </c>
      <c r="CC82" s="106">
        <v>2578.8918000857457</v>
      </c>
      <c r="CD82" s="106">
        <v>8.1229341339838612</v>
      </c>
      <c r="CE82" s="106">
        <v>4132.9488873709879</v>
      </c>
      <c r="CF82" s="106">
        <v>19</v>
      </c>
      <c r="CG82" s="106">
        <v>9667.1999999999989</v>
      </c>
      <c r="CH82" s="106">
        <v>18</v>
      </c>
      <c r="CI82" s="106">
        <v>9158.3999999999978</v>
      </c>
      <c r="CJ82" s="106">
        <v>13.169718792866941</v>
      </c>
      <c r="CK82" s="106">
        <v>6700.7529218106984</v>
      </c>
      <c r="CL82" s="106">
        <v>18.170946356140661</v>
      </c>
      <c r="CM82" s="106">
        <v>9245.3775060043663</v>
      </c>
      <c r="CN82" s="106">
        <v>8.0595183133271782</v>
      </c>
      <c r="CO82" s="106">
        <v>4100.6829178208673</v>
      </c>
      <c r="CP82" s="106">
        <v>6.0671114554637278</v>
      </c>
      <c r="CQ82" s="106">
        <v>3086.9463085399439</v>
      </c>
      <c r="CR82" s="106">
        <v>5</v>
      </c>
      <c r="CS82" s="106">
        <v>2543.9999999999995</v>
      </c>
      <c r="CT82" s="106">
        <v>6.1116058603849472</v>
      </c>
      <c r="CU82" s="106">
        <v>3109.5850617638607</v>
      </c>
    </row>
    <row r="83" spans="2:99" x14ac:dyDescent="0.2">
      <c r="C83" s="105" t="s">
        <v>249</v>
      </c>
      <c r="D83" s="106">
        <v>8</v>
      </c>
      <c r="E83" s="106">
        <v>6883.2</v>
      </c>
      <c r="F83" s="106">
        <v>8.3135675244540348</v>
      </c>
      <c r="G83" s="106">
        <v>7152.9934980402513</v>
      </c>
      <c r="H83" s="106">
        <v>9.3952582726326739</v>
      </c>
      <c r="I83" s="106">
        <v>8083.6802177731524</v>
      </c>
      <c r="J83" s="106">
        <v>6.0912669046624925</v>
      </c>
      <c r="K83" s="106">
        <v>5240.9260447716088</v>
      </c>
      <c r="L83" s="106">
        <v>3.0824559181863211</v>
      </c>
      <c r="M83" s="106">
        <v>2652.1450720075109</v>
      </c>
      <c r="N83" s="106">
        <v>5.0832872648140137</v>
      </c>
      <c r="O83" s="106">
        <v>4373.6603626459773</v>
      </c>
      <c r="P83" s="106">
        <v>4</v>
      </c>
      <c r="Q83" s="106">
        <v>3441.6</v>
      </c>
      <c r="R83" s="106">
        <v>4.151654794024445</v>
      </c>
      <c r="S83" s="106">
        <v>3572.0837847786324</v>
      </c>
      <c r="T83" s="106">
        <v>25.04304132231405</v>
      </c>
      <c r="U83" s="106">
        <v>21547.03275371901</v>
      </c>
      <c r="V83" s="106">
        <v>27.047006693086431</v>
      </c>
      <c r="W83" s="106">
        <v>23271.244558731563</v>
      </c>
      <c r="X83" s="106">
        <v>24.108582786328654</v>
      </c>
      <c r="Y83" s="106">
        <v>20743.024629357173</v>
      </c>
      <c r="Z83" s="106">
        <v>19.032985487401291</v>
      </c>
      <c r="AA83" s="106">
        <v>16375.98071336007</v>
      </c>
      <c r="AB83" s="106">
        <v>17.101585500678489</v>
      </c>
      <c r="AC83" s="106">
        <v>14714.204164783772</v>
      </c>
      <c r="AD83" s="106">
        <v>15</v>
      </c>
      <c r="AE83" s="106">
        <v>12906</v>
      </c>
      <c r="AF83" s="106">
        <v>10.109131721252933</v>
      </c>
      <c r="AG83" s="106">
        <v>8697.8969329660231</v>
      </c>
      <c r="AH83" s="106">
        <v>16.161638884471369</v>
      </c>
      <c r="AI83" s="106">
        <v>13905.474096199165</v>
      </c>
      <c r="AJ83" s="106">
        <v>13.038876296085805</v>
      </c>
      <c r="AK83" s="106">
        <v>11218.649165152226</v>
      </c>
      <c r="AL83" s="106">
        <v>16.043567100593688</v>
      </c>
      <c r="AM83" s="106">
        <v>13803.885133350808</v>
      </c>
      <c r="AN83" s="106">
        <v>11</v>
      </c>
      <c r="AO83" s="106">
        <v>9464.4</v>
      </c>
      <c r="AP83" s="106">
        <v>13.084427151230482</v>
      </c>
      <c r="AQ83" s="106">
        <v>11257.841120918707</v>
      </c>
      <c r="AR83" s="106">
        <v>20.20377574379782</v>
      </c>
      <c r="AS83" s="106">
        <v>17383.328649963645</v>
      </c>
      <c r="AT83" s="106">
        <v>13.150416948850598</v>
      </c>
      <c r="AU83" s="106">
        <v>11314.618742791054</v>
      </c>
      <c r="AV83" s="106">
        <v>16.147514019232389</v>
      </c>
      <c r="AW83" s="106">
        <v>13893.321062147546</v>
      </c>
      <c r="AX83" s="106">
        <v>13.163672243488875</v>
      </c>
      <c r="AY83" s="106">
        <v>11326.023598297828</v>
      </c>
      <c r="AZ83" s="106">
        <v>5.053953338999615</v>
      </c>
      <c r="BA83" s="106">
        <v>4348.4214528752682</v>
      </c>
      <c r="BB83" s="106">
        <v>4.0695610585609518</v>
      </c>
      <c r="BC83" s="106">
        <v>3501.4503347858431</v>
      </c>
      <c r="BD83" s="106">
        <v>6</v>
      </c>
      <c r="BE83" s="106">
        <v>5162.3999999999996</v>
      </c>
      <c r="BF83" s="106">
        <v>4.0709326327641211</v>
      </c>
      <c r="BG83" s="106">
        <v>3502.6304372302498</v>
      </c>
      <c r="BH83" s="106">
        <v>11.159624543462382</v>
      </c>
      <c r="BI83" s="106">
        <v>9601.7409571950338</v>
      </c>
      <c r="BJ83" s="106">
        <v>13.234465798839279</v>
      </c>
      <c r="BK83" s="106">
        <v>11386.934373321315</v>
      </c>
      <c r="BL83" s="106">
        <v>11</v>
      </c>
      <c r="BM83" s="106">
        <v>9464.4</v>
      </c>
      <c r="BN83" s="106">
        <v>15.1506343366836</v>
      </c>
      <c r="BO83" s="106">
        <v>13035.60578328257</v>
      </c>
      <c r="BP83" s="106">
        <v>6.053315780259795</v>
      </c>
      <c r="BQ83" s="106">
        <v>5208.2728973355279</v>
      </c>
      <c r="BR83" s="106">
        <v>6.0384353888511892</v>
      </c>
      <c r="BS83" s="106">
        <v>5195.4698085675627</v>
      </c>
      <c r="BT83" s="106">
        <v>8.0717890969052259</v>
      </c>
      <c r="BU83" s="106">
        <v>6944.9673389772561</v>
      </c>
      <c r="BV83" s="106">
        <v>8.0353875594530315</v>
      </c>
      <c r="BW83" s="106">
        <v>6913.6474561533878</v>
      </c>
      <c r="BX83" s="106">
        <v>6</v>
      </c>
      <c r="BY83" s="106">
        <v>5162.3999999999996</v>
      </c>
      <c r="BZ83" s="106">
        <v>6.0817682818073724</v>
      </c>
      <c r="CA83" s="106">
        <v>5232.7534296670628</v>
      </c>
      <c r="CB83" s="106">
        <v>5.0647668371612609</v>
      </c>
      <c r="CC83" s="106">
        <v>4357.7253866935489</v>
      </c>
      <c r="CD83" s="106">
        <v>7.1173462188027772</v>
      </c>
      <c r="CE83" s="106">
        <v>6123.7646866579089</v>
      </c>
      <c r="CF83" s="106">
        <v>17</v>
      </c>
      <c r="CG83" s="106">
        <v>14626.8</v>
      </c>
      <c r="CH83" s="106">
        <v>17</v>
      </c>
      <c r="CI83" s="106">
        <v>14626.8</v>
      </c>
      <c r="CJ83" s="106">
        <v>12.169718792866941</v>
      </c>
      <c r="CK83" s="106">
        <v>10470.826049382717</v>
      </c>
      <c r="CL83" s="106">
        <v>19.18315681015071</v>
      </c>
      <c r="CM83" s="106">
        <v>16505.188119453669</v>
      </c>
      <c r="CN83" s="106">
        <v>7.0714219759926129</v>
      </c>
      <c r="CO83" s="106">
        <v>6084.2514681440443</v>
      </c>
      <c r="CP83" s="106">
        <v>6.0671114554637278</v>
      </c>
      <c r="CQ83" s="106">
        <v>5220.142696280991</v>
      </c>
      <c r="CR83" s="106">
        <v>5</v>
      </c>
      <c r="CS83" s="106">
        <v>4302</v>
      </c>
      <c r="CT83" s="106">
        <v>6.1227664464234417</v>
      </c>
      <c r="CU83" s="106">
        <v>5268.028250502729</v>
      </c>
    </row>
    <row r="84" spans="2:99" x14ac:dyDescent="0.2">
      <c r="C84" s="105" t="s">
        <v>250</v>
      </c>
      <c r="D84" s="106">
        <v>8</v>
      </c>
      <c r="E84" s="106">
        <v>6249.5999999999995</v>
      </c>
      <c r="F84" s="106">
        <v>7.3919594055675439</v>
      </c>
      <c r="G84" s="106">
        <v>5774.5986876293646</v>
      </c>
      <c r="H84" s="106">
        <v>9.3952582726326739</v>
      </c>
      <c r="I84" s="106">
        <v>7339.5757625806446</v>
      </c>
      <c r="J84" s="106">
        <v>6.0833306520831458</v>
      </c>
      <c r="K84" s="106">
        <v>4752.297905407353</v>
      </c>
      <c r="L84" s="106">
        <v>3.0792845367176165</v>
      </c>
      <c r="M84" s="106">
        <v>2405.5370800838018</v>
      </c>
      <c r="N84" s="106">
        <v>5.0870730495782874</v>
      </c>
      <c r="O84" s="106">
        <v>3974.0214663305578</v>
      </c>
      <c r="P84" s="106">
        <v>4</v>
      </c>
      <c r="Q84" s="106">
        <v>3124.7999999999997</v>
      </c>
      <c r="R84" s="106">
        <v>5.1585481937528295</v>
      </c>
      <c r="S84" s="106">
        <v>4029.8578489597098</v>
      </c>
      <c r="T84" s="106">
        <v>25.04304132231405</v>
      </c>
      <c r="U84" s="106">
        <v>19563.623880991734</v>
      </c>
      <c r="V84" s="106">
        <v>31.044395210137186</v>
      </c>
      <c r="W84" s="106">
        <v>24251.881538159167</v>
      </c>
      <c r="X84" s="106">
        <v>24.114011925645087</v>
      </c>
      <c r="Y84" s="106">
        <v>18837.86611631394</v>
      </c>
      <c r="Z84" s="106">
        <v>19.032985487401291</v>
      </c>
      <c r="AA84" s="106">
        <v>14868.568262757888</v>
      </c>
      <c r="AB84" s="106">
        <v>15.101585500678487</v>
      </c>
      <c r="AC84" s="106">
        <v>11797.358593130033</v>
      </c>
      <c r="AD84" s="106">
        <v>17</v>
      </c>
      <c r="AE84" s="106">
        <v>13280.4</v>
      </c>
      <c r="AF84" s="106">
        <v>12.109131721252933</v>
      </c>
      <c r="AG84" s="106">
        <v>9459.6537006427898</v>
      </c>
      <c r="AH84" s="106">
        <v>20.176333328514218</v>
      </c>
      <c r="AI84" s="106">
        <v>15761.751596235306</v>
      </c>
      <c r="AJ84" s="106">
        <v>12.038876296085805</v>
      </c>
      <c r="AK84" s="106">
        <v>9404.7701625022291</v>
      </c>
      <c r="AL84" s="106">
        <v>14.047527746102206</v>
      </c>
      <c r="AM84" s="106">
        <v>10973.928675255043</v>
      </c>
      <c r="AN84" s="106">
        <v>12</v>
      </c>
      <c r="AO84" s="106">
        <v>9374.4</v>
      </c>
      <c r="AP84" s="106">
        <v>12.075984436107435</v>
      </c>
      <c r="AQ84" s="106">
        <v>9433.7590414871265</v>
      </c>
      <c r="AR84" s="106">
        <v>18.19266070322703</v>
      </c>
      <c r="AS84" s="106">
        <v>14212.106541360956</v>
      </c>
      <c r="AT84" s="106">
        <v>12.155348652091602</v>
      </c>
      <c r="AU84" s="106">
        <v>9495.7583670139593</v>
      </c>
      <c r="AV84" s="106">
        <v>14.149893277607104</v>
      </c>
      <c r="AW84" s="106">
        <v>11053.896628466669</v>
      </c>
      <c r="AX84" s="106">
        <v>13.165744044039368</v>
      </c>
      <c r="AY84" s="106">
        <v>10285.079247203554</v>
      </c>
      <c r="AZ84" s="106">
        <v>6.053953338999615</v>
      </c>
      <c r="BA84" s="106">
        <v>4729.3483484264989</v>
      </c>
      <c r="BB84" s="106">
        <v>4.0626049527048567</v>
      </c>
      <c r="BC84" s="106">
        <v>3173.7069890530338</v>
      </c>
      <c r="BD84" s="106">
        <v>6</v>
      </c>
      <c r="BE84" s="106">
        <v>4687.2</v>
      </c>
      <c r="BF84" s="106">
        <v>4.0630512291236629</v>
      </c>
      <c r="BG84" s="106">
        <v>3174.0556201914051</v>
      </c>
      <c r="BH84" s="106">
        <v>10.167048940832725</v>
      </c>
      <c r="BI84" s="106">
        <v>7942.4986325785239</v>
      </c>
      <c r="BJ84" s="106">
        <v>12.27354343197916</v>
      </c>
      <c r="BK84" s="106">
        <v>9588.0921290621191</v>
      </c>
      <c r="BL84" s="106">
        <v>11</v>
      </c>
      <c r="BM84" s="106">
        <v>8593.1999999999989</v>
      </c>
      <c r="BN84" s="106">
        <v>16.166325413421475</v>
      </c>
      <c r="BO84" s="106">
        <v>12629.133412964855</v>
      </c>
      <c r="BP84" s="106">
        <v>5.053315780259795</v>
      </c>
      <c r="BQ84" s="106">
        <v>3947.6502875389515</v>
      </c>
      <c r="BR84" s="106">
        <v>6.0384353888511892</v>
      </c>
      <c r="BS84" s="106">
        <v>4717.2257257705487</v>
      </c>
      <c r="BT84" s="106">
        <v>8.0807627340183803</v>
      </c>
      <c r="BU84" s="106">
        <v>6312.6918478151583</v>
      </c>
      <c r="BV84" s="106">
        <v>8.0353875594530315</v>
      </c>
      <c r="BW84" s="106">
        <v>6277.2447614447074</v>
      </c>
      <c r="BX84" s="106">
        <v>7</v>
      </c>
      <c r="BY84" s="106">
        <v>5468.4</v>
      </c>
      <c r="BZ84" s="106">
        <v>7.0746579964328182</v>
      </c>
      <c r="CA84" s="106">
        <v>5526.7228268133167</v>
      </c>
      <c r="CB84" s="106">
        <v>5.0647668371612609</v>
      </c>
      <c r="CC84" s="106">
        <v>3956.5958531903766</v>
      </c>
      <c r="CD84" s="106">
        <v>7.1173462188027772</v>
      </c>
      <c r="CE84" s="106">
        <v>5560.070866128729</v>
      </c>
      <c r="CF84" s="106">
        <v>18</v>
      </c>
      <c r="CG84" s="106">
        <v>14061.599999999999</v>
      </c>
      <c r="CH84" s="106">
        <v>16</v>
      </c>
      <c r="CI84" s="106">
        <v>12499.199999999999</v>
      </c>
      <c r="CJ84" s="106">
        <v>14.181841563786008</v>
      </c>
      <c r="CK84" s="106">
        <v>11078.854629629628</v>
      </c>
      <c r="CL84" s="106">
        <v>17.170946356140661</v>
      </c>
      <c r="CM84" s="106">
        <v>13413.943293417084</v>
      </c>
      <c r="CN84" s="106">
        <v>7.0654701446598951</v>
      </c>
      <c r="CO84" s="106">
        <v>5519.5452770083093</v>
      </c>
      <c r="CP84" s="106">
        <v>6.0671114554637278</v>
      </c>
      <c r="CQ84" s="106">
        <v>4739.6274690082637</v>
      </c>
      <c r="CR84" s="106">
        <v>5</v>
      </c>
      <c r="CS84" s="106">
        <v>3905.9999999999995</v>
      </c>
      <c r="CT84" s="106">
        <v>6.1227664464234417</v>
      </c>
      <c r="CU84" s="106">
        <v>4783.105147945992</v>
      </c>
    </row>
    <row r="85" spans="2:99" x14ac:dyDescent="0.2">
      <c r="C85" s="105" t="s">
        <v>251</v>
      </c>
      <c r="D85" s="106">
        <v>9</v>
      </c>
      <c r="E85" s="106">
        <v>1350</v>
      </c>
      <c r="F85" s="106">
        <v>8.3919594055675439</v>
      </c>
      <c r="G85" s="106">
        <v>1258.7939108351316</v>
      </c>
      <c r="H85" s="106">
        <v>12.368907721123829</v>
      </c>
      <c r="I85" s="106">
        <v>1855.3361581685745</v>
      </c>
      <c r="J85" s="106">
        <v>6.0793625257934716</v>
      </c>
      <c r="K85" s="106">
        <v>911.90437886902077</v>
      </c>
      <c r="L85" s="106">
        <v>3.0792845367176165</v>
      </c>
      <c r="M85" s="106">
        <v>461.89268050764247</v>
      </c>
      <c r="N85" s="106">
        <v>5.0908588343425603</v>
      </c>
      <c r="O85" s="106">
        <v>763.62882515138404</v>
      </c>
      <c r="P85" s="106">
        <v>4</v>
      </c>
      <c r="Q85" s="106">
        <v>600</v>
      </c>
      <c r="R85" s="106">
        <v>4.1585481937528295</v>
      </c>
      <c r="S85" s="106">
        <v>623.78222906292444</v>
      </c>
      <c r="T85" s="106">
        <v>28.045731404958676</v>
      </c>
      <c r="U85" s="106">
        <v>4206.8597107438018</v>
      </c>
      <c r="V85" s="106">
        <v>32.047006693086431</v>
      </c>
      <c r="W85" s="106">
        <v>4807.0510039629644</v>
      </c>
      <c r="X85" s="106">
        <v>24.130299343594388</v>
      </c>
      <c r="Y85" s="106">
        <v>3619.5449015391582</v>
      </c>
      <c r="Z85" s="106">
        <v>19.035522832586004</v>
      </c>
      <c r="AA85" s="106">
        <v>2855.3284248879004</v>
      </c>
      <c r="AB85" s="106">
        <v>17.108841607869806</v>
      </c>
      <c r="AC85" s="106">
        <v>2566.3262411804708</v>
      </c>
      <c r="AD85" s="106">
        <v>18</v>
      </c>
      <c r="AE85" s="106">
        <v>2700</v>
      </c>
      <c r="AF85" s="106">
        <v>11.129593918987858</v>
      </c>
      <c r="AG85" s="106">
        <v>1669.4390878481788</v>
      </c>
      <c r="AH85" s="106">
        <v>18.176333328514218</v>
      </c>
      <c r="AI85" s="106">
        <v>2726.4499992771325</v>
      </c>
      <c r="AJ85" s="106">
        <v>13.042410504820877</v>
      </c>
      <c r="AK85" s="106">
        <v>1956.3615757231316</v>
      </c>
      <c r="AL85" s="106">
        <v>15.043567100593689</v>
      </c>
      <c r="AM85" s="106">
        <v>2256.5350650890532</v>
      </c>
      <c r="AN85" s="106">
        <v>11</v>
      </c>
      <c r="AO85" s="106">
        <v>1650</v>
      </c>
      <c r="AP85" s="106">
        <v>12.084427151230482</v>
      </c>
      <c r="AQ85" s="106">
        <v>1812.6640726845724</v>
      </c>
      <c r="AR85" s="106">
        <v>19.220448304654006</v>
      </c>
      <c r="AS85" s="106">
        <v>2883.067245698101</v>
      </c>
      <c r="AT85" s="106">
        <v>14.157814503712103</v>
      </c>
      <c r="AU85" s="106">
        <v>2123.6721755568155</v>
      </c>
      <c r="AV85" s="106">
        <v>17.171306602979548</v>
      </c>
      <c r="AW85" s="106">
        <v>2575.6959904469322</v>
      </c>
      <c r="AX85" s="106">
        <v>14.219610858352162</v>
      </c>
      <c r="AY85" s="106">
        <v>2132.9416287528243</v>
      </c>
      <c r="AZ85" s="106">
        <v>7.0606975063745674</v>
      </c>
      <c r="BA85" s="106">
        <v>1059.1046259561851</v>
      </c>
      <c r="BB85" s="106">
        <v>4.0765171644170479</v>
      </c>
      <c r="BC85" s="106">
        <v>611.47757466255723</v>
      </c>
      <c r="BD85" s="106">
        <v>5</v>
      </c>
      <c r="BE85" s="106">
        <v>750</v>
      </c>
      <c r="BF85" s="106">
        <v>4.0788140364045784</v>
      </c>
      <c r="BG85" s="106">
        <v>611.82210546068677</v>
      </c>
      <c r="BH85" s="106">
        <v>12.15591234477721</v>
      </c>
      <c r="BI85" s="106">
        <v>1823.3868517165815</v>
      </c>
      <c r="BJ85" s="106">
        <v>14.257912378723208</v>
      </c>
      <c r="BK85" s="106">
        <v>2138.6868568084815</v>
      </c>
      <c r="BL85" s="106">
        <v>11</v>
      </c>
      <c r="BM85" s="106">
        <v>1650</v>
      </c>
      <c r="BN85" s="106">
        <v>18.166325413421475</v>
      </c>
      <c r="BO85" s="106">
        <v>2724.9488120132214</v>
      </c>
      <c r="BP85" s="106">
        <v>6.0581626693743216</v>
      </c>
      <c r="BQ85" s="106">
        <v>908.72440040614822</v>
      </c>
      <c r="BR85" s="106">
        <v>7.0384353888511892</v>
      </c>
      <c r="BS85" s="106">
        <v>1055.7653083276784</v>
      </c>
      <c r="BT85" s="106">
        <v>9.0897363711315329</v>
      </c>
      <c r="BU85" s="106">
        <v>1363.46045566973</v>
      </c>
      <c r="BV85" s="106">
        <v>10.035387559453032</v>
      </c>
      <c r="BW85" s="106">
        <v>1505.3081339179548</v>
      </c>
      <c r="BX85" s="106">
        <v>7</v>
      </c>
      <c r="BY85" s="106">
        <v>1050</v>
      </c>
      <c r="BZ85" s="106">
        <v>7.0817682818073724</v>
      </c>
      <c r="CA85" s="106">
        <v>1062.2652422711058</v>
      </c>
      <c r="CB85" s="106">
        <v>6.0685766511119228</v>
      </c>
      <c r="CC85" s="106">
        <v>910.28649766678836</v>
      </c>
      <c r="CD85" s="106">
        <v>8.1117583036216931</v>
      </c>
      <c r="CE85" s="106">
        <v>1216.7637455432539</v>
      </c>
      <c r="CF85" s="106">
        <v>20</v>
      </c>
      <c r="CG85" s="106">
        <v>3000</v>
      </c>
      <c r="CH85" s="106">
        <v>18</v>
      </c>
      <c r="CI85" s="106">
        <v>2700</v>
      </c>
      <c r="CJ85" s="106">
        <v>14.169718792866941</v>
      </c>
      <c r="CK85" s="106">
        <v>2125.4578189300414</v>
      </c>
      <c r="CL85" s="106">
        <v>22.170946356140661</v>
      </c>
      <c r="CM85" s="106">
        <v>3325.6419534210991</v>
      </c>
      <c r="CN85" s="106">
        <v>8.0714219759926138</v>
      </c>
      <c r="CO85" s="106">
        <v>1210.713296398892</v>
      </c>
      <c r="CP85" s="106">
        <v>6.0671114554637278</v>
      </c>
      <c r="CQ85" s="106">
        <v>910.06671831955919</v>
      </c>
      <c r="CR85" s="106">
        <v>6</v>
      </c>
      <c r="CS85" s="106">
        <v>900</v>
      </c>
      <c r="CT85" s="106">
        <v>6.1116058603849472</v>
      </c>
      <c r="CU85" s="106">
        <v>916.74087905774206</v>
      </c>
    </row>
    <row r="86" spans="2:99" x14ac:dyDescent="0.2">
      <c r="C86" s="105" t="s">
        <v>252</v>
      </c>
      <c r="D86" s="106">
        <v>8</v>
      </c>
      <c r="E86" s="106">
        <v>4320</v>
      </c>
      <c r="F86" s="106">
        <v>9.3396981514918718</v>
      </c>
      <c r="G86" s="106">
        <v>5043.4370018056106</v>
      </c>
      <c r="H86" s="106">
        <v>10.421608824141519</v>
      </c>
      <c r="I86" s="106">
        <v>5627.6687650364202</v>
      </c>
      <c r="J86" s="106">
        <v>6.0872987783728192</v>
      </c>
      <c r="K86" s="106">
        <v>3287.1413403213223</v>
      </c>
      <c r="L86" s="106">
        <v>3.0919700625924351</v>
      </c>
      <c r="M86" s="106">
        <v>1669.663833799915</v>
      </c>
      <c r="N86" s="106">
        <v>5.0832872648140137</v>
      </c>
      <c r="O86" s="106">
        <v>2744.9751229995672</v>
      </c>
      <c r="P86" s="106">
        <v>4</v>
      </c>
      <c r="Q86" s="106">
        <v>2160</v>
      </c>
      <c r="R86" s="106">
        <v>5.1585481937528295</v>
      </c>
      <c r="S86" s="106">
        <v>2785.6160246265281</v>
      </c>
      <c r="T86" s="106">
        <v>26.04304132231405</v>
      </c>
      <c r="U86" s="106">
        <v>14063.242314049587</v>
      </c>
      <c r="V86" s="106">
        <v>28.047006693086431</v>
      </c>
      <c r="W86" s="106">
        <v>15145.383614266673</v>
      </c>
      <c r="X86" s="106">
        <v>24.108582786328654</v>
      </c>
      <c r="Y86" s="106">
        <v>13018.634704617472</v>
      </c>
      <c r="Z86" s="106">
        <v>19.040597522955434</v>
      </c>
      <c r="AA86" s="106">
        <v>10281.922662395935</v>
      </c>
      <c r="AB86" s="106">
        <v>17.108841607869806</v>
      </c>
      <c r="AC86" s="106">
        <v>9238.7744682496959</v>
      </c>
      <c r="AD86" s="106">
        <v>15</v>
      </c>
      <c r="AE86" s="106">
        <v>8100</v>
      </c>
      <c r="AF86" s="106">
        <v>11.102310988674626</v>
      </c>
      <c r="AG86" s="106">
        <v>5995.2479338842977</v>
      </c>
      <c r="AH86" s="106">
        <v>17.161638884471369</v>
      </c>
      <c r="AI86" s="106">
        <v>9267.284997614539</v>
      </c>
      <c r="AJ86" s="106">
        <v>12.035342087350731</v>
      </c>
      <c r="AK86" s="106">
        <v>6499.0847271693947</v>
      </c>
      <c r="AL86" s="106">
        <v>16.047527746102208</v>
      </c>
      <c r="AM86" s="106">
        <v>8665.6649828951922</v>
      </c>
      <c r="AN86" s="106">
        <v>12</v>
      </c>
      <c r="AO86" s="106">
        <v>6480</v>
      </c>
      <c r="AP86" s="106">
        <v>13.075984436107435</v>
      </c>
      <c r="AQ86" s="106">
        <v>7061.0315954980151</v>
      </c>
      <c r="AR86" s="106">
        <v>21.179693155894441</v>
      </c>
      <c r="AS86" s="106">
        <v>11437.034304182998</v>
      </c>
      <c r="AT86" s="106">
        <v>14.160280355332604</v>
      </c>
      <c r="AU86" s="106">
        <v>7646.5513918796059</v>
      </c>
      <c r="AV86" s="106">
        <v>15.140376244108239</v>
      </c>
      <c r="AW86" s="106">
        <v>8175.8031718184493</v>
      </c>
      <c r="AX86" s="106">
        <v>16.203036453948226</v>
      </c>
      <c r="AY86" s="106">
        <v>8749.6396851320424</v>
      </c>
      <c r="AZ86" s="106">
        <v>6.053953338999615</v>
      </c>
      <c r="BA86" s="106">
        <v>3269.1348030597919</v>
      </c>
      <c r="BB86" s="106">
        <v>4.0765171644170479</v>
      </c>
      <c r="BC86" s="106">
        <v>2201.3192687852061</v>
      </c>
      <c r="BD86" s="106">
        <v>6</v>
      </c>
      <c r="BE86" s="106">
        <v>3240</v>
      </c>
      <c r="BF86" s="106">
        <v>4.0709326327641211</v>
      </c>
      <c r="BG86" s="106">
        <v>2198.3036216926253</v>
      </c>
      <c r="BH86" s="106">
        <v>10.170761139517897</v>
      </c>
      <c r="BI86" s="106">
        <v>5492.2110153396643</v>
      </c>
      <c r="BJ86" s="106">
        <v>13.27354343197916</v>
      </c>
      <c r="BK86" s="106">
        <v>7167.7134532687469</v>
      </c>
      <c r="BL86" s="106">
        <v>12</v>
      </c>
      <c r="BM86" s="106">
        <v>6480</v>
      </c>
      <c r="BN86" s="106">
        <v>18.166325413421475</v>
      </c>
      <c r="BO86" s="106">
        <v>9809.8157232475969</v>
      </c>
      <c r="BP86" s="106">
        <v>5.0581626693743216</v>
      </c>
      <c r="BQ86" s="106">
        <v>2731.4078414621335</v>
      </c>
      <c r="BR86" s="106">
        <v>6.034164790089946</v>
      </c>
      <c r="BS86" s="106">
        <v>3258.448986648571</v>
      </c>
      <c r="BT86" s="106">
        <v>9.0807627340183803</v>
      </c>
      <c r="BU86" s="106">
        <v>4903.6118763699251</v>
      </c>
      <c r="BV86" s="106">
        <v>9.0353875594530315</v>
      </c>
      <c r="BW86" s="106">
        <v>4879.1092821046368</v>
      </c>
      <c r="BX86" s="106">
        <v>7</v>
      </c>
      <c r="BY86" s="106">
        <v>3780</v>
      </c>
      <c r="BZ86" s="106">
        <v>6.085323424494649</v>
      </c>
      <c r="CA86" s="106">
        <v>3286.0746492271105</v>
      </c>
      <c r="CB86" s="106">
        <v>5.0647668371612609</v>
      </c>
      <c r="CC86" s="106">
        <v>2734.9740920670811</v>
      </c>
      <c r="CD86" s="106">
        <v>8.1061703884406082</v>
      </c>
      <c r="CE86" s="106">
        <v>4377.3320097579281</v>
      </c>
      <c r="CF86" s="106">
        <v>17</v>
      </c>
      <c r="CG86" s="106">
        <v>9180</v>
      </c>
      <c r="CH86" s="106">
        <v>18</v>
      </c>
      <c r="CI86" s="106">
        <v>9720</v>
      </c>
      <c r="CJ86" s="106">
        <v>15.181841563786008</v>
      </c>
      <c r="CK86" s="106">
        <v>8198.1944444444453</v>
      </c>
      <c r="CL86" s="106">
        <v>17.158735902130612</v>
      </c>
      <c r="CM86" s="106">
        <v>9265.7173871505311</v>
      </c>
      <c r="CN86" s="106">
        <v>7.0654701446598951</v>
      </c>
      <c r="CO86" s="106">
        <v>3815.3538781163434</v>
      </c>
      <c r="CP86" s="106">
        <v>5.0671114554637278</v>
      </c>
      <c r="CQ86" s="106">
        <v>2736.240185950413</v>
      </c>
      <c r="CR86" s="106">
        <v>5</v>
      </c>
      <c r="CS86" s="106">
        <v>2700</v>
      </c>
      <c r="CT86" s="106">
        <v>6.1116058603849472</v>
      </c>
      <c r="CU86" s="106">
        <v>3300.2671646078716</v>
      </c>
    </row>
    <row r="87" spans="2:99" x14ac:dyDescent="0.2">
      <c r="B87" s="105" t="s">
        <v>131</v>
      </c>
      <c r="C87" s="105" t="s">
        <v>253</v>
      </c>
      <c r="D87" s="106">
        <v>4</v>
      </c>
      <c r="E87" s="106">
        <v>7819.2</v>
      </c>
      <c r="F87" s="106">
        <v>4.3658287785297079</v>
      </c>
      <c r="G87" s="106">
        <v>8534.3220962698724</v>
      </c>
      <c r="H87" s="106">
        <v>4.4216088241415195</v>
      </c>
      <c r="I87" s="106">
        <v>8643.3609294318412</v>
      </c>
      <c r="J87" s="106">
        <v>5.0515856417657563</v>
      </c>
      <c r="K87" s="106">
        <v>9874.8396125236995</v>
      </c>
      <c r="L87" s="106">
        <v>16.155397691966527</v>
      </c>
      <c r="M87" s="106">
        <v>31580.571408256168</v>
      </c>
      <c r="N87" s="106">
        <v>17.174146099156573</v>
      </c>
      <c r="O87" s="106">
        <v>33572.020794631266</v>
      </c>
      <c r="P87" s="106">
        <v>12</v>
      </c>
      <c r="Q87" s="106">
        <v>23457.599999999999</v>
      </c>
      <c r="R87" s="106">
        <v>13.24816239022182</v>
      </c>
      <c r="S87" s="106">
        <v>25897.507840405615</v>
      </c>
      <c r="T87" s="106">
        <v>43.102223140495866</v>
      </c>
      <c r="U87" s="106">
        <v>84256.225795041319</v>
      </c>
      <c r="V87" s="106">
        <v>21.174969357599494</v>
      </c>
      <c r="W87" s="106">
        <v>41392.830100235493</v>
      </c>
      <c r="X87" s="106">
        <v>35.249740408555908</v>
      </c>
      <c r="Y87" s="106">
        <v>68906.192550645093</v>
      </c>
      <c r="Z87" s="106">
        <v>26.152240711082879</v>
      </c>
      <c r="AA87" s="106">
        <v>51122.40014202481</v>
      </c>
      <c r="AB87" s="106">
        <v>12.195914894165654</v>
      </c>
      <c r="AC87" s="106">
        <v>23840.574435115021</v>
      </c>
      <c r="AD87" s="106">
        <v>8</v>
      </c>
      <c r="AE87" s="106">
        <v>15638.4</v>
      </c>
      <c r="AF87" s="106">
        <v>10.163697581879401</v>
      </c>
      <c r="AG87" s="106">
        <v>19867.996033057851</v>
      </c>
      <c r="AH87" s="106">
        <v>8.3820555451141416</v>
      </c>
      <c r="AI87" s="106">
        <v>16385.242179589124</v>
      </c>
      <c r="AJ87" s="106">
        <v>9.2721340726006307</v>
      </c>
      <c r="AK87" s="106">
        <v>18125.167685119712</v>
      </c>
      <c r="AL87" s="106">
        <v>8.2059535664428953</v>
      </c>
      <c r="AM87" s="106">
        <v>16040.998031682571</v>
      </c>
      <c r="AN87" s="106">
        <v>14</v>
      </c>
      <c r="AO87" s="106">
        <v>27367.200000000001</v>
      </c>
      <c r="AP87" s="106">
        <v>8.4390211863985112</v>
      </c>
      <c r="AQ87" s="106">
        <v>16496.59861517181</v>
      </c>
      <c r="AR87" s="106">
        <v>6.0296401081887741</v>
      </c>
      <c r="AS87" s="106">
        <v>11786.740483487416</v>
      </c>
      <c r="AT87" s="106">
        <v>8.0221926645845141</v>
      </c>
      <c r="AU87" s="106">
        <v>15681.782220729809</v>
      </c>
      <c r="AV87" s="106">
        <v>8.045205909119602</v>
      </c>
      <c r="AW87" s="106">
        <v>15726.768511146998</v>
      </c>
      <c r="AX87" s="106">
        <v>6.0290052077068896</v>
      </c>
      <c r="AY87" s="106">
        <v>11785.499380025427</v>
      </c>
      <c r="AZ87" s="106">
        <v>9.2023250212485568</v>
      </c>
      <c r="BA87" s="106">
        <v>17988.704951536678</v>
      </c>
      <c r="BB87" s="106">
        <v>10.194770963970667</v>
      </c>
      <c r="BC87" s="106">
        <v>19928.73828036986</v>
      </c>
      <c r="BD87" s="106">
        <v>6</v>
      </c>
      <c r="BE87" s="106">
        <v>11728.8</v>
      </c>
      <c r="BF87" s="106">
        <v>7.1182210546068685</v>
      </c>
      <c r="BG87" s="106">
        <v>13914.698517545507</v>
      </c>
      <c r="BH87" s="106">
        <v>13.070531775018262</v>
      </c>
      <c r="BI87" s="106">
        <v>25550.275513805696</v>
      </c>
      <c r="BJ87" s="106">
        <v>12.140679479303568</v>
      </c>
      <c r="BK87" s="106">
        <v>23732.600246142614</v>
      </c>
      <c r="BL87" s="106">
        <v>19</v>
      </c>
      <c r="BM87" s="106">
        <v>37141.199999999997</v>
      </c>
      <c r="BN87" s="106">
        <v>17.069040737646649</v>
      </c>
      <c r="BO87" s="106">
        <v>33366.560833951669</v>
      </c>
      <c r="BP87" s="106">
        <v>33.169641119008439</v>
      </c>
      <c r="BQ87" s="106">
        <v>64840.014459437698</v>
      </c>
      <c r="BR87" s="106">
        <v>48.200718141778431</v>
      </c>
      <c r="BS87" s="106">
        <v>94222.763823548477</v>
      </c>
      <c r="BT87" s="106">
        <v>39.358945484526132</v>
      </c>
      <c r="BU87" s="106">
        <v>76938.866633151687</v>
      </c>
      <c r="BV87" s="106">
        <v>39.238866026307967</v>
      </c>
      <c r="BW87" s="106">
        <v>76704.135308226818</v>
      </c>
      <c r="BX87" s="106">
        <v>27</v>
      </c>
      <c r="BY87" s="106">
        <v>52779.6</v>
      </c>
      <c r="BZ87" s="106">
        <v>36.049771997621882</v>
      </c>
      <c r="CA87" s="106">
        <v>70470.094300951256</v>
      </c>
      <c r="CB87" s="106">
        <v>25.072386465062586</v>
      </c>
      <c r="CC87" s="106">
        <v>49011.501061904339</v>
      </c>
      <c r="CD87" s="106">
        <v>39.111758303621691</v>
      </c>
      <c r="CE87" s="106">
        <v>76455.665131919683</v>
      </c>
      <c r="CF87" s="106">
        <v>12</v>
      </c>
      <c r="CG87" s="106">
        <v>23457.599999999999</v>
      </c>
      <c r="CH87" s="106">
        <v>9</v>
      </c>
      <c r="CI87" s="106">
        <v>17593.2</v>
      </c>
      <c r="CJ87" s="106">
        <v>11.339437585733883</v>
      </c>
      <c r="CK87" s="106">
        <v>22166.332592592593</v>
      </c>
      <c r="CL87" s="106">
        <v>13.293050896241132</v>
      </c>
      <c r="CM87" s="106">
        <v>25985.255891972163</v>
      </c>
      <c r="CN87" s="106">
        <v>5.0476146506617416</v>
      </c>
      <c r="CO87" s="106">
        <v>9867.0771191135718</v>
      </c>
      <c r="CP87" s="106">
        <v>5.0619490358126722</v>
      </c>
      <c r="CQ87" s="106">
        <v>9895.0979752066105</v>
      </c>
      <c r="CR87" s="106">
        <v>7</v>
      </c>
      <c r="CS87" s="106">
        <v>13683.6</v>
      </c>
      <c r="CT87" s="106">
        <v>4.1116058603849472</v>
      </c>
      <c r="CU87" s="106">
        <v>8037.367135880495</v>
      </c>
    </row>
    <row r="88" spans="2:99" x14ac:dyDescent="0.2">
      <c r="C88" s="105" t="s">
        <v>254</v>
      </c>
      <c r="D88" s="106">
        <v>4</v>
      </c>
      <c r="E88" s="106">
        <v>7569.5999999999995</v>
      </c>
      <c r="F88" s="106">
        <v>4.444220659643217</v>
      </c>
      <c r="G88" s="106">
        <v>8410.2431763088225</v>
      </c>
      <c r="H88" s="106">
        <v>4.3952582726326748</v>
      </c>
      <c r="I88" s="106">
        <v>8317.5867551300726</v>
      </c>
      <c r="J88" s="106">
        <v>4.0476175154760829</v>
      </c>
      <c r="K88" s="106">
        <v>7659.7113862869392</v>
      </c>
      <c r="L88" s="106">
        <v>16.164911836372642</v>
      </c>
      <c r="M88" s="106">
        <v>30590.479159151586</v>
      </c>
      <c r="N88" s="106">
        <v>20.19307502297794</v>
      </c>
      <c r="O88" s="106">
        <v>38213.375173483451</v>
      </c>
      <c r="P88" s="106">
        <v>13</v>
      </c>
      <c r="Q88" s="106">
        <v>24601.199999999997</v>
      </c>
      <c r="R88" s="106">
        <v>13.220588791308284</v>
      </c>
      <c r="S88" s="106">
        <v>25018.642228671793</v>
      </c>
      <c r="T88" s="106">
        <v>42.11836363636364</v>
      </c>
      <c r="U88" s="106">
        <v>79704.791345454549</v>
      </c>
      <c r="V88" s="106">
        <v>21.195861221193464</v>
      </c>
      <c r="W88" s="106">
        <v>40111.047774986509</v>
      </c>
      <c r="X88" s="106">
        <v>36.244311269239475</v>
      </c>
      <c r="Y88" s="106">
        <v>68588.734645908771</v>
      </c>
      <c r="Z88" s="106">
        <v>26.142091330344019</v>
      </c>
      <c r="AA88" s="106">
        <v>49471.29363354302</v>
      </c>
      <c r="AB88" s="106">
        <v>13.188658786974333</v>
      </c>
      <c r="AC88" s="106">
        <v>24958.217888470226</v>
      </c>
      <c r="AD88" s="106">
        <v>9</v>
      </c>
      <c r="AE88" s="106">
        <v>17031.599999999999</v>
      </c>
      <c r="AF88" s="106">
        <v>10.163697581879401</v>
      </c>
      <c r="AG88" s="106">
        <v>19233.781303948577</v>
      </c>
      <c r="AH88" s="106">
        <v>8.3673611010712889</v>
      </c>
      <c r="AI88" s="106">
        <v>15834.394147667306</v>
      </c>
      <c r="AJ88" s="106">
        <v>9.2968735337461421</v>
      </c>
      <c r="AK88" s="106">
        <v>17593.403475261199</v>
      </c>
      <c r="AL88" s="106">
        <v>9.2257567939854805</v>
      </c>
      <c r="AM88" s="106">
        <v>17458.82215693812</v>
      </c>
      <c r="AN88" s="106">
        <v>13</v>
      </c>
      <c r="AO88" s="106">
        <v>24601.199999999997</v>
      </c>
      <c r="AP88" s="106">
        <v>8.455906616644608</v>
      </c>
      <c r="AQ88" s="106">
        <v>16001.957681338255</v>
      </c>
      <c r="AR88" s="106">
        <v>6.0314926149505723</v>
      </c>
      <c r="AS88" s="106">
        <v>11413.996624532463</v>
      </c>
      <c r="AT88" s="106">
        <v>8.0246585162050152</v>
      </c>
      <c r="AU88" s="106">
        <v>15185.86377606637</v>
      </c>
      <c r="AV88" s="106">
        <v>7.0428266507448871</v>
      </c>
      <c r="AW88" s="106">
        <v>13327.845153869623</v>
      </c>
      <c r="AX88" s="106">
        <v>5.0269334071563971</v>
      </c>
      <c r="AY88" s="106">
        <v>9512.9687797027655</v>
      </c>
      <c r="AZ88" s="106">
        <v>9.2023250212485568</v>
      </c>
      <c r="BA88" s="106">
        <v>17414.479870210769</v>
      </c>
      <c r="BB88" s="106">
        <v>11.208683175682857</v>
      </c>
      <c r="BC88" s="106">
        <v>21211.312041662237</v>
      </c>
      <c r="BD88" s="106">
        <v>6</v>
      </c>
      <c r="BE88" s="106">
        <v>11354.4</v>
      </c>
      <c r="BF88" s="106">
        <v>7.133983861887784</v>
      </c>
      <c r="BG88" s="106">
        <v>13500.351060236442</v>
      </c>
      <c r="BH88" s="106">
        <v>12.059395178962747</v>
      </c>
      <c r="BI88" s="106">
        <v>22821.1994366691</v>
      </c>
      <c r="BJ88" s="106">
        <v>13.117232899419641</v>
      </c>
      <c r="BK88" s="106">
        <v>24823.051538861728</v>
      </c>
      <c r="BL88" s="106">
        <v>18</v>
      </c>
      <c r="BM88" s="106">
        <v>34063.199999999997</v>
      </c>
      <c r="BN88" s="106">
        <v>15.075317168341799</v>
      </c>
      <c r="BO88" s="106">
        <v>28528.530209370019</v>
      </c>
      <c r="BP88" s="106">
        <v>36.169641119008439</v>
      </c>
      <c r="BQ88" s="106">
        <v>68447.428853611564</v>
      </c>
      <c r="BR88" s="106">
        <v>43.209259339300921</v>
      </c>
      <c r="BS88" s="106">
        <v>81769.202373693057</v>
      </c>
      <c r="BT88" s="106">
        <v>36.385866395865591</v>
      </c>
      <c r="BU88" s="106">
        <v>68856.613567536042</v>
      </c>
      <c r="BV88" s="106">
        <v>46.247712916171224</v>
      </c>
      <c r="BW88" s="106">
        <v>87519.171922562411</v>
      </c>
      <c r="BX88" s="106">
        <v>28</v>
      </c>
      <c r="BY88" s="106">
        <v>52987.199999999997</v>
      </c>
      <c r="BZ88" s="106">
        <v>38.046216854934599</v>
      </c>
      <c r="CA88" s="106">
        <v>71998.660776278237</v>
      </c>
      <c r="CB88" s="106">
        <v>21.064766837161262</v>
      </c>
      <c r="CC88" s="106">
        <v>39862.964762643969</v>
      </c>
      <c r="CD88" s="106">
        <v>37.122934133983861</v>
      </c>
      <c r="CE88" s="106">
        <v>70251.440555151057</v>
      </c>
      <c r="CF88" s="106">
        <v>12</v>
      </c>
      <c r="CG88" s="106">
        <v>22708.799999999999</v>
      </c>
      <c r="CH88" s="106">
        <v>9</v>
      </c>
      <c r="CI88" s="106">
        <v>17031.599999999999</v>
      </c>
      <c r="CJ88" s="106">
        <v>11.315192043895747</v>
      </c>
      <c r="CK88" s="106">
        <v>21412.869423868309</v>
      </c>
      <c r="CL88" s="106">
        <v>13.280840442231085</v>
      </c>
      <c r="CM88" s="106">
        <v>25132.662452878103</v>
      </c>
      <c r="CN88" s="106">
        <v>6.0416628193290247</v>
      </c>
      <c r="CO88" s="106">
        <v>11433.242719298245</v>
      </c>
      <c r="CP88" s="106">
        <v>4.0619490358126722</v>
      </c>
      <c r="CQ88" s="106">
        <v>7686.8323553719001</v>
      </c>
      <c r="CR88" s="106">
        <v>6</v>
      </c>
      <c r="CS88" s="106">
        <v>11354.4</v>
      </c>
      <c r="CT88" s="106">
        <v>4.1004452743464519</v>
      </c>
      <c r="CU88" s="106">
        <v>7759.682637173225</v>
      </c>
    </row>
    <row r="89" spans="2:99" x14ac:dyDescent="0.2">
      <c r="C89" s="105" t="s">
        <v>255</v>
      </c>
      <c r="D89" s="106">
        <v>4</v>
      </c>
      <c r="E89" s="106">
        <v>9590.4</v>
      </c>
      <c r="F89" s="106">
        <v>3.3658287785297079</v>
      </c>
      <c r="G89" s="106">
        <v>8069.9110794028275</v>
      </c>
      <c r="H89" s="106">
        <v>4.4216088241415195</v>
      </c>
      <c r="I89" s="106">
        <v>10601.249316761707</v>
      </c>
      <c r="J89" s="106">
        <v>4.0476175154760829</v>
      </c>
      <c r="K89" s="106">
        <v>9704.5677551054559</v>
      </c>
      <c r="L89" s="106">
        <v>15.142712166091711</v>
      </c>
      <c r="M89" s="106">
        <v>36306.166689421487</v>
      </c>
      <c r="N89" s="106">
        <v>17.174146099156573</v>
      </c>
      <c r="O89" s="106">
        <v>41176.732687337797</v>
      </c>
      <c r="P89" s="106">
        <v>12</v>
      </c>
      <c r="Q89" s="106">
        <v>28771.199999999997</v>
      </c>
      <c r="R89" s="106">
        <v>11.206801991851517</v>
      </c>
      <c r="S89" s="106">
        <v>26869.428455663197</v>
      </c>
      <c r="T89" s="106">
        <v>41.099533057851239</v>
      </c>
      <c r="U89" s="106">
        <v>98540.24045950413</v>
      </c>
      <c r="V89" s="106">
        <v>20.172357874650249</v>
      </c>
      <c r="W89" s="106">
        <v>48365.245240261436</v>
      </c>
      <c r="X89" s="106">
        <v>35.255169547872342</v>
      </c>
      <c r="Y89" s="106">
        <v>84527.794507978717</v>
      </c>
      <c r="Z89" s="106">
        <v>22.13701663997459</v>
      </c>
      <c r="AA89" s="106">
        <v>53075.711096003077</v>
      </c>
      <c r="AB89" s="106">
        <v>12.174146572591692</v>
      </c>
      <c r="AC89" s="106">
        <v>29188.73382244584</v>
      </c>
      <c r="AD89" s="106">
        <v>8</v>
      </c>
      <c r="AE89" s="106">
        <v>19180.8</v>
      </c>
      <c r="AF89" s="106">
        <v>10.170518314457709</v>
      </c>
      <c r="AG89" s="106">
        <v>24384.834710743802</v>
      </c>
      <c r="AH89" s="106">
        <v>7.3967499891569926</v>
      </c>
      <c r="AI89" s="106">
        <v>17734.447774002805</v>
      </c>
      <c r="AJ89" s="106">
        <v>10.229723567779754</v>
      </c>
      <c r="AK89" s="106">
        <v>24526.785226108736</v>
      </c>
      <c r="AL89" s="106">
        <v>9.1940716299173424</v>
      </c>
      <c r="AM89" s="106">
        <v>22043.706139889819</v>
      </c>
      <c r="AN89" s="106">
        <v>14</v>
      </c>
      <c r="AO89" s="106">
        <v>33566.400000000001</v>
      </c>
      <c r="AP89" s="106">
        <v>9.4305784712754637</v>
      </c>
      <c r="AQ89" s="106">
        <v>22610.754942730051</v>
      </c>
      <c r="AR89" s="106">
        <v>6.0259350946651766</v>
      </c>
      <c r="AS89" s="106">
        <v>14447.781982969227</v>
      </c>
      <c r="AT89" s="106">
        <v>7.0221926645845141</v>
      </c>
      <c r="AU89" s="106">
        <v>16836.409132607831</v>
      </c>
      <c r="AV89" s="106">
        <v>8.0380681339954556</v>
      </c>
      <c r="AW89" s="106">
        <v>19272.072158067505</v>
      </c>
      <c r="AX89" s="106">
        <v>5.0269334071563971</v>
      </c>
      <c r="AY89" s="106">
        <v>12052.575536998178</v>
      </c>
      <c r="AZ89" s="106">
        <v>9.2023250212485568</v>
      </c>
      <c r="BA89" s="106">
        <v>22063.494470945538</v>
      </c>
      <c r="BB89" s="106">
        <v>9.2086831756828573</v>
      </c>
      <c r="BC89" s="106">
        <v>22078.738782017219</v>
      </c>
      <c r="BD89" s="106">
        <v>6</v>
      </c>
      <c r="BE89" s="106">
        <v>14385.599999999999</v>
      </c>
      <c r="BF89" s="106">
        <v>7.1182210546068685</v>
      </c>
      <c r="BG89" s="106">
        <v>17066.646800525428</v>
      </c>
      <c r="BH89" s="106">
        <v>13.063107377647919</v>
      </c>
      <c r="BI89" s="106">
        <v>31320.106248648648</v>
      </c>
      <c r="BJ89" s="106">
        <v>12.117232899419641</v>
      </c>
      <c r="BK89" s="106">
        <v>29052.277599648529</v>
      </c>
      <c r="BL89" s="106">
        <v>16</v>
      </c>
      <c r="BM89" s="106">
        <v>38361.599999999999</v>
      </c>
      <c r="BN89" s="106">
        <v>13.069040737646651</v>
      </c>
      <c r="BO89" s="106">
        <v>31334.332072581608</v>
      </c>
      <c r="BP89" s="106">
        <v>33.174488008122964</v>
      </c>
      <c r="BQ89" s="106">
        <v>79539.152448275621</v>
      </c>
      <c r="BR89" s="106">
        <v>40.200718141778431</v>
      </c>
      <c r="BS89" s="106">
        <v>96385.241816727968</v>
      </c>
      <c r="BT89" s="106">
        <v>35.349971847412981</v>
      </c>
      <c r="BU89" s="106">
        <v>84755.092501357358</v>
      </c>
      <c r="BV89" s="106">
        <v>36.234442581376335</v>
      </c>
      <c r="BW89" s="106">
        <v>86875.699533107894</v>
      </c>
      <c r="BX89" s="106">
        <v>29</v>
      </c>
      <c r="BY89" s="106">
        <v>69530.399999999994</v>
      </c>
      <c r="BZ89" s="106">
        <v>36.046216854934599</v>
      </c>
      <c r="CA89" s="106">
        <v>86424.409531391197</v>
      </c>
      <c r="CB89" s="106">
        <v>22.060957023210598</v>
      </c>
      <c r="CC89" s="106">
        <v>52893.350558849728</v>
      </c>
      <c r="CD89" s="106">
        <v>33.100582473259522</v>
      </c>
      <c r="CE89" s="106">
        <v>79361.956537887032</v>
      </c>
      <c r="CF89" s="106">
        <v>11</v>
      </c>
      <c r="CG89" s="106">
        <v>26373.599999999999</v>
      </c>
      <c r="CH89" s="106">
        <v>8</v>
      </c>
      <c r="CI89" s="106">
        <v>19180.8</v>
      </c>
      <c r="CJ89" s="106">
        <v>12.339437585733883</v>
      </c>
      <c r="CK89" s="106">
        <v>29585.035555555558</v>
      </c>
      <c r="CL89" s="106">
        <v>11.256419534210991</v>
      </c>
      <c r="CM89" s="106">
        <v>26988.391475224271</v>
      </c>
      <c r="CN89" s="106">
        <v>5.0416628193290247</v>
      </c>
      <c r="CO89" s="106">
        <v>12087.890775623269</v>
      </c>
      <c r="CP89" s="106">
        <v>4.0619490358126722</v>
      </c>
      <c r="CQ89" s="106">
        <v>9738.929008264462</v>
      </c>
      <c r="CR89" s="106">
        <v>6</v>
      </c>
      <c r="CS89" s="106">
        <v>14385.599999999999</v>
      </c>
      <c r="CT89" s="106">
        <v>4.1004452743464519</v>
      </c>
      <c r="CU89" s="106">
        <v>9831.2275897730524</v>
      </c>
    </row>
    <row r="90" spans="2:99" x14ac:dyDescent="0.2">
      <c r="C90" s="105" t="s">
        <v>256</v>
      </c>
      <c r="D90" s="106">
        <v>3</v>
      </c>
      <c r="E90" s="106">
        <v>6591.5999999999995</v>
      </c>
      <c r="F90" s="106">
        <v>4.41809003260538</v>
      </c>
      <c r="G90" s="106">
        <v>9707.4274196405404</v>
      </c>
      <c r="H90" s="106">
        <v>4.3689077211238292</v>
      </c>
      <c r="I90" s="106">
        <v>9599.3640448532769</v>
      </c>
      <c r="J90" s="106">
        <v>5.0515856417657563</v>
      </c>
      <c r="K90" s="106">
        <v>11099.34397208772</v>
      </c>
      <c r="L90" s="106">
        <v>15.139540784623005</v>
      </c>
      <c r="M90" s="106">
        <v>33264.599011973667</v>
      </c>
      <c r="N90" s="106">
        <v>17.181717668685121</v>
      </c>
      <c r="O90" s="106">
        <v>37751.670061634941</v>
      </c>
      <c r="P90" s="106">
        <v>14</v>
      </c>
      <c r="Q90" s="106">
        <v>30760.799999999996</v>
      </c>
      <c r="R90" s="106">
        <v>14.220588791308284</v>
      </c>
      <c r="S90" s="106">
        <v>31245.477692262561</v>
      </c>
      <c r="T90" s="106">
        <v>42.099533057851239</v>
      </c>
      <c r="U90" s="106">
        <v>92501.094034710739</v>
      </c>
      <c r="V90" s="106">
        <v>21.172357874650249</v>
      </c>
      <c r="W90" s="106">
        <v>46519.90472218152</v>
      </c>
      <c r="X90" s="106">
        <v>39.266027826505209</v>
      </c>
      <c r="Y90" s="106">
        <v>86275.316340397243</v>
      </c>
      <c r="Z90" s="106">
        <v>25.147166020713449</v>
      </c>
      <c r="AA90" s="106">
        <v>55253.353180711587</v>
      </c>
      <c r="AB90" s="106">
        <v>11.181402679783012</v>
      </c>
      <c r="AC90" s="106">
        <v>24567.777968019233</v>
      </c>
      <c r="AD90" s="106">
        <v>9</v>
      </c>
      <c r="AE90" s="106">
        <v>19774.8</v>
      </c>
      <c r="AF90" s="106">
        <v>10.156876849301092</v>
      </c>
      <c r="AG90" s="106">
        <v>22316.689813284356</v>
      </c>
      <c r="AH90" s="106">
        <v>7.3379722129855862</v>
      </c>
      <c r="AI90" s="106">
        <v>16122.992546371928</v>
      </c>
      <c r="AJ90" s="106">
        <v>10.272134072600631</v>
      </c>
      <c r="AK90" s="106">
        <v>22569.932984318104</v>
      </c>
      <c r="AL90" s="106">
        <v>8.1940716299173424</v>
      </c>
      <c r="AM90" s="106">
        <v>18004.014185254382</v>
      </c>
      <c r="AN90" s="106">
        <v>13</v>
      </c>
      <c r="AO90" s="106">
        <v>28563.599999999999</v>
      </c>
      <c r="AP90" s="106">
        <v>9.4896774771368015</v>
      </c>
      <c r="AQ90" s="106">
        <v>20850.71935276498</v>
      </c>
      <c r="AR90" s="106">
        <v>5.0296401081887741</v>
      </c>
      <c r="AS90" s="106">
        <v>11051.125245712374</v>
      </c>
      <c r="AT90" s="106">
        <v>8.0246585162050152</v>
      </c>
      <c r="AU90" s="106">
        <v>17631.779691805659</v>
      </c>
      <c r="AV90" s="106">
        <v>7.0404473923701705</v>
      </c>
      <c r="AW90" s="106">
        <v>15469.271010515737</v>
      </c>
      <c r="AX90" s="106">
        <v>5.0310770082573812</v>
      </c>
      <c r="AY90" s="106">
        <v>11054.282402543116</v>
      </c>
      <c r="AZ90" s="106">
        <v>8.1955808538736044</v>
      </c>
      <c r="BA90" s="106">
        <v>18007.330252131083</v>
      </c>
      <c r="BB90" s="106">
        <v>10.208683175682857</v>
      </c>
      <c r="BC90" s="106">
        <v>22430.518673610371</v>
      </c>
      <c r="BD90" s="106">
        <v>6</v>
      </c>
      <c r="BE90" s="106">
        <v>13183.199999999999</v>
      </c>
      <c r="BF90" s="106">
        <v>7.1418652655282413</v>
      </c>
      <c r="BG90" s="106">
        <v>15692.10636141865</v>
      </c>
      <c r="BH90" s="106">
        <v>13.063107377647919</v>
      </c>
      <c r="BI90" s="106">
        <v>28702.259530168005</v>
      </c>
      <c r="BJ90" s="106">
        <v>13.117232899419641</v>
      </c>
      <c r="BK90" s="106">
        <v>28821.184126604832</v>
      </c>
      <c r="BL90" s="106">
        <v>17</v>
      </c>
      <c r="BM90" s="106">
        <v>37352.399999999994</v>
      </c>
      <c r="BN90" s="106">
        <v>15.065902522299075</v>
      </c>
      <c r="BO90" s="106">
        <v>33102.801021995525</v>
      </c>
      <c r="BP90" s="106">
        <v>35.174488008122964</v>
      </c>
      <c r="BQ90" s="106">
        <v>77285.385051447767</v>
      </c>
      <c r="BR90" s="106">
        <v>44.204988740539676</v>
      </c>
      <c r="BS90" s="106">
        <v>97127.201260713773</v>
      </c>
      <c r="BT90" s="106">
        <v>36.367919121639282</v>
      </c>
      <c r="BU90" s="106">
        <v>79907.59189406583</v>
      </c>
      <c r="BV90" s="106">
        <v>43.207901911786564</v>
      </c>
      <c r="BW90" s="106">
        <v>94936.402080577434</v>
      </c>
      <c r="BX90" s="106">
        <v>29</v>
      </c>
      <c r="BY90" s="106">
        <v>63718.799999999996</v>
      </c>
      <c r="BZ90" s="106">
        <v>31.049771997621878</v>
      </c>
      <c r="CA90" s="106">
        <v>68222.559033174781</v>
      </c>
      <c r="CB90" s="106">
        <v>21.072386465062586</v>
      </c>
      <c r="CC90" s="106">
        <v>46300.247541035511</v>
      </c>
      <c r="CD90" s="106">
        <v>38.100582473259522</v>
      </c>
      <c r="CE90" s="106">
        <v>83714.599810245811</v>
      </c>
      <c r="CF90" s="106">
        <v>10</v>
      </c>
      <c r="CG90" s="106">
        <v>21972</v>
      </c>
      <c r="CH90" s="106">
        <v>9</v>
      </c>
      <c r="CI90" s="106">
        <v>19774.8</v>
      </c>
      <c r="CJ90" s="106">
        <v>12.315192043895747</v>
      </c>
      <c r="CK90" s="106">
        <v>27058.939958847732</v>
      </c>
      <c r="CL90" s="106">
        <v>12.268629988221038</v>
      </c>
      <c r="CM90" s="106">
        <v>26956.633810119263</v>
      </c>
      <c r="CN90" s="106">
        <v>5.0416628193290247</v>
      </c>
      <c r="CO90" s="106">
        <v>11077.541546629733</v>
      </c>
      <c r="CP90" s="106">
        <v>5.0619490358126722</v>
      </c>
      <c r="CQ90" s="106">
        <v>11122.114421487602</v>
      </c>
      <c r="CR90" s="106">
        <v>6</v>
      </c>
      <c r="CS90" s="106">
        <v>13183.199999999999</v>
      </c>
      <c r="CT90" s="106">
        <v>4.1004452743464519</v>
      </c>
      <c r="CU90" s="106">
        <v>9009.4983567940235</v>
      </c>
    </row>
    <row r="91" spans="2:99" x14ac:dyDescent="0.2">
      <c r="C91" s="105" t="s">
        <v>257</v>
      </c>
      <c r="D91" s="106">
        <v>3</v>
      </c>
      <c r="E91" s="106">
        <v>6890.4</v>
      </c>
      <c r="F91" s="106">
        <v>3.4180900326053805</v>
      </c>
      <c r="G91" s="106">
        <v>7850.6691868880371</v>
      </c>
      <c r="H91" s="106">
        <v>4.4216088241415195</v>
      </c>
      <c r="I91" s="106">
        <v>10155.551147288241</v>
      </c>
      <c r="J91" s="106">
        <v>4.0476175154760829</v>
      </c>
      <c r="K91" s="106">
        <v>9296.567909545467</v>
      </c>
      <c r="L91" s="106">
        <v>16.13002664021689</v>
      </c>
      <c r="M91" s="106">
        <v>37047.445187250152</v>
      </c>
      <c r="N91" s="106">
        <v>16.189289238213668</v>
      </c>
      <c r="O91" s="106">
        <v>37183.559522329146</v>
      </c>
      <c r="P91" s="106">
        <v>13</v>
      </c>
      <c r="Q91" s="106">
        <v>29858.399999999998</v>
      </c>
      <c r="R91" s="106">
        <v>13.2136953915799</v>
      </c>
      <c r="S91" s="106">
        <v>30349.215575380713</v>
      </c>
      <c r="T91" s="106">
        <v>39.107603305785126</v>
      </c>
      <c r="U91" s="106">
        <v>89822.343272727274</v>
      </c>
      <c r="V91" s="106">
        <v>23.172357874650249</v>
      </c>
      <c r="W91" s="106">
        <v>53222.271566496689</v>
      </c>
      <c r="X91" s="106">
        <v>34.271456965821642</v>
      </c>
      <c r="Y91" s="106">
        <v>78714.682359099141</v>
      </c>
      <c r="Z91" s="106">
        <v>24.134479294789877</v>
      </c>
      <c r="AA91" s="106">
        <v>55432.07204427338</v>
      </c>
      <c r="AB91" s="106">
        <v>13.166890465400371</v>
      </c>
      <c r="AC91" s="106">
        <v>30241.714020931569</v>
      </c>
      <c r="AD91" s="106">
        <v>9</v>
      </c>
      <c r="AE91" s="106">
        <v>20671.199999999997</v>
      </c>
      <c r="AF91" s="106">
        <v>11.170518314457709</v>
      </c>
      <c r="AG91" s="106">
        <v>25656.446464646462</v>
      </c>
      <c r="AH91" s="106">
        <v>7.3379722129855862</v>
      </c>
      <c r="AI91" s="106">
        <v>16853.854578785293</v>
      </c>
      <c r="AJ91" s="106">
        <v>9.2721340726006307</v>
      </c>
      <c r="AK91" s="106">
        <v>21296.237537949128</v>
      </c>
      <c r="AL91" s="106">
        <v>9.1980322754258594</v>
      </c>
      <c r="AM91" s="106">
        <v>21126.040530198112</v>
      </c>
      <c r="AN91" s="106">
        <v>13</v>
      </c>
      <c r="AO91" s="106">
        <v>29858.399999999998</v>
      </c>
      <c r="AP91" s="106">
        <v>8.4136930410293669</v>
      </c>
      <c r="AQ91" s="106">
        <v>19324.570176636247</v>
      </c>
      <c r="AR91" s="106">
        <v>5.0277876014269758</v>
      </c>
      <c r="AS91" s="106">
        <v>11547.822562957477</v>
      </c>
      <c r="AT91" s="106">
        <v>8.0221926645845141</v>
      </c>
      <c r="AU91" s="106">
        <v>18425.372112017711</v>
      </c>
      <c r="AV91" s="106">
        <v>8.0380681339954556</v>
      </c>
      <c r="AW91" s="106">
        <v>18461.834890160761</v>
      </c>
      <c r="AX91" s="106">
        <v>5.0310770082573812</v>
      </c>
      <c r="AY91" s="106">
        <v>11555.377672565552</v>
      </c>
      <c r="AZ91" s="106">
        <v>9.1955808538736044</v>
      </c>
      <c r="BA91" s="106">
        <v>21120.410105176892</v>
      </c>
      <c r="BB91" s="106">
        <v>10.187814858114571</v>
      </c>
      <c r="BC91" s="106">
        <v>23399.373166117544</v>
      </c>
      <c r="BD91" s="106">
        <v>6</v>
      </c>
      <c r="BE91" s="106">
        <v>13780.8</v>
      </c>
      <c r="BF91" s="106">
        <v>7.1418652655282413</v>
      </c>
      <c r="BG91" s="106">
        <v>16403.436141865262</v>
      </c>
      <c r="BH91" s="106">
        <v>12.059395178962747</v>
      </c>
      <c r="BI91" s="106">
        <v>27698.018847041636</v>
      </c>
      <c r="BJ91" s="106">
        <v>11.125048426047616</v>
      </c>
      <c r="BK91" s="106">
        <v>25552.011224946164</v>
      </c>
      <c r="BL91" s="106">
        <v>17</v>
      </c>
      <c r="BM91" s="106">
        <v>39045.599999999999</v>
      </c>
      <c r="BN91" s="106">
        <v>13.065902522299075</v>
      </c>
      <c r="BO91" s="106">
        <v>30009.76491321651</v>
      </c>
      <c r="BP91" s="106">
        <v>33.159947340779382</v>
      </c>
      <c r="BQ91" s="106">
        <v>76161.767052302079</v>
      </c>
      <c r="BR91" s="106">
        <v>40.196447543017193</v>
      </c>
      <c r="BS91" s="106">
        <v>92323.200716801875</v>
      </c>
      <c r="BT91" s="106">
        <v>38.314077298960363</v>
      </c>
      <c r="BU91" s="106">
        <v>87999.772740252156</v>
      </c>
      <c r="BV91" s="106">
        <v>39.221172246581453</v>
      </c>
      <c r="BW91" s="106">
        <v>90083.188415948272</v>
      </c>
      <c r="BX91" s="106">
        <v>26</v>
      </c>
      <c r="BY91" s="106">
        <v>59716.799999999996</v>
      </c>
      <c r="BZ91" s="106">
        <v>33.049771997621882</v>
      </c>
      <c r="CA91" s="106">
        <v>75908.716324137931</v>
      </c>
      <c r="CB91" s="106">
        <v>22.068576651111922</v>
      </c>
      <c r="CC91" s="106">
        <v>50687.106852273857</v>
      </c>
      <c r="CD91" s="106">
        <v>36.10617038844061</v>
      </c>
      <c r="CE91" s="106">
        <v>82928.652148170382</v>
      </c>
      <c r="CF91" s="106">
        <v>11</v>
      </c>
      <c r="CG91" s="106">
        <v>25264.799999999996</v>
      </c>
      <c r="CH91" s="106">
        <v>8</v>
      </c>
      <c r="CI91" s="106">
        <v>18374.399999999998</v>
      </c>
      <c r="CJ91" s="106">
        <v>11.30306927297668</v>
      </c>
      <c r="CK91" s="106">
        <v>25960.889506172836</v>
      </c>
      <c r="CL91" s="106">
        <v>13.268629988221038</v>
      </c>
      <c r="CM91" s="106">
        <v>30475.389356946078</v>
      </c>
      <c r="CN91" s="106">
        <v>5.0416628193290247</v>
      </c>
      <c r="CO91" s="106">
        <v>11579.691163434902</v>
      </c>
      <c r="CP91" s="106">
        <v>5.0671114554637278</v>
      </c>
      <c r="CQ91" s="106">
        <v>11638.141590909088</v>
      </c>
      <c r="CR91" s="106">
        <v>6</v>
      </c>
      <c r="CS91" s="106">
        <v>13780.8</v>
      </c>
      <c r="CT91" s="106">
        <v>4.0892846883079574</v>
      </c>
      <c r="CU91" s="106">
        <v>9392.2690721057152</v>
      </c>
    </row>
    <row r="92" spans="2:99" x14ac:dyDescent="0.2">
      <c r="C92" s="105" t="s">
        <v>258</v>
      </c>
      <c r="D92" s="106">
        <v>4</v>
      </c>
      <c r="E92" s="106">
        <v>5683.2</v>
      </c>
      <c r="F92" s="106">
        <v>4.3919594055675439</v>
      </c>
      <c r="G92" s="106">
        <v>6240.0959234303664</v>
      </c>
      <c r="H92" s="106">
        <v>4.4479593756503641</v>
      </c>
      <c r="I92" s="106">
        <v>6319.6606809240375</v>
      </c>
      <c r="J92" s="106">
        <v>4.0555537680554306</v>
      </c>
      <c r="K92" s="106">
        <v>5762.1307936531557</v>
      </c>
      <c r="L92" s="106">
        <v>17.168083217841346</v>
      </c>
      <c r="M92" s="106">
        <v>24392.412635908982</v>
      </c>
      <c r="N92" s="106">
        <v>18.181717668685121</v>
      </c>
      <c r="O92" s="106">
        <v>25832.584463667819</v>
      </c>
      <c r="P92" s="106">
        <v>13</v>
      </c>
      <c r="Q92" s="106">
        <v>18470.399999999998</v>
      </c>
      <c r="R92" s="106">
        <v>14.241268990493436</v>
      </c>
      <c r="S92" s="106">
        <v>20233.994981693075</v>
      </c>
      <c r="T92" s="106">
        <v>44.126433884297519</v>
      </c>
      <c r="U92" s="106">
        <v>62694.837262809917</v>
      </c>
      <c r="V92" s="106">
        <v>26.206307152990448</v>
      </c>
      <c r="W92" s="106">
        <v>37233.921202968828</v>
      </c>
      <c r="X92" s="106">
        <v>39.309460941036669</v>
      </c>
      <c r="Y92" s="106">
        <v>55850.882105024895</v>
      </c>
      <c r="Z92" s="106">
        <v>28.164927437006451</v>
      </c>
      <c r="AA92" s="106">
        <v>40016.728902498762</v>
      </c>
      <c r="AB92" s="106">
        <v>12.210427108548295</v>
      </c>
      <c r="AC92" s="106">
        <v>17348.574835825417</v>
      </c>
      <c r="AD92" s="106">
        <v>9</v>
      </c>
      <c r="AE92" s="106">
        <v>12787.199999999999</v>
      </c>
      <c r="AF92" s="106">
        <v>10.170518314457709</v>
      </c>
      <c r="AG92" s="106">
        <v>14450.272421181513</v>
      </c>
      <c r="AH92" s="106">
        <v>7.4408333212855471</v>
      </c>
      <c r="AI92" s="106">
        <v>10571.935982882505</v>
      </c>
      <c r="AJ92" s="106">
        <v>9.3216129948916535</v>
      </c>
      <c r="AK92" s="106">
        <v>13244.147743142061</v>
      </c>
      <c r="AL92" s="106">
        <v>8.2336780850025146</v>
      </c>
      <c r="AM92" s="106">
        <v>11698.409823171572</v>
      </c>
      <c r="AN92" s="106">
        <v>15</v>
      </c>
      <c r="AO92" s="106">
        <v>21312</v>
      </c>
      <c r="AP92" s="106">
        <v>10.506562907382898</v>
      </c>
      <c r="AQ92" s="106">
        <v>14927.724578809621</v>
      </c>
      <c r="AR92" s="106">
        <v>5.0296401081887741</v>
      </c>
      <c r="AS92" s="106">
        <v>7146.1126657146096</v>
      </c>
      <c r="AT92" s="106">
        <v>9.0246585162050152</v>
      </c>
      <c r="AU92" s="106">
        <v>12822.234819824085</v>
      </c>
      <c r="AV92" s="106">
        <v>8.045205909119602</v>
      </c>
      <c r="AW92" s="106">
        <v>11430.628555677131</v>
      </c>
      <c r="AX92" s="106">
        <v>5.0290052077068896</v>
      </c>
      <c r="AY92" s="106">
        <v>7145.2105991099488</v>
      </c>
      <c r="AZ92" s="106">
        <v>10.21581335599846</v>
      </c>
      <c r="BA92" s="106">
        <v>14514.627616202612</v>
      </c>
      <c r="BB92" s="106">
        <v>11.208683175682857</v>
      </c>
      <c r="BC92" s="106">
        <v>15925.297056010204</v>
      </c>
      <c r="BD92" s="106">
        <v>6</v>
      </c>
      <c r="BE92" s="106">
        <v>8524.7999999999993</v>
      </c>
      <c r="BF92" s="106">
        <v>8.1418652655282422</v>
      </c>
      <c r="BG92" s="106">
        <v>11567.962169262526</v>
      </c>
      <c r="BH92" s="106">
        <v>13.059395178962747</v>
      </c>
      <c r="BI92" s="106">
        <v>18554.788670270271</v>
      </c>
      <c r="BJ92" s="106">
        <v>13.132863952675592</v>
      </c>
      <c r="BK92" s="106">
        <v>18659.173103961482</v>
      </c>
      <c r="BL92" s="106">
        <v>21</v>
      </c>
      <c r="BM92" s="106">
        <v>29836.799999999999</v>
      </c>
      <c r="BN92" s="106">
        <v>17.075317168341801</v>
      </c>
      <c r="BO92" s="106">
        <v>24260.61063278003</v>
      </c>
      <c r="BP92" s="106">
        <v>33.184181786352021</v>
      </c>
      <c r="BQ92" s="106">
        <v>47148.085482048948</v>
      </c>
      <c r="BR92" s="106">
        <v>45.217800536823404</v>
      </c>
      <c r="BS92" s="106">
        <v>64245.451002718692</v>
      </c>
      <c r="BT92" s="106">
        <v>43.394840032978742</v>
      </c>
      <c r="BU92" s="106">
        <v>61655.388718856193</v>
      </c>
      <c r="BV92" s="106">
        <v>47.247712916171224</v>
      </c>
      <c r="BW92" s="106">
        <v>67129.550511296067</v>
      </c>
      <c r="BX92" s="106">
        <v>31</v>
      </c>
      <c r="BY92" s="106">
        <v>44044.799999999996</v>
      </c>
      <c r="BZ92" s="106">
        <v>37.049771997621882</v>
      </c>
      <c r="CA92" s="106">
        <v>52640.31605422117</v>
      </c>
      <c r="CB92" s="106">
        <v>24.072386465062586</v>
      </c>
      <c r="CC92" s="106">
        <v>34202.046689560921</v>
      </c>
      <c r="CD92" s="106">
        <v>40.11734621880278</v>
      </c>
      <c r="CE92" s="106">
        <v>56998.725507674986</v>
      </c>
      <c r="CF92" s="106">
        <v>11</v>
      </c>
      <c r="CG92" s="106">
        <v>15628.8</v>
      </c>
      <c r="CH92" s="106">
        <v>9</v>
      </c>
      <c r="CI92" s="106">
        <v>12787.199999999999</v>
      </c>
      <c r="CJ92" s="106">
        <v>13.35156035665295</v>
      </c>
      <c r="CK92" s="106">
        <v>18969.89695473251</v>
      </c>
      <c r="CL92" s="106">
        <v>13.317471804261228</v>
      </c>
      <c r="CM92" s="106">
        <v>18921.463939494352</v>
      </c>
      <c r="CN92" s="106">
        <v>5.0416628193290247</v>
      </c>
      <c r="CO92" s="106">
        <v>7163.1945337026782</v>
      </c>
      <c r="CP92" s="106">
        <v>5.0619490358126722</v>
      </c>
      <c r="CQ92" s="106">
        <v>7192.0171900826444</v>
      </c>
      <c r="CR92" s="106">
        <v>7</v>
      </c>
      <c r="CS92" s="106">
        <v>9945.6</v>
      </c>
      <c r="CT92" s="106">
        <v>4.1116058603849472</v>
      </c>
      <c r="CU92" s="106">
        <v>5841.7696064349329</v>
      </c>
    </row>
    <row r="93" spans="2:99" x14ac:dyDescent="0.2">
      <c r="C93" s="105" t="s">
        <v>259</v>
      </c>
      <c r="D93" s="106">
        <v>4</v>
      </c>
      <c r="E93" s="106">
        <v>7089.5999999999995</v>
      </c>
      <c r="F93" s="106">
        <v>4.41809003260538</v>
      </c>
      <c r="G93" s="106">
        <v>7830.6227737897752</v>
      </c>
      <c r="H93" s="106">
        <v>4.3952582726326748</v>
      </c>
      <c r="I93" s="106">
        <v>7790.1557624141524</v>
      </c>
      <c r="J93" s="106">
        <v>5.0515856417657563</v>
      </c>
      <c r="K93" s="106">
        <v>8953.4303914656266</v>
      </c>
      <c r="L93" s="106">
        <v>16.161740454903939</v>
      </c>
      <c r="M93" s="106">
        <v>28645.068782271737</v>
      </c>
      <c r="N93" s="106">
        <v>17.174146099156573</v>
      </c>
      <c r="O93" s="106">
        <v>30439.456546145109</v>
      </c>
      <c r="P93" s="106">
        <v>13</v>
      </c>
      <c r="Q93" s="106">
        <v>23041.199999999997</v>
      </c>
      <c r="R93" s="106">
        <v>14.220588791308284</v>
      </c>
      <c r="S93" s="106">
        <v>25204.571573714802</v>
      </c>
      <c r="T93" s="106">
        <v>44.121053719008266</v>
      </c>
      <c r="U93" s="106">
        <v>78200.155611570241</v>
      </c>
      <c r="V93" s="106">
        <v>22.195861221193464</v>
      </c>
      <c r="W93" s="106">
        <v>39339.94442844329</v>
      </c>
      <c r="X93" s="106">
        <v>42.255169547872342</v>
      </c>
      <c r="Y93" s="106">
        <v>74893.06250664893</v>
      </c>
      <c r="Z93" s="106">
        <v>23.152240711082879</v>
      </c>
      <c r="AA93" s="106">
        <v>41035.03143632329</v>
      </c>
      <c r="AB93" s="106">
        <v>13.203171001356974</v>
      </c>
      <c r="AC93" s="106">
        <v>23401.300282805099</v>
      </c>
      <c r="AD93" s="106">
        <v>9</v>
      </c>
      <c r="AE93" s="106">
        <v>15951.599999999999</v>
      </c>
      <c r="AF93" s="106">
        <v>11.163697581879401</v>
      </c>
      <c r="AG93" s="106">
        <v>19786.537594123049</v>
      </c>
      <c r="AH93" s="106">
        <v>7.3673611010712889</v>
      </c>
      <c r="AI93" s="106">
        <v>13057.910815538751</v>
      </c>
      <c r="AJ93" s="106">
        <v>10.261531446395411</v>
      </c>
      <c r="AK93" s="106">
        <v>18187.538335591224</v>
      </c>
      <c r="AL93" s="106">
        <v>8.2336780850025146</v>
      </c>
      <c r="AM93" s="106">
        <v>14593.371037858456</v>
      </c>
      <c r="AN93" s="106">
        <v>14</v>
      </c>
      <c r="AO93" s="106">
        <v>24813.599999999999</v>
      </c>
      <c r="AP93" s="106">
        <v>9.5234483376289951</v>
      </c>
      <c r="AQ93" s="106">
        <v>16879.359833613631</v>
      </c>
      <c r="AR93" s="106">
        <v>6.0314926149505723</v>
      </c>
      <c r="AS93" s="106">
        <v>10690.217510738394</v>
      </c>
      <c r="AT93" s="106">
        <v>7.0246585162050161</v>
      </c>
      <c r="AU93" s="106">
        <v>12450.50475412177</v>
      </c>
      <c r="AV93" s="106">
        <v>7.0428266507448871</v>
      </c>
      <c r="AW93" s="106">
        <v>12482.705955780237</v>
      </c>
      <c r="AX93" s="106">
        <v>5.0331488088078737</v>
      </c>
      <c r="AY93" s="106">
        <v>8920.7529487310749</v>
      </c>
      <c r="AZ93" s="106">
        <v>9.2158133559984599</v>
      </c>
      <c r="BA93" s="106">
        <v>16334.107592171669</v>
      </c>
      <c r="BB93" s="106">
        <v>9.229551493251142</v>
      </c>
      <c r="BC93" s="106">
        <v>16358.457066638322</v>
      </c>
      <c r="BD93" s="106">
        <v>6</v>
      </c>
      <c r="BE93" s="106">
        <v>10634.4</v>
      </c>
      <c r="BF93" s="106">
        <v>8.1339838618877831</v>
      </c>
      <c r="BG93" s="106">
        <v>14416.672996809906</v>
      </c>
      <c r="BH93" s="106">
        <v>12.059395178962747</v>
      </c>
      <c r="BI93" s="106">
        <v>21374.072015193571</v>
      </c>
      <c r="BJ93" s="106">
        <v>13.125048426047616</v>
      </c>
      <c r="BK93" s="106">
        <v>23262.835830326792</v>
      </c>
      <c r="BL93" s="106">
        <v>18</v>
      </c>
      <c r="BM93" s="106">
        <v>31903.199999999997</v>
      </c>
      <c r="BN93" s="106">
        <v>14.075317168341799</v>
      </c>
      <c r="BO93" s="106">
        <v>24947.092149169002</v>
      </c>
      <c r="BP93" s="106">
        <v>35.198722453695602</v>
      </c>
      <c r="BQ93" s="106">
        <v>62386.215676930078</v>
      </c>
      <c r="BR93" s="106">
        <v>50.204988740539676</v>
      </c>
      <c r="BS93" s="106">
        <v>88983.322043732522</v>
      </c>
      <c r="BT93" s="106">
        <v>38.349971847412981</v>
      </c>
      <c r="BU93" s="106">
        <v>67971.490102354757</v>
      </c>
      <c r="BV93" s="106">
        <v>41.238866026307967</v>
      </c>
      <c r="BW93" s="106">
        <v>73091.766145028232</v>
      </c>
      <c r="BX93" s="106">
        <v>31</v>
      </c>
      <c r="BY93" s="106">
        <v>54944.399999999994</v>
      </c>
      <c r="BZ93" s="106">
        <v>35.046216854934599</v>
      </c>
      <c r="CA93" s="106">
        <v>62115.914753686076</v>
      </c>
      <c r="CB93" s="106">
        <v>23.064766837161262</v>
      </c>
      <c r="CC93" s="106">
        <v>40879.992742184615</v>
      </c>
      <c r="CD93" s="106">
        <v>40.10617038844061</v>
      </c>
      <c r="CE93" s="106">
        <v>71084.176396472132</v>
      </c>
      <c r="CF93" s="106">
        <v>10</v>
      </c>
      <c r="CG93" s="106">
        <v>17724</v>
      </c>
      <c r="CH93" s="106">
        <v>10</v>
      </c>
      <c r="CI93" s="106">
        <v>17724</v>
      </c>
      <c r="CJ93" s="106">
        <v>11.327314814814814</v>
      </c>
      <c r="CK93" s="106">
        <v>20076.532777777775</v>
      </c>
      <c r="CL93" s="106">
        <v>13.293050896241132</v>
      </c>
      <c r="CM93" s="106">
        <v>23560.60340849778</v>
      </c>
      <c r="CN93" s="106">
        <v>5.0476146506617416</v>
      </c>
      <c r="CO93" s="106">
        <v>8946.3922068328702</v>
      </c>
      <c r="CP93" s="106">
        <v>4.0619490358126722</v>
      </c>
      <c r="CQ93" s="106">
        <v>7199.3984710743798</v>
      </c>
      <c r="CR93" s="106">
        <v>6</v>
      </c>
      <c r="CS93" s="106">
        <v>10634.4</v>
      </c>
      <c r="CT93" s="106">
        <v>4.1004452743464519</v>
      </c>
      <c r="CU93" s="106">
        <v>7267.6292042516507</v>
      </c>
    </row>
    <row r="94" spans="2:99" x14ac:dyDescent="0.2">
      <c r="C94" s="105" t="s">
        <v>260</v>
      </c>
      <c r="D94" s="106">
        <v>4</v>
      </c>
      <c r="E94" s="106">
        <v>9580.7999999999993</v>
      </c>
      <c r="F94" s="106">
        <v>4.3919594055675439</v>
      </c>
      <c r="G94" s="106">
        <v>10519.621168215381</v>
      </c>
      <c r="H94" s="106">
        <v>4.3952582726326748</v>
      </c>
      <c r="I94" s="106">
        <v>10527.522614609781</v>
      </c>
      <c r="J94" s="106">
        <v>4.0476175154760829</v>
      </c>
      <c r="K94" s="106">
        <v>9694.8534730683132</v>
      </c>
      <c r="L94" s="106">
        <v>14.139540784623005</v>
      </c>
      <c r="M94" s="106">
        <v>33867.028087329018</v>
      </c>
      <c r="N94" s="106">
        <v>17.185503453449396</v>
      </c>
      <c r="O94" s="106">
        <v>41162.717871701992</v>
      </c>
      <c r="P94" s="106">
        <v>11</v>
      </c>
      <c r="Q94" s="106">
        <v>26347.199999999997</v>
      </c>
      <c r="R94" s="106">
        <v>13.206801991851517</v>
      </c>
      <c r="S94" s="106">
        <v>31632.932130882749</v>
      </c>
      <c r="T94" s="106">
        <v>38.091462809917353</v>
      </c>
      <c r="U94" s="106">
        <v>91236.671722314029</v>
      </c>
      <c r="V94" s="106">
        <v>22.177580840548739</v>
      </c>
      <c r="W94" s="106">
        <v>53119.741629282333</v>
      </c>
      <c r="X94" s="106">
        <v>33.228023851290175</v>
      </c>
      <c r="Y94" s="106">
        <v>79587.762728610222</v>
      </c>
      <c r="Z94" s="106">
        <v>24.129404604420447</v>
      </c>
      <c r="AA94" s="106">
        <v>57794.749908507853</v>
      </c>
      <c r="AB94" s="106">
        <v>13.159634358209052</v>
      </c>
      <c r="AC94" s="106">
        <v>31519.95621478232</v>
      </c>
      <c r="AD94" s="106">
        <v>9</v>
      </c>
      <c r="AE94" s="106">
        <v>21556.799999999999</v>
      </c>
      <c r="AF94" s="106">
        <v>11.150056116722784</v>
      </c>
      <c r="AG94" s="106">
        <v>26706.614410774408</v>
      </c>
      <c r="AH94" s="106">
        <v>6.3820555451141407</v>
      </c>
      <c r="AI94" s="106">
        <v>15286.299441657389</v>
      </c>
      <c r="AJ94" s="106">
        <v>10.268599863865557</v>
      </c>
      <c r="AK94" s="106">
        <v>24595.350393930781</v>
      </c>
      <c r="AL94" s="106">
        <v>9.2059535664428953</v>
      </c>
      <c r="AM94" s="106">
        <v>22050.099982344022</v>
      </c>
      <c r="AN94" s="106">
        <v>13</v>
      </c>
      <c r="AO94" s="106">
        <v>31137.599999999999</v>
      </c>
      <c r="AP94" s="106">
        <v>9.4812347620137523</v>
      </c>
      <c r="AQ94" s="106">
        <v>22709.453501975338</v>
      </c>
      <c r="AR94" s="106">
        <v>6.0314926149505723</v>
      </c>
      <c r="AS94" s="106">
        <v>14446.631111329611</v>
      </c>
      <c r="AT94" s="106">
        <v>7.0197268129640129</v>
      </c>
      <c r="AU94" s="106">
        <v>16813.649662411401</v>
      </c>
      <c r="AV94" s="106">
        <v>7.0428266507448871</v>
      </c>
      <c r="AW94" s="106">
        <v>16868.978393864152</v>
      </c>
      <c r="AX94" s="106">
        <v>5.0269334071563971</v>
      </c>
      <c r="AY94" s="106">
        <v>12040.510896821001</v>
      </c>
      <c r="AZ94" s="106">
        <v>8.1753483517487489</v>
      </c>
      <c r="BA94" s="106">
        <v>19581.594372108601</v>
      </c>
      <c r="BB94" s="106">
        <v>10.208683175682857</v>
      </c>
      <c r="BC94" s="106">
        <v>24451.837942395578</v>
      </c>
      <c r="BD94" s="106">
        <v>6</v>
      </c>
      <c r="BE94" s="106">
        <v>14371.199999999999</v>
      </c>
      <c r="BF94" s="106">
        <v>6.1261024582473258</v>
      </c>
      <c r="BG94" s="106">
        <v>14673.240607993994</v>
      </c>
      <c r="BH94" s="106">
        <v>12.063107377647919</v>
      </c>
      <c r="BI94" s="106">
        <v>28893.554790942293</v>
      </c>
      <c r="BJ94" s="106">
        <v>12.132863952675592</v>
      </c>
      <c r="BK94" s="106">
        <v>29060.635739448575</v>
      </c>
      <c r="BL94" s="106">
        <v>19</v>
      </c>
      <c r="BM94" s="106">
        <v>45508.799999999996</v>
      </c>
      <c r="BN94" s="106">
        <v>13.065902522299075</v>
      </c>
      <c r="BO94" s="106">
        <v>31295.44972141074</v>
      </c>
      <c r="BP94" s="106">
        <v>30.184181786352017</v>
      </c>
      <c r="BQ94" s="106">
        <v>72297.15221467035</v>
      </c>
      <c r="BR94" s="106">
        <v>46.204988740539676</v>
      </c>
      <c r="BS94" s="106">
        <v>110670.18903134062</v>
      </c>
      <c r="BT94" s="106">
        <v>37.358945484526132</v>
      </c>
      <c r="BU94" s="106">
        <v>89482.146224536977</v>
      </c>
      <c r="BV94" s="106">
        <v>40.225595691513078</v>
      </c>
      <c r="BW94" s="106">
        <v>96348.346800312123</v>
      </c>
      <c r="BX94" s="106">
        <v>25</v>
      </c>
      <c r="BY94" s="106">
        <v>59879.999999999993</v>
      </c>
      <c r="BZ94" s="106">
        <v>33.049771997621882</v>
      </c>
      <c r="CA94" s="106">
        <v>79160.813888703924</v>
      </c>
      <c r="CB94" s="106">
        <v>20.064766837161262</v>
      </c>
      <c r="CC94" s="106">
        <v>48059.129528368649</v>
      </c>
      <c r="CD94" s="106">
        <v>38.11734621880278</v>
      </c>
      <c r="CE94" s="106">
        <v>91298.667663276414</v>
      </c>
      <c r="CF94" s="106">
        <v>11</v>
      </c>
      <c r="CG94" s="106">
        <v>26347.199999999997</v>
      </c>
      <c r="CH94" s="106">
        <v>9</v>
      </c>
      <c r="CI94" s="106">
        <v>21556.799999999999</v>
      </c>
      <c r="CJ94" s="106">
        <v>11.339437585733883</v>
      </c>
      <c r="CK94" s="106">
        <v>27160.220905349794</v>
      </c>
      <c r="CL94" s="106">
        <v>13.293050896241132</v>
      </c>
      <c r="CM94" s="106">
        <v>31839.515506676758</v>
      </c>
      <c r="CN94" s="106">
        <v>5.0416628193290247</v>
      </c>
      <c r="CO94" s="106">
        <v>12075.790784856879</v>
      </c>
      <c r="CP94" s="106">
        <v>5.0671114554637278</v>
      </c>
      <c r="CQ94" s="106">
        <v>12136.74535812672</v>
      </c>
      <c r="CR94" s="106">
        <v>6</v>
      </c>
      <c r="CS94" s="106">
        <v>14371.199999999999</v>
      </c>
      <c r="CT94" s="106">
        <v>4.1004452743464519</v>
      </c>
      <c r="CU94" s="106">
        <v>9821.3865211146203</v>
      </c>
    </row>
    <row r="95" spans="2:99" x14ac:dyDescent="0.2">
      <c r="B95" s="105" t="s">
        <v>132</v>
      </c>
      <c r="C95" s="105" t="s">
        <v>261</v>
      </c>
      <c r="D95" s="106">
        <v>8</v>
      </c>
      <c r="E95" s="106">
        <v>13862.4</v>
      </c>
      <c r="F95" s="106">
        <v>11.810049438172925</v>
      </c>
      <c r="G95" s="106">
        <v>20464.453666466045</v>
      </c>
      <c r="H95" s="106">
        <v>7.7114648907388137</v>
      </c>
      <c r="I95" s="106">
        <v>13362.426362672217</v>
      </c>
      <c r="J95" s="106">
        <v>9.1984063144836803</v>
      </c>
      <c r="K95" s="106">
        <v>15938.998461737321</v>
      </c>
      <c r="L95" s="106">
        <v>14.130026640216892</v>
      </c>
      <c r="M95" s="106">
        <v>24484.51016216783</v>
      </c>
      <c r="N95" s="106">
        <v>11.102216188635381</v>
      </c>
      <c r="O95" s="106">
        <v>19237.920211667388</v>
      </c>
      <c r="P95" s="106">
        <v>10</v>
      </c>
      <c r="Q95" s="106">
        <v>17328</v>
      </c>
      <c r="R95" s="106">
        <v>13.344669986419195</v>
      </c>
      <c r="S95" s="106">
        <v>23123.644152467179</v>
      </c>
      <c r="T95" s="106">
        <v>14.236727272727272</v>
      </c>
      <c r="U95" s="106">
        <v>24669.401018181816</v>
      </c>
      <c r="V95" s="106">
        <v>8.1645234258025088</v>
      </c>
      <c r="W95" s="106">
        <v>14147.486192230586</v>
      </c>
      <c r="X95" s="106">
        <v>15.369181473517429</v>
      </c>
      <c r="Y95" s="106">
        <v>26631.717657311001</v>
      </c>
      <c r="Z95" s="106">
        <v>15.243585137732607</v>
      </c>
      <c r="AA95" s="106">
        <v>26414.084326663062</v>
      </c>
      <c r="AB95" s="106">
        <v>51.058048857530565</v>
      </c>
      <c r="AC95" s="106">
        <v>88473.387060328954</v>
      </c>
      <c r="AD95" s="106">
        <v>56</v>
      </c>
      <c r="AE95" s="106">
        <v>97036.800000000003</v>
      </c>
      <c r="AF95" s="106">
        <v>37.068207325783085</v>
      </c>
      <c r="AG95" s="106">
        <v>64231.789654116925</v>
      </c>
      <c r="AH95" s="106">
        <v>54.161638884471365</v>
      </c>
      <c r="AI95" s="106">
        <v>93851.28785901198</v>
      </c>
      <c r="AJ95" s="106">
        <v>9.0989578445820474</v>
      </c>
      <c r="AK95" s="106">
        <v>15766.674153091772</v>
      </c>
      <c r="AL95" s="106">
        <v>9.1108980742384809</v>
      </c>
      <c r="AM95" s="106">
        <v>15787.364183040439</v>
      </c>
      <c r="AN95" s="106">
        <v>7</v>
      </c>
      <c r="AO95" s="106">
        <v>12129.6</v>
      </c>
      <c r="AP95" s="106">
        <v>5.2195105931992556</v>
      </c>
      <c r="AQ95" s="106">
        <v>9044.3679558956701</v>
      </c>
      <c r="AR95" s="106">
        <v>33.062985229901145</v>
      </c>
      <c r="AS95" s="106">
        <v>57291.540806372701</v>
      </c>
      <c r="AT95" s="106">
        <v>37.128224284266082</v>
      </c>
      <c r="AU95" s="106">
        <v>64335.787039776267</v>
      </c>
      <c r="AV95" s="106">
        <v>28.118962918735797</v>
      </c>
      <c r="AW95" s="106">
        <v>48724.538945585387</v>
      </c>
      <c r="AX95" s="106">
        <v>40.082872022019686</v>
      </c>
      <c r="AY95" s="106">
        <v>69455.600639755707</v>
      </c>
      <c r="AZ95" s="106">
        <v>34.141627514873989</v>
      </c>
      <c r="BA95" s="106">
        <v>59160.612157773649</v>
      </c>
      <c r="BB95" s="106">
        <v>29.083473270273142</v>
      </c>
      <c r="BC95" s="106">
        <v>50395.842482729298</v>
      </c>
      <c r="BD95" s="106">
        <v>20</v>
      </c>
      <c r="BE95" s="106">
        <v>34656</v>
      </c>
      <c r="BF95" s="106">
        <v>29.133983861887785</v>
      </c>
      <c r="BG95" s="106">
        <v>50483.367235879152</v>
      </c>
      <c r="BH95" s="106">
        <v>21.074243973703432</v>
      </c>
      <c r="BI95" s="106">
        <v>36517.449957633304</v>
      </c>
      <c r="BJ95" s="106">
        <v>24.211019218955354</v>
      </c>
      <c r="BK95" s="106">
        <v>41952.854102605837</v>
      </c>
      <c r="BL95" s="106">
        <v>38</v>
      </c>
      <c r="BM95" s="106">
        <v>65846.399999999994</v>
      </c>
      <c r="BN95" s="106">
        <v>32.072178952994221</v>
      </c>
      <c r="BO95" s="106">
        <v>55574.671689748386</v>
      </c>
      <c r="BP95" s="106">
        <v>21.145406673435804</v>
      </c>
      <c r="BQ95" s="106">
        <v>36640.760683729561</v>
      </c>
      <c r="BR95" s="106">
        <v>28.136659160359784</v>
      </c>
      <c r="BS95" s="106">
        <v>48755.202993071434</v>
      </c>
      <c r="BT95" s="106">
        <v>27.323050936073518</v>
      </c>
      <c r="BU95" s="106">
        <v>47345.382662028191</v>
      </c>
      <c r="BV95" s="106">
        <v>25.123856458085612</v>
      </c>
      <c r="BW95" s="106">
        <v>43534.618470570749</v>
      </c>
      <c r="BX95" s="106">
        <v>19</v>
      </c>
      <c r="BY95" s="106">
        <v>32923.199999999997</v>
      </c>
      <c r="BZ95" s="106">
        <v>34.18486741973841</v>
      </c>
      <c r="CA95" s="106">
        <v>59235.538264922718</v>
      </c>
      <c r="CB95" s="106">
        <v>26.220969209138421</v>
      </c>
      <c r="CC95" s="106">
        <v>45435.695445595054</v>
      </c>
      <c r="CD95" s="106">
        <v>29.463796960030024</v>
      </c>
      <c r="CE95" s="106">
        <v>51054.867372340021</v>
      </c>
      <c r="CF95" s="106">
        <v>20</v>
      </c>
      <c r="CG95" s="106">
        <v>34656</v>
      </c>
      <c r="CH95" s="106">
        <v>22</v>
      </c>
      <c r="CI95" s="106">
        <v>38121.599999999999</v>
      </c>
      <c r="CJ95" s="106">
        <v>30.145473251028807</v>
      </c>
      <c r="CK95" s="106">
        <v>52236.076049382718</v>
      </c>
      <c r="CL95" s="106">
        <v>24.158735902130612</v>
      </c>
      <c r="CM95" s="106">
        <v>41862.257571211921</v>
      </c>
      <c r="CN95" s="106">
        <v>105.24402508464142</v>
      </c>
      <c r="CO95" s="106">
        <v>182366.84666666665</v>
      </c>
      <c r="CP95" s="106">
        <v>93.221984044995409</v>
      </c>
      <c r="CQ95" s="106">
        <v>161535.05395316804</v>
      </c>
      <c r="CR95" s="106">
        <v>82</v>
      </c>
      <c r="CS95" s="106">
        <v>142089.60000000001</v>
      </c>
      <c r="CT95" s="106">
        <v>66.412941683424307</v>
      </c>
      <c r="CU95" s="106">
        <v>115080.34534903764</v>
      </c>
    </row>
    <row r="96" spans="2:99" x14ac:dyDescent="0.2">
      <c r="C96" s="105" t="s">
        <v>262</v>
      </c>
      <c r="D96" s="106">
        <v>10</v>
      </c>
      <c r="E96" s="106">
        <v>8232</v>
      </c>
      <c r="F96" s="106">
        <v>10.940702573362106</v>
      </c>
      <c r="G96" s="106">
        <v>9006.3863583916846</v>
      </c>
      <c r="H96" s="106">
        <v>8.7378154422476584</v>
      </c>
      <c r="I96" s="106">
        <v>7192.9696720582715</v>
      </c>
      <c r="J96" s="106">
        <v>9.2420557036700899</v>
      </c>
      <c r="K96" s="106">
        <v>7608.0602552612172</v>
      </c>
      <c r="L96" s="106">
        <v>17.152226310497824</v>
      </c>
      <c r="M96" s="106">
        <v>14119.712698801808</v>
      </c>
      <c r="N96" s="106">
        <v>11.121145112456748</v>
      </c>
      <c r="O96" s="106">
        <v>9154.9266565743947</v>
      </c>
      <c r="P96" s="106">
        <v>11</v>
      </c>
      <c r="Q96" s="106">
        <v>9055.1999999999989</v>
      </c>
      <c r="R96" s="106">
        <v>16.358456785875962</v>
      </c>
      <c r="S96" s="106">
        <v>13466.28162613309</v>
      </c>
      <c r="T96" s="106">
        <v>16.274388429752065</v>
      </c>
      <c r="U96" s="106">
        <v>13397.076555371899</v>
      </c>
      <c r="V96" s="106">
        <v>9.2219760506859245</v>
      </c>
      <c r="W96" s="106">
        <v>7591.5306849246526</v>
      </c>
      <c r="X96" s="106">
        <v>19.412614588048889</v>
      </c>
      <c r="Y96" s="106">
        <v>15980.464328881844</v>
      </c>
      <c r="Z96" s="106">
        <v>17.243585137732605</v>
      </c>
      <c r="AA96" s="106">
        <v>14194.91928538148</v>
      </c>
      <c r="AB96" s="106">
        <v>59.065304964721882</v>
      </c>
      <c r="AC96" s="106">
        <v>48622.559046959046</v>
      </c>
      <c r="AD96" s="106">
        <v>68</v>
      </c>
      <c r="AE96" s="106">
        <v>55977.599999999999</v>
      </c>
      <c r="AF96" s="106">
        <v>41.081848790939702</v>
      </c>
      <c r="AG96" s="106">
        <v>33818.57792470156</v>
      </c>
      <c r="AH96" s="106">
        <v>61.176333328514218</v>
      </c>
      <c r="AI96" s="106">
        <v>50360.357596032904</v>
      </c>
      <c r="AJ96" s="106">
        <v>10.120163096992487</v>
      </c>
      <c r="AK96" s="106">
        <v>8330.9182614442143</v>
      </c>
      <c r="AL96" s="106">
        <v>9.138622592798102</v>
      </c>
      <c r="AM96" s="106">
        <v>7522.9141183913971</v>
      </c>
      <c r="AN96" s="106">
        <v>8</v>
      </c>
      <c r="AO96" s="106">
        <v>6585.5999999999995</v>
      </c>
      <c r="AP96" s="106">
        <v>6.2448387385684008</v>
      </c>
      <c r="AQ96" s="106">
        <v>5140.7512495895071</v>
      </c>
      <c r="AR96" s="106">
        <v>36.072247763710138</v>
      </c>
      <c r="AS96" s="106">
        <v>29694.674359086184</v>
      </c>
      <c r="AT96" s="106">
        <v>40.140553542368593</v>
      </c>
      <c r="AU96" s="106">
        <v>33043.703676077821</v>
      </c>
      <c r="AV96" s="106">
        <v>32.12372143548523</v>
      </c>
      <c r="AW96" s="106">
        <v>26444.247485691438</v>
      </c>
      <c r="AX96" s="106">
        <v>43.091159224221649</v>
      </c>
      <c r="AY96" s="106">
        <v>35472.642273379257</v>
      </c>
      <c r="AZ96" s="106">
        <v>34.128139180124087</v>
      </c>
      <c r="BA96" s="106">
        <v>28094.284173078147</v>
      </c>
      <c r="BB96" s="106">
        <v>34.097385481985334</v>
      </c>
      <c r="BC96" s="106">
        <v>28068.967728770323</v>
      </c>
      <c r="BD96" s="106">
        <v>23</v>
      </c>
      <c r="BE96" s="106">
        <v>18933.599999999999</v>
      </c>
      <c r="BF96" s="106">
        <v>38.133983861887785</v>
      </c>
      <c r="BG96" s="106">
        <v>31391.895515106022</v>
      </c>
      <c r="BH96" s="106">
        <v>23.077956172388603</v>
      </c>
      <c r="BI96" s="106">
        <v>18997.773521110295</v>
      </c>
      <c r="BJ96" s="106">
        <v>23.250096852095233</v>
      </c>
      <c r="BK96" s="106">
        <v>19139.479728644794</v>
      </c>
      <c r="BL96" s="106">
        <v>43</v>
      </c>
      <c r="BM96" s="106">
        <v>35397.599999999999</v>
      </c>
      <c r="BN96" s="106">
        <v>38.069040737646652</v>
      </c>
      <c r="BO96" s="106">
        <v>31338.434335230722</v>
      </c>
      <c r="BP96" s="106">
        <v>23.135712895206751</v>
      </c>
      <c r="BQ96" s="106">
        <v>19045.318855334197</v>
      </c>
      <c r="BR96" s="106">
        <v>32.17082395044973</v>
      </c>
      <c r="BS96" s="106">
        <v>26483.022276010215</v>
      </c>
      <c r="BT96" s="106">
        <v>31.358945484526132</v>
      </c>
      <c r="BU96" s="106">
        <v>25814.68392286191</v>
      </c>
      <c r="BV96" s="106">
        <v>27.137126792880501</v>
      </c>
      <c r="BW96" s="106">
        <v>22339.282775899228</v>
      </c>
      <c r="BX96" s="106">
        <v>23</v>
      </c>
      <c r="BY96" s="106">
        <v>18933.599999999999</v>
      </c>
      <c r="BZ96" s="106">
        <v>36.248859988109395</v>
      </c>
      <c r="CA96" s="106">
        <v>29840.06154221165</v>
      </c>
      <c r="CB96" s="106">
        <v>27.247637906793056</v>
      </c>
      <c r="CC96" s="106">
        <v>22430.255524872042</v>
      </c>
      <c r="CD96" s="106">
        <v>34.575555263651715</v>
      </c>
      <c r="CE96" s="106">
        <v>28462.59709303809</v>
      </c>
      <c r="CF96" s="106">
        <v>20</v>
      </c>
      <c r="CG96" s="106">
        <v>16464</v>
      </c>
      <c r="CH96" s="106">
        <v>23</v>
      </c>
      <c r="CI96" s="106">
        <v>18933.599999999999</v>
      </c>
      <c r="CJ96" s="106">
        <v>31.157596021947874</v>
      </c>
      <c r="CK96" s="106">
        <v>25648.933045267488</v>
      </c>
      <c r="CL96" s="106">
        <v>31.170946356140661</v>
      </c>
      <c r="CM96" s="106">
        <v>25659.92304037499</v>
      </c>
      <c r="CN96" s="106">
        <v>130.23212142197599</v>
      </c>
      <c r="CO96" s="106">
        <v>107207.08235457062</v>
      </c>
      <c r="CP96" s="106">
        <v>118.2581209825528</v>
      </c>
      <c r="CQ96" s="106">
        <v>97350.085192837447</v>
      </c>
      <c r="CR96" s="106">
        <v>109</v>
      </c>
      <c r="CS96" s="106">
        <v>89728.799999999988</v>
      </c>
      <c r="CT96" s="106">
        <v>73.491065785693763</v>
      </c>
      <c r="CU96" s="106">
        <v>60497.845354783101</v>
      </c>
    </row>
    <row r="97" spans="2:99" x14ac:dyDescent="0.2">
      <c r="C97" s="105" t="s">
        <v>263</v>
      </c>
      <c r="D97" s="106">
        <v>8</v>
      </c>
      <c r="E97" s="106">
        <v>14630.4</v>
      </c>
      <c r="F97" s="106">
        <v>9.8100494381729249</v>
      </c>
      <c r="G97" s="106">
        <v>17940.618412530646</v>
      </c>
      <c r="H97" s="106">
        <v>7.6587637877211243</v>
      </c>
      <c r="I97" s="106">
        <v>14006.347214984391</v>
      </c>
      <c r="J97" s="106">
        <v>9.1785656830353108</v>
      </c>
      <c r="K97" s="106">
        <v>16785.760921134977</v>
      </c>
      <c r="L97" s="106">
        <v>14.139540784623005</v>
      </c>
      <c r="M97" s="106">
        <v>25858.392186918551</v>
      </c>
      <c r="N97" s="106">
        <v>11.113573542928201</v>
      </c>
      <c r="O97" s="106">
        <v>20324.503295307091</v>
      </c>
      <c r="P97" s="106">
        <v>12</v>
      </c>
      <c r="Q97" s="106">
        <v>21945.599999999999</v>
      </c>
      <c r="R97" s="106">
        <v>15.351563386147578</v>
      </c>
      <c r="S97" s="106">
        <v>28074.939120586692</v>
      </c>
      <c r="T97" s="106">
        <v>15.234037190082645</v>
      </c>
      <c r="U97" s="106">
        <v>27860.00721322314</v>
      </c>
      <c r="V97" s="106">
        <v>8.1801923234979856</v>
      </c>
      <c r="W97" s="106">
        <v>14959.935721213116</v>
      </c>
      <c r="X97" s="106">
        <v>16.374610612833862</v>
      </c>
      <c r="Y97" s="106">
        <v>29945.887888750567</v>
      </c>
      <c r="Z97" s="106">
        <v>15.220749031070175</v>
      </c>
      <c r="AA97" s="106">
        <v>27835.705828021135</v>
      </c>
      <c r="AB97" s="106">
        <v>53.058048857530565</v>
      </c>
      <c r="AC97" s="106">
        <v>97032.559750651897</v>
      </c>
      <c r="AD97" s="106">
        <v>58</v>
      </c>
      <c r="AE97" s="106">
        <v>106070.39999999999</v>
      </c>
      <c r="AF97" s="106">
        <v>37.068207325783085</v>
      </c>
      <c r="AG97" s="106">
        <v>67790.337557392108</v>
      </c>
      <c r="AH97" s="106">
        <v>52.161638884471365</v>
      </c>
      <c r="AI97" s="106">
        <v>95393.205191921224</v>
      </c>
      <c r="AJ97" s="106">
        <v>8.0989578445820474</v>
      </c>
      <c r="AK97" s="106">
        <v>14811.374106171648</v>
      </c>
      <c r="AL97" s="106">
        <v>8.1188193652555167</v>
      </c>
      <c r="AM97" s="106">
        <v>14847.696855179289</v>
      </c>
      <c r="AN97" s="106">
        <v>8</v>
      </c>
      <c r="AO97" s="106">
        <v>14630.4</v>
      </c>
      <c r="AP97" s="106">
        <v>5.2195105931992556</v>
      </c>
      <c r="AQ97" s="106">
        <v>9545.4409728427981</v>
      </c>
      <c r="AR97" s="106">
        <v>33.064837736662945</v>
      </c>
      <c r="AS97" s="106">
        <v>60468.975252809192</v>
      </c>
      <c r="AT97" s="106">
        <v>35.110963322922572</v>
      </c>
      <c r="AU97" s="106">
        <v>64210.929724960799</v>
      </c>
      <c r="AV97" s="106">
        <v>24.11658366036108</v>
      </c>
      <c r="AW97" s="106">
        <v>44104.40819806834</v>
      </c>
      <c r="AX97" s="106">
        <v>38.076656620368205</v>
      </c>
      <c r="AY97" s="106">
        <v>69634.589627329377</v>
      </c>
      <c r="AZ97" s="106">
        <v>33.121395012749133</v>
      </c>
      <c r="BA97" s="106">
        <v>60572.40719931561</v>
      </c>
      <c r="BB97" s="106">
        <v>28.083473270273142</v>
      </c>
      <c r="BC97" s="106">
        <v>51359.055916675519</v>
      </c>
      <c r="BD97" s="106">
        <v>22</v>
      </c>
      <c r="BE97" s="106">
        <v>40233.599999999999</v>
      </c>
      <c r="BF97" s="106">
        <v>32.133983861887785</v>
      </c>
      <c r="BG97" s="106">
        <v>58766.629686620377</v>
      </c>
      <c r="BH97" s="106">
        <v>20.081668371073775</v>
      </c>
      <c r="BI97" s="106">
        <v>36725.355117019717</v>
      </c>
      <c r="BJ97" s="106">
        <v>23.257912378723208</v>
      </c>
      <c r="BK97" s="106">
        <v>42534.070158209004</v>
      </c>
      <c r="BL97" s="106">
        <v>40</v>
      </c>
      <c r="BM97" s="106">
        <v>73152</v>
      </c>
      <c r="BN97" s="106">
        <v>31.072178952994225</v>
      </c>
      <c r="BO97" s="106">
        <v>56824.800869235834</v>
      </c>
      <c r="BP97" s="106">
        <v>19.130866006092223</v>
      </c>
      <c r="BQ97" s="106">
        <v>34986.527751941459</v>
      </c>
      <c r="BR97" s="106">
        <v>27.162282752927243</v>
      </c>
      <c r="BS97" s="106">
        <v>49674.382698553345</v>
      </c>
      <c r="BT97" s="106">
        <v>26.278182750507753</v>
      </c>
      <c r="BU97" s="106">
        <v>48057.540614128578</v>
      </c>
      <c r="BV97" s="106">
        <v>28.123856458085612</v>
      </c>
      <c r="BW97" s="106">
        <v>51432.908690546967</v>
      </c>
      <c r="BX97" s="106">
        <v>20</v>
      </c>
      <c r="BY97" s="106">
        <v>36576</v>
      </c>
      <c r="BZ97" s="106">
        <v>36.199087990487513</v>
      </c>
      <c r="CA97" s="106">
        <v>66200.892117003561</v>
      </c>
      <c r="CB97" s="106">
        <v>27.220969209138421</v>
      </c>
      <c r="CC97" s="106">
        <v>49781.708489672339</v>
      </c>
      <c r="CD97" s="106">
        <v>31.430269468943518</v>
      </c>
      <c r="CE97" s="106">
        <v>57479.676804803901</v>
      </c>
      <c r="CF97" s="106">
        <v>20</v>
      </c>
      <c r="CG97" s="106">
        <v>36576</v>
      </c>
      <c r="CH97" s="106">
        <v>25</v>
      </c>
      <c r="CI97" s="106">
        <v>45720</v>
      </c>
      <c r="CJ97" s="106">
        <v>28.145473251028807</v>
      </c>
      <c r="CK97" s="106">
        <v>51472.441481481481</v>
      </c>
      <c r="CL97" s="106">
        <v>28.170946356140661</v>
      </c>
      <c r="CM97" s="106">
        <v>51519.026696110042</v>
      </c>
      <c r="CN97" s="106">
        <v>107.23212142197599</v>
      </c>
      <c r="CO97" s="106">
        <v>196106.10365650969</v>
      </c>
      <c r="CP97" s="106">
        <v>92.221984044995409</v>
      </c>
      <c r="CQ97" s="106">
        <v>168655.56442148759</v>
      </c>
      <c r="CR97" s="106">
        <v>79</v>
      </c>
      <c r="CS97" s="106">
        <v>144475.19999999998</v>
      </c>
      <c r="CT97" s="106">
        <v>70.412941683424307</v>
      </c>
      <c r="CU97" s="106">
        <v>128771.18775064636</v>
      </c>
    </row>
    <row r="98" spans="2:99" x14ac:dyDescent="0.2">
      <c r="C98" s="105" t="s">
        <v>264</v>
      </c>
      <c r="D98" s="106">
        <v>9</v>
      </c>
      <c r="E98" s="106">
        <v>11372.4</v>
      </c>
      <c r="F98" s="106">
        <v>10.888441319286434</v>
      </c>
      <c r="G98" s="106">
        <v>13758.634451050337</v>
      </c>
      <c r="H98" s="106">
        <v>7.8168670967741933</v>
      </c>
      <c r="I98" s="106">
        <v>9877.3932634838693</v>
      </c>
      <c r="J98" s="106">
        <v>9.1865019356146593</v>
      </c>
      <c r="K98" s="106">
        <v>11608.063845842682</v>
      </c>
      <c r="L98" s="106">
        <v>15.136369403154301</v>
      </c>
      <c r="M98" s="106">
        <v>19126.316377825773</v>
      </c>
      <c r="N98" s="106">
        <v>12.102216188635381</v>
      </c>
      <c r="O98" s="106">
        <v>15292.360375959666</v>
      </c>
      <c r="P98" s="106">
        <v>10</v>
      </c>
      <c r="Q98" s="106">
        <v>12636</v>
      </c>
      <c r="R98" s="106">
        <v>16.330883186962428</v>
      </c>
      <c r="S98" s="106">
        <v>20635.703995045722</v>
      </c>
      <c r="T98" s="106">
        <v>13.215206611570247</v>
      </c>
      <c r="U98" s="106">
        <v>16698.735074380162</v>
      </c>
      <c r="V98" s="106">
        <v>9.1828038064472324</v>
      </c>
      <c r="W98" s="106">
        <v>11603.390889826722</v>
      </c>
      <c r="X98" s="106">
        <v>16.439760284631056</v>
      </c>
      <c r="Y98" s="106">
        <v>20773.2810956598</v>
      </c>
      <c r="Z98" s="106">
        <v>18.215674340700744</v>
      </c>
      <c r="AA98" s="106">
        <v>23017.326096909459</v>
      </c>
      <c r="AB98" s="106">
        <v>58.058048857530565</v>
      </c>
      <c r="AC98" s="106">
        <v>73362.150536375615</v>
      </c>
      <c r="AD98" s="106">
        <v>64</v>
      </c>
      <c r="AE98" s="106">
        <v>80870.399999999994</v>
      </c>
      <c r="AF98" s="106">
        <v>41.081848790939702</v>
      </c>
      <c r="AG98" s="106">
        <v>51911.024132231403</v>
      </c>
      <c r="AH98" s="106">
        <v>53.176333328514218</v>
      </c>
      <c r="AI98" s="106">
        <v>67193.614793910558</v>
      </c>
      <c r="AJ98" s="106">
        <v>9.1095604707872671</v>
      </c>
      <c r="AK98" s="106">
        <v>11510.840610886789</v>
      </c>
      <c r="AL98" s="106">
        <v>8.1307013017810679</v>
      </c>
      <c r="AM98" s="106">
        <v>10273.954164930557</v>
      </c>
      <c r="AN98" s="106">
        <v>8</v>
      </c>
      <c r="AO98" s="106">
        <v>10108.799999999999</v>
      </c>
      <c r="AP98" s="106">
        <v>5.2363960234453524</v>
      </c>
      <c r="AQ98" s="106">
        <v>6616.7100152255471</v>
      </c>
      <c r="AR98" s="106">
        <v>36.075952777233731</v>
      </c>
      <c r="AS98" s="106">
        <v>45585.573929312537</v>
      </c>
      <c r="AT98" s="106">
        <v>33.123292581025083</v>
      </c>
      <c r="AU98" s="106">
        <v>41854.592505383291</v>
      </c>
      <c r="AV98" s="106">
        <v>28.12372143548523</v>
      </c>
      <c r="AW98" s="106">
        <v>35537.134405879136</v>
      </c>
      <c r="AX98" s="106">
        <v>41.093231024772145</v>
      </c>
      <c r="AY98" s="106">
        <v>51925.40672290208</v>
      </c>
      <c r="AZ98" s="106">
        <v>30.128139180124087</v>
      </c>
      <c r="BA98" s="106">
        <v>38069.916668004793</v>
      </c>
      <c r="BB98" s="106">
        <v>34.076517164417048</v>
      </c>
      <c r="BC98" s="106">
        <v>43059.087088957378</v>
      </c>
      <c r="BD98" s="106">
        <v>22</v>
      </c>
      <c r="BE98" s="106">
        <v>27799.199999999997</v>
      </c>
      <c r="BF98" s="106">
        <v>37.133983861887785</v>
      </c>
      <c r="BG98" s="106">
        <v>46922.502007881405</v>
      </c>
      <c r="BH98" s="106">
        <v>24.074243973703432</v>
      </c>
      <c r="BI98" s="106">
        <v>30420.214685171653</v>
      </c>
      <c r="BJ98" s="106">
        <v>23.265727905351184</v>
      </c>
      <c r="BK98" s="106">
        <v>29398.573781201754</v>
      </c>
      <c r="BL98" s="106">
        <v>38</v>
      </c>
      <c r="BM98" s="106">
        <v>48016.799999999996</v>
      </c>
      <c r="BN98" s="106">
        <v>39.072178952994221</v>
      </c>
      <c r="BO98" s="106">
        <v>49371.605325003497</v>
      </c>
      <c r="BP98" s="106">
        <v>23.155100451664858</v>
      </c>
      <c r="BQ98" s="106">
        <v>29258.784930723712</v>
      </c>
      <c r="BR98" s="106">
        <v>29.17082395044973</v>
      </c>
      <c r="BS98" s="106">
        <v>36860.253143788279</v>
      </c>
      <c r="BT98" s="106">
        <v>26.305103661847212</v>
      </c>
      <c r="BU98" s="106">
        <v>33239.128987110133</v>
      </c>
      <c r="BV98" s="106">
        <v>30.123856458085612</v>
      </c>
      <c r="BW98" s="106">
        <v>38064.505020436976</v>
      </c>
      <c r="BX98" s="106">
        <v>22</v>
      </c>
      <c r="BY98" s="106">
        <v>27799.199999999997</v>
      </c>
      <c r="BZ98" s="106">
        <v>35.206198275862072</v>
      </c>
      <c r="CA98" s="106">
        <v>44486.55214137931</v>
      </c>
      <c r="CB98" s="106">
        <v>28.209539767286433</v>
      </c>
      <c r="CC98" s="106">
        <v>35645.574449943131</v>
      </c>
      <c r="CD98" s="106">
        <v>32.508500281478703</v>
      </c>
      <c r="CE98" s="106">
        <v>41077.740955676483</v>
      </c>
      <c r="CF98" s="106">
        <v>19</v>
      </c>
      <c r="CG98" s="106">
        <v>24008.399999999998</v>
      </c>
      <c r="CH98" s="106">
        <v>25</v>
      </c>
      <c r="CI98" s="106">
        <v>31589.999999999996</v>
      </c>
      <c r="CJ98" s="106">
        <v>33.157596021947874</v>
      </c>
      <c r="CK98" s="106">
        <v>41897.938333333332</v>
      </c>
      <c r="CL98" s="106">
        <v>25.18315681015071</v>
      </c>
      <c r="CM98" s="106">
        <v>31821.436945306436</v>
      </c>
      <c r="CN98" s="106">
        <v>110.23807325330871</v>
      </c>
      <c r="CO98" s="106">
        <v>139296.82936288088</v>
      </c>
      <c r="CP98" s="106">
        <v>104.21165920569329</v>
      </c>
      <c r="CQ98" s="106">
        <v>131681.85257231403</v>
      </c>
      <c r="CR98" s="106">
        <v>100</v>
      </c>
      <c r="CS98" s="106">
        <v>126359.99999999999</v>
      </c>
      <c r="CT98" s="106">
        <v>69.468744613616778</v>
      </c>
      <c r="CU98" s="106">
        <v>87780.705693766155</v>
      </c>
    </row>
    <row r="99" spans="2:99" x14ac:dyDescent="0.2">
      <c r="C99" s="105" t="s">
        <v>265</v>
      </c>
      <c r="D99" s="106">
        <v>7</v>
      </c>
      <c r="E99" s="106">
        <v>38371.199999999997</v>
      </c>
      <c r="F99" s="106">
        <v>7.5487431677945613</v>
      </c>
      <c r="G99" s="106">
        <v>41379.190548582665</v>
      </c>
      <c r="H99" s="106">
        <v>6.4743099271592088</v>
      </c>
      <c r="I99" s="106">
        <v>35489.577296715914</v>
      </c>
      <c r="J99" s="106">
        <v>7.1388844201385755</v>
      </c>
      <c r="K99" s="106">
        <v>39132.508837431611</v>
      </c>
      <c r="L99" s="106">
        <v>12.091970062592436</v>
      </c>
      <c r="M99" s="106">
        <v>66283.343095106684</v>
      </c>
      <c r="N99" s="106">
        <v>9.0795014800497409</v>
      </c>
      <c r="O99" s="106">
        <v>49770.195313040655</v>
      </c>
      <c r="P99" s="106">
        <v>8</v>
      </c>
      <c r="Q99" s="106">
        <v>43852.799999999996</v>
      </c>
      <c r="R99" s="106">
        <v>11.220588791308284</v>
      </c>
      <c r="S99" s="106">
        <v>61506.779518435484</v>
      </c>
      <c r="T99" s="106">
        <v>10.142574380165289</v>
      </c>
      <c r="U99" s="106">
        <v>55597.535722314045</v>
      </c>
      <c r="V99" s="106">
        <v>7.1018478350206014</v>
      </c>
      <c r="W99" s="106">
        <v>38929.489092448923</v>
      </c>
      <c r="X99" s="106">
        <v>13.222594711973743</v>
      </c>
      <c r="Y99" s="106">
        <v>72480.975173155268</v>
      </c>
      <c r="Z99" s="106">
        <v>12.126867259235732</v>
      </c>
      <c r="AA99" s="106">
        <v>66474.635568226586</v>
      </c>
      <c r="AB99" s="106">
        <v>34.043536643147924</v>
      </c>
      <c r="AC99" s="106">
        <v>186613.05046307965</v>
      </c>
      <c r="AD99" s="106">
        <v>33</v>
      </c>
      <c r="AE99" s="106">
        <v>180892.79999999999</v>
      </c>
      <c r="AF99" s="106">
        <v>22.061386593204777</v>
      </c>
      <c r="AG99" s="106">
        <v>120931.69674931129</v>
      </c>
      <c r="AH99" s="106">
        <v>30.146944440428516</v>
      </c>
      <c r="AI99" s="106">
        <v>165253.49064465295</v>
      </c>
      <c r="AJ99" s="106">
        <v>8.0671499659663901</v>
      </c>
      <c r="AK99" s="106">
        <v>44220.889253441361</v>
      </c>
      <c r="AL99" s="106">
        <v>7.0831735556788615</v>
      </c>
      <c r="AM99" s="106">
        <v>38827.124162809247</v>
      </c>
      <c r="AN99" s="106">
        <v>6</v>
      </c>
      <c r="AO99" s="106">
        <v>32889.599999999999</v>
      </c>
      <c r="AP99" s="106">
        <v>4.1857397327070629</v>
      </c>
      <c r="AQ99" s="106">
        <v>22944.550918807035</v>
      </c>
      <c r="AR99" s="106">
        <v>21.044460162283162</v>
      </c>
      <c r="AS99" s="106">
        <v>115357.31282557137</v>
      </c>
      <c r="AT99" s="106">
        <v>23.076441400235549</v>
      </c>
      <c r="AU99" s="106">
        <v>126495.82117953117</v>
      </c>
      <c r="AV99" s="106">
        <v>16.078515526365624</v>
      </c>
      <c r="AW99" s="106">
        <v>88135.990709325793</v>
      </c>
      <c r="AX99" s="106">
        <v>26.053866814312794</v>
      </c>
      <c r="AY99" s="106">
        <v>142816.87632933698</v>
      </c>
      <c r="AZ99" s="106">
        <v>23.087674175874376</v>
      </c>
      <c r="BA99" s="106">
        <v>126557.39476247296</v>
      </c>
      <c r="BB99" s="106">
        <v>22.062604952704856</v>
      </c>
      <c r="BC99" s="106">
        <v>120938.37530874692</v>
      </c>
      <c r="BD99" s="106">
        <v>16</v>
      </c>
      <c r="BE99" s="106">
        <v>87705.599999999991</v>
      </c>
      <c r="BF99" s="106">
        <v>22.094576843685495</v>
      </c>
      <c r="BG99" s="106">
        <v>121113.63242634639</v>
      </c>
      <c r="BH99" s="106">
        <v>14.051970781592404</v>
      </c>
      <c r="BI99" s="106">
        <v>77027.283036376917</v>
      </c>
      <c r="BJ99" s="106">
        <v>14.164126059187495</v>
      </c>
      <c r="BK99" s="106">
        <v>77642.073406042167</v>
      </c>
      <c r="BL99" s="106">
        <v>24</v>
      </c>
      <c r="BM99" s="106">
        <v>131558.39999999999</v>
      </c>
      <c r="BN99" s="106">
        <v>23.053349660908776</v>
      </c>
      <c r="BO99" s="106">
        <v>126369.24150123753</v>
      </c>
      <c r="BP99" s="106">
        <v>14.087244004061482</v>
      </c>
      <c r="BQ99" s="106">
        <v>77220.636732663406</v>
      </c>
      <c r="BR99" s="106">
        <v>19.093953172747351</v>
      </c>
      <c r="BS99" s="106">
        <v>104665.41371173188</v>
      </c>
      <c r="BT99" s="106">
        <v>19.197420016489371</v>
      </c>
      <c r="BU99" s="106">
        <v>105232.57756238812</v>
      </c>
      <c r="BV99" s="106">
        <v>18.079622008769324</v>
      </c>
      <c r="BW99" s="106">
        <v>99105.256003269911</v>
      </c>
      <c r="BX99" s="106">
        <v>14</v>
      </c>
      <c r="BY99" s="106">
        <v>76742.399999999994</v>
      </c>
      <c r="BZ99" s="106">
        <v>23.117319708680142</v>
      </c>
      <c r="CA99" s="106">
        <v>126719.89971510106</v>
      </c>
      <c r="CB99" s="106">
        <v>18.118104232470536</v>
      </c>
      <c r="CC99" s="106">
        <v>99316.200160710476</v>
      </c>
      <c r="CD99" s="106">
        <v>21.290571589416402</v>
      </c>
      <c r="CE99" s="106">
        <v>116706.39722454494</v>
      </c>
      <c r="CF99" s="106">
        <v>14</v>
      </c>
      <c r="CG99" s="106">
        <v>76742.399999999994</v>
      </c>
      <c r="CH99" s="106">
        <v>17</v>
      </c>
      <c r="CI99" s="106">
        <v>93187.199999999997</v>
      </c>
      <c r="CJ99" s="106">
        <v>21.121227709190673</v>
      </c>
      <c r="CK99" s="106">
        <v>115778.12181069958</v>
      </c>
      <c r="CL99" s="106">
        <v>20.122104540100473</v>
      </c>
      <c r="CM99" s="106">
        <v>110301.32824701474</v>
      </c>
      <c r="CN99" s="106">
        <v>58.160699445983383</v>
      </c>
      <c r="CO99" s="106">
        <v>318813.6900831025</v>
      </c>
      <c r="CP99" s="106">
        <v>48.134222910927456</v>
      </c>
      <c r="CQ99" s="106">
        <v>263852.55630853993</v>
      </c>
      <c r="CR99" s="106">
        <v>49</v>
      </c>
      <c r="CS99" s="106">
        <v>268598.39999999997</v>
      </c>
      <c r="CT99" s="106">
        <v>36.301335823039359</v>
      </c>
      <c r="CU99" s="106">
        <v>198989.40244757253</v>
      </c>
    </row>
    <row r="100" spans="2:99" x14ac:dyDescent="0.2">
      <c r="C100" s="105" t="s">
        <v>266</v>
      </c>
      <c r="D100" s="106">
        <v>8</v>
      </c>
      <c r="E100" s="106">
        <v>12979.199999999999</v>
      </c>
      <c r="F100" s="106">
        <v>10.83618006521076</v>
      </c>
      <c r="G100" s="106">
        <v>17580.618537797935</v>
      </c>
      <c r="H100" s="106">
        <v>8.6587637877211243</v>
      </c>
      <c r="I100" s="106">
        <v>14047.97836919875</v>
      </c>
      <c r="J100" s="106">
        <v>8.1904700619043318</v>
      </c>
      <c r="K100" s="106">
        <v>13288.218628433588</v>
      </c>
      <c r="L100" s="106">
        <v>15.152226310497824</v>
      </c>
      <c r="M100" s="106">
        <v>24582.971966151668</v>
      </c>
      <c r="N100" s="106">
        <v>11.098430403871108</v>
      </c>
      <c r="O100" s="106">
        <v>18006.093487240483</v>
      </c>
      <c r="P100" s="106">
        <v>11</v>
      </c>
      <c r="Q100" s="106">
        <v>17846.399999999998</v>
      </c>
      <c r="R100" s="106">
        <v>14.323989787234042</v>
      </c>
      <c r="S100" s="106">
        <v>23239.241030808509</v>
      </c>
      <c r="T100" s="106">
        <v>13.242107438016529</v>
      </c>
      <c r="U100" s="106">
        <v>21483.995107438015</v>
      </c>
      <c r="V100" s="106">
        <v>9.1749693575994939</v>
      </c>
      <c r="W100" s="106">
        <v>14885.470285769417</v>
      </c>
      <c r="X100" s="106">
        <v>16.347464916251699</v>
      </c>
      <c r="Y100" s="106">
        <v>26522.127080126753</v>
      </c>
      <c r="Z100" s="106">
        <v>17.238510447363179</v>
      </c>
      <c r="AA100" s="106">
        <v>27967.759349802018</v>
      </c>
      <c r="AB100" s="106">
        <v>57.058048857530565</v>
      </c>
      <c r="AC100" s="106">
        <v>92570.978466457585</v>
      </c>
      <c r="AD100" s="106">
        <v>54</v>
      </c>
      <c r="AE100" s="106">
        <v>87609.599999999991</v>
      </c>
      <c r="AF100" s="106">
        <v>32.07502805836139</v>
      </c>
      <c r="AG100" s="106">
        <v>52038.525521885516</v>
      </c>
      <c r="AH100" s="106">
        <v>52.146944440428513</v>
      </c>
      <c r="AI100" s="106">
        <v>84603.202660151219</v>
      </c>
      <c r="AJ100" s="106">
        <v>9.1024920533171212</v>
      </c>
      <c r="AK100" s="106">
        <v>14767.883107301695</v>
      </c>
      <c r="AL100" s="106">
        <v>8.1307013017810679</v>
      </c>
      <c r="AM100" s="106">
        <v>13191.249792009603</v>
      </c>
      <c r="AN100" s="106">
        <v>7</v>
      </c>
      <c r="AO100" s="106">
        <v>11356.8</v>
      </c>
      <c r="AP100" s="106">
        <v>5.2532814536914492</v>
      </c>
      <c r="AQ100" s="106">
        <v>8522.9238304690061</v>
      </c>
      <c r="AR100" s="106">
        <v>33.062985229901145</v>
      </c>
      <c r="AS100" s="106">
        <v>53641.387236991613</v>
      </c>
      <c r="AT100" s="106">
        <v>32.115895026163578</v>
      </c>
      <c r="AU100" s="106">
        <v>52104.828090447787</v>
      </c>
      <c r="AV100" s="106">
        <v>24.121342177110513</v>
      </c>
      <c r="AW100" s="106">
        <v>39134.465548144093</v>
      </c>
      <c r="AX100" s="106">
        <v>42.093231024772145</v>
      </c>
      <c r="AY100" s="106">
        <v>68292.058014590322</v>
      </c>
      <c r="AZ100" s="106">
        <v>33.134883347499041</v>
      </c>
      <c r="BA100" s="106">
        <v>53758.03474298244</v>
      </c>
      <c r="BB100" s="106">
        <v>31.083473270273142</v>
      </c>
      <c r="BC100" s="106">
        <v>50429.827033691145</v>
      </c>
      <c r="BD100" s="106">
        <v>22</v>
      </c>
      <c r="BE100" s="106">
        <v>35692.799999999996</v>
      </c>
      <c r="BF100" s="106">
        <v>31.118221054606867</v>
      </c>
      <c r="BG100" s="106">
        <v>50486.201838994173</v>
      </c>
      <c r="BH100" s="106">
        <v>25.074243973703432</v>
      </c>
      <c r="BI100" s="106">
        <v>40680.453422936444</v>
      </c>
      <c r="BJ100" s="106">
        <v>23.226650272211305</v>
      </c>
      <c r="BK100" s="106">
        <v>37682.917401635619</v>
      </c>
      <c r="BL100" s="106">
        <v>37</v>
      </c>
      <c r="BM100" s="106">
        <v>60028.799999999996</v>
      </c>
      <c r="BN100" s="106">
        <v>32.075317168341797</v>
      </c>
      <c r="BO100" s="106">
        <v>52038.994573917727</v>
      </c>
      <c r="BP100" s="106">
        <v>22.145406673435804</v>
      </c>
      <c r="BQ100" s="106">
        <v>35928.707786982246</v>
      </c>
      <c r="BR100" s="106">
        <v>26.14520035788227</v>
      </c>
      <c r="BS100" s="106">
        <v>42417.973060628196</v>
      </c>
      <c r="BT100" s="106">
        <v>27.323050936073518</v>
      </c>
      <c r="BU100" s="106">
        <v>44328.917838685673</v>
      </c>
      <c r="BV100" s="106">
        <v>28.128279903017241</v>
      </c>
      <c r="BW100" s="106">
        <v>45635.321314655164</v>
      </c>
      <c r="BX100" s="106">
        <v>21</v>
      </c>
      <c r="BY100" s="106">
        <v>34070.399999999994</v>
      </c>
      <c r="BZ100" s="106">
        <v>35.206198275862072</v>
      </c>
      <c r="CA100" s="106">
        <v>57118.536082758619</v>
      </c>
      <c r="CB100" s="106">
        <v>29.209539767286433</v>
      </c>
      <c r="CC100" s="106">
        <v>47389.557318445506</v>
      </c>
      <c r="CD100" s="106">
        <v>27.491736535935448</v>
      </c>
      <c r="CE100" s="106">
        <v>44602.59335590167</v>
      </c>
      <c r="CF100" s="106">
        <v>20</v>
      </c>
      <c r="CG100" s="106">
        <v>32447.999999999996</v>
      </c>
      <c r="CH100" s="106">
        <v>25</v>
      </c>
      <c r="CI100" s="106">
        <v>40560</v>
      </c>
      <c r="CJ100" s="106">
        <v>28.145473251028807</v>
      </c>
      <c r="CK100" s="106">
        <v>45663.215802469131</v>
      </c>
      <c r="CL100" s="106">
        <v>28.158735902130612</v>
      </c>
      <c r="CM100" s="106">
        <v>45684.733127616702</v>
      </c>
      <c r="CN100" s="106">
        <v>108.22616959064328</v>
      </c>
      <c r="CO100" s="106">
        <v>175586.13754385963</v>
      </c>
      <c r="CP100" s="106">
        <v>92.227146464646466</v>
      </c>
      <c r="CQ100" s="106">
        <v>149629.32242424242</v>
      </c>
      <c r="CR100" s="106">
        <v>79</v>
      </c>
      <c r="CS100" s="106">
        <v>128169.59999999999</v>
      </c>
      <c r="CT100" s="106">
        <v>72.401781097385808</v>
      </c>
      <c r="CU100" s="106">
        <v>117464.64965239873</v>
      </c>
    </row>
    <row r="101" spans="2:99" x14ac:dyDescent="0.2">
      <c r="C101" s="105" t="s">
        <v>267</v>
      </c>
      <c r="D101" s="106">
        <v>9</v>
      </c>
      <c r="E101" s="106">
        <v>10713.599999999999</v>
      </c>
      <c r="F101" s="106">
        <v>10.888441319286434</v>
      </c>
      <c r="G101" s="106">
        <v>12961.60054647857</v>
      </c>
      <c r="H101" s="106">
        <v>8.8432176482830389</v>
      </c>
      <c r="I101" s="106">
        <v>10526.966288516129</v>
      </c>
      <c r="J101" s="106">
        <v>10.194438188194006</v>
      </c>
      <c r="K101" s="106">
        <v>12135.459219226143</v>
      </c>
      <c r="L101" s="106">
        <v>15.136369403154301</v>
      </c>
      <c r="M101" s="106">
        <v>18018.334137514878</v>
      </c>
      <c r="N101" s="106">
        <v>12.113573542928201</v>
      </c>
      <c r="O101" s="106">
        <v>14419.997945501729</v>
      </c>
      <c r="P101" s="106">
        <v>10</v>
      </c>
      <c r="Q101" s="106">
        <v>11903.999999999998</v>
      </c>
      <c r="R101" s="106">
        <v>16.344669986419195</v>
      </c>
      <c r="S101" s="106">
        <v>19456.695151833406</v>
      </c>
      <c r="T101" s="106">
        <v>14.252867768595042</v>
      </c>
      <c r="U101" s="106">
        <v>16966.613791735537</v>
      </c>
      <c r="V101" s="106">
        <v>9.1775808405487407</v>
      </c>
      <c r="W101" s="106">
        <v>10924.99223258922</v>
      </c>
      <c r="X101" s="106">
        <v>16.401756309416026</v>
      </c>
      <c r="Y101" s="106">
        <v>19524.650710728834</v>
      </c>
      <c r="Z101" s="106">
        <v>17.220749031070174</v>
      </c>
      <c r="AA101" s="106">
        <v>20499.579646585931</v>
      </c>
      <c r="AB101" s="106">
        <v>63.058048857530565</v>
      </c>
      <c r="AC101" s="106">
        <v>75064.301360004378</v>
      </c>
      <c r="AD101" s="106">
        <v>63</v>
      </c>
      <c r="AE101" s="106">
        <v>74995.199999999997</v>
      </c>
      <c r="AF101" s="106">
        <v>41.07502805836139</v>
      </c>
      <c r="AG101" s="106">
        <v>48895.71340067339</v>
      </c>
      <c r="AH101" s="106">
        <v>56.146944440428513</v>
      </c>
      <c r="AI101" s="106">
        <v>66837.322661886094</v>
      </c>
      <c r="AJ101" s="106">
        <v>10.102492053317121</v>
      </c>
      <c r="AK101" s="106">
        <v>12026.0065402687</v>
      </c>
      <c r="AL101" s="106">
        <v>9.1307013017810679</v>
      </c>
      <c r="AM101" s="106">
        <v>10869.186829640183</v>
      </c>
      <c r="AN101" s="106">
        <v>8</v>
      </c>
      <c r="AO101" s="106">
        <v>9523.1999999999989</v>
      </c>
      <c r="AP101" s="106">
        <v>6.2532814536914492</v>
      </c>
      <c r="AQ101" s="106">
        <v>7443.9062424743006</v>
      </c>
      <c r="AR101" s="106">
        <v>35.066690243424738</v>
      </c>
      <c r="AS101" s="106">
        <v>41743.3880657728</v>
      </c>
      <c r="AT101" s="106">
        <v>39.135621839127587</v>
      </c>
      <c r="AU101" s="106">
        <v>46587.044237297472</v>
      </c>
      <c r="AV101" s="106">
        <v>28.121342177110513</v>
      </c>
      <c r="AW101" s="106">
        <v>33475.645727632349</v>
      </c>
      <c r="AX101" s="106">
        <v>45.082872022019686</v>
      </c>
      <c r="AY101" s="106">
        <v>53666.650855012231</v>
      </c>
      <c r="AZ101" s="106">
        <v>31.121395012749133</v>
      </c>
      <c r="BA101" s="106">
        <v>37046.908623176561</v>
      </c>
      <c r="BB101" s="106">
        <v>36.083473270273146</v>
      </c>
      <c r="BC101" s="106">
        <v>42953.766580933145</v>
      </c>
      <c r="BD101" s="106">
        <v>21</v>
      </c>
      <c r="BE101" s="106">
        <v>24998.399999999998</v>
      </c>
      <c r="BF101" s="106">
        <v>32.133983861887785</v>
      </c>
      <c r="BG101" s="106">
        <v>38252.294389191215</v>
      </c>
      <c r="BH101" s="106">
        <v>24.077956172388603</v>
      </c>
      <c r="BI101" s="106">
        <v>28662.399027611391</v>
      </c>
      <c r="BJ101" s="106">
        <v>25.226650272211305</v>
      </c>
      <c r="BK101" s="106">
        <v>30029.804484040335</v>
      </c>
      <c r="BL101" s="106">
        <v>40</v>
      </c>
      <c r="BM101" s="106">
        <v>47615.999999999993</v>
      </c>
      <c r="BN101" s="106">
        <v>34.069040737646652</v>
      </c>
      <c r="BO101" s="106">
        <v>40555.786094094568</v>
      </c>
      <c r="BP101" s="106">
        <v>21.155100451664858</v>
      </c>
      <c r="BQ101" s="106">
        <v>25183.031577661844</v>
      </c>
      <c r="BR101" s="106">
        <v>32.175094549210975</v>
      </c>
      <c r="BS101" s="106">
        <v>38301.232551380737</v>
      </c>
      <c r="BT101" s="106">
        <v>29.332024573186672</v>
      </c>
      <c r="BU101" s="106">
        <v>34916.842051921412</v>
      </c>
      <c r="BV101" s="106">
        <v>27.145973682743758</v>
      </c>
      <c r="BW101" s="106">
        <v>32314.567071938167</v>
      </c>
      <c r="BX101" s="106">
        <v>18</v>
      </c>
      <c r="BY101" s="106">
        <v>21427.199999999997</v>
      </c>
      <c r="BZ101" s="106">
        <v>42.223973989298457</v>
      </c>
      <c r="CA101" s="106">
        <v>50263.418636860879</v>
      </c>
      <c r="CB101" s="106">
        <v>27.228588837039744</v>
      </c>
      <c r="CC101" s="106">
        <v>32412.912151612109</v>
      </c>
      <c r="CD101" s="106">
        <v>30.491736535935448</v>
      </c>
      <c r="CE101" s="106">
        <v>36297.363172377554</v>
      </c>
      <c r="CF101" s="106">
        <v>19</v>
      </c>
      <c r="CG101" s="106">
        <v>22617.599999999999</v>
      </c>
      <c r="CH101" s="106">
        <v>23</v>
      </c>
      <c r="CI101" s="106">
        <v>27379.199999999997</v>
      </c>
      <c r="CJ101" s="106">
        <v>28.145473251028807</v>
      </c>
      <c r="CK101" s="106">
        <v>33504.371358024691</v>
      </c>
      <c r="CL101" s="106">
        <v>28.18315681015071</v>
      </c>
      <c r="CM101" s="106">
        <v>33549.229866803398</v>
      </c>
      <c r="CN101" s="106">
        <v>109.23212142197599</v>
      </c>
      <c r="CO101" s="106">
        <v>130029.9173407202</v>
      </c>
      <c r="CP101" s="106">
        <v>96.227146464646466</v>
      </c>
      <c r="CQ101" s="106">
        <v>114548.79515151514</v>
      </c>
      <c r="CR101" s="106">
        <v>87</v>
      </c>
      <c r="CS101" s="106">
        <v>103564.79999999999</v>
      </c>
      <c r="CT101" s="106">
        <v>74.479905199655278</v>
      </c>
      <c r="CU101" s="106">
        <v>88660.879149669636</v>
      </c>
    </row>
    <row r="102" spans="2:99" x14ac:dyDescent="0.2">
      <c r="C102" s="105" t="s">
        <v>268</v>
      </c>
      <c r="D102" s="106">
        <v>8</v>
      </c>
      <c r="E102" s="106">
        <v>15513.599999999999</v>
      </c>
      <c r="F102" s="106">
        <v>11.757788184097251</v>
      </c>
      <c r="G102" s="106">
        <v>22800.702846601387</v>
      </c>
      <c r="H102" s="106">
        <v>8.7641659937565031</v>
      </c>
      <c r="I102" s="106">
        <v>16995.470695092608</v>
      </c>
      <c r="J102" s="106">
        <v>9.1904700619043318</v>
      </c>
      <c r="K102" s="106">
        <v>17822.15954404488</v>
      </c>
      <c r="L102" s="106">
        <v>14.139540784623005</v>
      </c>
      <c r="M102" s="106">
        <v>27419.39748954093</v>
      </c>
      <c r="N102" s="106">
        <v>10.106001973399653</v>
      </c>
      <c r="O102" s="106">
        <v>19597.559026816605</v>
      </c>
      <c r="P102" s="106">
        <v>10</v>
      </c>
      <c r="Q102" s="106">
        <v>19392</v>
      </c>
      <c r="R102" s="106">
        <v>14.344669986419195</v>
      </c>
      <c r="S102" s="106">
        <v>27817.184037664101</v>
      </c>
      <c r="T102" s="106">
        <v>14.204446280991736</v>
      </c>
      <c r="U102" s="106">
        <v>27545.262228099171</v>
      </c>
      <c r="V102" s="106">
        <v>9.1801923234979856</v>
      </c>
      <c r="W102" s="106">
        <v>17802.228953727292</v>
      </c>
      <c r="X102" s="106">
        <v>17.407185448732459</v>
      </c>
      <c r="Y102" s="106">
        <v>33756.014022181982</v>
      </c>
      <c r="Z102" s="106">
        <v>17.197912924407742</v>
      </c>
      <c r="AA102" s="106">
        <v>33350.192743011488</v>
      </c>
      <c r="AB102" s="106">
        <v>49.058048857530565</v>
      </c>
      <c r="AC102" s="106">
        <v>95133.36834452326</v>
      </c>
      <c r="AD102" s="106">
        <v>52</v>
      </c>
      <c r="AE102" s="106">
        <v>100838.39999999999</v>
      </c>
      <c r="AF102" s="106">
        <v>34.07502805836139</v>
      </c>
      <c r="AG102" s="106">
        <v>66078.294410774397</v>
      </c>
      <c r="AH102" s="106">
        <v>53.146944440428513</v>
      </c>
      <c r="AI102" s="106">
        <v>103062.55465887896</v>
      </c>
      <c r="AJ102" s="106">
        <v>10.102492053317121</v>
      </c>
      <c r="AK102" s="106">
        <v>19590.752589792559</v>
      </c>
      <c r="AL102" s="106">
        <v>8.1307013017810679</v>
      </c>
      <c r="AM102" s="106">
        <v>15767.055964413845</v>
      </c>
      <c r="AN102" s="106">
        <v>7</v>
      </c>
      <c r="AO102" s="106">
        <v>13574.399999999998</v>
      </c>
      <c r="AP102" s="106">
        <v>5.2448387385684008</v>
      </c>
      <c r="AQ102" s="106">
        <v>10170.791281831842</v>
      </c>
      <c r="AR102" s="106">
        <v>33.061132723139345</v>
      </c>
      <c r="AS102" s="106">
        <v>64112.148576711814</v>
      </c>
      <c r="AT102" s="106">
        <v>34.118360877784077</v>
      </c>
      <c r="AU102" s="106">
        <v>66162.325414198873</v>
      </c>
      <c r="AV102" s="106">
        <v>24.114204401986363</v>
      </c>
      <c r="AW102" s="106">
        <v>46762.265176331952</v>
      </c>
      <c r="AX102" s="106">
        <v>36.082872022019686</v>
      </c>
      <c r="AY102" s="106">
        <v>69971.905425100573</v>
      </c>
      <c r="AZ102" s="106">
        <v>31.121395012749133</v>
      </c>
      <c r="BA102" s="106">
        <v>60350.609208723115</v>
      </c>
      <c r="BB102" s="106">
        <v>28.076517164417048</v>
      </c>
      <c r="BC102" s="106">
        <v>54445.982085237534</v>
      </c>
      <c r="BD102" s="106">
        <v>22</v>
      </c>
      <c r="BE102" s="106">
        <v>42662.399999999994</v>
      </c>
      <c r="BF102" s="106">
        <v>33.110339650966409</v>
      </c>
      <c r="BG102" s="106">
        <v>64207.570651154056</v>
      </c>
      <c r="BH102" s="106">
        <v>23.077956172388603</v>
      </c>
      <c r="BI102" s="106">
        <v>44752.772609495973</v>
      </c>
      <c r="BJ102" s="106">
        <v>23.242281325467257</v>
      </c>
      <c r="BK102" s="106">
        <v>45071.4319463461</v>
      </c>
      <c r="BL102" s="106">
        <v>37</v>
      </c>
      <c r="BM102" s="106">
        <v>71750.399999999994</v>
      </c>
      <c r="BN102" s="106">
        <v>30.065902522299076</v>
      </c>
      <c r="BO102" s="106">
        <v>58303.798171242364</v>
      </c>
      <c r="BP102" s="106">
        <v>21.135712895206751</v>
      </c>
      <c r="BQ102" s="106">
        <v>40986.374446384929</v>
      </c>
      <c r="BR102" s="106">
        <v>26.140929759121029</v>
      </c>
      <c r="BS102" s="106">
        <v>50692.490988887497</v>
      </c>
      <c r="BT102" s="106">
        <v>27.296130024734058</v>
      </c>
      <c r="BU102" s="106">
        <v>52932.655343964281</v>
      </c>
      <c r="BV102" s="106">
        <v>28.132703347948869</v>
      </c>
      <c r="BW102" s="106">
        <v>54554.938332342441</v>
      </c>
      <c r="BX102" s="106">
        <v>17</v>
      </c>
      <c r="BY102" s="106">
        <v>32966.399999999994</v>
      </c>
      <c r="BZ102" s="106">
        <v>36.206198275862072</v>
      </c>
      <c r="CA102" s="106">
        <v>70211.059696551718</v>
      </c>
      <c r="CB102" s="106">
        <v>23.205729953335769</v>
      </c>
      <c r="CC102" s="106">
        <v>45000.551525508723</v>
      </c>
      <c r="CD102" s="106">
        <v>31.435857384124603</v>
      </c>
      <c r="CE102" s="106">
        <v>60960.414639294424</v>
      </c>
      <c r="CF102" s="106">
        <v>19</v>
      </c>
      <c r="CG102" s="106">
        <v>36844.799999999996</v>
      </c>
      <c r="CH102" s="106">
        <v>20</v>
      </c>
      <c r="CI102" s="106">
        <v>38784</v>
      </c>
      <c r="CJ102" s="106">
        <v>31.13335048010974</v>
      </c>
      <c r="CK102" s="106">
        <v>60373.793251028801</v>
      </c>
      <c r="CL102" s="106">
        <v>28.18315681015071</v>
      </c>
      <c r="CM102" s="106">
        <v>54652.777686244248</v>
      </c>
      <c r="CN102" s="106">
        <v>96.202362265312402</v>
      </c>
      <c r="CO102" s="106">
        <v>186555.62090489379</v>
      </c>
      <c r="CP102" s="106">
        <v>92.216821625344352</v>
      </c>
      <c r="CQ102" s="106">
        <v>178826.86049586776</v>
      </c>
      <c r="CR102" s="106">
        <v>78</v>
      </c>
      <c r="CS102" s="106">
        <v>151257.59999999998</v>
      </c>
      <c r="CT102" s="106">
        <v>63.446423441539785</v>
      </c>
      <c r="CU102" s="106">
        <v>123035.30433783394</v>
      </c>
    </row>
    <row r="103" spans="2:99" x14ac:dyDescent="0.2">
      <c r="C103" s="105" t="s">
        <v>269</v>
      </c>
      <c r="D103" s="106">
        <v>8</v>
      </c>
      <c r="E103" s="106">
        <v>16224</v>
      </c>
      <c r="F103" s="106">
        <v>10.757788184097251</v>
      </c>
      <c r="G103" s="106">
        <v>21816.794437349225</v>
      </c>
      <c r="H103" s="106">
        <v>7.764165993756504</v>
      </c>
      <c r="I103" s="106">
        <v>15745.72863533819</v>
      </c>
      <c r="J103" s="106">
        <v>9.194438188194006</v>
      </c>
      <c r="K103" s="106">
        <v>18646.320645657444</v>
      </c>
      <c r="L103" s="106">
        <v>14.145883547560414</v>
      </c>
      <c r="M103" s="106">
        <v>28687.851834452522</v>
      </c>
      <c r="N103" s="106">
        <v>10.109787758163927</v>
      </c>
      <c r="O103" s="106">
        <v>20502.649573556446</v>
      </c>
      <c r="P103" s="106">
        <v>11</v>
      </c>
      <c r="Q103" s="106">
        <v>22308</v>
      </c>
      <c r="R103" s="106">
        <v>16.317096387505657</v>
      </c>
      <c r="S103" s="106">
        <v>33091.07147386147</v>
      </c>
      <c r="T103" s="106">
        <v>12.220586776859504</v>
      </c>
      <c r="U103" s="106">
        <v>24783.349983471075</v>
      </c>
      <c r="V103" s="106">
        <v>8.1723578746502472</v>
      </c>
      <c r="W103" s="106">
        <v>16573.5417697907</v>
      </c>
      <c r="X103" s="106">
        <v>17.352894055568129</v>
      </c>
      <c r="Y103" s="106">
        <v>35191.669144692169</v>
      </c>
      <c r="Z103" s="106">
        <v>15.202987614777172</v>
      </c>
      <c r="AA103" s="106">
        <v>30831.658882768104</v>
      </c>
      <c r="AB103" s="106">
        <v>54.058048857530565</v>
      </c>
      <c r="AC103" s="106">
        <v>109629.72308307199</v>
      </c>
      <c r="AD103" s="106">
        <v>47</v>
      </c>
      <c r="AE103" s="106">
        <v>95316</v>
      </c>
      <c r="AF103" s="106">
        <v>30.07502805836139</v>
      </c>
      <c r="AG103" s="106">
        <v>60992.156902356895</v>
      </c>
      <c r="AH103" s="106">
        <v>49.146944440428513</v>
      </c>
      <c r="AI103" s="106">
        <v>99670.003325189027</v>
      </c>
      <c r="AJ103" s="106">
        <v>9.1060262620521932</v>
      </c>
      <c r="AK103" s="106">
        <v>18467.021259441848</v>
      </c>
      <c r="AL103" s="106">
        <v>9.1307013017810679</v>
      </c>
      <c r="AM103" s="106">
        <v>18517.062240012005</v>
      </c>
      <c r="AN103" s="106">
        <v>7</v>
      </c>
      <c r="AO103" s="106">
        <v>14196</v>
      </c>
      <c r="AP103" s="106">
        <v>5.2448387385684008</v>
      </c>
      <c r="AQ103" s="106">
        <v>10636.532961816716</v>
      </c>
      <c r="AR103" s="106">
        <v>33.062985229901145</v>
      </c>
      <c r="AS103" s="106">
        <v>67051.734046239522</v>
      </c>
      <c r="AT103" s="106">
        <v>31.12082672940458</v>
      </c>
      <c r="AU103" s="106">
        <v>63113.03660723249</v>
      </c>
      <c r="AV103" s="106">
        <v>25.099928851738071</v>
      </c>
      <c r="AW103" s="106">
        <v>50902.655711324805</v>
      </c>
      <c r="AX103" s="106">
        <v>36.078728420918701</v>
      </c>
      <c r="AY103" s="106">
        <v>73167.661237623121</v>
      </c>
      <c r="AZ103" s="106">
        <v>31.114650845374182</v>
      </c>
      <c r="BA103" s="106">
        <v>63100.511914418843</v>
      </c>
      <c r="BB103" s="106">
        <v>32.076517164417048</v>
      </c>
      <c r="BC103" s="106">
        <v>65051.176809437777</v>
      </c>
      <c r="BD103" s="106">
        <v>20</v>
      </c>
      <c r="BE103" s="106">
        <v>40560</v>
      </c>
      <c r="BF103" s="106">
        <v>32.126102458247324</v>
      </c>
      <c r="BG103" s="106">
        <v>65151.735785325574</v>
      </c>
      <c r="BH103" s="106">
        <v>22.081668371073775</v>
      </c>
      <c r="BI103" s="106">
        <v>44781.623456537614</v>
      </c>
      <c r="BJ103" s="106">
        <v>23.234465798839281</v>
      </c>
      <c r="BK103" s="106">
        <v>47119.496640046062</v>
      </c>
      <c r="BL103" s="106">
        <v>35</v>
      </c>
      <c r="BM103" s="106">
        <v>70980</v>
      </c>
      <c r="BN103" s="106">
        <v>35.072178952994221</v>
      </c>
      <c r="BO103" s="106">
        <v>71126.378916672285</v>
      </c>
      <c r="BP103" s="106">
        <v>19.130866006092223</v>
      </c>
      <c r="BQ103" s="106">
        <v>38797.396260355024</v>
      </c>
      <c r="BR103" s="106">
        <v>27.158012154166002</v>
      </c>
      <c r="BS103" s="106">
        <v>55076.448648648649</v>
      </c>
      <c r="BT103" s="106">
        <v>25.269209113394599</v>
      </c>
      <c r="BU103" s="106">
        <v>51245.956081964243</v>
      </c>
      <c r="BV103" s="106">
        <v>26.128279903017241</v>
      </c>
      <c r="BW103" s="106">
        <v>52988.151643318961</v>
      </c>
      <c r="BX103" s="106">
        <v>19</v>
      </c>
      <c r="BY103" s="106">
        <v>38532</v>
      </c>
      <c r="BZ103" s="106">
        <v>34.174201991676576</v>
      </c>
      <c r="CA103" s="106">
        <v>69305.28163912009</v>
      </c>
      <c r="CB103" s="106">
        <v>26.194300511483782</v>
      </c>
      <c r="CC103" s="106">
        <v>53122.04143728911</v>
      </c>
      <c r="CD103" s="106">
        <v>29.435857384124603</v>
      </c>
      <c r="CE103" s="106">
        <v>59695.918775004691</v>
      </c>
      <c r="CF103" s="106">
        <v>18</v>
      </c>
      <c r="CG103" s="106">
        <v>36504</v>
      </c>
      <c r="CH103" s="106">
        <v>24</v>
      </c>
      <c r="CI103" s="106">
        <v>48672</v>
      </c>
      <c r="CJ103" s="106">
        <v>30.13335048010974</v>
      </c>
      <c r="CK103" s="106">
        <v>61110.434773662557</v>
      </c>
      <c r="CL103" s="106">
        <v>25.158735902130612</v>
      </c>
      <c r="CM103" s="106">
        <v>51021.916409520883</v>
      </c>
      <c r="CN103" s="106">
        <v>106.21426592797783</v>
      </c>
      <c r="CO103" s="106">
        <v>215402.53130193905</v>
      </c>
      <c r="CP103" s="106">
        <v>80.211659205693294</v>
      </c>
      <c r="CQ103" s="106">
        <v>162669.244869146</v>
      </c>
      <c r="CR103" s="106">
        <v>72</v>
      </c>
      <c r="CS103" s="106">
        <v>146016</v>
      </c>
      <c r="CT103" s="106">
        <v>63.446423441539785</v>
      </c>
      <c r="CU103" s="106">
        <v>128669.34673944268</v>
      </c>
    </row>
    <row r="104" spans="2:99" x14ac:dyDescent="0.2">
      <c r="C104" s="105" t="s">
        <v>270</v>
      </c>
      <c r="D104" s="106">
        <v>9</v>
      </c>
      <c r="E104" s="106">
        <v>18651.600000000002</v>
      </c>
      <c r="F104" s="106">
        <v>9.7577881840972509</v>
      </c>
      <c r="G104" s="106">
        <v>20222.040232723142</v>
      </c>
      <c r="H104" s="106">
        <v>7.7114648907388137</v>
      </c>
      <c r="I104" s="106">
        <v>15981.239839567119</v>
      </c>
      <c r="J104" s="106">
        <v>8.1745975567456384</v>
      </c>
      <c r="K104" s="106">
        <v>16941.035976599662</v>
      </c>
      <c r="L104" s="106">
        <v>14.123683877279483</v>
      </c>
      <c r="M104" s="106">
        <v>29269.922467274002</v>
      </c>
      <c r="N104" s="106">
        <v>10.109787758163927</v>
      </c>
      <c r="O104" s="106">
        <v>20951.524150018922</v>
      </c>
      <c r="P104" s="106">
        <v>12</v>
      </c>
      <c r="Q104" s="106">
        <v>24868.800000000003</v>
      </c>
      <c r="R104" s="106">
        <v>16.296416188320507</v>
      </c>
      <c r="S104" s="106">
        <v>33772.692908675417</v>
      </c>
      <c r="T104" s="106">
        <v>14.212516528925621</v>
      </c>
      <c r="U104" s="106">
        <v>29454.019254545456</v>
      </c>
      <c r="V104" s="106">
        <v>10.167134908751756</v>
      </c>
      <c r="W104" s="106">
        <v>21070.370384897138</v>
      </c>
      <c r="X104" s="106">
        <v>16.380039752150296</v>
      </c>
      <c r="Y104" s="106">
        <v>33945.994382356272</v>
      </c>
      <c r="Z104" s="106">
        <v>15.205524959961886</v>
      </c>
      <c r="AA104" s="106">
        <v>31511.929927025016</v>
      </c>
      <c r="AB104" s="106">
        <v>50.050792750339241</v>
      </c>
      <c r="AC104" s="106">
        <v>103725.26289580305</v>
      </c>
      <c r="AD104" s="106">
        <v>56</v>
      </c>
      <c r="AE104" s="106">
        <v>116054.40000000001</v>
      </c>
      <c r="AF104" s="106">
        <v>35.068207325783085</v>
      </c>
      <c r="AG104" s="106">
        <v>72675.352861952866</v>
      </c>
      <c r="AH104" s="106">
        <v>49.146944440428513</v>
      </c>
      <c r="AI104" s="106">
        <v>101852.12765834405</v>
      </c>
      <c r="AJ104" s="106">
        <v>8.1060262620521932</v>
      </c>
      <c r="AK104" s="106">
        <v>16798.928825476967</v>
      </c>
      <c r="AL104" s="106">
        <v>8.1108980742384809</v>
      </c>
      <c r="AM104" s="106">
        <v>16809.025169051827</v>
      </c>
      <c r="AN104" s="106">
        <v>8</v>
      </c>
      <c r="AO104" s="106">
        <v>16579.2</v>
      </c>
      <c r="AP104" s="106">
        <v>6.2448387385684008</v>
      </c>
      <c r="AQ104" s="106">
        <v>12941.803801809154</v>
      </c>
      <c r="AR104" s="106">
        <v>29.068542750186538</v>
      </c>
      <c r="AS104" s="106">
        <v>60241.647995486586</v>
      </c>
      <c r="AT104" s="106">
        <v>35.103565768061067</v>
      </c>
      <c r="AU104" s="106">
        <v>72748.629697729761</v>
      </c>
      <c r="AV104" s="106">
        <v>27.107066626862217</v>
      </c>
      <c r="AW104" s="106">
        <v>56176.684877509259</v>
      </c>
      <c r="AX104" s="106">
        <v>36.074584819817716</v>
      </c>
      <c r="AY104" s="106">
        <v>74760.96958059023</v>
      </c>
      <c r="AZ104" s="106">
        <v>33.141627514873989</v>
      </c>
      <c r="BA104" s="106">
        <v>68682.708861824853</v>
      </c>
      <c r="BB104" s="106">
        <v>28.076517164417048</v>
      </c>
      <c r="BC104" s="106">
        <v>58185.774171537894</v>
      </c>
      <c r="BD104" s="106">
        <v>22</v>
      </c>
      <c r="BE104" s="106">
        <v>45592.800000000003</v>
      </c>
      <c r="BF104" s="106">
        <v>34.11822105460687</v>
      </c>
      <c r="BG104" s="106">
        <v>70706.601313567284</v>
      </c>
      <c r="BH104" s="106">
        <v>20.07053177501826</v>
      </c>
      <c r="BI104" s="106">
        <v>41594.170050547844</v>
      </c>
      <c r="BJ104" s="106">
        <v>19.226650272211305</v>
      </c>
      <c r="BK104" s="106">
        <v>39845.310024130711</v>
      </c>
      <c r="BL104" s="106">
        <v>39</v>
      </c>
      <c r="BM104" s="106">
        <v>80823.600000000006</v>
      </c>
      <c r="BN104" s="106">
        <v>33.065902522299076</v>
      </c>
      <c r="BO104" s="106">
        <v>68525.776387212609</v>
      </c>
      <c r="BP104" s="106">
        <v>20.140559784321276</v>
      </c>
      <c r="BQ104" s="106">
        <v>41739.296097027414</v>
      </c>
      <c r="BR104" s="106">
        <v>29.14520035788227</v>
      </c>
      <c r="BS104" s="106">
        <v>60400.513221675217</v>
      </c>
      <c r="BT104" s="106">
        <v>25.287156387620904</v>
      </c>
      <c r="BU104" s="106">
        <v>52405.102897705561</v>
      </c>
      <c r="BV104" s="106">
        <v>28.110586123290727</v>
      </c>
      <c r="BW104" s="106">
        <v>58256.378681907707</v>
      </c>
      <c r="BX104" s="106">
        <v>20</v>
      </c>
      <c r="BY104" s="106">
        <v>41448</v>
      </c>
      <c r="BZ104" s="106">
        <v>32.188422562425686</v>
      </c>
      <c r="CA104" s="106">
        <v>66707.286918370999</v>
      </c>
      <c r="CB104" s="106">
        <v>27.201920139385106</v>
      </c>
      <c r="CC104" s="106">
        <v>56373.259296861695</v>
      </c>
      <c r="CD104" s="106">
        <v>27.407917808219178</v>
      </c>
      <c r="CE104" s="106">
        <v>56800.168865753425</v>
      </c>
      <c r="CF104" s="106">
        <v>18</v>
      </c>
      <c r="CG104" s="106">
        <v>37303.200000000004</v>
      </c>
      <c r="CH104" s="106">
        <v>24</v>
      </c>
      <c r="CI104" s="106">
        <v>49737.600000000006</v>
      </c>
      <c r="CJ104" s="106">
        <v>25.145473251028807</v>
      </c>
      <c r="CK104" s="106">
        <v>52111.478765432104</v>
      </c>
      <c r="CL104" s="106">
        <v>28.158735902130612</v>
      </c>
      <c r="CM104" s="106">
        <v>58356.164283575483</v>
      </c>
      <c r="CN104" s="106">
        <v>100.21426592797783</v>
      </c>
      <c r="CO104" s="106">
        <v>207684.04470914128</v>
      </c>
      <c r="CP104" s="106">
        <v>95.216821625344352</v>
      </c>
      <c r="CQ104" s="106">
        <v>197327.34113636366</v>
      </c>
      <c r="CR104" s="106">
        <v>73</v>
      </c>
      <c r="CS104" s="106">
        <v>151285.20000000001</v>
      </c>
      <c r="CT104" s="106">
        <v>67.379459925308822</v>
      </c>
      <c r="CU104" s="106">
        <v>139637.19274921002</v>
      </c>
    </row>
    <row r="105" spans="2:99" x14ac:dyDescent="0.2">
      <c r="C105" s="105" t="s">
        <v>271</v>
      </c>
      <c r="D105" s="106">
        <v>8</v>
      </c>
      <c r="E105" s="106">
        <v>15984</v>
      </c>
      <c r="F105" s="106">
        <v>11.810049438172925</v>
      </c>
      <c r="G105" s="106">
        <v>23596.478777469503</v>
      </c>
      <c r="H105" s="106">
        <v>8.685114339229969</v>
      </c>
      <c r="I105" s="106">
        <v>17352.858449781477</v>
      </c>
      <c r="J105" s="106">
        <v>9.194438188194006</v>
      </c>
      <c r="K105" s="106">
        <v>18370.487500011623</v>
      </c>
      <c r="L105" s="106">
        <v>14.139540784623005</v>
      </c>
      <c r="M105" s="106">
        <v>28250.802487676763</v>
      </c>
      <c r="N105" s="106">
        <v>10.113573542928201</v>
      </c>
      <c r="O105" s="106">
        <v>20206.919938770545</v>
      </c>
      <c r="P105" s="106">
        <v>11</v>
      </c>
      <c r="Q105" s="106">
        <v>21978</v>
      </c>
      <c r="R105" s="106">
        <v>16.30330958804889</v>
      </c>
      <c r="S105" s="106">
        <v>32574.012556921683</v>
      </c>
      <c r="T105" s="106">
        <v>14.22596694214876</v>
      </c>
      <c r="U105" s="106">
        <v>28423.481950413225</v>
      </c>
      <c r="V105" s="106">
        <v>8.1775808405487407</v>
      </c>
      <c r="W105" s="106">
        <v>16338.806519416385</v>
      </c>
      <c r="X105" s="106">
        <v>15.390898030783159</v>
      </c>
      <c r="Y105" s="106">
        <v>30751.014265504753</v>
      </c>
      <c r="Z105" s="106">
        <v>16.218211685885461</v>
      </c>
      <c r="AA105" s="106">
        <v>32403.98694839915</v>
      </c>
      <c r="AB105" s="106">
        <v>48.058048857530565</v>
      </c>
      <c r="AC105" s="106">
        <v>96019.981617346071</v>
      </c>
      <c r="AD105" s="106">
        <v>57</v>
      </c>
      <c r="AE105" s="106">
        <v>113886</v>
      </c>
      <c r="AF105" s="106">
        <v>34.068207325783085</v>
      </c>
      <c r="AG105" s="106">
        <v>68068.278236914601</v>
      </c>
      <c r="AH105" s="106">
        <v>46.161638884471365</v>
      </c>
      <c r="AI105" s="106">
        <v>92230.95449117379</v>
      </c>
      <c r="AJ105" s="106">
        <v>9.0954236358469736</v>
      </c>
      <c r="AK105" s="106">
        <v>18172.656424422254</v>
      </c>
      <c r="AL105" s="106">
        <v>8.1307013017810679</v>
      </c>
      <c r="AM105" s="106">
        <v>16245.141200958573</v>
      </c>
      <c r="AN105" s="106">
        <v>7</v>
      </c>
      <c r="AO105" s="106">
        <v>13986</v>
      </c>
      <c r="AP105" s="106">
        <v>6.2448387385684008</v>
      </c>
      <c r="AQ105" s="106">
        <v>12477.187799659665</v>
      </c>
      <c r="AR105" s="106">
        <v>33.059280216377545</v>
      </c>
      <c r="AS105" s="106">
        <v>66052.441872322335</v>
      </c>
      <c r="AT105" s="106">
        <v>31.10603161968157</v>
      </c>
      <c r="AU105" s="106">
        <v>62149.851176123775</v>
      </c>
      <c r="AV105" s="106">
        <v>23.114204401986363</v>
      </c>
      <c r="AW105" s="106">
        <v>46182.180395168754</v>
      </c>
      <c r="AX105" s="106">
        <v>40.076656620368205</v>
      </c>
      <c r="AY105" s="106">
        <v>80073.159927495668</v>
      </c>
      <c r="AZ105" s="106">
        <v>28.114650845374182</v>
      </c>
      <c r="BA105" s="106">
        <v>56173.072389057619</v>
      </c>
      <c r="BB105" s="106">
        <v>32.083473270273146</v>
      </c>
      <c r="BC105" s="106">
        <v>64102.779594005748</v>
      </c>
      <c r="BD105" s="106">
        <v>21</v>
      </c>
      <c r="BE105" s="106">
        <v>41958</v>
      </c>
      <c r="BF105" s="106">
        <v>30.118221054606867</v>
      </c>
      <c r="BG105" s="106">
        <v>60176.205667104521</v>
      </c>
      <c r="BH105" s="106">
        <v>20.077956172388603</v>
      </c>
      <c r="BI105" s="106">
        <v>40115.756432432427</v>
      </c>
      <c r="BJ105" s="106">
        <v>22.226650272211305</v>
      </c>
      <c r="BK105" s="106">
        <v>44408.84724387819</v>
      </c>
      <c r="BL105" s="106">
        <v>35</v>
      </c>
      <c r="BM105" s="106">
        <v>69930</v>
      </c>
      <c r="BN105" s="106">
        <v>34.069040737646652</v>
      </c>
      <c r="BO105" s="106">
        <v>68069.943393818015</v>
      </c>
      <c r="BP105" s="106">
        <v>21.12117222786317</v>
      </c>
      <c r="BQ105" s="106">
        <v>42200.102111270615</v>
      </c>
      <c r="BR105" s="106">
        <v>27.136659160359784</v>
      </c>
      <c r="BS105" s="106">
        <v>54219.045002398845</v>
      </c>
      <c r="BT105" s="106">
        <v>25.314077298960367</v>
      </c>
      <c r="BU105" s="106">
        <v>50577.526443322815</v>
      </c>
      <c r="BV105" s="106">
        <v>27.123856458085612</v>
      </c>
      <c r="BW105" s="106">
        <v>54193.465203255051</v>
      </c>
      <c r="BX105" s="106">
        <v>18</v>
      </c>
      <c r="BY105" s="106">
        <v>35964</v>
      </c>
      <c r="BZ105" s="106">
        <v>32.174201991676576</v>
      </c>
      <c r="CA105" s="106">
        <v>64284.0555793698</v>
      </c>
      <c r="CB105" s="106">
        <v>27.186680883582458</v>
      </c>
      <c r="CC105" s="106">
        <v>54318.988405397751</v>
      </c>
      <c r="CD105" s="106">
        <v>29.424681553762433</v>
      </c>
      <c r="CE105" s="106">
        <v>58790.513744417338</v>
      </c>
      <c r="CF105" s="106">
        <v>17</v>
      </c>
      <c r="CG105" s="106">
        <v>33966</v>
      </c>
      <c r="CH105" s="106">
        <v>21</v>
      </c>
      <c r="CI105" s="106">
        <v>41958</v>
      </c>
      <c r="CJ105" s="106">
        <v>30.145473251028807</v>
      </c>
      <c r="CK105" s="106">
        <v>60230.655555555561</v>
      </c>
      <c r="CL105" s="106">
        <v>24.158735902130612</v>
      </c>
      <c r="CM105" s="106">
        <v>48269.154332456965</v>
      </c>
      <c r="CN105" s="106">
        <v>105.21426592797783</v>
      </c>
      <c r="CO105" s="106">
        <v>210218.10332409971</v>
      </c>
      <c r="CP105" s="106">
        <v>91.196171946740122</v>
      </c>
      <c r="CQ105" s="106">
        <v>182209.95154958675</v>
      </c>
      <c r="CR105" s="106">
        <v>72</v>
      </c>
      <c r="CS105" s="106">
        <v>143856</v>
      </c>
      <c r="CT105" s="106">
        <v>68.390620511347308</v>
      </c>
      <c r="CU105" s="106">
        <v>136644.45978167193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259.3293544820429</v>
      </c>
      <c r="E112" s="106">
        <f>SUM(L$49:L$70)+SUM(N$49:N$70)+SUM(P$49:P$70)+SUM(R$49:R$70)</f>
        <v>246.48460667715221</v>
      </c>
      <c r="F112" s="106">
        <f>SUM(T$49:T$70)+SUM(V$49:V$70)+SUM(X$49:X$70)+SUM(Z$49:Z$70)</f>
        <v>222.344800325135</v>
      </c>
      <c r="G112" s="106">
        <f>SUM(AB$49:AB$70)+SUM(AD$49:AD$70)+SUM(AF$49:AF$70)+SUM(AH$49:AH$70)</f>
        <v>61.620561987264395</v>
      </c>
      <c r="H112" s="106">
        <f>SUM(AJ$49:AJ$70)+SUM(AL$49:AL$70)+SUM(AN$49:AN$70)+SUM(AP$49:AP$70)</f>
        <v>70.008405452490791</v>
      </c>
      <c r="I112" s="106">
        <f>SUM(AR$49:AR$70)+SUM(AT$49:AT$70)+SUM(AV$49:AV$70)+SUM(AX$49:AX$70)</f>
        <v>86.622056722791001</v>
      </c>
      <c r="J112" s="106">
        <f>SUM(AZ$49:AZ$70)+SUM(BB$49:BB$70)+SUM(BD$49:BD$70)+SUM(BF$49:BF$70)</f>
        <v>405.00518919115001</v>
      </c>
      <c r="K112" s="106">
        <f>SUM(BH$49:BH$70)+SUM(BJ$49:BJ$70)+SUM(BL$49:BL$70)+SUM(BN$49:BN$70)</f>
        <v>69.82033396205756</v>
      </c>
      <c r="L112" s="106">
        <f>SUM(BP$49:BP$70)+SUM(BR$49:BR$70)+SUM(BT$49:BT$70)+SUM(BV$49:BV$70)</f>
        <v>65.390118791975112</v>
      </c>
      <c r="M112" s="106">
        <f>SUM(BX$49:BX$70)+SUM(BZ$49:BZ$70)+SUM(CB$49:CB$70)+SUM(CD$49:CD$70)</f>
        <v>101.09209228369124</v>
      </c>
      <c r="N112" s="106">
        <f>SUM(CF$49:CF$70)+SUM(CH$49:CH$70)+SUM(CJ$49:CJ$70)+SUM(CL$49:CL$70)</f>
        <v>103.83720232369363</v>
      </c>
      <c r="O112" s="106">
        <f>SUM(CN$49:CN$70)+SUM(CP$49:CP$70)+SUM(CR$49:CR$70)+SUM(CT$49:CT$70)</f>
        <v>300.00050189824185</v>
      </c>
    </row>
    <row r="113" spans="2:15" x14ac:dyDescent="0.2">
      <c r="C113" s="105" t="s">
        <v>130</v>
      </c>
      <c r="D113" s="106">
        <f>SUM(D$71:D$86)+SUM(F$71:F$86)+SUM(H$71:H$86)+SUM(J$71:J$86)</f>
        <v>538.16493086821492</v>
      </c>
      <c r="E113" s="106">
        <f>SUM(L$71:L$86)+SUM(N$71:N$86)+SUM(P$71:P$86)+SUM(R$71:R$86)</f>
        <v>266.23869036326346</v>
      </c>
      <c r="F113" s="106">
        <f>SUM(T$71:T$86)+SUM(V$71:V$86)+SUM(X$71:X$86)+SUM(Z$71:Z$86)</f>
        <v>1553.8850678543995</v>
      </c>
      <c r="G113" s="106">
        <f>SUM(AB$71:AB$86)+SUM(AD$71:AD$86)+SUM(AF$71:AF$86)+SUM(AH$71:AH$86)</f>
        <v>1008.2583940023776</v>
      </c>
      <c r="H113" s="106">
        <f>SUM(AJ$71:AJ$86)+SUM(AL$71:AL$86)+SUM(AN$71:AN$86)+SUM(AP$71:AP$86)</f>
        <v>838.58581229209562</v>
      </c>
      <c r="I113" s="106">
        <f>SUM(AR$71:AR$86)+SUM(AT$71:AT$86)+SUM(AV$71:AV$86)+SUM(AX$71:AX$86)</f>
        <v>1013.8918444669955</v>
      </c>
      <c r="J113" s="106">
        <f>SUM(AZ$71:AZ$86)+SUM(BB$71:BB$86)+SUM(BD$71:BD$86)+SUM(BF$71:BF$86)</f>
        <v>324.21252864065877</v>
      </c>
      <c r="K113" s="106">
        <f>SUM(BH$71:BH$86)+SUM(BJ$71:BJ$86)+SUM(BL$71:BL$86)+SUM(BN$71:BN$86)</f>
        <v>828.31472960299197</v>
      </c>
      <c r="L113" s="106">
        <f>SUM(BP$71:BP$86)+SUM(BR$71:BR$86)+SUM(BT$71:BT$86)+SUM(BV$71:BV$86)</f>
        <v>469.3641141722776</v>
      </c>
      <c r="M113" s="106">
        <f>SUM(BX$71:BX$86)+SUM(BZ$71:BZ$86)+SUM(CB$71:CB$86)+SUM(CD$71:CD$86)</f>
        <v>416.16725189383999</v>
      </c>
      <c r="N113" s="106">
        <f>SUM(CF$71:CF$86)+SUM(CH$71:CH$86)+SUM(CJ$71:CJ$86)+SUM(CL$71:CL$86)</f>
        <v>1093.5847820120503</v>
      </c>
      <c r="O113" s="106">
        <f>SUM(CN$71:CN$86)+SUM(CP$71:CP$86)+SUM(CR$71:CR$86)+SUM(CT$71:CT$86)</f>
        <v>396.00916247101105</v>
      </c>
    </row>
    <row r="114" spans="2:15" x14ac:dyDescent="0.2">
      <c r="C114" s="105" t="s">
        <v>131</v>
      </c>
      <c r="D114" s="106">
        <f>SUM(D$87:D$94)+SUM(F$87:F$94)+SUM(H$87:H$94)+SUM(J$87:J$94)</f>
        <v>133.88231626800768</v>
      </c>
      <c r="E114" s="106">
        <f>SUM(L$87:L$94)+SUM(N$87:N$94)+SUM(P$87:P$94)+SUM(R$87:R$94)</f>
        <v>474.43419205604306</v>
      </c>
      <c r="F114" s="106">
        <f>SUM(T$87:T$94)+SUM(V$87:V$94)+SUM(X$87:X$94)+SUM(Z$87:Z$94)</f>
        <v>1005.5727871366548</v>
      </c>
      <c r="G114" s="106">
        <f>SUM(AB$87:AB$94)+SUM(AD$87:AD$94)+SUM(AF$87:AF$94)+SUM(AH$87:AH$94)</f>
        <v>314.80218755084917</v>
      </c>
      <c r="H114" s="106">
        <f>SUM(AJ$87:AJ$94)+SUM(AL$87:AL$94)+SUM(AN$87:AN$94)+SUM(AP$87:AP$94)</f>
        <v>330.62606205612764</v>
      </c>
      <c r="I114" s="106">
        <f>SUM(AR$87:AR$94)+SUM(AT$87:AT$94)+SUM(AV$87:AV$94)+SUM(AX$87:AX$94)</f>
        <v>208.99164863008838</v>
      </c>
      <c r="J114" s="106">
        <f>SUM(AZ$87:AZ$94)+SUM(BB$87:BB$94)+SUM(BD$87:BD$94)+SUM(BF$87:BF$94)</f>
        <v>260.31677311681062</v>
      </c>
      <c r="K114" s="106">
        <f>SUM(BH$87:BH$94)+SUM(BJ$87:BJ$94)+SUM(BL$87:BL$94)+SUM(BN$87:BN$94)</f>
        <v>463.06737810603784</v>
      </c>
      <c r="L114" s="106">
        <f>SUM(BP$87:BP$94)+SUM(BR$87:BR$94)+SUM(BT$87:BT$94)+SUM(BV$87:BV$94)</f>
        <v>1264.7980093752972</v>
      </c>
      <c r="M114" s="106">
        <f>SUM(BX$87:BX$94)+SUM(BZ$87:BZ$94)+SUM(CB$87:CB$94)+SUM(CD$87:CD$94)</f>
        <v>985.81139473251869</v>
      </c>
      <c r="N114" s="106">
        <f>SUM(CF$87:CF$94)+SUM(CH$87:CH$94)+SUM(CJ$87:CJ$94)+SUM(CL$87:CL$94)</f>
        <v>356.90178573530636</v>
      </c>
      <c r="O114" s="106">
        <f>SUM(CN$87:CN$94)+SUM(CP$87:CP$94)+SUM(CR$87:CR$94)+SUM(CT$87:CT$94)</f>
        <v>161.66584612391125</v>
      </c>
    </row>
    <row r="115" spans="2:15" x14ac:dyDescent="0.2">
      <c r="C115" s="105" t="s">
        <v>132</v>
      </c>
      <c r="D115" s="106">
        <f>SUM(D$95:D$105)+SUM(F$95:F$105)+SUM(H$95:H$105)+SUM(J$95:J$105)</f>
        <v>395.71540141195641</v>
      </c>
      <c r="E115" s="106">
        <f>SUM(L$95:L$105)+SUM(N$95:N$105)+SUM(P$95:P$105)+SUM(R$95:R$105)</f>
        <v>560.1934994616438</v>
      </c>
      <c r="F115" s="106">
        <f>SUM(T$95:T$105)+SUM(V$95:V$105)+SUM(X$95:X$105)+SUM(Z$95:Z$105)</f>
        <v>603.79594296073014</v>
      </c>
      <c r="G115" s="106">
        <f>SUM(AB$95:AB$105)+SUM(AD$95:AD$105)+SUM(AF$95:AF$105)+SUM(AH$95:AH$105)</f>
        <v>2126.1413008831296</v>
      </c>
      <c r="H115" s="106">
        <f>SUM(AJ$95:AJ$105)+SUM(AL$95:AL$105)+SUM(AN$95:AN$105)+SUM(AP$95:AP$105)</f>
        <v>334.04827455848465</v>
      </c>
      <c r="I115" s="106">
        <f>SUM(AR$95:AR$105)+SUM(AT$95:AT$105)+SUM(AV$95:AV$105)+SUM(AX$95:AX$105)</f>
        <v>1431.1082013025996</v>
      </c>
      <c r="J115" s="106">
        <f>SUM(AZ$95:AZ$105)+SUM(BB$95:BB$105)+SUM(BD$95:BD$105)+SUM(BF$95:BF$105)</f>
        <v>1259.5946045122482</v>
      </c>
      <c r="K115" s="106">
        <f>SUM(BH$95:BH$105)+SUM(BJ$95:BJ$105)+SUM(BL$95:BL$105)+SUM(BN$95:BN$105)</f>
        <v>1249.1089364356526</v>
      </c>
      <c r="L115" s="106">
        <f>SUM(BP$95:BP$105)+SUM(BR$95:BR$105)+SUM(BT$95:BT$105)+SUM(BV$95:BV$105)</f>
        <v>1112.7611361720255</v>
      </c>
      <c r="M115" s="106">
        <f>SUM(BX$95:BX$105)+SUM(BZ$95:BZ$105)+SUM(CB$95:CB$105)+SUM(CD$95:CD$105)</f>
        <v>1200.329991652241</v>
      </c>
      <c r="N115" s="106">
        <f>SUM(CF$95:CF$105)+SUM(CH$95:CH$105)+SUM(CJ$95:CJ$105)+SUM(CL$95:CL$105)</f>
        <v>1060.3831074129657</v>
      </c>
      <c r="O115" s="106">
        <f>SUM(CN$95:CN$105)+SUM(CP$95:CP$105)+SUM(CR$95:CR$105)+SUM(CT$95:CT$105)</f>
        <v>3745.3858734173054</v>
      </c>
    </row>
    <row r="116" spans="2:15" x14ac:dyDescent="0.2">
      <c r="C116" s="105" t="s">
        <v>278</v>
      </c>
      <c r="D116" s="106">
        <f t="shared" ref="D116:O116" si="0">SUM(D$109:D$115)</f>
        <v>1327.0920030302218</v>
      </c>
      <c r="E116" s="106">
        <f t="shared" si="0"/>
        <v>1547.3509885581025</v>
      </c>
      <c r="F116" s="106">
        <f t="shared" si="0"/>
        <v>3385.5985982769198</v>
      </c>
      <c r="G116" s="106">
        <f t="shared" si="0"/>
        <v>3510.8224444236207</v>
      </c>
      <c r="H116" s="106">
        <f t="shared" si="0"/>
        <v>1573.2685543591988</v>
      </c>
      <c r="I116" s="106">
        <f t="shared" si="0"/>
        <v>2740.6137511224742</v>
      </c>
      <c r="J116" s="106">
        <f t="shared" si="0"/>
        <v>2249.1290954608676</v>
      </c>
      <c r="K116" s="106">
        <f t="shared" si="0"/>
        <v>2610.31137810674</v>
      </c>
      <c r="L116" s="106">
        <f t="shared" si="0"/>
        <v>2912.3133785115751</v>
      </c>
      <c r="M116" s="106">
        <f t="shared" si="0"/>
        <v>2703.4007305622908</v>
      </c>
      <c r="N116" s="106">
        <f t="shared" si="0"/>
        <v>2614.7068774840159</v>
      </c>
      <c r="O116" s="106">
        <f t="shared" si="0"/>
        <v>4603.0613839104699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0</v>
      </c>
      <c r="E120" s="106">
        <f>E109*pricing!E24*2000</f>
        <v>0</v>
      </c>
      <c r="F120" s="106">
        <f>F109*pricing!F24*2000</f>
        <v>0</v>
      </c>
      <c r="G120" s="106">
        <f>G109*pricing!G24*2000</f>
        <v>0</v>
      </c>
      <c r="H120" s="106">
        <f>H109*pricing!H24*2000</f>
        <v>0</v>
      </c>
      <c r="I120" s="106">
        <f>I109*pricing!I24*2000</f>
        <v>0</v>
      </c>
      <c r="J120" s="106">
        <f>J109*pricing!J24*2000</f>
        <v>0</v>
      </c>
      <c r="K120" s="106">
        <f>K109*pricing!K24*2000</f>
        <v>0</v>
      </c>
      <c r="L120" s="106">
        <f>L109*pricing!L24*2000</f>
        <v>0</v>
      </c>
      <c r="M120" s="106">
        <f>M109*pricing!M24*2000</f>
        <v>0</v>
      </c>
      <c r="N120" s="106">
        <f>N109*pricing!N24*2000</f>
        <v>0</v>
      </c>
      <c r="O120" s="106">
        <f>O109*pricing!O24*2000</f>
        <v>0</v>
      </c>
    </row>
    <row r="121" spans="2:15" x14ac:dyDescent="0.2">
      <c r="C121" s="105" t="s">
        <v>127</v>
      </c>
      <c r="D121" s="106">
        <f>D110*pricing!D25*2000</f>
        <v>0</v>
      </c>
      <c r="E121" s="106">
        <f>E110*pricing!E25*2000</f>
        <v>0</v>
      </c>
      <c r="F121" s="106">
        <f>F110*pricing!F25*2000</f>
        <v>0</v>
      </c>
      <c r="G121" s="106">
        <f>G110*pricing!G25*2000</f>
        <v>0</v>
      </c>
      <c r="H121" s="106">
        <f>H110*pricing!H25*2000</f>
        <v>0</v>
      </c>
      <c r="I121" s="106">
        <f>I110*pricing!I25*2000</f>
        <v>0</v>
      </c>
      <c r="J121" s="106">
        <f>J110*pricing!J25*2000</f>
        <v>0</v>
      </c>
      <c r="K121" s="106">
        <f>K110*pricing!K25*2000</f>
        <v>0</v>
      </c>
      <c r="L121" s="106">
        <f>L110*pricing!L25*2000</f>
        <v>0</v>
      </c>
      <c r="M121" s="106">
        <f>M110*pricing!M25*2000</f>
        <v>0</v>
      </c>
      <c r="N121" s="106">
        <f>N110*pricing!N25*2000</f>
        <v>0</v>
      </c>
      <c r="O121" s="106">
        <f>O110*pricing!O25*2000</f>
        <v>0</v>
      </c>
    </row>
    <row r="122" spans="2:15" x14ac:dyDescent="0.2">
      <c r="C122" s="105" t="s">
        <v>128</v>
      </c>
      <c r="D122" s="106">
        <f>D111*pricing!D26*2000</f>
        <v>0</v>
      </c>
      <c r="E122" s="106">
        <f>E111*pricing!E26*2000</f>
        <v>0</v>
      </c>
      <c r="F122" s="106">
        <f>F111*pricing!F26*2000</f>
        <v>0</v>
      </c>
      <c r="G122" s="106">
        <f>G111*pricing!G26*2000</f>
        <v>0</v>
      </c>
      <c r="H122" s="106">
        <f>H111*pricing!H26*2000</f>
        <v>0</v>
      </c>
      <c r="I122" s="106">
        <f>I111*pricing!I26*2000</f>
        <v>0</v>
      </c>
      <c r="J122" s="106">
        <f>J111*pricing!J26*2000</f>
        <v>0</v>
      </c>
      <c r="K122" s="106">
        <f>K111*pricing!K26*2000</f>
        <v>0</v>
      </c>
      <c r="L122" s="106">
        <f>L111*pricing!L26*2000</f>
        <v>0</v>
      </c>
      <c r="M122" s="106">
        <f>M111*pricing!M26*2000</f>
        <v>0</v>
      </c>
      <c r="N122" s="106">
        <f>N111*pricing!N26*2000</f>
        <v>0</v>
      </c>
      <c r="O122" s="106">
        <f>O111*pricing!O26*2000</f>
        <v>0</v>
      </c>
    </row>
    <row r="123" spans="2:15" x14ac:dyDescent="0.2">
      <c r="C123" s="105" t="s">
        <v>129</v>
      </c>
      <c r="D123" s="106">
        <f>D112*pricing!D27*2000</f>
        <v>970029.96322470752</v>
      </c>
      <c r="E123" s="106">
        <f>E112*pricing!E27*2000</f>
        <v>754717.43848539679</v>
      </c>
      <c r="F123" s="106">
        <f>F112*pricing!F27*2000</f>
        <v>864353.19476503413</v>
      </c>
      <c r="G123" s="106">
        <f>G112*pricing!G27*2000</f>
        <v>412904.07926144294</v>
      </c>
      <c r="H123" s="106">
        <f>H112*pricing!H27*2000</f>
        <v>441067.64159431501</v>
      </c>
      <c r="I123" s="106">
        <f>I112*pricing!I27*2000</f>
        <v>491768.41717710625</v>
      </c>
      <c r="J123" s="106">
        <f>J112*pricing!J27*2000</f>
        <v>1029686.2142783398</v>
      </c>
      <c r="K123" s="106">
        <f>K112*pricing!K27*2000</f>
        <v>451901.34301365283</v>
      </c>
      <c r="L123" s="106">
        <f>L112*pricing!L27*2000</f>
        <v>432369.24932096282</v>
      </c>
      <c r="M123" s="106">
        <f>M112*pricing!M27*2000</f>
        <v>561881.63400571665</v>
      </c>
      <c r="N123" s="106">
        <f>N112*pricing!N27*2000</f>
        <v>542022.58943557797</v>
      </c>
      <c r="O123" s="106">
        <f>O112*pricing!O27*2000</f>
        <v>922890.23861070571</v>
      </c>
    </row>
    <row r="124" spans="2:15" x14ac:dyDescent="0.2">
      <c r="C124" s="105" t="s">
        <v>130</v>
      </c>
      <c r="D124" s="106">
        <f>D113*pricing!D28*2000</f>
        <v>2748292.2365679559</v>
      </c>
      <c r="E124" s="106">
        <f>E113*pricing!E28*2000</f>
        <v>1879804.2112465347</v>
      </c>
      <c r="F124" s="106">
        <f>F113*pricing!F28*2000</f>
        <v>4448080.0827682326</v>
      </c>
      <c r="G124" s="106">
        <f>G113*pricing!G28*2000</f>
        <v>4024148.2144627054</v>
      </c>
      <c r="H124" s="106">
        <f>H113*pricing!H28*2000</f>
        <v>3457230.4821595596</v>
      </c>
      <c r="I124" s="106">
        <f>I113*pricing!I28*2000</f>
        <v>3654761.7365807556</v>
      </c>
      <c r="J124" s="106">
        <f>J113*pricing!J28*2000</f>
        <v>2129633.8860730324</v>
      </c>
      <c r="K124" s="106">
        <f>K113*pricing!K28*2000</f>
        <v>3253566.2844142625</v>
      </c>
      <c r="L124" s="106">
        <f>L113*pricing!L28*2000</f>
        <v>2671193.5917048454</v>
      </c>
      <c r="M124" s="106">
        <f>M113*pricing!M28*2000</f>
        <v>2458995.3073060424</v>
      </c>
      <c r="N124" s="106">
        <f>N113*pricing!N28*2000</f>
        <v>4174945.5224770126</v>
      </c>
      <c r="O124" s="106">
        <f>O113*pricing!O28*2000</f>
        <v>2495039.8664018288</v>
      </c>
    </row>
    <row r="125" spans="2:15" x14ac:dyDescent="0.2">
      <c r="C125" s="105" t="s">
        <v>131</v>
      </c>
      <c r="D125" s="106">
        <f>D114*pricing!D29*2000</f>
        <v>910256.70973823743</v>
      </c>
      <c r="E125" s="106">
        <f>E114*pricing!E29*2000</f>
        <v>1690534.6433945505</v>
      </c>
      <c r="F125" s="106">
        <f>F114*pricing!F29*2000</f>
        <v>2589643.944451632</v>
      </c>
      <c r="G125" s="106">
        <f>G114*pricing!G29*2000</f>
        <v>1518288.5864724279</v>
      </c>
      <c r="H125" s="106">
        <f>H114*pricing!H29*2000</f>
        <v>1383198.0579884124</v>
      </c>
      <c r="I125" s="106">
        <f>I114*pricing!I29*2000</f>
        <v>1268535.2193433919</v>
      </c>
      <c r="J125" s="106">
        <f>J114*pricing!J29*2000</f>
        <v>1370294.1469756954</v>
      </c>
      <c r="K125" s="106">
        <f>K114*pricing!K29*2000</f>
        <v>1656874.1216808648</v>
      </c>
      <c r="L125" s="106">
        <f>L114*pricing!L29*2000</f>
        <v>3119263.8539776769</v>
      </c>
      <c r="M125" s="106">
        <f>M114*pricing!M29*2000</f>
        <v>2832341.6074469266</v>
      </c>
      <c r="N125" s="106">
        <f>N114*pricing!N29*2000</f>
        <v>1638654.5425695314</v>
      </c>
      <c r="O125" s="106">
        <f>O114*pricing!O29*2000</f>
        <v>1046837.326724464</v>
      </c>
    </row>
    <row r="126" spans="2:15" x14ac:dyDescent="0.2">
      <c r="C126" s="105" t="s">
        <v>132</v>
      </c>
      <c r="D126" s="106">
        <f>D115*pricing!D30*2000</f>
        <v>2517515.2046433212</v>
      </c>
      <c r="E126" s="106">
        <f>E115*pricing!E30*2000</f>
        <v>3056910.980379744</v>
      </c>
      <c r="F126" s="106">
        <f>F115*pricing!F30*2000</f>
        <v>3113397.2389293411</v>
      </c>
      <c r="G126" s="106">
        <f>G115*pricing!G30*2000</f>
        <v>5814861.8535624854</v>
      </c>
      <c r="H126" s="106">
        <f>H115*pricing!H30*2000</f>
        <v>2299781.4555537174</v>
      </c>
      <c r="I126" s="106">
        <f>I115*pricing!I30*2000</f>
        <v>4386962.1202966841</v>
      </c>
      <c r="J126" s="106">
        <f>J115*pricing!J30*2000</f>
        <v>4727449.5478964839</v>
      </c>
      <c r="K126" s="106">
        <f>K115*pricing!K30*2000</f>
        <v>4173140.6162662609</v>
      </c>
      <c r="L126" s="106">
        <f>L115*pricing!L30*2000</f>
        <v>4324624.7730756439</v>
      </c>
      <c r="M126" s="106">
        <f>M115*pricing!M30*2000</f>
        <v>4423233.5142251281</v>
      </c>
      <c r="N126" s="106">
        <f>N115*pricing!N30*2000</f>
        <v>4260694.6209154557</v>
      </c>
      <c r="O126" s="106">
        <f>O115*pricing!O30*2000</f>
        <v>7547686.1204296192</v>
      </c>
    </row>
    <row r="127" spans="2:15" x14ac:dyDescent="0.2">
      <c r="C127" s="105" t="s">
        <v>278</v>
      </c>
      <c r="D127" s="106">
        <f t="shared" ref="D127:O127" si="1">SUM(D$120:D$126)</f>
        <v>7146094.1141742226</v>
      </c>
      <c r="E127" s="106">
        <f t="shared" si="1"/>
        <v>7381967.273506226</v>
      </c>
      <c r="F127" s="106">
        <f t="shared" si="1"/>
        <v>11015474.460914239</v>
      </c>
      <c r="G127" s="106">
        <f t="shared" si="1"/>
        <v>11770202.733759062</v>
      </c>
      <c r="H127" s="106">
        <f t="shared" si="1"/>
        <v>7581277.6372960042</v>
      </c>
      <c r="I127" s="106">
        <f t="shared" si="1"/>
        <v>9802027.4933979381</v>
      </c>
      <c r="J127" s="106">
        <f t="shared" si="1"/>
        <v>9257063.7952235527</v>
      </c>
      <c r="K127" s="106">
        <f t="shared" si="1"/>
        <v>9535482.365375042</v>
      </c>
      <c r="L127" s="106">
        <f t="shared" si="1"/>
        <v>10547451.468079129</v>
      </c>
      <c r="M127" s="106">
        <f t="shared" si="1"/>
        <v>10276452.062983815</v>
      </c>
      <c r="N127" s="106">
        <f t="shared" si="1"/>
        <v>10616317.275397576</v>
      </c>
      <c r="O127" s="106">
        <f t="shared" si="1"/>
        <v>12012453.552166618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286693.59308866074</v>
      </c>
      <c r="E134" s="112">
        <f>SUM(M$49:M$70)+SUM(O$49:O$70)+SUM(Q$49:Q$70)+SUM(S$49:S$70)</f>
        <v>272215.17118215322</v>
      </c>
      <c r="F134" s="112">
        <f>SUM(U$49:U$70)+SUM(W$49:W$70)+SUM(Y$49:Y$70)+SUM(AA$49:AA$70)</f>
        <v>244981.86030300846</v>
      </c>
      <c r="G134" s="112">
        <f>SUM(AC$49:AC$70)+SUM(AE$49:AE$70)+SUM(AG$49:AG$70)+SUM(AI$49:AI$70)</f>
        <v>68126.211975361119</v>
      </c>
      <c r="H134" s="112">
        <f>SUM(AK$49:AK$70)+SUM(AM$49:AM$70)+SUM(AO$49:AO$70)+SUM(AQ$49:AQ$70)</f>
        <v>77315.989848551952</v>
      </c>
      <c r="I134" s="112">
        <f>SUM(AS$49:AS$70)+SUM(AU$49:AU$70)+SUM(AW$49:AW$70)+SUM(AY$49:AY$70)</f>
        <v>95591.752493099091</v>
      </c>
      <c r="J134" s="112">
        <f>SUM(BA$49:BA$70)+SUM(BC$49:BC$70)+SUM(BE$49:BE$70)+SUM(BG$49:BG$70)</f>
        <v>447492.1018159521</v>
      </c>
      <c r="K134" s="112">
        <f>SUM(BI$49:BI$70)+SUM(BK$49:BK$70)+SUM(BM$49:BM$70)+SUM(BO$49:BO$70)</f>
        <v>77297.038431250287</v>
      </c>
      <c r="L134" s="112">
        <f>SUM(BQ$49:BQ$70)+SUM(BS$49:BS$70)+SUM(BU$49:BU$70)+SUM(BW$49:BW$70)</f>
        <v>72262.019152411667</v>
      </c>
      <c r="M134" s="112">
        <f>SUM(BY$49:BY$70)+SUM(CA$49:CA$70)+SUM(CC$49:CC$70)+SUM(CE$49:CE$70)</f>
        <v>111689.02526012172</v>
      </c>
      <c r="N134" s="112">
        <f>SUM(CG$49:CG$70)+SUM(CI$49:CI$70)+SUM(CK$49:CK$70)+SUM(CM$49:CM$70)</f>
        <v>114678.72652281252</v>
      </c>
      <c r="O134" s="112">
        <f>SUM(CO$49:CO$70)+SUM(CQ$49:CQ$70)+SUM(CS$49:CS$70)+SUM(CU$49:CU$70)</f>
        <v>331248.6997017687</v>
      </c>
    </row>
    <row r="135" spans="2:15" x14ac:dyDescent="0.2">
      <c r="C135" s="111" t="s">
        <v>130</v>
      </c>
      <c r="D135" s="112">
        <f>SUM(E$71:E$86)+SUM(G$71:G$86)+SUM(I$71:I$86)+SUM(K$71:K$86)</f>
        <v>299130.94792496174</v>
      </c>
      <c r="E135" s="112">
        <f>SUM(M$71:M$86)+SUM(O$71:O$86)+SUM(Q$71:Q$86)+SUM(S$71:S$86)</f>
        <v>150145.90736661866</v>
      </c>
      <c r="F135" s="112">
        <f>SUM(U$71:U$86)+SUM(W$71:W$86)+SUM(Y$71:Y$86)+SUM(AA$71:AA$86)</f>
        <v>866016.19044048444</v>
      </c>
      <c r="G135" s="112">
        <f>SUM(AC$71:AC$86)+SUM(AE$71:AE$86)+SUM(AG$71:AG$86)+SUM(AI$71:AI$86)</f>
        <v>563391.64588823461</v>
      </c>
      <c r="H135" s="112">
        <f>SUM(AK$71:AK$86)+SUM(AM$71:AM$86)+SUM(AO$71:AO$86)+SUM(AQ$71:AQ$86)</f>
        <v>469163.45126594556</v>
      </c>
      <c r="I135" s="112">
        <f>SUM(AS$71:AS$86)+SUM(AU$71:AU$86)+SUM(AW$71:AW$86)+SUM(AY$71:AY$86)</f>
        <v>565544.92580546089</v>
      </c>
      <c r="J135" s="112">
        <f>SUM(BA$71:BA$86)+SUM(BC$71:BC$86)+SUM(BE$71:BE$86)+SUM(BG$71:BG$86)</f>
        <v>181351.05315109971</v>
      </c>
      <c r="K135" s="112">
        <f>SUM(BI$71:BI$86)+SUM(BK$71:BK$86)+SUM(BM$71:BM$86)+SUM(BO$71:BO$86)</f>
        <v>462192.12960751494</v>
      </c>
      <c r="L135" s="112">
        <f>SUM(BQ$71:BQ$86)+SUM(BS$71:BS$86)+SUM(BU$71:BU$86)+SUM(BW$71:BW$86)</f>
        <v>260936.17472637893</v>
      </c>
      <c r="M135" s="112">
        <f>SUM(BY$71:BY$86)+SUM(CA$71:CA$86)+SUM(CC$71:CC$86)+SUM(CE$71:CE$86)</f>
        <v>231110.86568807112</v>
      </c>
      <c r="N135" s="112">
        <f>SUM(CG$71:CG$86)+SUM(CI$71:CI$86)+SUM(CK$71:CK$86)+SUM(CM$71:CM$86)</f>
        <v>606791.23019770265</v>
      </c>
      <c r="O135" s="112">
        <f>SUM(CO$71:CO$86)+SUM(CQ$71:CQ$86)+SUM(CS$71:CS$86)+SUM(CU$71:CU$86)</f>
        <v>220509.16145487747</v>
      </c>
    </row>
    <row r="136" spans="2:15" x14ac:dyDescent="0.2">
      <c r="C136" s="111" t="s">
        <v>131</v>
      </c>
      <c r="D136" s="112">
        <f>SUM(E$87:E$94)+SUM(G$87:G$94)+SUM(I$87:I$94)+SUM(K$87:K$94)</f>
        <v>271977.60936909507</v>
      </c>
      <c r="E136" s="112">
        <f>SUM(M$87:M$94)+SUM(O$87:O$94)+SUM(Q$87:Q$94)+SUM(S$87:S$94)</f>
        <v>962785.65856116894</v>
      </c>
      <c r="F136" s="112">
        <f>SUM(U$87:U$94)+SUM(W$87:W$94)+SUM(Y$87:Y$94)+SUM(AA$87:AA$94)</f>
        <v>2036807.0342571873</v>
      </c>
      <c r="G136" s="112">
        <f>SUM(AC$87:AC$94)+SUM(AE$87:AE$94)+SUM(AG$87:AG$94)+SUM(AI$87:AI$94)</f>
        <v>641909.49968664988</v>
      </c>
      <c r="H136" s="112">
        <f>SUM(AK$87:AK$94)+SUM(AM$87:AM$94)+SUM(AO$87:AO$94)+SUM(AQ$87:AQ$94)</f>
        <v>674175.16395179788</v>
      </c>
      <c r="I136" s="112">
        <f>SUM(AS$87:AS$94)+SUM(AU$87:AU$94)+SUM(AW$87:AW$94)+SUM(AY$87:AY$94)</f>
        <v>425485.30720260541</v>
      </c>
      <c r="J136" s="112">
        <f>SUM(BA$87:BA$94)+SUM(BC$87:BC$94)+SUM(BE$87:BE$94)+SUM(BG$87:BG$94)</f>
        <v>528007.33689496282</v>
      </c>
      <c r="K136" s="112">
        <f>SUM(BI$87:BI$94)+SUM(BK$87:BK$94)+SUM(BM$87:BM$94)+SUM(BO$87:BO$94)</f>
        <v>937935.986017155</v>
      </c>
      <c r="L136" s="112">
        <f>SUM(BQ$87:BQ$94)+SUM(BS$87:BS$94)+SUM(BU$87:BU$94)+SUM(BW$87:BW$94)</f>
        <v>2564086.9964071712</v>
      </c>
      <c r="M136" s="112">
        <f>SUM(BY$87:BY$94)+SUM(CA$87:CA$94)+SUM(CC$87:CC$94)+SUM(CE$87:CE$94)</f>
        <v>1998533.7081501635</v>
      </c>
      <c r="N136" s="112">
        <f>SUM(CG$87:CG$94)+SUM(CI$87:CI$94)+SUM(CK$87:CK$94)+SUM(CM$87:CM$94)</f>
        <v>725750.2335167058</v>
      </c>
      <c r="O136" s="112">
        <f>SUM(CO$87:CO$94)+SUM(CQ$87:CQ$94)+SUM(CS$87:CS$94)+SUM(CU$87:CU$94)</f>
        <v>329139.72734354326</v>
      </c>
    </row>
    <row r="137" spans="2:15" x14ac:dyDescent="0.2">
      <c r="C137" s="111" t="s">
        <v>132</v>
      </c>
      <c r="D137" s="112">
        <f>SUM(E$95:E$105)+SUM(G$95:G$105)+SUM(I$95:I$105)+SUM(K$95:K$105)</f>
        <v>756917.94873823121</v>
      </c>
      <c r="E137" s="112">
        <f>SUM(M$95:M$105)+SUM(O$95:O$105)+SUM(Q$95:Q$105)+SUM(S$95:S$105)</f>
        <v>1073439.2504503182</v>
      </c>
      <c r="F137" s="112">
        <f>SUM(U$95:U$105)+SUM(W$95:W$105)+SUM(Y$95:Y$105)+SUM(AA$95:AA$105)</f>
        <v>1151712.2949781504</v>
      </c>
      <c r="G137" s="112">
        <f>SUM(AC$95:AC$105)+SUM(AE$95:AE$105)+SUM(AG$95:AG$105)+SUM(AI$95:AI$105)</f>
        <v>3903534.7915180656</v>
      </c>
      <c r="H137" s="112">
        <f>SUM(AK$95:AK$105)+SUM(AM$95:AM$105)+SUM(AO$95:AO$105)+SUM(AQ$95:AQ$105)</f>
        <v>644166.286842598</v>
      </c>
      <c r="I137" s="112">
        <f>SUM(AS$95:AS$105)+SUM(AU$95:AU$105)+SUM(AW$95:AW$105)+SUM(AY$95:AY$105)</f>
        <v>2658865.1121292128</v>
      </c>
      <c r="J137" s="112">
        <f>SUM(BA$95:BA$105)+SUM(BC$95:BC$105)+SUM(BE$95:BE$105)+SUM(BG$95:BG$105)</f>
        <v>2379008.1320187212</v>
      </c>
      <c r="K137" s="112">
        <f>SUM(BI$95:BI$105)+SUM(BK$95:BK$105)+SUM(BM$95:BM$105)+SUM(BO$95:BO$105)</f>
        <v>2328299.5414910675</v>
      </c>
      <c r="L137" s="112">
        <f>SUM(BQ$95:BQ$105)+SUM(BS$95:BS$105)+SUM(BU$95:BU$105)+SUM(BW$95:BW$105)</f>
        <v>2088048.6231450709</v>
      </c>
      <c r="M137" s="112">
        <f>SUM(BY$95:BY$105)+SUM(CA$95:CA$105)+SUM(CC$95:CC$105)+SUM(CE$95:CE$105)</f>
        <v>2254909.9785427107</v>
      </c>
      <c r="N137" s="112">
        <f>SUM(CG$95:CG$105)+SUM(CI$95:CI$105)+SUM(CK$95:CK$105)+SUM(CM$95:CM$105)</f>
        <v>2015499.0084325732</v>
      </c>
      <c r="O137" s="112">
        <f>SUM(CO$95:CO$105)+SUM(CQ$95:CQ$105)+SUM(CS$95:CS$105)+SUM(CU$95:CU$105)</f>
        <v>6798186.0543294866</v>
      </c>
    </row>
    <row r="138" spans="2:15" x14ac:dyDescent="0.2">
      <c r="C138" s="111" t="s">
        <v>278</v>
      </c>
      <c r="D138" s="106">
        <f t="shared" ref="D138:O138" si="2">SUM(D$131:D$137)</f>
        <v>1614720.0991209487</v>
      </c>
      <c r="E138" s="106">
        <f t="shared" si="2"/>
        <v>2458585.9875602592</v>
      </c>
      <c r="F138" s="106">
        <f t="shared" si="2"/>
        <v>4299517.37997883</v>
      </c>
      <c r="G138" s="106">
        <f t="shared" si="2"/>
        <v>5176962.1490683109</v>
      </c>
      <c r="H138" s="106">
        <f t="shared" si="2"/>
        <v>1864820.8919088934</v>
      </c>
      <c r="I138" s="106">
        <f t="shared" si="2"/>
        <v>3745487.0976303783</v>
      </c>
      <c r="J138" s="106">
        <f t="shared" si="2"/>
        <v>3535858.6238807356</v>
      </c>
      <c r="K138" s="106">
        <f t="shared" si="2"/>
        <v>3805724.6955469875</v>
      </c>
      <c r="L138" s="106">
        <f t="shared" si="2"/>
        <v>4985333.8134310329</v>
      </c>
      <c r="M138" s="106">
        <f t="shared" si="2"/>
        <v>4596243.5776410671</v>
      </c>
      <c r="N138" s="106">
        <f t="shared" si="2"/>
        <v>3462719.198669794</v>
      </c>
      <c r="O138" s="106">
        <f t="shared" si="2"/>
        <v>7679083.6428296762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272</v>
      </c>
    </row>
    <row r="3" spans="1:99" x14ac:dyDescent="0.2">
      <c r="B3" s="109" t="s">
        <v>273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2</v>
      </c>
      <c r="E6" s="106">
        <v>1156.8</v>
      </c>
      <c r="F6" s="106">
        <v>2</v>
      </c>
      <c r="G6" s="106">
        <v>1156.8</v>
      </c>
      <c r="H6" s="106">
        <v>3</v>
      </c>
      <c r="I6" s="106">
        <v>1735.1999999999998</v>
      </c>
      <c r="J6" s="106">
        <v>2</v>
      </c>
      <c r="K6" s="106">
        <v>1156.8</v>
      </c>
      <c r="L6" s="106">
        <v>3</v>
      </c>
      <c r="M6" s="106">
        <v>1735.1999999999998</v>
      </c>
      <c r="N6" s="106">
        <v>3</v>
      </c>
      <c r="O6" s="106">
        <v>1735.1999999999998</v>
      </c>
      <c r="P6" s="106">
        <v>3</v>
      </c>
      <c r="Q6" s="106">
        <v>1735.1999999999998</v>
      </c>
      <c r="R6" s="106">
        <v>3</v>
      </c>
      <c r="S6" s="106">
        <v>1735.1999999999998</v>
      </c>
      <c r="T6" s="106">
        <v>5</v>
      </c>
      <c r="U6" s="106">
        <v>2892</v>
      </c>
      <c r="V6" s="106">
        <v>6</v>
      </c>
      <c r="W6" s="106">
        <v>3470.3999999999996</v>
      </c>
      <c r="X6" s="106">
        <v>8</v>
      </c>
      <c r="Y6" s="106">
        <v>4627.2</v>
      </c>
      <c r="Z6" s="106">
        <v>5</v>
      </c>
      <c r="AA6" s="106">
        <v>2892</v>
      </c>
      <c r="AB6" s="106">
        <v>30</v>
      </c>
      <c r="AC6" s="106">
        <v>17352</v>
      </c>
      <c r="AD6" s="106">
        <v>28</v>
      </c>
      <c r="AE6" s="106">
        <v>16195.199999999999</v>
      </c>
      <c r="AF6" s="106">
        <v>24</v>
      </c>
      <c r="AG6" s="106">
        <v>13881.599999999999</v>
      </c>
      <c r="AH6" s="106">
        <v>19</v>
      </c>
      <c r="AI6" s="106">
        <v>10989.6</v>
      </c>
      <c r="AJ6" s="106">
        <v>5</v>
      </c>
      <c r="AK6" s="106">
        <v>2892</v>
      </c>
      <c r="AL6" s="106">
        <v>4</v>
      </c>
      <c r="AM6" s="106">
        <v>2313.6</v>
      </c>
      <c r="AN6" s="106">
        <v>3</v>
      </c>
      <c r="AO6" s="106">
        <v>1735.1999999999998</v>
      </c>
      <c r="AP6" s="106">
        <v>3</v>
      </c>
      <c r="AQ6" s="106">
        <v>1735.1999999999998</v>
      </c>
      <c r="AR6" s="106">
        <v>10</v>
      </c>
      <c r="AS6" s="106">
        <v>5784</v>
      </c>
      <c r="AT6" s="106">
        <v>10</v>
      </c>
      <c r="AU6" s="106">
        <v>5784</v>
      </c>
      <c r="AV6" s="106">
        <v>10</v>
      </c>
      <c r="AW6" s="106">
        <v>5784</v>
      </c>
      <c r="AX6" s="106">
        <v>8</v>
      </c>
      <c r="AY6" s="106">
        <v>4627.2</v>
      </c>
      <c r="AZ6" s="106">
        <v>6</v>
      </c>
      <c r="BA6" s="106">
        <v>3470.3999999999996</v>
      </c>
      <c r="BB6" s="106">
        <v>5</v>
      </c>
      <c r="BC6" s="106">
        <v>2892</v>
      </c>
      <c r="BD6" s="106">
        <v>5</v>
      </c>
      <c r="BE6" s="106">
        <v>2892</v>
      </c>
      <c r="BF6" s="106">
        <v>4</v>
      </c>
      <c r="BG6" s="106">
        <v>2313.6</v>
      </c>
      <c r="BH6" s="106">
        <v>6</v>
      </c>
      <c r="BI6" s="106">
        <v>3470.3999999999996</v>
      </c>
      <c r="BJ6" s="106">
        <v>7</v>
      </c>
      <c r="BK6" s="106">
        <v>4048.7999999999997</v>
      </c>
      <c r="BL6" s="106">
        <v>5</v>
      </c>
      <c r="BM6" s="106">
        <v>2892</v>
      </c>
      <c r="BN6" s="106">
        <v>8</v>
      </c>
      <c r="BO6" s="106">
        <v>4627.2</v>
      </c>
      <c r="BP6" s="106">
        <v>47</v>
      </c>
      <c r="BQ6" s="106">
        <v>27184.799999999999</v>
      </c>
      <c r="BR6" s="106">
        <v>32</v>
      </c>
      <c r="BS6" s="106">
        <v>18508.8</v>
      </c>
      <c r="BT6" s="106">
        <v>39</v>
      </c>
      <c r="BU6" s="106">
        <v>22557.599999999999</v>
      </c>
      <c r="BV6" s="106">
        <v>31</v>
      </c>
      <c r="BW6" s="106">
        <v>17930.399999999998</v>
      </c>
      <c r="BX6" s="106">
        <v>3</v>
      </c>
      <c r="BY6" s="106">
        <v>1735.1999999999998</v>
      </c>
      <c r="BZ6" s="106">
        <v>4</v>
      </c>
      <c r="CA6" s="106">
        <v>2313.6</v>
      </c>
      <c r="CB6" s="106">
        <v>3</v>
      </c>
      <c r="CC6" s="106">
        <v>1735.1999999999998</v>
      </c>
      <c r="CD6" s="106">
        <v>3</v>
      </c>
      <c r="CE6" s="106">
        <v>1735.1999999999998</v>
      </c>
      <c r="CF6" s="106">
        <v>42</v>
      </c>
      <c r="CG6" s="106">
        <v>24292.799999999999</v>
      </c>
      <c r="CH6" s="106">
        <v>34</v>
      </c>
      <c r="CI6" s="106">
        <v>19665.599999999999</v>
      </c>
      <c r="CJ6" s="106">
        <v>33</v>
      </c>
      <c r="CK6" s="106">
        <v>19087.2</v>
      </c>
      <c r="CL6" s="106">
        <v>36</v>
      </c>
      <c r="CM6" s="106">
        <v>20822.399999999998</v>
      </c>
      <c r="CN6" s="106">
        <v>9</v>
      </c>
      <c r="CO6" s="106">
        <v>5205.5999999999995</v>
      </c>
      <c r="CP6" s="106">
        <v>12</v>
      </c>
      <c r="CQ6" s="106">
        <v>6940.7999999999993</v>
      </c>
      <c r="CR6" s="106">
        <v>10</v>
      </c>
      <c r="CS6" s="106">
        <v>5784</v>
      </c>
      <c r="CT6" s="106">
        <v>6</v>
      </c>
      <c r="CU6" s="106">
        <v>3470.3999999999996</v>
      </c>
    </row>
    <row r="7" spans="1:99" x14ac:dyDescent="0.2">
      <c r="C7" s="105" t="s">
        <v>173</v>
      </c>
      <c r="D7" s="106">
        <v>2</v>
      </c>
      <c r="E7" s="106">
        <v>1576.8</v>
      </c>
      <c r="F7" s="106">
        <v>2</v>
      </c>
      <c r="G7" s="106">
        <v>1576.8</v>
      </c>
      <c r="H7" s="106">
        <v>2</v>
      </c>
      <c r="I7" s="106">
        <v>1576.8</v>
      </c>
      <c r="J7" s="106">
        <v>2</v>
      </c>
      <c r="K7" s="106">
        <v>1576.8</v>
      </c>
      <c r="L7" s="106">
        <v>3</v>
      </c>
      <c r="M7" s="106">
        <v>2365.1999999999998</v>
      </c>
      <c r="N7" s="106">
        <v>3</v>
      </c>
      <c r="O7" s="106">
        <v>2365.1999999999998</v>
      </c>
      <c r="P7" s="106">
        <v>3</v>
      </c>
      <c r="Q7" s="106">
        <v>2365.1999999999998</v>
      </c>
      <c r="R7" s="106">
        <v>2</v>
      </c>
      <c r="S7" s="106">
        <v>1576.8</v>
      </c>
      <c r="T7" s="106">
        <v>5</v>
      </c>
      <c r="U7" s="106">
        <v>3942</v>
      </c>
      <c r="V7" s="106">
        <v>5</v>
      </c>
      <c r="W7" s="106">
        <v>3942</v>
      </c>
      <c r="X7" s="106">
        <v>7</v>
      </c>
      <c r="Y7" s="106">
        <v>5518.8</v>
      </c>
      <c r="Z7" s="106">
        <v>5</v>
      </c>
      <c r="AA7" s="106">
        <v>3942</v>
      </c>
      <c r="AB7" s="106">
        <v>29</v>
      </c>
      <c r="AC7" s="106">
        <v>22863.599999999999</v>
      </c>
      <c r="AD7" s="106">
        <v>27</v>
      </c>
      <c r="AE7" s="106">
        <v>21286.799999999999</v>
      </c>
      <c r="AF7" s="106">
        <v>23</v>
      </c>
      <c r="AG7" s="106">
        <v>18133.2</v>
      </c>
      <c r="AH7" s="106">
        <v>21</v>
      </c>
      <c r="AI7" s="106">
        <v>16556.399999999998</v>
      </c>
      <c r="AJ7" s="106">
        <v>4</v>
      </c>
      <c r="AK7" s="106">
        <v>3153.6</v>
      </c>
      <c r="AL7" s="106">
        <v>4</v>
      </c>
      <c r="AM7" s="106">
        <v>3153.6</v>
      </c>
      <c r="AN7" s="106">
        <v>3</v>
      </c>
      <c r="AO7" s="106">
        <v>2365.1999999999998</v>
      </c>
      <c r="AP7" s="106">
        <v>3</v>
      </c>
      <c r="AQ7" s="106">
        <v>2365.1999999999998</v>
      </c>
      <c r="AR7" s="106">
        <v>10</v>
      </c>
      <c r="AS7" s="106">
        <v>7884</v>
      </c>
      <c r="AT7" s="106">
        <v>9</v>
      </c>
      <c r="AU7" s="106">
        <v>7095.5999999999995</v>
      </c>
      <c r="AV7" s="106">
        <v>9</v>
      </c>
      <c r="AW7" s="106">
        <v>7095.5999999999995</v>
      </c>
      <c r="AX7" s="106">
        <v>8</v>
      </c>
      <c r="AY7" s="106">
        <v>6307.2</v>
      </c>
      <c r="AZ7" s="106">
        <v>5</v>
      </c>
      <c r="BA7" s="106">
        <v>3942</v>
      </c>
      <c r="BB7" s="106">
        <v>4</v>
      </c>
      <c r="BC7" s="106">
        <v>3153.6</v>
      </c>
      <c r="BD7" s="106">
        <v>5</v>
      </c>
      <c r="BE7" s="106">
        <v>3942</v>
      </c>
      <c r="BF7" s="106">
        <v>4</v>
      </c>
      <c r="BG7" s="106">
        <v>3153.6</v>
      </c>
      <c r="BH7" s="106">
        <v>6</v>
      </c>
      <c r="BI7" s="106">
        <v>4730.3999999999996</v>
      </c>
      <c r="BJ7" s="106">
        <v>6</v>
      </c>
      <c r="BK7" s="106">
        <v>4730.3999999999996</v>
      </c>
      <c r="BL7" s="106">
        <v>5</v>
      </c>
      <c r="BM7" s="106">
        <v>3942</v>
      </c>
      <c r="BN7" s="106">
        <v>9</v>
      </c>
      <c r="BO7" s="106">
        <v>7095.5999999999995</v>
      </c>
      <c r="BP7" s="106">
        <v>38</v>
      </c>
      <c r="BQ7" s="106">
        <v>29959.200000000001</v>
      </c>
      <c r="BR7" s="106">
        <v>32</v>
      </c>
      <c r="BS7" s="106">
        <v>25228.799999999999</v>
      </c>
      <c r="BT7" s="106">
        <v>36</v>
      </c>
      <c r="BU7" s="106">
        <v>28382.399999999998</v>
      </c>
      <c r="BV7" s="106">
        <v>31</v>
      </c>
      <c r="BW7" s="106">
        <v>24440.399999999998</v>
      </c>
      <c r="BX7" s="106">
        <v>4</v>
      </c>
      <c r="BY7" s="106">
        <v>3153.6</v>
      </c>
      <c r="BZ7" s="106">
        <v>4</v>
      </c>
      <c r="CA7" s="106">
        <v>3153.6</v>
      </c>
      <c r="CB7" s="106">
        <v>3</v>
      </c>
      <c r="CC7" s="106">
        <v>2365.1999999999998</v>
      </c>
      <c r="CD7" s="106">
        <v>3</v>
      </c>
      <c r="CE7" s="106">
        <v>2365.1999999999998</v>
      </c>
      <c r="CF7" s="106">
        <v>38</v>
      </c>
      <c r="CG7" s="106">
        <v>29959.200000000001</v>
      </c>
      <c r="CH7" s="106">
        <v>34</v>
      </c>
      <c r="CI7" s="106">
        <v>26805.599999999999</v>
      </c>
      <c r="CJ7" s="106">
        <v>35</v>
      </c>
      <c r="CK7" s="106">
        <v>27594</v>
      </c>
      <c r="CL7" s="106">
        <v>31</v>
      </c>
      <c r="CM7" s="106">
        <v>24440.399999999998</v>
      </c>
      <c r="CN7" s="106">
        <v>10</v>
      </c>
      <c r="CO7" s="106">
        <v>7884</v>
      </c>
      <c r="CP7" s="106">
        <v>10</v>
      </c>
      <c r="CQ7" s="106">
        <v>7884</v>
      </c>
      <c r="CR7" s="106">
        <v>10</v>
      </c>
      <c r="CS7" s="106">
        <v>7884</v>
      </c>
      <c r="CT7" s="106">
        <v>6</v>
      </c>
      <c r="CU7" s="106">
        <v>4730.3999999999996</v>
      </c>
    </row>
    <row r="8" spans="1:99" x14ac:dyDescent="0.2">
      <c r="C8" s="105" t="s">
        <v>174</v>
      </c>
      <c r="D8" s="106">
        <v>2</v>
      </c>
      <c r="E8" s="106">
        <v>619.19999999999993</v>
      </c>
      <c r="F8" s="106">
        <v>2</v>
      </c>
      <c r="G8" s="106">
        <v>619.19999999999993</v>
      </c>
      <c r="H8" s="106">
        <v>2</v>
      </c>
      <c r="I8" s="106">
        <v>619.19999999999993</v>
      </c>
      <c r="J8" s="106">
        <v>2</v>
      </c>
      <c r="K8" s="106">
        <v>619.19999999999993</v>
      </c>
      <c r="L8" s="106">
        <v>3</v>
      </c>
      <c r="M8" s="106">
        <v>928.8</v>
      </c>
      <c r="N8" s="106">
        <v>3</v>
      </c>
      <c r="O8" s="106">
        <v>928.8</v>
      </c>
      <c r="P8" s="106">
        <v>4</v>
      </c>
      <c r="Q8" s="106">
        <v>1238.3999999999999</v>
      </c>
      <c r="R8" s="106">
        <v>3</v>
      </c>
      <c r="S8" s="106">
        <v>928.8</v>
      </c>
      <c r="T8" s="106">
        <v>5</v>
      </c>
      <c r="U8" s="106">
        <v>1547.9999999999998</v>
      </c>
      <c r="V8" s="106">
        <v>6</v>
      </c>
      <c r="W8" s="106">
        <v>1857.6</v>
      </c>
      <c r="X8" s="106">
        <v>8</v>
      </c>
      <c r="Y8" s="106">
        <v>2476.7999999999997</v>
      </c>
      <c r="Z8" s="106">
        <v>5</v>
      </c>
      <c r="AA8" s="106">
        <v>1547.9999999999998</v>
      </c>
      <c r="AB8" s="106">
        <v>33</v>
      </c>
      <c r="AC8" s="106">
        <v>10216.799999999999</v>
      </c>
      <c r="AD8" s="106">
        <v>27</v>
      </c>
      <c r="AE8" s="106">
        <v>8359.1999999999989</v>
      </c>
      <c r="AF8" s="106">
        <v>24</v>
      </c>
      <c r="AG8" s="106">
        <v>7430.4</v>
      </c>
      <c r="AH8" s="106">
        <v>24</v>
      </c>
      <c r="AI8" s="106">
        <v>7430.4</v>
      </c>
      <c r="AJ8" s="106">
        <v>5</v>
      </c>
      <c r="AK8" s="106">
        <v>1547.9999999999998</v>
      </c>
      <c r="AL8" s="106">
        <v>4</v>
      </c>
      <c r="AM8" s="106">
        <v>1238.3999999999999</v>
      </c>
      <c r="AN8" s="106">
        <v>3</v>
      </c>
      <c r="AO8" s="106">
        <v>928.8</v>
      </c>
      <c r="AP8" s="106">
        <v>3</v>
      </c>
      <c r="AQ8" s="106">
        <v>928.8</v>
      </c>
      <c r="AR8" s="106">
        <v>11</v>
      </c>
      <c r="AS8" s="106">
        <v>3405.5999999999995</v>
      </c>
      <c r="AT8" s="106">
        <v>10</v>
      </c>
      <c r="AU8" s="106">
        <v>3095.9999999999995</v>
      </c>
      <c r="AV8" s="106">
        <v>10</v>
      </c>
      <c r="AW8" s="106">
        <v>3095.9999999999995</v>
      </c>
      <c r="AX8" s="106">
        <v>8</v>
      </c>
      <c r="AY8" s="106">
        <v>2476.7999999999997</v>
      </c>
      <c r="AZ8" s="106">
        <v>6</v>
      </c>
      <c r="BA8" s="106">
        <v>1857.6</v>
      </c>
      <c r="BB8" s="106">
        <v>5</v>
      </c>
      <c r="BC8" s="106">
        <v>1547.9999999999998</v>
      </c>
      <c r="BD8" s="106">
        <v>5</v>
      </c>
      <c r="BE8" s="106">
        <v>1547.9999999999998</v>
      </c>
      <c r="BF8" s="106">
        <v>4</v>
      </c>
      <c r="BG8" s="106">
        <v>1238.3999999999999</v>
      </c>
      <c r="BH8" s="106">
        <v>6</v>
      </c>
      <c r="BI8" s="106">
        <v>1857.6</v>
      </c>
      <c r="BJ8" s="106">
        <v>8</v>
      </c>
      <c r="BK8" s="106">
        <v>2476.7999999999997</v>
      </c>
      <c r="BL8" s="106">
        <v>5</v>
      </c>
      <c r="BM8" s="106">
        <v>1547.9999999999998</v>
      </c>
      <c r="BN8" s="106">
        <v>9</v>
      </c>
      <c r="BO8" s="106">
        <v>2786.3999999999996</v>
      </c>
      <c r="BP8" s="106">
        <v>42</v>
      </c>
      <c r="BQ8" s="106">
        <v>13003.199999999999</v>
      </c>
      <c r="BR8" s="106">
        <v>36</v>
      </c>
      <c r="BS8" s="106">
        <v>11145.599999999999</v>
      </c>
      <c r="BT8" s="106">
        <v>42</v>
      </c>
      <c r="BU8" s="106">
        <v>13003.199999999999</v>
      </c>
      <c r="BV8" s="106">
        <v>31</v>
      </c>
      <c r="BW8" s="106">
        <v>9597.5999999999985</v>
      </c>
      <c r="BX8" s="106">
        <v>3</v>
      </c>
      <c r="BY8" s="106">
        <v>928.8</v>
      </c>
      <c r="BZ8" s="106">
        <v>4</v>
      </c>
      <c r="CA8" s="106">
        <v>1238.3999999999999</v>
      </c>
      <c r="CB8" s="106">
        <v>3</v>
      </c>
      <c r="CC8" s="106">
        <v>928.8</v>
      </c>
      <c r="CD8" s="106">
        <v>3</v>
      </c>
      <c r="CE8" s="106">
        <v>928.8</v>
      </c>
      <c r="CF8" s="106">
        <v>40</v>
      </c>
      <c r="CG8" s="106">
        <v>12383.999999999998</v>
      </c>
      <c r="CH8" s="106">
        <v>36</v>
      </c>
      <c r="CI8" s="106">
        <v>11145.599999999999</v>
      </c>
      <c r="CJ8" s="106">
        <v>32</v>
      </c>
      <c r="CK8" s="106">
        <v>9907.1999999999989</v>
      </c>
      <c r="CL8" s="106">
        <v>35</v>
      </c>
      <c r="CM8" s="106">
        <v>10835.999999999998</v>
      </c>
      <c r="CN8" s="106">
        <v>10</v>
      </c>
      <c r="CO8" s="106">
        <v>3095.9999999999995</v>
      </c>
      <c r="CP8" s="106">
        <v>12</v>
      </c>
      <c r="CQ8" s="106">
        <v>3715.2</v>
      </c>
      <c r="CR8" s="106">
        <v>10</v>
      </c>
      <c r="CS8" s="106">
        <v>3095.9999999999995</v>
      </c>
      <c r="CT8" s="106">
        <v>7</v>
      </c>
      <c r="CU8" s="106">
        <v>2167.1999999999998</v>
      </c>
    </row>
    <row r="9" spans="1:99" x14ac:dyDescent="0.2">
      <c r="C9" s="105" t="s">
        <v>175</v>
      </c>
      <c r="D9" s="106">
        <v>2</v>
      </c>
      <c r="E9" s="106">
        <v>1404</v>
      </c>
      <c r="F9" s="106">
        <v>2</v>
      </c>
      <c r="G9" s="106">
        <v>1404</v>
      </c>
      <c r="H9" s="106">
        <v>2</v>
      </c>
      <c r="I9" s="106">
        <v>1404</v>
      </c>
      <c r="J9" s="106">
        <v>2</v>
      </c>
      <c r="K9" s="106">
        <v>1404</v>
      </c>
      <c r="L9" s="106">
        <v>3</v>
      </c>
      <c r="M9" s="106">
        <v>2106</v>
      </c>
      <c r="N9" s="106">
        <v>3</v>
      </c>
      <c r="O9" s="106">
        <v>2106</v>
      </c>
      <c r="P9" s="106">
        <v>3</v>
      </c>
      <c r="Q9" s="106">
        <v>2106</v>
      </c>
      <c r="R9" s="106">
        <v>3</v>
      </c>
      <c r="S9" s="106">
        <v>2106</v>
      </c>
      <c r="T9" s="106">
        <v>5</v>
      </c>
      <c r="U9" s="106">
        <v>3510</v>
      </c>
      <c r="V9" s="106">
        <v>6</v>
      </c>
      <c r="W9" s="106">
        <v>4212</v>
      </c>
      <c r="X9" s="106">
        <v>7</v>
      </c>
      <c r="Y9" s="106">
        <v>4914</v>
      </c>
      <c r="Z9" s="106">
        <v>5</v>
      </c>
      <c r="AA9" s="106">
        <v>3510</v>
      </c>
      <c r="AB9" s="106">
        <v>31</v>
      </c>
      <c r="AC9" s="106">
        <v>21762</v>
      </c>
      <c r="AD9" s="106">
        <v>25</v>
      </c>
      <c r="AE9" s="106">
        <v>17550</v>
      </c>
      <c r="AF9" s="106">
        <v>22</v>
      </c>
      <c r="AG9" s="106">
        <v>15444</v>
      </c>
      <c r="AH9" s="106">
        <v>19</v>
      </c>
      <c r="AI9" s="106">
        <v>13338</v>
      </c>
      <c r="AJ9" s="106">
        <v>4</v>
      </c>
      <c r="AK9" s="106">
        <v>2808</v>
      </c>
      <c r="AL9" s="106">
        <v>4</v>
      </c>
      <c r="AM9" s="106">
        <v>2808</v>
      </c>
      <c r="AN9" s="106">
        <v>3</v>
      </c>
      <c r="AO9" s="106">
        <v>2106</v>
      </c>
      <c r="AP9" s="106">
        <v>3</v>
      </c>
      <c r="AQ9" s="106">
        <v>2106</v>
      </c>
      <c r="AR9" s="106">
        <v>12</v>
      </c>
      <c r="AS9" s="106">
        <v>8424</v>
      </c>
      <c r="AT9" s="106">
        <v>10</v>
      </c>
      <c r="AU9" s="106">
        <v>7020</v>
      </c>
      <c r="AV9" s="106">
        <v>9</v>
      </c>
      <c r="AW9" s="106">
        <v>6318</v>
      </c>
      <c r="AX9" s="106">
        <v>9</v>
      </c>
      <c r="AY9" s="106">
        <v>6318</v>
      </c>
      <c r="AZ9" s="106">
        <v>6</v>
      </c>
      <c r="BA9" s="106">
        <v>4212</v>
      </c>
      <c r="BB9" s="106">
        <v>4</v>
      </c>
      <c r="BC9" s="106">
        <v>2808</v>
      </c>
      <c r="BD9" s="106">
        <v>5</v>
      </c>
      <c r="BE9" s="106">
        <v>3510</v>
      </c>
      <c r="BF9" s="106">
        <v>4</v>
      </c>
      <c r="BG9" s="106">
        <v>2808</v>
      </c>
      <c r="BH9" s="106">
        <v>6</v>
      </c>
      <c r="BI9" s="106">
        <v>4212</v>
      </c>
      <c r="BJ9" s="106">
        <v>6</v>
      </c>
      <c r="BK9" s="106">
        <v>4212</v>
      </c>
      <c r="BL9" s="106">
        <v>5</v>
      </c>
      <c r="BM9" s="106">
        <v>3510</v>
      </c>
      <c r="BN9" s="106">
        <v>9</v>
      </c>
      <c r="BO9" s="106">
        <v>6318</v>
      </c>
      <c r="BP9" s="106">
        <v>39</v>
      </c>
      <c r="BQ9" s="106">
        <v>27378</v>
      </c>
      <c r="BR9" s="106">
        <v>36</v>
      </c>
      <c r="BS9" s="106">
        <v>25272</v>
      </c>
      <c r="BT9" s="106">
        <v>41</v>
      </c>
      <c r="BU9" s="106">
        <v>28782</v>
      </c>
      <c r="BV9" s="106">
        <v>33</v>
      </c>
      <c r="BW9" s="106">
        <v>23166</v>
      </c>
      <c r="BX9" s="106">
        <v>3</v>
      </c>
      <c r="BY9" s="106">
        <v>2106</v>
      </c>
      <c r="BZ9" s="106">
        <v>4</v>
      </c>
      <c r="CA9" s="106">
        <v>2808</v>
      </c>
      <c r="CB9" s="106">
        <v>3</v>
      </c>
      <c r="CC9" s="106">
        <v>2106</v>
      </c>
      <c r="CD9" s="106">
        <v>3</v>
      </c>
      <c r="CE9" s="106">
        <v>2106</v>
      </c>
      <c r="CF9" s="106">
        <v>41</v>
      </c>
      <c r="CG9" s="106">
        <v>28782</v>
      </c>
      <c r="CH9" s="106">
        <v>34</v>
      </c>
      <c r="CI9" s="106">
        <v>23868</v>
      </c>
      <c r="CJ9" s="106">
        <v>30</v>
      </c>
      <c r="CK9" s="106">
        <v>21060</v>
      </c>
      <c r="CL9" s="106">
        <v>34</v>
      </c>
      <c r="CM9" s="106">
        <v>23868</v>
      </c>
      <c r="CN9" s="106">
        <v>10</v>
      </c>
      <c r="CO9" s="106">
        <v>7020</v>
      </c>
      <c r="CP9" s="106">
        <v>11</v>
      </c>
      <c r="CQ9" s="106">
        <v>7722</v>
      </c>
      <c r="CR9" s="106">
        <v>9</v>
      </c>
      <c r="CS9" s="106">
        <v>6318</v>
      </c>
      <c r="CT9" s="106">
        <v>6</v>
      </c>
      <c r="CU9" s="106">
        <v>4212</v>
      </c>
    </row>
    <row r="10" spans="1:99" x14ac:dyDescent="0.2">
      <c r="C10" s="105" t="s">
        <v>176</v>
      </c>
      <c r="D10" s="106">
        <v>2</v>
      </c>
      <c r="E10" s="106">
        <v>1089.5999999999999</v>
      </c>
      <c r="F10" s="106">
        <v>2</v>
      </c>
      <c r="G10" s="106">
        <v>1089.5999999999999</v>
      </c>
      <c r="H10" s="106">
        <v>3</v>
      </c>
      <c r="I10" s="106">
        <v>1634.3999999999999</v>
      </c>
      <c r="J10" s="106">
        <v>2</v>
      </c>
      <c r="K10" s="106">
        <v>1089.5999999999999</v>
      </c>
      <c r="L10" s="106">
        <v>3</v>
      </c>
      <c r="M10" s="106">
        <v>1634.3999999999999</v>
      </c>
      <c r="N10" s="106">
        <v>3</v>
      </c>
      <c r="O10" s="106">
        <v>1634.3999999999999</v>
      </c>
      <c r="P10" s="106">
        <v>3</v>
      </c>
      <c r="Q10" s="106">
        <v>1634.3999999999999</v>
      </c>
      <c r="R10" s="106">
        <v>2</v>
      </c>
      <c r="S10" s="106">
        <v>1089.5999999999999</v>
      </c>
      <c r="T10" s="106">
        <v>5</v>
      </c>
      <c r="U10" s="106">
        <v>2724</v>
      </c>
      <c r="V10" s="106">
        <v>6</v>
      </c>
      <c r="W10" s="106">
        <v>3268.7999999999997</v>
      </c>
      <c r="X10" s="106">
        <v>8</v>
      </c>
      <c r="Y10" s="106">
        <v>4358.3999999999996</v>
      </c>
      <c r="Z10" s="106">
        <v>5</v>
      </c>
      <c r="AA10" s="106">
        <v>2724</v>
      </c>
      <c r="AB10" s="106">
        <v>33</v>
      </c>
      <c r="AC10" s="106">
        <v>17978.399999999998</v>
      </c>
      <c r="AD10" s="106">
        <v>28</v>
      </c>
      <c r="AE10" s="106">
        <v>15254.399999999998</v>
      </c>
      <c r="AF10" s="106">
        <v>25</v>
      </c>
      <c r="AG10" s="106">
        <v>13619.999999999998</v>
      </c>
      <c r="AH10" s="106">
        <v>23</v>
      </c>
      <c r="AI10" s="106">
        <v>12530.4</v>
      </c>
      <c r="AJ10" s="106">
        <v>4</v>
      </c>
      <c r="AK10" s="106">
        <v>2179.1999999999998</v>
      </c>
      <c r="AL10" s="106">
        <v>4</v>
      </c>
      <c r="AM10" s="106">
        <v>2179.1999999999998</v>
      </c>
      <c r="AN10" s="106">
        <v>3</v>
      </c>
      <c r="AO10" s="106">
        <v>1634.3999999999999</v>
      </c>
      <c r="AP10" s="106">
        <v>3</v>
      </c>
      <c r="AQ10" s="106">
        <v>1634.3999999999999</v>
      </c>
      <c r="AR10" s="106">
        <v>11</v>
      </c>
      <c r="AS10" s="106">
        <v>5992.7999999999993</v>
      </c>
      <c r="AT10" s="106">
        <v>10</v>
      </c>
      <c r="AU10" s="106">
        <v>5448</v>
      </c>
      <c r="AV10" s="106">
        <v>10</v>
      </c>
      <c r="AW10" s="106">
        <v>5448</v>
      </c>
      <c r="AX10" s="106">
        <v>7</v>
      </c>
      <c r="AY10" s="106">
        <v>3813.5999999999995</v>
      </c>
      <c r="AZ10" s="106">
        <v>5</v>
      </c>
      <c r="BA10" s="106">
        <v>2724</v>
      </c>
      <c r="BB10" s="106">
        <v>4</v>
      </c>
      <c r="BC10" s="106">
        <v>2179.1999999999998</v>
      </c>
      <c r="BD10" s="106">
        <v>5</v>
      </c>
      <c r="BE10" s="106">
        <v>2724</v>
      </c>
      <c r="BF10" s="106">
        <v>4</v>
      </c>
      <c r="BG10" s="106">
        <v>2179.1999999999998</v>
      </c>
      <c r="BH10" s="106">
        <v>6</v>
      </c>
      <c r="BI10" s="106">
        <v>3268.7999999999997</v>
      </c>
      <c r="BJ10" s="106">
        <v>7</v>
      </c>
      <c r="BK10" s="106">
        <v>3813.5999999999995</v>
      </c>
      <c r="BL10" s="106">
        <v>5</v>
      </c>
      <c r="BM10" s="106">
        <v>2724</v>
      </c>
      <c r="BN10" s="106">
        <v>10</v>
      </c>
      <c r="BO10" s="106">
        <v>5448</v>
      </c>
      <c r="BP10" s="106">
        <v>47</v>
      </c>
      <c r="BQ10" s="106">
        <v>25605.599999999999</v>
      </c>
      <c r="BR10" s="106">
        <v>38</v>
      </c>
      <c r="BS10" s="106">
        <v>20702.399999999998</v>
      </c>
      <c r="BT10" s="106">
        <v>45</v>
      </c>
      <c r="BU10" s="106">
        <v>24515.999999999996</v>
      </c>
      <c r="BV10" s="106">
        <v>32</v>
      </c>
      <c r="BW10" s="106">
        <v>17433.599999999999</v>
      </c>
      <c r="BX10" s="106">
        <v>3</v>
      </c>
      <c r="BY10" s="106">
        <v>1634.3999999999999</v>
      </c>
      <c r="BZ10" s="106">
        <v>4</v>
      </c>
      <c r="CA10" s="106">
        <v>2179.1999999999998</v>
      </c>
      <c r="CB10" s="106">
        <v>3</v>
      </c>
      <c r="CC10" s="106">
        <v>1634.3999999999999</v>
      </c>
      <c r="CD10" s="106">
        <v>3</v>
      </c>
      <c r="CE10" s="106">
        <v>1634.3999999999999</v>
      </c>
      <c r="CF10" s="106">
        <v>36</v>
      </c>
      <c r="CG10" s="106">
        <v>19612.8</v>
      </c>
      <c r="CH10" s="106">
        <v>36</v>
      </c>
      <c r="CI10" s="106">
        <v>19612.8</v>
      </c>
      <c r="CJ10" s="106">
        <v>35</v>
      </c>
      <c r="CK10" s="106">
        <v>19068</v>
      </c>
      <c r="CL10" s="106">
        <v>36</v>
      </c>
      <c r="CM10" s="106">
        <v>19612.8</v>
      </c>
      <c r="CN10" s="106">
        <v>11</v>
      </c>
      <c r="CO10" s="106">
        <v>5992.7999999999993</v>
      </c>
      <c r="CP10" s="106">
        <v>11</v>
      </c>
      <c r="CQ10" s="106">
        <v>5992.7999999999993</v>
      </c>
      <c r="CR10" s="106">
        <v>9</v>
      </c>
      <c r="CS10" s="106">
        <v>4903.2</v>
      </c>
      <c r="CT10" s="106">
        <v>6</v>
      </c>
      <c r="CU10" s="106">
        <v>3268.7999999999997</v>
      </c>
    </row>
    <row r="11" spans="1:99" x14ac:dyDescent="0.2">
      <c r="C11" s="105" t="s">
        <v>177</v>
      </c>
      <c r="D11" s="106">
        <v>2</v>
      </c>
      <c r="E11" s="106">
        <v>1065.5999999999999</v>
      </c>
      <c r="F11" s="106">
        <v>2</v>
      </c>
      <c r="G11" s="106">
        <v>1065.5999999999999</v>
      </c>
      <c r="H11" s="106">
        <v>3</v>
      </c>
      <c r="I11" s="106">
        <v>1598.3999999999999</v>
      </c>
      <c r="J11" s="106">
        <v>2</v>
      </c>
      <c r="K11" s="106">
        <v>1065.5999999999999</v>
      </c>
      <c r="L11" s="106">
        <v>3</v>
      </c>
      <c r="M11" s="106">
        <v>1598.3999999999999</v>
      </c>
      <c r="N11" s="106">
        <v>3</v>
      </c>
      <c r="O11" s="106">
        <v>1598.3999999999999</v>
      </c>
      <c r="P11" s="106">
        <v>3</v>
      </c>
      <c r="Q11" s="106">
        <v>1598.3999999999999</v>
      </c>
      <c r="R11" s="106">
        <v>2</v>
      </c>
      <c r="S11" s="106">
        <v>1065.5999999999999</v>
      </c>
      <c r="T11" s="106">
        <v>5</v>
      </c>
      <c r="U11" s="106">
        <v>2664</v>
      </c>
      <c r="V11" s="106">
        <v>6</v>
      </c>
      <c r="W11" s="106">
        <v>3196.7999999999997</v>
      </c>
      <c r="X11" s="106">
        <v>7</v>
      </c>
      <c r="Y11" s="106">
        <v>3729.5999999999995</v>
      </c>
      <c r="Z11" s="106">
        <v>5</v>
      </c>
      <c r="AA11" s="106">
        <v>2664</v>
      </c>
      <c r="AB11" s="106">
        <v>36</v>
      </c>
      <c r="AC11" s="106">
        <v>19180.8</v>
      </c>
      <c r="AD11" s="106">
        <v>28</v>
      </c>
      <c r="AE11" s="106">
        <v>14918.399999999998</v>
      </c>
      <c r="AF11" s="106">
        <v>25</v>
      </c>
      <c r="AG11" s="106">
        <v>13319.999999999998</v>
      </c>
      <c r="AH11" s="106">
        <v>23</v>
      </c>
      <c r="AI11" s="106">
        <v>12254.4</v>
      </c>
      <c r="AJ11" s="106">
        <v>5</v>
      </c>
      <c r="AK11" s="106">
        <v>2664</v>
      </c>
      <c r="AL11" s="106">
        <v>4</v>
      </c>
      <c r="AM11" s="106">
        <v>2131.1999999999998</v>
      </c>
      <c r="AN11" s="106">
        <v>3</v>
      </c>
      <c r="AO11" s="106">
        <v>1598.3999999999999</v>
      </c>
      <c r="AP11" s="106">
        <v>3</v>
      </c>
      <c r="AQ11" s="106">
        <v>1598.3999999999999</v>
      </c>
      <c r="AR11" s="106">
        <v>10</v>
      </c>
      <c r="AS11" s="106">
        <v>5328</v>
      </c>
      <c r="AT11" s="106">
        <v>10</v>
      </c>
      <c r="AU11" s="106">
        <v>5328</v>
      </c>
      <c r="AV11" s="106">
        <v>10</v>
      </c>
      <c r="AW11" s="106">
        <v>5328</v>
      </c>
      <c r="AX11" s="106">
        <v>9</v>
      </c>
      <c r="AY11" s="106">
        <v>4795.2</v>
      </c>
      <c r="AZ11" s="106">
        <v>6</v>
      </c>
      <c r="BA11" s="106">
        <v>3196.7999999999997</v>
      </c>
      <c r="BB11" s="106">
        <v>4</v>
      </c>
      <c r="BC11" s="106">
        <v>2131.1999999999998</v>
      </c>
      <c r="BD11" s="106">
        <v>5</v>
      </c>
      <c r="BE11" s="106">
        <v>2664</v>
      </c>
      <c r="BF11" s="106">
        <v>4</v>
      </c>
      <c r="BG11" s="106">
        <v>2131.1999999999998</v>
      </c>
      <c r="BH11" s="106">
        <v>6</v>
      </c>
      <c r="BI11" s="106">
        <v>3196.7999999999997</v>
      </c>
      <c r="BJ11" s="106">
        <v>6</v>
      </c>
      <c r="BK11" s="106">
        <v>3196.7999999999997</v>
      </c>
      <c r="BL11" s="106">
        <v>5</v>
      </c>
      <c r="BM11" s="106">
        <v>2664</v>
      </c>
      <c r="BN11" s="106">
        <v>8</v>
      </c>
      <c r="BO11" s="106">
        <v>4262.3999999999996</v>
      </c>
      <c r="BP11" s="106">
        <v>48</v>
      </c>
      <c r="BQ11" s="106">
        <v>25574.399999999998</v>
      </c>
      <c r="BR11" s="106">
        <v>36</v>
      </c>
      <c r="BS11" s="106">
        <v>19180.8</v>
      </c>
      <c r="BT11" s="106">
        <v>44</v>
      </c>
      <c r="BU11" s="106">
        <v>23443.199999999997</v>
      </c>
      <c r="BV11" s="106">
        <v>34</v>
      </c>
      <c r="BW11" s="106">
        <v>18115.199999999997</v>
      </c>
      <c r="BX11" s="106">
        <v>4</v>
      </c>
      <c r="BY11" s="106">
        <v>2131.1999999999998</v>
      </c>
      <c r="BZ11" s="106">
        <v>4</v>
      </c>
      <c r="CA11" s="106">
        <v>2131.1999999999998</v>
      </c>
      <c r="CB11" s="106">
        <v>3</v>
      </c>
      <c r="CC11" s="106">
        <v>1598.3999999999999</v>
      </c>
      <c r="CD11" s="106">
        <v>3</v>
      </c>
      <c r="CE11" s="106">
        <v>1598.3999999999999</v>
      </c>
      <c r="CF11" s="106">
        <v>42</v>
      </c>
      <c r="CG11" s="106">
        <v>22377.599999999999</v>
      </c>
      <c r="CH11" s="106">
        <v>37</v>
      </c>
      <c r="CI11" s="106">
        <v>19713.599999999999</v>
      </c>
      <c r="CJ11" s="106">
        <v>35</v>
      </c>
      <c r="CK11" s="106">
        <v>18648</v>
      </c>
      <c r="CL11" s="106">
        <v>33</v>
      </c>
      <c r="CM11" s="106">
        <v>17582.399999999998</v>
      </c>
      <c r="CN11" s="106">
        <v>9</v>
      </c>
      <c r="CO11" s="106">
        <v>4795.2</v>
      </c>
      <c r="CP11" s="106">
        <v>12</v>
      </c>
      <c r="CQ11" s="106">
        <v>6393.5999999999995</v>
      </c>
      <c r="CR11" s="106">
        <v>9</v>
      </c>
      <c r="CS11" s="106">
        <v>4795.2</v>
      </c>
      <c r="CT11" s="106">
        <v>6</v>
      </c>
      <c r="CU11" s="106">
        <v>3196.7999999999997</v>
      </c>
    </row>
    <row r="12" spans="1:99" x14ac:dyDescent="0.2">
      <c r="C12" s="105" t="s">
        <v>178</v>
      </c>
      <c r="D12" s="106">
        <v>2</v>
      </c>
      <c r="E12" s="106">
        <v>1125.5999999999999</v>
      </c>
      <c r="F12" s="106">
        <v>2</v>
      </c>
      <c r="G12" s="106">
        <v>1125.5999999999999</v>
      </c>
      <c r="H12" s="106">
        <v>2</v>
      </c>
      <c r="I12" s="106">
        <v>1125.5999999999999</v>
      </c>
      <c r="J12" s="106">
        <v>2</v>
      </c>
      <c r="K12" s="106">
        <v>1125.5999999999999</v>
      </c>
      <c r="L12" s="106">
        <v>3</v>
      </c>
      <c r="M12" s="106">
        <v>1688.3999999999999</v>
      </c>
      <c r="N12" s="106">
        <v>3</v>
      </c>
      <c r="O12" s="106">
        <v>1688.3999999999999</v>
      </c>
      <c r="P12" s="106">
        <v>3</v>
      </c>
      <c r="Q12" s="106">
        <v>1688.3999999999999</v>
      </c>
      <c r="R12" s="106">
        <v>3</v>
      </c>
      <c r="S12" s="106">
        <v>1688.3999999999999</v>
      </c>
      <c r="T12" s="106">
        <v>5</v>
      </c>
      <c r="U12" s="106">
        <v>2814</v>
      </c>
      <c r="V12" s="106">
        <v>5</v>
      </c>
      <c r="W12" s="106">
        <v>2814</v>
      </c>
      <c r="X12" s="106">
        <v>8</v>
      </c>
      <c r="Y12" s="106">
        <v>4502.3999999999996</v>
      </c>
      <c r="Z12" s="106">
        <v>5</v>
      </c>
      <c r="AA12" s="106">
        <v>2814</v>
      </c>
      <c r="AB12" s="106">
        <v>30</v>
      </c>
      <c r="AC12" s="106">
        <v>16884</v>
      </c>
      <c r="AD12" s="106">
        <v>24</v>
      </c>
      <c r="AE12" s="106">
        <v>13507.199999999999</v>
      </c>
      <c r="AF12" s="106">
        <v>26</v>
      </c>
      <c r="AG12" s="106">
        <v>14632.8</v>
      </c>
      <c r="AH12" s="106">
        <v>19</v>
      </c>
      <c r="AI12" s="106">
        <v>10693.199999999999</v>
      </c>
      <c r="AJ12" s="106">
        <v>5</v>
      </c>
      <c r="AK12" s="106">
        <v>2814</v>
      </c>
      <c r="AL12" s="106">
        <v>4</v>
      </c>
      <c r="AM12" s="106">
        <v>2251.1999999999998</v>
      </c>
      <c r="AN12" s="106">
        <v>4</v>
      </c>
      <c r="AO12" s="106">
        <v>2251.1999999999998</v>
      </c>
      <c r="AP12" s="106">
        <v>3</v>
      </c>
      <c r="AQ12" s="106">
        <v>1688.3999999999999</v>
      </c>
      <c r="AR12" s="106">
        <v>12</v>
      </c>
      <c r="AS12" s="106">
        <v>6753.5999999999995</v>
      </c>
      <c r="AT12" s="106">
        <v>9</v>
      </c>
      <c r="AU12" s="106">
        <v>5065.2</v>
      </c>
      <c r="AV12" s="106">
        <v>10</v>
      </c>
      <c r="AW12" s="106">
        <v>5628</v>
      </c>
      <c r="AX12" s="106">
        <v>8</v>
      </c>
      <c r="AY12" s="106">
        <v>4502.3999999999996</v>
      </c>
      <c r="AZ12" s="106">
        <v>6</v>
      </c>
      <c r="BA12" s="106">
        <v>3376.7999999999997</v>
      </c>
      <c r="BB12" s="106">
        <v>4</v>
      </c>
      <c r="BC12" s="106">
        <v>2251.1999999999998</v>
      </c>
      <c r="BD12" s="106">
        <v>5</v>
      </c>
      <c r="BE12" s="106">
        <v>2814</v>
      </c>
      <c r="BF12" s="106">
        <v>4</v>
      </c>
      <c r="BG12" s="106">
        <v>2251.1999999999998</v>
      </c>
      <c r="BH12" s="106">
        <v>6</v>
      </c>
      <c r="BI12" s="106">
        <v>3376.7999999999997</v>
      </c>
      <c r="BJ12" s="106">
        <v>7</v>
      </c>
      <c r="BK12" s="106">
        <v>3939.5999999999995</v>
      </c>
      <c r="BL12" s="106">
        <v>5</v>
      </c>
      <c r="BM12" s="106">
        <v>2814</v>
      </c>
      <c r="BN12" s="106">
        <v>8</v>
      </c>
      <c r="BO12" s="106">
        <v>4502.3999999999996</v>
      </c>
      <c r="BP12" s="106">
        <v>45</v>
      </c>
      <c r="BQ12" s="106">
        <v>25325.999999999996</v>
      </c>
      <c r="BR12" s="106">
        <v>35</v>
      </c>
      <c r="BS12" s="106">
        <v>19698</v>
      </c>
      <c r="BT12" s="106">
        <v>37</v>
      </c>
      <c r="BU12" s="106">
        <v>20823.599999999999</v>
      </c>
      <c r="BV12" s="106">
        <v>33</v>
      </c>
      <c r="BW12" s="106">
        <v>18572.399999999998</v>
      </c>
      <c r="BX12" s="106">
        <v>3</v>
      </c>
      <c r="BY12" s="106">
        <v>1688.3999999999999</v>
      </c>
      <c r="BZ12" s="106">
        <v>4</v>
      </c>
      <c r="CA12" s="106">
        <v>2251.1999999999998</v>
      </c>
      <c r="CB12" s="106">
        <v>3</v>
      </c>
      <c r="CC12" s="106">
        <v>1688.3999999999999</v>
      </c>
      <c r="CD12" s="106">
        <v>3</v>
      </c>
      <c r="CE12" s="106">
        <v>1688.3999999999999</v>
      </c>
      <c r="CF12" s="106">
        <v>43</v>
      </c>
      <c r="CG12" s="106">
        <v>24200.399999999998</v>
      </c>
      <c r="CH12" s="106">
        <v>35</v>
      </c>
      <c r="CI12" s="106">
        <v>19698</v>
      </c>
      <c r="CJ12" s="106">
        <v>36</v>
      </c>
      <c r="CK12" s="106">
        <v>20260.8</v>
      </c>
      <c r="CL12" s="106">
        <v>35</v>
      </c>
      <c r="CM12" s="106">
        <v>19698</v>
      </c>
      <c r="CN12" s="106">
        <v>10</v>
      </c>
      <c r="CO12" s="106">
        <v>5628</v>
      </c>
      <c r="CP12" s="106">
        <v>12</v>
      </c>
      <c r="CQ12" s="106">
        <v>6753.5999999999995</v>
      </c>
      <c r="CR12" s="106">
        <v>9</v>
      </c>
      <c r="CS12" s="106">
        <v>5065.2</v>
      </c>
      <c r="CT12" s="106">
        <v>6</v>
      </c>
      <c r="CU12" s="106">
        <v>3376.7999999999997</v>
      </c>
    </row>
    <row r="13" spans="1:99" x14ac:dyDescent="0.2">
      <c r="C13" s="105" t="s">
        <v>179</v>
      </c>
      <c r="D13" s="106">
        <v>2</v>
      </c>
      <c r="E13" s="106">
        <v>170.4</v>
      </c>
      <c r="F13" s="106">
        <v>2</v>
      </c>
      <c r="G13" s="106">
        <v>170.4</v>
      </c>
      <c r="H13" s="106">
        <v>2</v>
      </c>
      <c r="I13" s="106">
        <v>170.4</v>
      </c>
      <c r="J13" s="106">
        <v>2</v>
      </c>
      <c r="K13" s="106">
        <v>170.4</v>
      </c>
      <c r="L13" s="106">
        <v>3</v>
      </c>
      <c r="M13" s="106">
        <v>255.60000000000002</v>
      </c>
      <c r="N13" s="106">
        <v>3</v>
      </c>
      <c r="O13" s="106">
        <v>255.60000000000002</v>
      </c>
      <c r="P13" s="106">
        <v>4</v>
      </c>
      <c r="Q13" s="106">
        <v>340.8</v>
      </c>
      <c r="R13" s="106">
        <v>2</v>
      </c>
      <c r="S13" s="106">
        <v>170.4</v>
      </c>
      <c r="T13" s="106">
        <v>5</v>
      </c>
      <c r="U13" s="106">
        <v>426</v>
      </c>
      <c r="V13" s="106">
        <v>6</v>
      </c>
      <c r="W13" s="106">
        <v>511.20000000000005</v>
      </c>
      <c r="X13" s="106">
        <v>8</v>
      </c>
      <c r="Y13" s="106">
        <v>681.6</v>
      </c>
      <c r="Z13" s="106">
        <v>5</v>
      </c>
      <c r="AA13" s="106">
        <v>426</v>
      </c>
      <c r="AB13" s="106">
        <v>37</v>
      </c>
      <c r="AC13" s="106">
        <v>3152.4</v>
      </c>
      <c r="AD13" s="106">
        <v>29</v>
      </c>
      <c r="AE13" s="106">
        <v>2470.8000000000002</v>
      </c>
      <c r="AF13" s="106">
        <v>24</v>
      </c>
      <c r="AG13" s="106">
        <v>2044.8000000000002</v>
      </c>
      <c r="AH13" s="106">
        <v>22</v>
      </c>
      <c r="AI13" s="106">
        <v>1874.4</v>
      </c>
      <c r="AJ13" s="106">
        <v>5</v>
      </c>
      <c r="AK13" s="106">
        <v>426</v>
      </c>
      <c r="AL13" s="106">
        <v>4</v>
      </c>
      <c r="AM13" s="106">
        <v>340.8</v>
      </c>
      <c r="AN13" s="106">
        <v>3</v>
      </c>
      <c r="AO13" s="106">
        <v>255.60000000000002</v>
      </c>
      <c r="AP13" s="106">
        <v>3</v>
      </c>
      <c r="AQ13" s="106">
        <v>255.60000000000002</v>
      </c>
      <c r="AR13" s="106">
        <v>11</v>
      </c>
      <c r="AS13" s="106">
        <v>937.2</v>
      </c>
      <c r="AT13" s="106">
        <v>10</v>
      </c>
      <c r="AU13" s="106">
        <v>852</v>
      </c>
      <c r="AV13" s="106">
        <v>10</v>
      </c>
      <c r="AW13" s="106">
        <v>852</v>
      </c>
      <c r="AX13" s="106">
        <v>9</v>
      </c>
      <c r="AY13" s="106">
        <v>766.80000000000007</v>
      </c>
      <c r="AZ13" s="106">
        <v>6</v>
      </c>
      <c r="BA13" s="106">
        <v>511.20000000000005</v>
      </c>
      <c r="BB13" s="106">
        <v>5</v>
      </c>
      <c r="BC13" s="106">
        <v>426</v>
      </c>
      <c r="BD13" s="106">
        <v>5</v>
      </c>
      <c r="BE13" s="106">
        <v>426</v>
      </c>
      <c r="BF13" s="106">
        <v>5</v>
      </c>
      <c r="BG13" s="106">
        <v>426</v>
      </c>
      <c r="BH13" s="106">
        <v>6</v>
      </c>
      <c r="BI13" s="106">
        <v>511.20000000000005</v>
      </c>
      <c r="BJ13" s="106">
        <v>7</v>
      </c>
      <c r="BK13" s="106">
        <v>596.4</v>
      </c>
      <c r="BL13" s="106">
        <v>5</v>
      </c>
      <c r="BM13" s="106">
        <v>426</v>
      </c>
      <c r="BN13" s="106">
        <v>9</v>
      </c>
      <c r="BO13" s="106">
        <v>766.80000000000007</v>
      </c>
      <c r="BP13" s="106">
        <v>49</v>
      </c>
      <c r="BQ13" s="106">
        <v>4174.8</v>
      </c>
      <c r="BR13" s="106">
        <v>39</v>
      </c>
      <c r="BS13" s="106">
        <v>3322.8</v>
      </c>
      <c r="BT13" s="106">
        <v>47</v>
      </c>
      <c r="BU13" s="106">
        <v>4004.4</v>
      </c>
      <c r="BV13" s="106">
        <v>32</v>
      </c>
      <c r="BW13" s="106">
        <v>2726.4</v>
      </c>
      <c r="BX13" s="106">
        <v>4</v>
      </c>
      <c r="BY13" s="106">
        <v>340.8</v>
      </c>
      <c r="BZ13" s="106">
        <v>4</v>
      </c>
      <c r="CA13" s="106">
        <v>340.8</v>
      </c>
      <c r="CB13" s="106">
        <v>3</v>
      </c>
      <c r="CC13" s="106">
        <v>255.60000000000002</v>
      </c>
      <c r="CD13" s="106">
        <v>3</v>
      </c>
      <c r="CE13" s="106">
        <v>255.60000000000002</v>
      </c>
      <c r="CF13" s="106">
        <v>41</v>
      </c>
      <c r="CG13" s="106">
        <v>3493.2000000000003</v>
      </c>
      <c r="CH13" s="106">
        <v>34</v>
      </c>
      <c r="CI13" s="106">
        <v>2896.8</v>
      </c>
      <c r="CJ13" s="106">
        <v>35</v>
      </c>
      <c r="CK13" s="106">
        <v>2982</v>
      </c>
      <c r="CL13" s="106">
        <v>36</v>
      </c>
      <c r="CM13" s="106">
        <v>3067.2000000000003</v>
      </c>
      <c r="CN13" s="106">
        <v>10</v>
      </c>
      <c r="CO13" s="106">
        <v>852</v>
      </c>
      <c r="CP13" s="106">
        <v>13</v>
      </c>
      <c r="CQ13" s="106">
        <v>1107.6000000000001</v>
      </c>
      <c r="CR13" s="106">
        <v>10</v>
      </c>
      <c r="CS13" s="106">
        <v>852</v>
      </c>
      <c r="CT13" s="106">
        <v>6</v>
      </c>
      <c r="CU13" s="106">
        <v>511.20000000000005</v>
      </c>
    </row>
    <row r="14" spans="1:99" x14ac:dyDescent="0.2">
      <c r="C14" s="105" t="s">
        <v>180</v>
      </c>
      <c r="D14" s="106">
        <v>2</v>
      </c>
      <c r="E14" s="106">
        <v>976.8</v>
      </c>
      <c r="F14" s="106">
        <v>2</v>
      </c>
      <c r="G14" s="106">
        <v>976.8</v>
      </c>
      <c r="H14" s="106">
        <v>2</v>
      </c>
      <c r="I14" s="106">
        <v>976.8</v>
      </c>
      <c r="J14" s="106">
        <v>2</v>
      </c>
      <c r="K14" s="106">
        <v>976.8</v>
      </c>
      <c r="L14" s="106">
        <v>3</v>
      </c>
      <c r="M14" s="106">
        <v>1465.1999999999998</v>
      </c>
      <c r="N14" s="106">
        <v>3</v>
      </c>
      <c r="O14" s="106">
        <v>1465.1999999999998</v>
      </c>
      <c r="P14" s="106">
        <v>4</v>
      </c>
      <c r="Q14" s="106">
        <v>1953.6</v>
      </c>
      <c r="R14" s="106">
        <v>2</v>
      </c>
      <c r="S14" s="106">
        <v>976.8</v>
      </c>
      <c r="T14" s="106">
        <v>5</v>
      </c>
      <c r="U14" s="106">
        <v>2442</v>
      </c>
      <c r="V14" s="106">
        <v>5</v>
      </c>
      <c r="W14" s="106">
        <v>2442</v>
      </c>
      <c r="X14" s="106">
        <v>8</v>
      </c>
      <c r="Y14" s="106">
        <v>3907.2</v>
      </c>
      <c r="Z14" s="106">
        <v>5</v>
      </c>
      <c r="AA14" s="106">
        <v>2442</v>
      </c>
      <c r="AB14" s="106">
        <v>33</v>
      </c>
      <c r="AC14" s="106">
        <v>16117.199999999999</v>
      </c>
      <c r="AD14" s="106">
        <v>28</v>
      </c>
      <c r="AE14" s="106">
        <v>13675.199999999999</v>
      </c>
      <c r="AF14" s="106">
        <v>24</v>
      </c>
      <c r="AG14" s="106">
        <v>11721.599999999999</v>
      </c>
      <c r="AH14" s="106">
        <v>23</v>
      </c>
      <c r="AI14" s="106">
        <v>11233.199999999999</v>
      </c>
      <c r="AJ14" s="106">
        <v>4</v>
      </c>
      <c r="AK14" s="106">
        <v>1953.6</v>
      </c>
      <c r="AL14" s="106">
        <v>4</v>
      </c>
      <c r="AM14" s="106">
        <v>1953.6</v>
      </c>
      <c r="AN14" s="106">
        <v>4</v>
      </c>
      <c r="AO14" s="106">
        <v>1953.6</v>
      </c>
      <c r="AP14" s="106">
        <v>3</v>
      </c>
      <c r="AQ14" s="106">
        <v>1465.1999999999998</v>
      </c>
      <c r="AR14" s="106">
        <v>11</v>
      </c>
      <c r="AS14" s="106">
        <v>5372.4</v>
      </c>
      <c r="AT14" s="106">
        <v>10</v>
      </c>
      <c r="AU14" s="106">
        <v>4884</v>
      </c>
      <c r="AV14" s="106">
        <v>10</v>
      </c>
      <c r="AW14" s="106">
        <v>4884</v>
      </c>
      <c r="AX14" s="106">
        <v>8</v>
      </c>
      <c r="AY14" s="106">
        <v>3907.2</v>
      </c>
      <c r="AZ14" s="106">
        <v>6</v>
      </c>
      <c r="BA14" s="106">
        <v>2930.3999999999996</v>
      </c>
      <c r="BB14" s="106">
        <v>4</v>
      </c>
      <c r="BC14" s="106">
        <v>1953.6</v>
      </c>
      <c r="BD14" s="106">
        <v>5</v>
      </c>
      <c r="BE14" s="106">
        <v>2442</v>
      </c>
      <c r="BF14" s="106">
        <v>4</v>
      </c>
      <c r="BG14" s="106">
        <v>1953.6</v>
      </c>
      <c r="BH14" s="106">
        <v>6</v>
      </c>
      <c r="BI14" s="106">
        <v>2930.3999999999996</v>
      </c>
      <c r="BJ14" s="106">
        <v>7</v>
      </c>
      <c r="BK14" s="106">
        <v>3418.7999999999997</v>
      </c>
      <c r="BL14" s="106">
        <v>5</v>
      </c>
      <c r="BM14" s="106">
        <v>2442</v>
      </c>
      <c r="BN14" s="106">
        <v>9</v>
      </c>
      <c r="BO14" s="106">
        <v>4395.5999999999995</v>
      </c>
      <c r="BP14" s="106">
        <v>45</v>
      </c>
      <c r="BQ14" s="106">
        <v>21978</v>
      </c>
      <c r="BR14" s="106">
        <v>37</v>
      </c>
      <c r="BS14" s="106">
        <v>18070.8</v>
      </c>
      <c r="BT14" s="106">
        <v>43</v>
      </c>
      <c r="BU14" s="106">
        <v>21001.200000000001</v>
      </c>
      <c r="BV14" s="106">
        <v>32</v>
      </c>
      <c r="BW14" s="106">
        <v>15628.8</v>
      </c>
      <c r="BX14" s="106">
        <v>4</v>
      </c>
      <c r="BY14" s="106">
        <v>1953.6</v>
      </c>
      <c r="BZ14" s="106">
        <v>4</v>
      </c>
      <c r="CA14" s="106">
        <v>1953.6</v>
      </c>
      <c r="CB14" s="106">
        <v>3</v>
      </c>
      <c r="CC14" s="106">
        <v>1465.1999999999998</v>
      </c>
      <c r="CD14" s="106">
        <v>3</v>
      </c>
      <c r="CE14" s="106">
        <v>1465.1999999999998</v>
      </c>
      <c r="CF14" s="106">
        <v>44</v>
      </c>
      <c r="CG14" s="106">
        <v>21489.599999999999</v>
      </c>
      <c r="CH14" s="106">
        <v>35</v>
      </c>
      <c r="CI14" s="106">
        <v>17094</v>
      </c>
      <c r="CJ14" s="106">
        <v>36</v>
      </c>
      <c r="CK14" s="106">
        <v>17582.399999999998</v>
      </c>
      <c r="CL14" s="106">
        <v>31</v>
      </c>
      <c r="CM14" s="106">
        <v>15140.4</v>
      </c>
      <c r="CN14" s="106">
        <v>11</v>
      </c>
      <c r="CO14" s="106">
        <v>5372.4</v>
      </c>
      <c r="CP14" s="106">
        <v>12</v>
      </c>
      <c r="CQ14" s="106">
        <v>5860.7999999999993</v>
      </c>
      <c r="CR14" s="106">
        <v>10</v>
      </c>
      <c r="CS14" s="106">
        <v>4884</v>
      </c>
      <c r="CT14" s="106">
        <v>6</v>
      </c>
      <c r="CU14" s="106">
        <v>2930.3999999999996</v>
      </c>
    </row>
    <row r="15" spans="1:99" x14ac:dyDescent="0.2">
      <c r="C15" s="105" t="s">
        <v>181</v>
      </c>
      <c r="D15" s="106">
        <v>2</v>
      </c>
      <c r="E15" s="106">
        <v>1526.3999999999999</v>
      </c>
      <c r="F15" s="106">
        <v>2</v>
      </c>
      <c r="G15" s="106">
        <v>1526.3999999999999</v>
      </c>
      <c r="H15" s="106">
        <v>2</v>
      </c>
      <c r="I15" s="106">
        <v>1526.3999999999999</v>
      </c>
      <c r="J15" s="106">
        <v>2</v>
      </c>
      <c r="K15" s="106">
        <v>1526.3999999999999</v>
      </c>
      <c r="L15" s="106">
        <v>3</v>
      </c>
      <c r="M15" s="106">
        <v>2289.6</v>
      </c>
      <c r="N15" s="106">
        <v>3</v>
      </c>
      <c r="O15" s="106">
        <v>2289.6</v>
      </c>
      <c r="P15" s="106">
        <v>3</v>
      </c>
      <c r="Q15" s="106">
        <v>2289.6</v>
      </c>
      <c r="R15" s="106">
        <v>3</v>
      </c>
      <c r="S15" s="106">
        <v>2289.6</v>
      </c>
      <c r="T15" s="106">
        <v>5</v>
      </c>
      <c r="U15" s="106">
        <v>3815.9999999999995</v>
      </c>
      <c r="V15" s="106">
        <v>5</v>
      </c>
      <c r="W15" s="106">
        <v>3815.9999999999995</v>
      </c>
      <c r="X15" s="106">
        <v>8</v>
      </c>
      <c r="Y15" s="106">
        <v>6105.5999999999995</v>
      </c>
      <c r="Z15" s="106">
        <v>4</v>
      </c>
      <c r="AA15" s="106">
        <v>3052.7999999999997</v>
      </c>
      <c r="AB15" s="106">
        <v>30</v>
      </c>
      <c r="AC15" s="106">
        <v>22895.999999999996</v>
      </c>
      <c r="AD15" s="106">
        <v>23</v>
      </c>
      <c r="AE15" s="106">
        <v>17553.599999999999</v>
      </c>
      <c r="AF15" s="106">
        <v>22</v>
      </c>
      <c r="AG15" s="106">
        <v>16790.399999999998</v>
      </c>
      <c r="AH15" s="106">
        <v>21</v>
      </c>
      <c r="AI15" s="106">
        <v>16027.199999999999</v>
      </c>
      <c r="AJ15" s="106">
        <v>4</v>
      </c>
      <c r="AK15" s="106">
        <v>3052.7999999999997</v>
      </c>
      <c r="AL15" s="106">
        <v>4</v>
      </c>
      <c r="AM15" s="106">
        <v>3052.7999999999997</v>
      </c>
      <c r="AN15" s="106">
        <v>3</v>
      </c>
      <c r="AO15" s="106">
        <v>2289.6</v>
      </c>
      <c r="AP15" s="106">
        <v>3</v>
      </c>
      <c r="AQ15" s="106">
        <v>2289.6</v>
      </c>
      <c r="AR15" s="106">
        <v>10</v>
      </c>
      <c r="AS15" s="106">
        <v>7631.9999999999991</v>
      </c>
      <c r="AT15" s="106">
        <v>10</v>
      </c>
      <c r="AU15" s="106">
        <v>7631.9999999999991</v>
      </c>
      <c r="AV15" s="106">
        <v>10</v>
      </c>
      <c r="AW15" s="106">
        <v>7631.9999999999991</v>
      </c>
      <c r="AX15" s="106">
        <v>8</v>
      </c>
      <c r="AY15" s="106">
        <v>6105.5999999999995</v>
      </c>
      <c r="AZ15" s="106">
        <v>6</v>
      </c>
      <c r="BA15" s="106">
        <v>4579.2</v>
      </c>
      <c r="BB15" s="106">
        <v>5</v>
      </c>
      <c r="BC15" s="106">
        <v>3815.9999999999995</v>
      </c>
      <c r="BD15" s="106">
        <v>5</v>
      </c>
      <c r="BE15" s="106">
        <v>3815.9999999999995</v>
      </c>
      <c r="BF15" s="106">
        <v>4</v>
      </c>
      <c r="BG15" s="106">
        <v>3052.7999999999997</v>
      </c>
      <c r="BH15" s="106">
        <v>6</v>
      </c>
      <c r="BI15" s="106">
        <v>4579.2</v>
      </c>
      <c r="BJ15" s="106">
        <v>7</v>
      </c>
      <c r="BK15" s="106">
        <v>5342.4</v>
      </c>
      <c r="BL15" s="106">
        <v>5</v>
      </c>
      <c r="BM15" s="106">
        <v>3815.9999999999995</v>
      </c>
      <c r="BN15" s="106">
        <v>8</v>
      </c>
      <c r="BO15" s="106">
        <v>6105.5999999999995</v>
      </c>
      <c r="BP15" s="106">
        <v>46</v>
      </c>
      <c r="BQ15" s="106">
        <v>35107.199999999997</v>
      </c>
      <c r="BR15" s="106">
        <v>37</v>
      </c>
      <c r="BS15" s="106">
        <v>28238.399999999998</v>
      </c>
      <c r="BT15" s="106">
        <v>42</v>
      </c>
      <c r="BU15" s="106">
        <v>32054.399999999998</v>
      </c>
      <c r="BV15" s="106">
        <v>29</v>
      </c>
      <c r="BW15" s="106">
        <v>22132.799999999999</v>
      </c>
      <c r="BX15" s="106">
        <v>3</v>
      </c>
      <c r="BY15" s="106">
        <v>2289.6</v>
      </c>
      <c r="BZ15" s="106">
        <v>4</v>
      </c>
      <c r="CA15" s="106">
        <v>3052.7999999999997</v>
      </c>
      <c r="CB15" s="106">
        <v>3</v>
      </c>
      <c r="CC15" s="106">
        <v>2289.6</v>
      </c>
      <c r="CD15" s="106">
        <v>3</v>
      </c>
      <c r="CE15" s="106">
        <v>2289.6</v>
      </c>
      <c r="CF15" s="106">
        <v>42</v>
      </c>
      <c r="CG15" s="106">
        <v>32054.399999999998</v>
      </c>
      <c r="CH15" s="106">
        <v>34</v>
      </c>
      <c r="CI15" s="106">
        <v>25948.799999999999</v>
      </c>
      <c r="CJ15" s="106">
        <v>35</v>
      </c>
      <c r="CK15" s="106">
        <v>26711.999999999996</v>
      </c>
      <c r="CL15" s="106">
        <v>30</v>
      </c>
      <c r="CM15" s="106">
        <v>22895.999999999996</v>
      </c>
      <c r="CN15" s="106">
        <v>10</v>
      </c>
      <c r="CO15" s="106">
        <v>7631.9999999999991</v>
      </c>
      <c r="CP15" s="106">
        <v>11</v>
      </c>
      <c r="CQ15" s="106">
        <v>8395.1999999999989</v>
      </c>
      <c r="CR15" s="106">
        <v>10</v>
      </c>
      <c r="CS15" s="106">
        <v>7631.9999999999991</v>
      </c>
      <c r="CT15" s="106">
        <v>6</v>
      </c>
      <c r="CU15" s="106">
        <v>4579.2</v>
      </c>
    </row>
    <row r="16" spans="1:99" x14ac:dyDescent="0.2">
      <c r="C16" s="105" t="s">
        <v>182</v>
      </c>
      <c r="D16" s="106">
        <v>2</v>
      </c>
      <c r="E16" s="106">
        <v>681.6</v>
      </c>
      <c r="F16" s="106">
        <v>2</v>
      </c>
      <c r="G16" s="106">
        <v>681.6</v>
      </c>
      <c r="H16" s="106">
        <v>2</v>
      </c>
      <c r="I16" s="106">
        <v>681.6</v>
      </c>
      <c r="J16" s="106">
        <v>2</v>
      </c>
      <c r="K16" s="106">
        <v>681.6</v>
      </c>
      <c r="L16" s="106">
        <v>3</v>
      </c>
      <c r="M16" s="106">
        <v>1022.4000000000001</v>
      </c>
      <c r="N16" s="106">
        <v>4</v>
      </c>
      <c r="O16" s="106">
        <v>1363.2</v>
      </c>
      <c r="P16" s="106">
        <v>3</v>
      </c>
      <c r="Q16" s="106">
        <v>1022.4000000000001</v>
      </c>
      <c r="R16" s="106">
        <v>3</v>
      </c>
      <c r="S16" s="106">
        <v>1022.4000000000001</v>
      </c>
      <c r="T16" s="106">
        <v>5</v>
      </c>
      <c r="U16" s="106">
        <v>1704</v>
      </c>
      <c r="V16" s="106">
        <v>5</v>
      </c>
      <c r="W16" s="106">
        <v>1704</v>
      </c>
      <c r="X16" s="106">
        <v>8</v>
      </c>
      <c r="Y16" s="106">
        <v>2726.4</v>
      </c>
      <c r="Z16" s="106">
        <v>6</v>
      </c>
      <c r="AA16" s="106">
        <v>2044.8000000000002</v>
      </c>
      <c r="AB16" s="106">
        <v>31</v>
      </c>
      <c r="AC16" s="106">
        <v>10564.800000000001</v>
      </c>
      <c r="AD16" s="106">
        <v>29</v>
      </c>
      <c r="AE16" s="106">
        <v>9883.2000000000007</v>
      </c>
      <c r="AF16" s="106">
        <v>24</v>
      </c>
      <c r="AG16" s="106">
        <v>8179.2000000000007</v>
      </c>
      <c r="AH16" s="106">
        <v>23</v>
      </c>
      <c r="AI16" s="106">
        <v>7838.4000000000005</v>
      </c>
      <c r="AJ16" s="106">
        <v>5</v>
      </c>
      <c r="AK16" s="106">
        <v>1704</v>
      </c>
      <c r="AL16" s="106">
        <v>4</v>
      </c>
      <c r="AM16" s="106">
        <v>1363.2</v>
      </c>
      <c r="AN16" s="106">
        <v>3</v>
      </c>
      <c r="AO16" s="106">
        <v>1022.4000000000001</v>
      </c>
      <c r="AP16" s="106">
        <v>3</v>
      </c>
      <c r="AQ16" s="106">
        <v>1022.4000000000001</v>
      </c>
      <c r="AR16" s="106">
        <v>10</v>
      </c>
      <c r="AS16" s="106">
        <v>3408</v>
      </c>
      <c r="AT16" s="106">
        <v>10</v>
      </c>
      <c r="AU16" s="106">
        <v>3408</v>
      </c>
      <c r="AV16" s="106">
        <v>11</v>
      </c>
      <c r="AW16" s="106">
        <v>3748.8</v>
      </c>
      <c r="AX16" s="106">
        <v>8</v>
      </c>
      <c r="AY16" s="106">
        <v>2726.4</v>
      </c>
      <c r="AZ16" s="106">
        <v>6</v>
      </c>
      <c r="BA16" s="106">
        <v>2044.8000000000002</v>
      </c>
      <c r="BB16" s="106">
        <v>5</v>
      </c>
      <c r="BC16" s="106">
        <v>1704</v>
      </c>
      <c r="BD16" s="106">
        <v>5</v>
      </c>
      <c r="BE16" s="106">
        <v>1704</v>
      </c>
      <c r="BF16" s="106">
        <v>5</v>
      </c>
      <c r="BG16" s="106">
        <v>1704</v>
      </c>
      <c r="BH16" s="106">
        <v>6</v>
      </c>
      <c r="BI16" s="106">
        <v>2044.8000000000002</v>
      </c>
      <c r="BJ16" s="106">
        <v>7</v>
      </c>
      <c r="BK16" s="106">
        <v>2385.6</v>
      </c>
      <c r="BL16" s="106">
        <v>6</v>
      </c>
      <c r="BM16" s="106">
        <v>2044.8000000000002</v>
      </c>
      <c r="BN16" s="106">
        <v>9</v>
      </c>
      <c r="BO16" s="106">
        <v>3067.2000000000003</v>
      </c>
      <c r="BP16" s="106">
        <v>49</v>
      </c>
      <c r="BQ16" s="106">
        <v>16699.2</v>
      </c>
      <c r="BR16" s="106">
        <v>38</v>
      </c>
      <c r="BS16" s="106">
        <v>12950.4</v>
      </c>
      <c r="BT16" s="106">
        <v>45</v>
      </c>
      <c r="BU16" s="106">
        <v>15336</v>
      </c>
      <c r="BV16" s="106">
        <v>32</v>
      </c>
      <c r="BW16" s="106">
        <v>10905.6</v>
      </c>
      <c r="BX16" s="106">
        <v>3</v>
      </c>
      <c r="BY16" s="106">
        <v>1022.4000000000001</v>
      </c>
      <c r="BZ16" s="106">
        <v>4</v>
      </c>
      <c r="CA16" s="106">
        <v>1363.2</v>
      </c>
      <c r="CB16" s="106">
        <v>3</v>
      </c>
      <c r="CC16" s="106">
        <v>1022.4000000000001</v>
      </c>
      <c r="CD16" s="106">
        <v>3</v>
      </c>
      <c r="CE16" s="106">
        <v>1022.4000000000001</v>
      </c>
      <c r="CF16" s="106">
        <v>44</v>
      </c>
      <c r="CG16" s="106">
        <v>14995.2</v>
      </c>
      <c r="CH16" s="106">
        <v>35</v>
      </c>
      <c r="CI16" s="106">
        <v>11928</v>
      </c>
      <c r="CJ16" s="106">
        <v>33</v>
      </c>
      <c r="CK16" s="106">
        <v>11246.4</v>
      </c>
      <c r="CL16" s="106">
        <v>37</v>
      </c>
      <c r="CM16" s="106">
        <v>12609.6</v>
      </c>
      <c r="CN16" s="106">
        <v>11</v>
      </c>
      <c r="CO16" s="106">
        <v>3748.8</v>
      </c>
      <c r="CP16" s="106">
        <v>12</v>
      </c>
      <c r="CQ16" s="106">
        <v>4089.6000000000004</v>
      </c>
      <c r="CR16" s="106">
        <v>10</v>
      </c>
      <c r="CS16" s="106">
        <v>3408</v>
      </c>
      <c r="CT16" s="106">
        <v>6</v>
      </c>
      <c r="CU16" s="106">
        <v>2044.8000000000002</v>
      </c>
    </row>
    <row r="17" spans="2:99" x14ac:dyDescent="0.2">
      <c r="C17" s="105" t="s">
        <v>183</v>
      </c>
      <c r="D17" s="106">
        <v>2</v>
      </c>
      <c r="E17" s="106">
        <v>844.8</v>
      </c>
      <c r="F17" s="106">
        <v>2</v>
      </c>
      <c r="G17" s="106">
        <v>844.8</v>
      </c>
      <c r="H17" s="106">
        <v>2</v>
      </c>
      <c r="I17" s="106">
        <v>844.8</v>
      </c>
      <c r="J17" s="106">
        <v>2</v>
      </c>
      <c r="K17" s="106">
        <v>844.8</v>
      </c>
      <c r="L17" s="106">
        <v>3</v>
      </c>
      <c r="M17" s="106">
        <v>1267.1999999999998</v>
      </c>
      <c r="N17" s="106">
        <v>3</v>
      </c>
      <c r="O17" s="106">
        <v>1267.1999999999998</v>
      </c>
      <c r="P17" s="106">
        <v>3</v>
      </c>
      <c r="Q17" s="106">
        <v>1267.1999999999998</v>
      </c>
      <c r="R17" s="106">
        <v>2</v>
      </c>
      <c r="S17" s="106">
        <v>844.8</v>
      </c>
      <c r="T17" s="106">
        <v>5</v>
      </c>
      <c r="U17" s="106">
        <v>2112</v>
      </c>
      <c r="V17" s="106">
        <v>6</v>
      </c>
      <c r="W17" s="106">
        <v>2534.3999999999996</v>
      </c>
      <c r="X17" s="106">
        <v>8</v>
      </c>
      <c r="Y17" s="106">
        <v>3379.2</v>
      </c>
      <c r="Z17" s="106">
        <v>5</v>
      </c>
      <c r="AA17" s="106">
        <v>2112</v>
      </c>
      <c r="AB17" s="106">
        <v>36</v>
      </c>
      <c r="AC17" s="106">
        <v>15206.4</v>
      </c>
      <c r="AD17" s="106">
        <v>24</v>
      </c>
      <c r="AE17" s="106">
        <v>10137.599999999999</v>
      </c>
      <c r="AF17" s="106">
        <v>23</v>
      </c>
      <c r="AG17" s="106">
        <v>9715.1999999999989</v>
      </c>
      <c r="AH17" s="106">
        <v>21</v>
      </c>
      <c r="AI17" s="106">
        <v>8870.4</v>
      </c>
      <c r="AJ17" s="106">
        <v>5</v>
      </c>
      <c r="AK17" s="106">
        <v>2112</v>
      </c>
      <c r="AL17" s="106">
        <v>4</v>
      </c>
      <c r="AM17" s="106">
        <v>1689.6</v>
      </c>
      <c r="AN17" s="106">
        <v>3</v>
      </c>
      <c r="AO17" s="106">
        <v>1267.1999999999998</v>
      </c>
      <c r="AP17" s="106">
        <v>3</v>
      </c>
      <c r="AQ17" s="106">
        <v>1267.1999999999998</v>
      </c>
      <c r="AR17" s="106">
        <v>12</v>
      </c>
      <c r="AS17" s="106">
        <v>5068.7999999999993</v>
      </c>
      <c r="AT17" s="106">
        <v>11</v>
      </c>
      <c r="AU17" s="106">
        <v>4646.3999999999996</v>
      </c>
      <c r="AV17" s="106">
        <v>11</v>
      </c>
      <c r="AW17" s="106">
        <v>4646.3999999999996</v>
      </c>
      <c r="AX17" s="106">
        <v>9</v>
      </c>
      <c r="AY17" s="106">
        <v>3801.6</v>
      </c>
      <c r="AZ17" s="106">
        <v>6</v>
      </c>
      <c r="BA17" s="106">
        <v>2534.3999999999996</v>
      </c>
      <c r="BB17" s="106">
        <v>5</v>
      </c>
      <c r="BC17" s="106">
        <v>2112</v>
      </c>
      <c r="BD17" s="106">
        <v>5</v>
      </c>
      <c r="BE17" s="106">
        <v>2112</v>
      </c>
      <c r="BF17" s="106">
        <v>4</v>
      </c>
      <c r="BG17" s="106">
        <v>1689.6</v>
      </c>
      <c r="BH17" s="106">
        <v>6</v>
      </c>
      <c r="BI17" s="106">
        <v>2534.3999999999996</v>
      </c>
      <c r="BJ17" s="106">
        <v>7</v>
      </c>
      <c r="BK17" s="106">
        <v>2956.7999999999997</v>
      </c>
      <c r="BL17" s="106">
        <v>5</v>
      </c>
      <c r="BM17" s="106">
        <v>2112</v>
      </c>
      <c r="BN17" s="106">
        <v>9</v>
      </c>
      <c r="BO17" s="106">
        <v>3801.6</v>
      </c>
      <c r="BP17" s="106">
        <v>42</v>
      </c>
      <c r="BQ17" s="106">
        <v>17740.8</v>
      </c>
      <c r="BR17" s="106">
        <v>38</v>
      </c>
      <c r="BS17" s="106">
        <v>16051.199999999999</v>
      </c>
      <c r="BT17" s="106">
        <v>41</v>
      </c>
      <c r="BU17" s="106">
        <v>17318.399999999998</v>
      </c>
      <c r="BV17" s="106">
        <v>36</v>
      </c>
      <c r="BW17" s="106">
        <v>15206.4</v>
      </c>
      <c r="BX17" s="106">
        <v>4</v>
      </c>
      <c r="BY17" s="106">
        <v>1689.6</v>
      </c>
      <c r="BZ17" s="106">
        <v>4</v>
      </c>
      <c r="CA17" s="106">
        <v>1689.6</v>
      </c>
      <c r="CB17" s="106">
        <v>3</v>
      </c>
      <c r="CC17" s="106">
        <v>1267.1999999999998</v>
      </c>
      <c r="CD17" s="106">
        <v>3</v>
      </c>
      <c r="CE17" s="106">
        <v>1267.1999999999998</v>
      </c>
      <c r="CF17" s="106">
        <v>38</v>
      </c>
      <c r="CG17" s="106">
        <v>16051.199999999999</v>
      </c>
      <c r="CH17" s="106">
        <v>33</v>
      </c>
      <c r="CI17" s="106">
        <v>13939.199999999999</v>
      </c>
      <c r="CJ17" s="106">
        <v>32</v>
      </c>
      <c r="CK17" s="106">
        <v>13516.8</v>
      </c>
      <c r="CL17" s="106">
        <v>36</v>
      </c>
      <c r="CM17" s="106">
        <v>15206.4</v>
      </c>
      <c r="CN17" s="106">
        <v>10</v>
      </c>
      <c r="CO17" s="106">
        <v>4224</v>
      </c>
      <c r="CP17" s="106">
        <v>12</v>
      </c>
      <c r="CQ17" s="106">
        <v>5068.7999999999993</v>
      </c>
      <c r="CR17" s="106">
        <v>10</v>
      </c>
      <c r="CS17" s="106">
        <v>4224</v>
      </c>
      <c r="CT17" s="106">
        <v>6</v>
      </c>
      <c r="CU17" s="106">
        <v>2534.3999999999996</v>
      </c>
    </row>
    <row r="18" spans="2:99" x14ac:dyDescent="0.2">
      <c r="C18" s="105" t="s">
        <v>184</v>
      </c>
      <c r="D18" s="106">
        <v>2</v>
      </c>
      <c r="E18" s="106">
        <v>1305.5999999999999</v>
      </c>
      <c r="F18" s="106">
        <v>2</v>
      </c>
      <c r="G18" s="106">
        <v>1305.5999999999999</v>
      </c>
      <c r="H18" s="106">
        <v>3</v>
      </c>
      <c r="I18" s="106">
        <v>1958.3999999999999</v>
      </c>
      <c r="J18" s="106">
        <v>2</v>
      </c>
      <c r="K18" s="106">
        <v>1305.5999999999999</v>
      </c>
      <c r="L18" s="106">
        <v>3</v>
      </c>
      <c r="M18" s="106">
        <v>1958.3999999999999</v>
      </c>
      <c r="N18" s="106">
        <v>3</v>
      </c>
      <c r="O18" s="106">
        <v>1958.3999999999999</v>
      </c>
      <c r="P18" s="106">
        <v>4</v>
      </c>
      <c r="Q18" s="106">
        <v>2611.1999999999998</v>
      </c>
      <c r="R18" s="106">
        <v>2</v>
      </c>
      <c r="S18" s="106">
        <v>1305.5999999999999</v>
      </c>
      <c r="T18" s="106">
        <v>5</v>
      </c>
      <c r="U18" s="106">
        <v>3264</v>
      </c>
      <c r="V18" s="106">
        <v>6</v>
      </c>
      <c r="W18" s="106">
        <v>3916.7999999999997</v>
      </c>
      <c r="X18" s="106">
        <v>8</v>
      </c>
      <c r="Y18" s="106">
        <v>5222.3999999999996</v>
      </c>
      <c r="Z18" s="106">
        <v>5</v>
      </c>
      <c r="AA18" s="106">
        <v>3264</v>
      </c>
      <c r="AB18" s="106">
        <v>31</v>
      </c>
      <c r="AC18" s="106">
        <v>20236.8</v>
      </c>
      <c r="AD18" s="106">
        <v>27</v>
      </c>
      <c r="AE18" s="106">
        <v>17625.599999999999</v>
      </c>
      <c r="AF18" s="106">
        <v>25</v>
      </c>
      <c r="AG18" s="106">
        <v>16319.999999999998</v>
      </c>
      <c r="AH18" s="106">
        <v>21</v>
      </c>
      <c r="AI18" s="106">
        <v>13708.8</v>
      </c>
      <c r="AJ18" s="106">
        <v>5</v>
      </c>
      <c r="AK18" s="106">
        <v>3264</v>
      </c>
      <c r="AL18" s="106">
        <v>4</v>
      </c>
      <c r="AM18" s="106">
        <v>2611.1999999999998</v>
      </c>
      <c r="AN18" s="106">
        <v>3</v>
      </c>
      <c r="AO18" s="106">
        <v>1958.3999999999999</v>
      </c>
      <c r="AP18" s="106">
        <v>3</v>
      </c>
      <c r="AQ18" s="106">
        <v>1958.3999999999999</v>
      </c>
      <c r="AR18" s="106">
        <v>11</v>
      </c>
      <c r="AS18" s="106">
        <v>7180.7999999999993</v>
      </c>
      <c r="AT18" s="106">
        <v>9</v>
      </c>
      <c r="AU18" s="106">
        <v>5875.2</v>
      </c>
      <c r="AV18" s="106">
        <v>10</v>
      </c>
      <c r="AW18" s="106">
        <v>6528</v>
      </c>
      <c r="AX18" s="106">
        <v>8</v>
      </c>
      <c r="AY18" s="106">
        <v>5222.3999999999996</v>
      </c>
      <c r="AZ18" s="106">
        <v>6</v>
      </c>
      <c r="BA18" s="106">
        <v>3916.7999999999997</v>
      </c>
      <c r="BB18" s="106">
        <v>5</v>
      </c>
      <c r="BC18" s="106">
        <v>3264</v>
      </c>
      <c r="BD18" s="106">
        <v>5</v>
      </c>
      <c r="BE18" s="106">
        <v>3264</v>
      </c>
      <c r="BF18" s="106">
        <v>4</v>
      </c>
      <c r="BG18" s="106">
        <v>2611.1999999999998</v>
      </c>
      <c r="BH18" s="106">
        <v>6</v>
      </c>
      <c r="BI18" s="106">
        <v>3916.7999999999997</v>
      </c>
      <c r="BJ18" s="106">
        <v>7</v>
      </c>
      <c r="BK18" s="106">
        <v>4569.5999999999995</v>
      </c>
      <c r="BL18" s="106">
        <v>5</v>
      </c>
      <c r="BM18" s="106">
        <v>3264</v>
      </c>
      <c r="BN18" s="106">
        <v>9</v>
      </c>
      <c r="BO18" s="106">
        <v>5875.2</v>
      </c>
      <c r="BP18" s="106">
        <v>46</v>
      </c>
      <c r="BQ18" s="106">
        <v>30028.799999999999</v>
      </c>
      <c r="BR18" s="106">
        <v>33</v>
      </c>
      <c r="BS18" s="106">
        <v>21542.399999999998</v>
      </c>
      <c r="BT18" s="106">
        <v>39</v>
      </c>
      <c r="BU18" s="106">
        <v>25459.199999999997</v>
      </c>
      <c r="BV18" s="106">
        <v>34</v>
      </c>
      <c r="BW18" s="106">
        <v>22195.199999999997</v>
      </c>
      <c r="BX18" s="106">
        <v>3</v>
      </c>
      <c r="BY18" s="106">
        <v>1958.3999999999999</v>
      </c>
      <c r="BZ18" s="106">
        <v>4</v>
      </c>
      <c r="CA18" s="106">
        <v>2611.1999999999998</v>
      </c>
      <c r="CB18" s="106">
        <v>3</v>
      </c>
      <c r="CC18" s="106">
        <v>1958.3999999999999</v>
      </c>
      <c r="CD18" s="106">
        <v>3</v>
      </c>
      <c r="CE18" s="106">
        <v>1958.3999999999999</v>
      </c>
      <c r="CF18" s="106">
        <v>42</v>
      </c>
      <c r="CG18" s="106">
        <v>27417.599999999999</v>
      </c>
      <c r="CH18" s="106">
        <v>30</v>
      </c>
      <c r="CI18" s="106">
        <v>19584</v>
      </c>
      <c r="CJ18" s="106">
        <v>32</v>
      </c>
      <c r="CK18" s="106">
        <v>20889.599999999999</v>
      </c>
      <c r="CL18" s="106">
        <v>34</v>
      </c>
      <c r="CM18" s="106">
        <v>22195.199999999997</v>
      </c>
      <c r="CN18" s="106">
        <v>9</v>
      </c>
      <c r="CO18" s="106">
        <v>5875.2</v>
      </c>
      <c r="CP18" s="106">
        <v>11</v>
      </c>
      <c r="CQ18" s="106">
        <v>7180.7999999999993</v>
      </c>
      <c r="CR18" s="106">
        <v>9</v>
      </c>
      <c r="CS18" s="106">
        <v>5875.2</v>
      </c>
      <c r="CT18" s="106">
        <v>6</v>
      </c>
      <c r="CU18" s="106">
        <v>3916.7999999999997</v>
      </c>
    </row>
    <row r="19" spans="2:99" x14ac:dyDescent="0.2">
      <c r="C19" s="105" t="s">
        <v>185</v>
      </c>
      <c r="D19" s="106">
        <v>2</v>
      </c>
      <c r="E19" s="106">
        <v>660</v>
      </c>
      <c r="F19" s="106">
        <v>2</v>
      </c>
      <c r="G19" s="106">
        <v>660</v>
      </c>
      <c r="H19" s="106">
        <v>3</v>
      </c>
      <c r="I19" s="106">
        <v>990</v>
      </c>
      <c r="J19" s="106">
        <v>2</v>
      </c>
      <c r="K19" s="106">
        <v>660</v>
      </c>
      <c r="L19" s="106">
        <v>3</v>
      </c>
      <c r="M19" s="106">
        <v>990</v>
      </c>
      <c r="N19" s="106">
        <v>3</v>
      </c>
      <c r="O19" s="106">
        <v>990</v>
      </c>
      <c r="P19" s="106">
        <v>3</v>
      </c>
      <c r="Q19" s="106">
        <v>990</v>
      </c>
      <c r="R19" s="106">
        <v>3</v>
      </c>
      <c r="S19" s="106">
        <v>990</v>
      </c>
      <c r="T19" s="106">
        <v>5</v>
      </c>
      <c r="U19" s="106">
        <v>1650</v>
      </c>
      <c r="V19" s="106">
        <v>6</v>
      </c>
      <c r="W19" s="106">
        <v>1980</v>
      </c>
      <c r="X19" s="106">
        <v>8</v>
      </c>
      <c r="Y19" s="106">
        <v>2640</v>
      </c>
      <c r="Z19" s="106">
        <v>5</v>
      </c>
      <c r="AA19" s="106">
        <v>1650</v>
      </c>
      <c r="AB19" s="106">
        <v>31</v>
      </c>
      <c r="AC19" s="106">
        <v>10230</v>
      </c>
      <c r="AD19" s="106">
        <v>28</v>
      </c>
      <c r="AE19" s="106">
        <v>9240</v>
      </c>
      <c r="AF19" s="106">
        <v>26</v>
      </c>
      <c r="AG19" s="106">
        <v>8580</v>
      </c>
      <c r="AH19" s="106">
        <v>24</v>
      </c>
      <c r="AI19" s="106">
        <v>7920</v>
      </c>
      <c r="AJ19" s="106">
        <v>4</v>
      </c>
      <c r="AK19" s="106">
        <v>1320</v>
      </c>
      <c r="AL19" s="106">
        <v>4</v>
      </c>
      <c r="AM19" s="106">
        <v>1320</v>
      </c>
      <c r="AN19" s="106">
        <v>3</v>
      </c>
      <c r="AO19" s="106">
        <v>990</v>
      </c>
      <c r="AP19" s="106">
        <v>3</v>
      </c>
      <c r="AQ19" s="106">
        <v>990</v>
      </c>
      <c r="AR19" s="106">
        <v>10</v>
      </c>
      <c r="AS19" s="106">
        <v>3300</v>
      </c>
      <c r="AT19" s="106">
        <v>11</v>
      </c>
      <c r="AU19" s="106">
        <v>3630</v>
      </c>
      <c r="AV19" s="106">
        <v>12</v>
      </c>
      <c r="AW19" s="106">
        <v>3960</v>
      </c>
      <c r="AX19" s="106">
        <v>8</v>
      </c>
      <c r="AY19" s="106">
        <v>2640</v>
      </c>
      <c r="AZ19" s="106">
        <v>6</v>
      </c>
      <c r="BA19" s="106">
        <v>1980</v>
      </c>
      <c r="BB19" s="106">
        <v>5</v>
      </c>
      <c r="BC19" s="106">
        <v>1650</v>
      </c>
      <c r="BD19" s="106">
        <v>5</v>
      </c>
      <c r="BE19" s="106">
        <v>1650</v>
      </c>
      <c r="BF19" s="106">
        <v>5</v>
      </c>
      <c r="BG19" s="106">
        <v>1650</v>
      </c>
      <c r="BH19" s="106">
        <v>6</v>
      </c>
      <c r="BI19" s="106">
        <v>1980</v>
      </c>
      <c r="BJ19" s="106">
        <v>7</v>
      </c>
      <c r="BK19" s="106">
        <v>2310</v>
      </c>
      <c r="BL19" s="106">
        <v>5</v>
      </c>
      <c r="BM19" s="106">
        <v>1650</v>
      </c>
      <c r="BN19" s="106">
        <v>10</v>
      </c>
      <c r="BO19" s="106">
        <v>3300</v>
      </c>
      <c r="BP19" s="106">
        <v>47</v>
      </c>
      <c r="BQ19" s="106">
        <v>15510</v>
      </c>
      <c r="BR19" s="106">
        <v>33</v>
      </c>
      <c r="BS19" s="106">
        <v>10890</v>
      </c>
      <c r="BT19" s="106">
        <v>40</v>
      </c>
      <c r="BU19" s="106">
        <v>13200</v>
      </c>
      <c r="BV19" s="106">
        <v>37</v>
      </c>
      <c r="BW19" s="106">
        <v>12210</v>
      </c>
      <c r="BX19" s="106">
        <v>3</v>
      </c>
      <c r="BY19" s="106">
        <v>990</v>
      </c>
      <c r="BZ19" s="106">
        <v>4</v>
      </c>
      <c r="CA19" s="106">
        <v>1320</v>
      </c>
      <c r="CB19" s="106">
        <v>3</v>
      </c>
      <c r="CC19" s="106">
        <v>990</v>
      </c>
      <c r="CD19" s="106">
        <v>3</v>
      </c>
      <c r="CE19" s="106">
        <v>990</v>
      </c>
      <c r="CF19" s="106">
        <v>41</v>
      </c>
      <c r="CG19" s="106">
        <v>13530</v>
      </c>
      <c r="CH19" s="106">
        <v>35</v>
      </c>
      <c r="CI19" s="106">
        <v>11550</v>
      </c>
      <c r="CJ19" s="106">
        <v>32</v>
      </c>
      <c r="CK19" s="106">
        <v>10560</v>
      </c>
      <c r="CL19" s="106">
        <v>35</v>
      </c>
      <c r="CM19" s="106">
        <v>11550</v>
      </c>
      <c r="CN19" s="106">
        <v>10</v>
      </c>
      <c r="CO19" s="106">
        <v>3300</v>
      </c>
      <c r="CP19" s="106">
        <v>11</v>
      </c>
      <c r="CQ19" s="106">
        <v>3630</v>
      </c>
      <c r="CR19" s="106">
        <v>9</v>
      </c>
      <c r="CS19" s="106">
        <v>2970</v>
      </c>
      <c r="CT19" s="106">
        <v>7</v>
      </c>
      <c r="CU19" s="106">
        <v>2310</v>
      </c>
    </row>
    <row r="20" spans="2:99" x14ac:dyDescent="0.2">
      <c r="B20" s="105" t="s">
        <v>127</v>
      </c>
      <c r="C20" s="105" t="s">
        <v>186</v>
      </c>
      <c r="D20" s="106">
        <v>3</v>
      </c>
      <c r="E20" s="106">
        <v>860.40000000000009</v>
      </c>
      <c r="F20" s="106">
        <v>4</v>
      </c>
      <c r="G20" s="106">
        <v>1147.2</v>
      </c>
      <c r="H20" s="106">
        <v>2</v>
      </c>
      <c r="I20" s="106">
        <v>573.6</v>
      </c>
      <c r="J20" s="106">
        <v>4</v>
      </c>
      <c r="K20" s="106">
        <v>1147.2</v>
      </c>
      <c r="L20" s="106">
        <v>21</v>
      </c>
      <c r="M20" s="106">
        <v>6022.8</v>
      </c>
      <c r="N20" s="106">
        <v>15</v>
      </c>
      <c r="O20" s="106">
        <v>4302</v>
      </c>
      <c r="P20" s="106">
        <v>27</v>
      </c>
      <c r="Q20" s="106">
        <v>7743.6</v>
      </c>
      <c r="R20" s="106">
        <v>24</v>
      </c>
      <c r="S20" s="106">
        <v>6883.2000000000007</v>
      </c>
      <c r="T20" s="106">
        <v>3</v>
      </c>
      <c r="U20" s="106">
        <v>860.40000000000009</v>
      </c>
      <c r="V20" s="106">
        <v>4</v>
      </c>
      <c r="W20" s="106">
        <v>1147.2</v>
      </c>
      <c r="X20" s="106">
        <v>4</v>
      </c>
      <c r="Y20" s="106">
        <v>1147.2</v>
      </c>
      <c r="Z20" s="106">
        <v>3</v>
      </c>
      <c r="AA20" s="106">
        <v>860.40000000000009</v>
      </c>
      <c r="AB20" s="106">
        <v>3</v>
      </c>
      <c r="AC20" s="106">
        <v>860.40000000000009</v>
      </c>
      <c r="AD20" s="106">
        <v>3</v>
      </c>
      <c r="AE20" s="106">
        <v>860.40000000000009</v>
      </c>
      <c r="AF20" s="106">
        <v>3</v>
      </c>
      <c r="AG20" s="106">
        <v>860.40000000000009</v>
      </c>
      <c r="AH20" s="106">
        <v>2</v>
      </c>
      <c r="AI20" s="106">
        <v>573.6</v>
      </c>
      <c r="AJ20" s="106">
        <v>9</v>
      </c>
      <c r="AK20" s="106">
        <v>2581.2000000000003</v>
      </c>
      <c r="AL20" s="106">
        <v>11</v>
      </c>
      <c r="AM20" s="106">
        <v>3154.8</v>
      </c>
      <c r="AN20" s="106">
        <v>8</v>
      </c>
      <c r="AO20" s="106">
        <v>2294.4</v>
      </c>
      <c r="AP20" s="106">
        <v>16</v>
      </c>
      <c r="AQ20" s="106">
        <v>4588.8</v>
      </c>
      <c r="AR20" s="106">
        <v>31</v>
      </c>
      <c r="AS20" s="106">
        <v>8890.8000000000011</v>
      </c>
      <c r="AT20" s="106">
        <v>39</v>
      </c>
      <c r="AU20" s="106">
        <v>11185.2</v>
      </c>
      <c r="AV20" s="106">
        <v>26</v>
      </c>
      <c r="AW20" s="106">
        <v>7456.8</v>
      </c>
      <c r="AX20" s="106">
        <v>22</v>
      </c>
      <c r="AY20" s="106">
        <v>6309.6</v>
      </c>
      <c r="AZ20" s="106">
        <v>2</v>
      </c>
      <c r="BA20" s="106">
        <v>573.6</v>
      </c>
      <c r="BB20" s="106">
        <v>4</v>
      </c>
      <c r="BC20" s="106">
        <v>1147.2</v>
      </c>
      <c r="BD20" s="106">
        <v>3</v>
      </c>
      <c r="BE20" s="106">
        <v>860.40000000000009</v>
      </c>
      <c r="BF20" s="106">
        <v>2</v>
      </c>
      <c r="BG20" s="106">
        <v>573.6</v>
      </c>
      <c r="BH20" s="106">
        <v>10</v>
      </c>
      <c r="BI20" s="106">
        <v>2868</v>
      </c>
      <c r="BJ20" s="106">
        <v>15</v>
      </c>
      <c r="BK20" s="106">
        <v>4302</v>
      </c>
      <c r="BL20" s="106">
        <v>10</v>
      </c>
      <c r="BM20" s="106">
        <v>2868</v>
      </c>
      <c r="BN20" s="106">
        <v>11</v>
      </c>
      <c r="BO20" s="106">
        <v>3154.8</v>
      </c>
      <c r="BP20" s="106">
        <v>3</v>
      </c>
      <c r="BQ20" s="106">
        <v>860.40000000000009</v>
      </c>
      <c r="BR20" s="106">
        <v>4</v>
      </c>
      <c r="BS20" s="106">
        <v>1147.2</v>
      </c>
      <c r="BT20" s="106">
        <v>3</v>
      </c>
      <c r="BU20" s="106">
        <v>860.40000000000009</v>
      </c>
      <c r="BV20" s="106">
        <v>3</v>
      </c>
      <c r="BW20" s="106">
        <v>860.40000000000009</v>
      </c>
      <c r="BX20" s="106">
        <v>15</v>
      </c>
      <c r="BY20" s="106">
        <v>4302</v>
      </c>
      <c r="BZ20" s="106">
        <v>15</v>
      </c>
      <c r="CA20" s="106">
        <v>4302</v>
      </c>
      <c r="CB20" s="106">
        <v>23</v>
      </c>
      <c r="CC20" s="106">
        <v>6596.4000000000005</v>
      </c>
      <c r="CD20" s="106">
        <v>22</v>
      </c>
      <c r="CE20" s="106">
        <v>6309.6</v>
      </c>
      <c r="CF20" s="106">
        <v>35</v>
      </c>
      <c r="CG20" s="106">
        <v>10038</v>
      </c>
      <c r="CH20" s="106">
        <v>37</v>
      </c>
      <c r="CI20" s="106">
        <v>10611.6</v>
      </c>
      <c r="CJ20" s="106">
        <v>29</v>
      </c>
      <c r="CK20" s="106">
        <v>8317.2000000000007</v>
      </c>
      <c r="CL20" s="106">
        <v>31</v>
      </c>
      <c r="CM20" s="106">
        <v>8890.8000000000011</v>
      </c>
      <c r="CN20" s="106">
        <v>22</v>
      </c>
      <c r="CO20" s="106">
        <v>6309.6</v>
      </c>
      <c r="CP20" s="106">
        <v>25</v>
      </c>
      <c r="CQ20" s="106">
        <v>7170</v>
      </c>
      <c r="CR20" s="106">
        <v>25</v>
      </c>
      <c r="CS20" s="106">
        <v>7170</v>
      </c>
      <c r="CT20" s="106">
        <v>24</v>
      </c>
      <c r="CU20" s="106">
        <v>6883.2000000000007</v>
      </c>
    </row>
    <row r="21" spans="2:99" x14ac:dyDescent="0.2">
      <c r="C21" s="105" t="s">
        <v>187</v>
      </c>
      <c r="D21" s="106">
        <v>2</v>
      </c>
      <c r="E21" s="106">
        <v>124.8</v>
      </c>
      <c r="F21" s="106">
        <v>4</v>
      </c>
      <c r="G21" s="106">
        <v>249.6</v>
      </c>
      <c r="H21" s="106">
        <v>2</v>
      </c>
      <c r="I21" s="106">
        <v>124.8</v>
      </c>
      <c r="J21" s="106">
        <v>4</v>
      </c>
      <c r="K21" s="106">
        <v>249.6</v>
      </c>
      <c r="L21" s="106">
        <v>22</v>
      </c>
      <c r="M21" s="106">
        <v>1372.8</v>
      </c>
      <c r="N21" s="106">
        <v>16</v>
      </c>
      <c r="O21" s="106">
        <v>998.4</v>
      </c>
      <c r="P21" s="106">
        <v>27</v>
      </c>
      <c r="Q21" s="106">
        <v>1684.8</v>
      </c>
      <c r="R21" s="106">
        <v>25</v>
      </c>
      <c r="S21" s="106">
        <v>1560</v>
      </c>
      <c r="T21" s="106">
        <v>3</v>
      </c>
      <c r="U21" s="106">
        <v>187.2</v>
      </c>
      <c r="V21" s="106">
        <v>4</v>
      </c>
      <c r="W21" s="106">
        <v>249.6</v>
      </c>
      <c r="X21" s="106">
        <v>4</v>
      </c>
      <c r="Y21" s="106">
        <v>249.6</v>
      </c>
      <c r="Z21" s="106">
        <v>4</v>
      </c>
      <c r="AA21" s="106">
        <v>249.6</v>
      </c>
      <c r="AB21" s="106">
        <v>3</v>
      </c>
      <c r="AC21" s="106">
        <v>187.2</v>
      </c>
      <c r="AD21" s="106">
        <v>3</v>
      </c>
      <c r="AE21" s="106">
        <v>187.2</v>
      </c>
      <c r="AF21" s="106">
        <v>2</v>
      </c>
      <c r="AG21" s="106">
        <v>124.8</v>
      </c>
      <c r="AH21" s="106">
        <v>2</v>
      </c>
      <c r="AI21" s="106">
        <v>124.8</v>
      </c>
      <c r="AJ21" s="106">
        <v>8</v>
      </c>
      <c r="AK21" s="106">
        <v>499.2</v>
      </c>
      <c r="AL21" s="106">
        <v>11</v>
      </c>
      <c r="AM21" s="106">
        <v>686.4</v>
      </c>
      <c r="AN21" s="106">
        <v>8</v>
      </c>
      <c r="AO21" s="106">
        <v>499.2</v>
      </c>
      <c r="AP21" s="106">
        <v>14</v>
      </c>
      <c r="AQ21" s="106">
        <v>873.6</v>
      </c>
      <c r="AR21" s="106">
        <v>33</v>
      </c>
      <c r="AS21" s="106">
        <v>2059.1999999999998</v>
      </c>
      <c r="AT21" s="106">
        <v>42</v>
      </c>
      <c r="AU21" s="106">
        <v>2620.7999999999997</v>
      </c>
      <c r="AV21" s="106">
        <v>31</v>
      </c>
      <c r="AW21" s="106">
        <v>1934.3999999999999</v>
      </c>
      <c r="AX21" s="106">
        <v>21</v>
      </c>
      <c r="AY21" s="106">
        <v>1310.3999999999999</v>
      </c>
      <c r="AZ21" s="106">
        <v>3</v>
      </c>
      <c r="BA21" s="106">
        <v>187.2</v>
      </c>
      <c r="BB21" s="106">
        <v>3</v>
      </c>
      <c r="BC21" s="106">
        <v>187.2</v>
      </c>
      <c r="BD21" s="106">
        <v>4</v>
      </c>
      <c r="BE21" s="106">
        <v>249.6</v>
      </c>
      <c r="BF21" s="106">
        <v>2</v>
      </c>
      <c r="BG21" s="106">
        <v>124.8</v>
      </c>
      <c r="BH21" s="106">
        <v>12</v>
      </c>
      <c r="BI21" s="106">
        <v>748.8</v>
      </c>
      <c r="BJ21" s="106">
        <v>16</v>
      </c>
      <c r="BK21" s="106">
        <v>998.4</v>
      </c>
      <c r="BL21" s="106">
        <v>10</v>
      </c>
      <c r="BM21" s="106">
        <v>624</v>
      </c>
      <c r="BN21" s="106">
        <v>13</v>
      </c>
      <c r="BO21" s="106">
        <v>811.19999999999993</v>
      </c>
      <c r="BP21" s="106">
        <v>3</v>
      </c>
      <c r="BQ21" s="106">
        <v>187.2</v>
      </c>
      <c r="BR21" s="106">
        <v>3</v>
      </c>
      <c r="BS21" s="106">
        <v>187.2</v>
      </c>
      <c r="BT21" s="106">
        <v>4</v>
      </c>
      <c r="BU21" s="106">
        <v>249.6</v>
      </c>
      <c r="BV21" s="106">
        <v>3</v>
      </c>
      <c r="BW21" s="106">
        <v>187.2</v>
      </c>
      <c r="BX21" s="106">
        <v>15</v>
      </c>
      <c r="BY21" s="106">
        <v>936</v>
      </c>
      <c r="BZ21" s="106">
        <v>16</v>
      </c>
      <c r="CA21" s="106">
        <v>998.4</v>
      </c>
      <c r="CB21" s="106">
        <v>23</v>
      </c>
      <c r="CC21" s="106">
        <v>1435.2</v>
      </c>
      <c r="CD21" s="106">
        <v>22</v>
      </c>
      <c r="CE21" s="106">
        <v>1372.8</v>
      </c>
      <c r="CF21" s="106">
        <v>32</v>
      </c>
      <c r="CG21" s="106">
        <v>1996.8</v>
      </c>
      <c r="CH21" s="106">
        <v>33</v>
      </c>
      <c r="CI21" s="106">
        <v>2059.1999999999998</v>
      </c>
      <c r="CJ21" s="106">
        <v>32</v>
      </c>
      <c r="CK21" s="106">
        <v>1996.8</v>
      </c>
      <c r="CL21" s="106">
        <v>38</v>
      </c>
      <c r="CM21" s="106">
        <v>2371.1999999999998</v>
      </c>
      <c r="CN21" s="106">
        <v>21</v>
      </c>
      <c r="CO21" s="106">
        <v>1310.3999999999999</v>
      </c>
      <c r="CP21" s="106">
        <v>26</v>
      </c>
      <c r="CQ21" s="106">
        <v>1622.3999999999999</v>
      </c>
      <c r="CR21" s="106">
        <v>25</v>
      </c>
      <c r="CS21" s="106">
        <v>1560</v>
      </c>
      <c r="CT21" s="106">
        <v>24</v>
      </c>
      <c r="CU21" s="106">
        <v>1497.6</v>
      </c>
    </row>
    <row r="22" spans="2:99" x14ac:dyDescent="0.2">
      <c r="C22" s="105" t="s">
        <v>188</v>
      </c>
      <c r="D22" s="106">
        <v>2</v>
      </c>
      <c r="E22" s="106">
        <v>374.4</v>
      </c>
      <c r="F22" s="106">
        <v>3</v>
      </c>
      <c r="G22" s="106">
        <v>561.59999999999991</v>
      </c>
      <c r="H22" s="106">
        <v>2</v>
      </c>
      <c r="I22" s="106">
        <v>374.4</v>
      </c>
      <c r="J22" s="106">
        <v>4</v>
      </c>
      <c r="K22" s="106">
        <v>748.8</v>
      </c>
      <c r="L22" s="106">
        <v>22</v>
      </c>
      <c r="M22" s="106">
        <v>4118.3999999999996</v>
      </c>
      <c r="N22" s="106">
        <v>17</v>
      </c>
      <c r="O22" s="106">
        <v>3182.3999999999996</v>
      </c>
      <c r="P22" s="106">
        <v>23</v>
      </c>
      <c r="Q22" s="106">
        <v>4305.5999999999995</v>
      </c>
      <c r="R22" s="106">
        <v>28</v>
      </c>
      <c r="S22" s="106">
        <v>5241.5999999999995</v>
      </c>
      <c r="T22" s="106">
        <v>3</v>
      </c>
      <c r="U22" s="106">
        <v>561.59999999999991</v>
      </c>
      <c r="V22" s="106">
        <v>4</v>
      </c>
      <c r="W22" s="106">
        <v>748.8</v>
      </c>
      <c r="X22" s="106">
        <v>4</v>
      </c>
      <c r="Y22" s="106">
        <v>748.8</v>
      </c>
      <c r="Z22" s="106">
        <v>4</v>
      </c>
      <c r="AA22" s="106">
        <v>748.8</v>
      </c>
      <c r="AB22" s="106">
        <v>3</v>
      </c>
      <c r="AC22" s="106">
        <v>561.59999999999991</v>
      </c>
      <c r="AD22" s="106">
        <v>3</v>
      </c>
      <c r="AE22" s="106">
        <v>561.59999999999991</v>
      </c>
      <c r="AF22" s="106">
        <v>3</v>
      </c>
      <c r="AG22" s="106">
        <v>561.59999999999991</v>
      </c>
      <c r="AH22" s="106">
        <v>2</v>
      </c>
      <c r="AI22" s="106">
        <v>374.4</v>
      </c>
      <c r="AJ22" s="106">
        <v>9</v>
      </c>
      <c r="AK22" s="106">
        <v>1684.8</v>
      </c>
      <c r="AL22" s="106">
        <v>11</v>
      </c>
      <c r="AM22" s="106">
        <v>2059.1999999999998</v>
      </c>
      <c r="AN22" s="106">
        <v>9</v>
      </c>
      <c r="AO22" s="106">
        <v>1684.8</v>
      </c>
      <c r="AP22" s="106">
        <v>14</v>
      </c>
      <c r="AQ22" s="106">
        <v>2620.7999999999997</v>
      </c>
      <c r="AR22" s="106">
        <v>30</v>
      </c>
      <c r="AS22" s="106">
        <v>5616</v>
      </c>
      <c r="AT22" s="106">
        <v>36</v>
      </c>
      <c r="AU22" s="106">
        <v>6739.2</v>
      </c>
      <c r="AV22" s="106">
        <v>29</v>
      </c>
      <c r="AW22" s="106">
        <v>5428.7999999999993</v>
      </c>
      <c r="AX22" s="106">
        <v>22</v>
      </c>
      <c r="AY22" s="106">
        <v>4118.3999999999996</v>
      </c>
      <c r="AZ22" s="106">
        <v>2</v>
      </c>
      <c r="BA22" s="106">
        <v>374.4</v>
      </c>
      <c r="BB22" s="106">
        <v>4</v>
      </c>
      <c r="BC22" s="106">
        <v>748.8</v>
      </c>
      <c r="BD22" s="106">
        <v>4</v>
      </c>
      <c r="BE22" s="106">
        <v>748.8</v>
      </c>
      <c r="BF22" s="106">
        <v>2</v>
      </c>
      <c r="BG22" s="106">
        <v>374.4</v>
      </c>
      <c r="BH22" s="106">
        <v>12</v>
      </c>
      <c r="BI22" s="106">
        <v>2246.3999999999996</v>
      </c>
      <c r="BJ22" s="106">
        <v>14</v>
      </c>
      <c r="BK22" s="106">
        <v>2620.7999999999997</v>
      </c>
      <c r="BL22" s="106">
        <v>10</v>
      </c>
      <c r="BM22" s="106">
        <v>1872</v>
      </c>
      <c r="BN22" s="106">
        <v>12</v>
      </c>
      <c r="BO22" s="106">
        <v>2246.3999999999996</v>
      </c>
      <c r="BP22" s="106">
        <v>3</v>
      </c>
      <c r="BQ22" s="106">
        <v>561.59999999999991</v>
      </c>
      <c r="BR22" s="106">
        <v>4</v>
      </c>
      <c r="BS22" s="106">
        <v>748.8</v>
      </c>
      <c r="BT22" s="106">
        <v>3</v>
      </c>
      <c r="BU22" s="106">
        <v>561.59999999999991</v>
      </c>
      <c r="BV22" s="106">
        <v>3</v>
      </c>
      <c r="BW22" s="106">
        <v>561.59999999999991</v>
      </c>
      <c r="BX22" s="106">
        <v>15</v>
      </c>
      <c r="BY22" s="106">
        <v>2808</v>
      </c>
      <c r="BZ22" s="106">
        <v>15</v>
      </c>
      <c r="CA22" s="106">
        <v>2808</v>
      </c>
      <c r="CB22" s="106">
        <v>26</v>
      </c>
      <c r="CC22" s="106">
        <v>4867.2</v>
      </c>
      <c r="CD22" s="106">
        <v>21</v>
      </c>
      <c r="CE22" s="106">
        <v>3931.2</v>
      </c>
      <c r="CF22" s="106">
        <v>36</v>
      </c>
      <c r="CG22" s="106">
        <v>6739.2</v>
      </c>
      <c r="CH22" s="106">
        <v>37</v>
      </c>
      <c r="CI22" s="106">
        <v>6926.4</v>
      </c>
      <c r="CJ22" s="106">
        <v>34</v>
      </c>
      <c r="CK22" s="106">
        <v>6364.7999999999993</v>
      </c>
      <c r="CL22" s="106">
        <v>37</v>
      </c>
      <c r="CM22" s="106">
        <v>6926.4</v>
      </c>
      <c r="CN22" s="106">
        <v>20</v>
      </c>
      <c r="CO22" s="106">
        <v>3744</v>
      </c>
      <c r="CP22" s="106">
        <v>24</v>
      </c>
      <c r="CQ22" s="106">
        <v>4492.7999999999993</v>
      </c>
      <c r="CR22" s="106">
        <v>24</v>
      </c>
      <c r="CS22" s="106">
        <v>4492.7999999999993</v>
      </c>
      <c r="CT22" s="106">
        <v>24</v>
      </c>
      <c r="CU22" s="106">
        <v>4492.7999999999993</v>
      </c>
    </row>
    <row r="23" spans="2:99" x14ac:dyDescent="0.2">
      <c r="C23" s="105" t="s">
        <v>189</v>
      </c>
      <c r="D23" s="106">
        <v>3</v>
      </c>
      <c r="E23" s="106">
        <v>882</v>
      </c>
      <c r="F23" s="106">
        <v>4</v>
      </c>
      <c r="G23" s="106">
        <v>1176</v>
      </c>
      <c r="H23" s="106">
        <v>3</v>
      </c>
      <c r="I23" s="106">
        <v>882</v>
      </c>
      <c r="J23" s="106">
        <v>4</v>
      </c>
      <c r="K23" s="106">
        <v>1176</v>
      </c>
      <c r="L23" s="106">
        <v>21</v>
      </c>
      <c r="M23" s="106">
        <v>6174</v>
      </c>
      <c r="N23" s="106">
        <v>16</v>
      </c>
      <c r="O23" s="106">
        <v>4704</v>
      </c>
      <c r="P23" s="106">
        <v>25</v>
      </c>
      <c r="Q23" s="106">
        <v>7350</v>
      </c>
      <c r="R23" s="106">
        <v>23</v>
      </c>
      <c r="S23" s="106">
        <v>6762</v>
      </c>
      <c r="T23" s="106">
        <v>3</v>
      </c>
      <c r="U23" s="106">
        <v>882</v>
      </c>
      <c r="V23" s="106">
        <v>3</v>
      </c>
      <c r="W23" s="106">
        <v>882</v>
      </c>
      <c r="X23" s="106">
        <v>3</v>
      </c>
      <c r="Y23" s="106">
        <v>882</v>
      </c>
      <c r="Z23" s="106">
        <v>3</v>
      </c>
      <c r="AA23" s="106">
        <v>882</v>
      </c>
      <c r="AB23" s="106">
        <v>4</v>
      </c>
      <c r="AC23" s="106">
        <v>1176</v>
      </c>
      <c r="AD23" s="106">
        <v>3</v>
      </c>
      <c r="AE23" s="106">
        <v>882</v>
      </c>
      <c r="AF23" s="106">
        <v>3</v>
      </c>
      <c r="AG23" s="106">
        <v>882</v>
      </c>
      <c r="AH23" s="106">
        <v>3</v>
      </c>
      <c r="AI23" s="106">
        <v>882</v>
      </c>
      <c r="AJ23" s="106">
        <v>9</v>
      </c>
      <c r="AK23" s="106">
        <v>2646</v>
      </c>
      <c r="AL23" s="106">
        <v>11</v>
      </c>
      <c r="AM23" s="106">
        <v>3234</v>
      </c>
      <c r="AN23" s="106">
        <v>8</v>
      </c>
      <c r="AO23" s="106">
        <v>2352</v>
      </c>
      <c r="AP23" s="106">
        <v>16</v>
      </c>
      <c r="AQ23" s="106">
        <v>4704</v>
      </c>
      <c r="AR23" s="106">
        <v>33</v>
      </c>
      <c r="AS23" s="106">
        <v>9702</v>
      </c>
      <c r="AT23" s="106">
        <v>35</v>
      </c>
      <c r="AU23" s="106">
        <v>10290</v>
      </c>
      <c r="AV23" s="106">
        <v>27</v>
      </c>
      <c r="AW23" s="106">
        <v>7938</v>
      </c>
      <c r="AX23" s="106">
        <v>22</v>
      </c>
      <c r="AY23" s="106">
        <v>6468</v>
      </c>
      <c r="AZ23" s="106">
        <v>3</v>
      </c>
      <c r="BA23" s="106">
        <v>882</v>
      </c>
      <c r="BB23" s="106">
        <v>4</v>
      </c>
      <c r="BC23" s="106">
        <v>1176</v>
      </c>
      <c r="BD23" s="106">
        <v>4</v>
      </c>
      <c r="BE23" s="106">
        <v>1176</v>
      </c>
      <c r="BF23" s="106">
        <v>2</v>
      </c>
      <c r="BG23" s="106">
        <v>588</v>
      </c>
      <c r="BH23" s="106">
        <v>10</v>
      </c>
      <c r="BI23" s="106">
        <v>2940</v>
      </c>
      <c r="BJ23" s="106">
        <v>14</v>
      </c>
      <c r="BK23" s="106">
        <v>4116</v>
      </c>
      <c r="BL23" s="106">
        <v>10</v>
      </c>
      <c r="BM23" s="106">
        <v>2940</v>
      </c>
      <c r="BN23" s="106">
        <v>12</v>
      </c>
      <c r="BO23" s="106">
        <v>3528</v>
      </c>
      <c r="BP23" s="106">
        <v>3</v>
      </c>
      <c r="BQ23" s="106">
        <v>882</v>
      </c>
      <c r="BR23" s="106">
        <v>4</v>
      </c>
      <c r="BS23" s="106">
        <v>1176</v>
      </c>
      <c r="BT23" s="106">
        <v>3</v>
      </c>
      <c r="BU23" s="106">
        <v>882</v>
      </c>
      <c r="BV23" s="106">
        <v>3</v>
      </c>
      <c r="BW23" s="106">
        <v>882</v>
      </c>
      <c r="BX23" s="106">
        <v>16</v>
      </c>
      <c r="BY23" s="106">
        <v>4704</v>
      </c>
      <c r="BZ23" s="106">
        <v>16</v>
      </c>
      <c r="CA23" s="106">
        <v>4704</v>
      </c>
      <c r="CB23" s="106">
        <v>23</v>
      </c>
      <c r="CC23" s="106">
        <v>6762</v>
      </c>
      <c r="CD23" s="106">
        <v>22</v>
      </c>
      <c r="CE23" s="106">
        <v>6468</v>
      </c>
      <c r="CF23" s="106">
        <v>30</v>
      </c>
      <c r="CG23" s="106">
        <v>8820</v>
      </c>
      <c r="CH23" s="106">
        <v>35</v>
      </c>
      <c r="CI23" s="106">
        <v>10290</v>
      </c>
      <c r="CJ23" s="106">
        <v>35</v>
      </c>
      <c r="CK23" s="106">
        <v>10290</v>
      </c>
      <c r="CL23" s="106">
        <v>33</v>
      </c>
      <c r="CM23" s="106">
        <v>9702</v>
      </c>
      <c r="CN23" s="106">
        <v>20</v>
      </c>
      <c r="CO23" s="106">
        <v>5880</v>
      </c>
      <c r="CP23" s="106">
        <v>26</v>
      </c>
      <c r="CQ23" s="106">
        <v>7644</v>
      </c>
      <c r="CR23" s="106">
        <v>24</v>
      </c>
      <c r="CS23" s="106">
        <v>7056</v>
      </c>
      <c r="CT23" s="106">
        <v>26</v>
      </c>
      <c r="CU23" s="106">
        <v>7644</v>
      </c>
    </row>
    <row r="24" spans="2:99" x14ac:dyDescent="0.2">
      <c r="C24" s="105" t="s">
        <v>190</v>
      </c>
      <c r="D24" s="106">
        <v>3</v>
      </c>
      <c r="E24" s="106">
        <v>1101.5999999999999</v>
      </c>
      <c r="F24" s="106">
        <v>4</v>
      </c>
      <c r="G24" s="106">
        <v>1468.8</v>
      </c>
      <c r="H24" s="106">
        <v>2</v>
      </c>
      <c r="I24" s="106">
        <v>734.4</v>
      </c>
      <c r="J24" s="106">
        <v>4</v>
      </c>
      <c r="K24" s="106">
        <v>1468.8</v>
      </c>
      <c r="L24" s="106">
        <v>24</v>
      </c>
      <c r="M24" s="106">
        <v>8812.7999999999993</v>
      </c>
      <c r="N24" s="106">
        <v>14</v>
      </c>
      <c r="O24" s="106">
        <v>5140.8</v>
      </c>
      <c r="P24" s="106">
        <v>25</v>
      </c>
      <c r="Q24" s="106">
        <v>9180</v>
      </c>
      <c r="R24" s="106">
        <v>25</v>
      </c>
      <c r="S24" s="106">
        <v>9180</v>
      </c>
      <c r="T24" s="106">
        <v>4</v>
      </c>
      <c r="U24" s="106">
        <v>1468.8</v>
      </c>
      <c r="V24" s="106">
        <v>4</v>
      </c>
      <c r="W24" s="106">
        <v>1468.8</v>
      </c>
      <c r="X24" s="106">
        <v>4</v>
      </c>
      <c r="Y24" s="106">
        <v>1468.8</v>
      </c>
      <c r="Z24" s="106">
        <v>3</v>
      </c>
      <c r="AA24" s="106">
        <v>1101.5999999999999</v>
      </c>
      <c r="AB24" s="106">
        <v>4</v>
      </c>
      <c r="AC24" s="106">
        <v>1468.8</v>
      </c>
      <c r="AD24" s="106">
        <v>3</v>
      </c>
      <c r="AE24" s="106">
        <v>1101.5999999999999</v>
      </c>
      <c r="AF24" s="106">
        <v>3</v>
      </c>
      <c r="AG24" s="106">
        <v>1101.5999999999999</v>
      </c>
      <c r="AH24" s="106">
        <v>3</v>
      </c>
      <c r="AI24" s="106">
        <v>1101.5999999999999</v>
      </c>
      <c r="AJ24" s="106">
        <v>9</v>
      </c>
      <c r="AK24" s="106">
        <v>3304.7999999999997</v>
      </c>
      <c r="AL24" s="106">
        <v>11</v>
      </c>
      <c r="AM24" s="106">
        <v>4039.2</v>
      </c>
      <c r="AN24" s="106">
        <v>9</v>
      </c>
      <c r="AO24" s="106">
        <v>3304.7999999999997</v>
      </c>
      <c r="AP24" s="106">
        <v>13</v>
      </c>
      <c r="AQ24" s="106">
        <v>4773.5999999999995</v>
      </c>
      <c r="AR24" s="106">
        <v>29</v>
      </c>
      <c r="AS24" s="106">
        <v>10648.8</v>
      </c>
      <c r="AT24" s="106">
        <v>37</v>
      </c>
      <c r="AU24" s="106">
        <v>13586.4</v>
      </c>
      <c r="AV24" s="106">
        <v>29</v>
      </c>
      <c r="AW24" s="106">
        <v>10648.8</v>
      </c>
      <c r="AX24" s="106">
        <v>19</v>
      </c>
      <c r="AY24" s="106">
        <v>6976.8</v>
      </c>
      <c r="AZ24" s="106">
        <v>2</v>
      </c>
      <c r="BA24" s="106">
        <v>734.4</v>
      </c>
      <c r="BB24" s="106">
        <v>4</v>
      </c>
      <c r="BC24" s="106">
        <v>1468.8</v>
      </c>
      <c r="BD24" s="106">
        <v>4</v>
      </c>
      <c r="BE24" s="106">
        <v>1468.8</v>
      </c>
      <c r="BF24" s="106">
        <v>2</v>
      </c>
      <c r="BG24" s="106">
        <v>734.4</v>
      </c>
      <c r="BH24" s="106">
        <v>12</v>
      </c>
      <c r="BI24" s="106">
        <v>4406.3999999999996</v>
      </c>
      <c r="BJ24" s="106">
        <v>14</v>
      </c>
      <c r="BK24" s="106">
        <v>5140.8</v>
      </c>
      <c r="BL24" s="106">
        <v>10</v>
      </c>
      <c r="BM24" s="106">
        <v>3672</v>
      </c>
      <c r="BN24" s="106">
        <v>11</v>
      </c>
      <c r="BO24" s="106">
        <v>4039.2</v>
      </c>
      <c r="BP24" s="106">
        <v>3</v>
      </c>
      <c r="BQ24" s="106">
        <v>1101.5999999999999</v>
      </c>
      <c r="BR24" s="106">
        <v>4</v>
      </c>
      <c r="BS24" s="106">
        <v>1468.8</v>
      </c>
      <c r="BT24" s="106">
        <v>4</v>
      </c>
      <c r="BU24" s="106">
        <v>1468.8</v>
      </c>
      <c r="BV24" s="106">
        <v>3</v>
      </c>
      <c r="BW24" s="106">
        <v>1101.5999999999999</v>
      </c>
      <c r="BX24" s="106">
        <v>16</v>
      </c>
      <c r="BY24" s="106">
        <v>5875.2</v>
      </c>
      <c r="BZ24" s="106">
        <v>14</v>
      </c>
      <c r="CA24" s="106">
        <v>5140.8</v>
      </c>
      <c r="CB24" s="106">
        <v>22</v>
      </c>
      <c r="CC24" s="106">
        <v>8078.4</v>
      </c>
      <c r="CD24" s="106">
        <v>22</v>
      </c>
      <c r="CE24" s="106">
        <v>8078.4</v>
      </c>
      <c r="CF24" s="106">
        <v>34</v>
      </c>
      <c r="CG24" s="106">
        <v>12484.8</v>
      </c>
      <c r="CH24" s="106">
        <v>32</v>
      </c>
      <c r="CI24" s="106">
        <v>11750.4</v>
      </c>
      <c r="CJ24" s="106">
        <v>31</v>
      </c>
      <c r="CK24" s="106">
        <v>11383.199999999999</v>
      </c>
      <c r="CL24" s="106">
        <v>30</v>
      </c>
      <c r="CM24" s="106">
        <v>11016</v>
      </c>
      <c r="CN24" s="106">
        <v>21</v>
      </c>
      <c r="CO24" s="106">
        <v>7711.2</v>
      </c>
      <c r="CP24" s="106">
        <v>25</v>
      </c>
      <c r="CQ24" s="106">
        <v>9180</v>
      </c>
      <c r="CR24" s="106">
        <v>24</v>
      </c>
      <c r="CS24" s="106">
        <v>8812.7999999999993</v>
      </c>
      <c r="CT24" s="106">
        <v>23</v>
      </c>
      <c r="CU24" s="106">
        <v>8445.6</v>
      </c>
    </row>
    <row r="25" spans="2:99" x14ac:dyDescent="0.2">
      <c r="C25" s="105" t="s">
        <v>191</v>
      </c>
      <c r="D25" s="106">
        <v>2</v>
      </c>
      <c r="E25" s="106">
        <v>1060.8</v>
      </c>
      <c r="F25" s="106">
        <v>3</v>
      </c>
      <c r="G25" s="106">
        <v>1591.1999999999998</v>
      </c>
      <c r="H25" s="106">
        <v>2</v>
      </c>
      <c r="I25" s="106">
        <v>1060.8</v>
      </c>
      <c r="J25" s="106">
        <v>4</v>
      </c>
      <c r="K25" s="106">
        <v>2121.6</v>
      </c>
      <c r="L25" s="106">
        <v>21</v>
      </c>
      <c r="M25" s="106">
        <v>11138.4</v>
      </c>
      <c r="N25" s="106">
        <v>13</v>
      </c>
      <c r="O25" s="106">
        <v>6895.2</v>
      </c>
      <c r="P25" s="106">
        <v>23</v>
      </c>
      <c r="Q25" s="106">
        <v>12199.199999999999</v>
      </c>
      <c r="R25" s="106">
        <v>24</v>
      </c>
      <c r="S25" s="106">
        <v>12729.599999999999</v>
      </c>
      <c r="T25" s="106">
        <v>3</v>
      </c>
      <c r="U25" s="106">
        <v>1591.1999999999998</v>
      </c>
      <c r="V25" s="106">
        <v>4</v>
      </c>
      <c r="W25" s="106">
        <v>2121.6</v>
      </c>
      <c r="X25" s="106">
        <v>4</v>
      </c>
      <c r="Y25" s="106">
        <v>2121.6</v>
      </c>
      <c r="Z25" s="106">
        <v>3</v>
      </c>
      <c r="AA25" s="106">
        <v>1591.1999999999998</v>
      </c>
      <c r="AB25" s="106">
        <v>3</v>
      </c>
      <c r="AC25" s="106">
        <v>1591.1999999999998</v>
      </c>
      <c r="AD25" s="106">
        <v>3</v>
      </c>
      <c r="AE25" s="106">
        <v>1591.1999999999998</v>
      </c>
      <c r="AF25" s="106">
        <v>2</v>
      </c>
      <c r="AG25" s="106">
        <v>1060.8</v>
      </c>
      <c r="AH25" s="106">
        <v>2</v>
      </c>
      <c r="AI25" s="106">
        <v>1060.8</v>
      </c>
      <c r="AJ25" s="106">
        <v>9</v>
      </c>
      <c r="AK25" s="106">
        <v>4773.5999999999995</v>
      </c>
      <c r="AL25" s="106">
        <v>10</v>
      </c>
      <c r="AM25" s="106">
        <v>5304</v>
      </c>
      <c r="AN25" s="106">
        <v>7</v>
      </c>
      <c r="AO25" s="106">
        <v>3712.7999999999997</v>
      </c>
      <c r="AP25" s="106">
        <v>14</v>
      </c>
      <c r="AQ25" s="106">
        <v>7425.5999999999995</v>
      </c>
      <c r="AR25" s="106">
        <v>30</v>
      </c>
      <c r="AS25" s="106">
        <v>15912</v>
      </c>
      <c r="AT25" s="106">
        <v>33</v>
      </c>
      <c r="AU25" s="106">
        <v>17503.2</v>
      </c>
      <c r="AV25" s="106">
        <v>29</v>
      </c>
      <c r="AW25" s="106">
        <v>15381.599999999999</v>
      </c>
      <c r="AX25" s="106">
        <v>21</v>
      </c>
      <c r="AY25" s="106">
        <v>11138.4</v>
      </c>
      <c r="AZ25" s="106">
        <v>3</v>
      </c>
      <c r="BA25" s="106">
        <v>1591.1999999999998</v>
      </c>
      <c r="BB25" s="106">
        <v>4</v>
      </c>
      <c r="BC25" s="106">
        <v>2121.6</v>
      </c>
      <c r="BD25" s="106">
        <v>4</v>
      </c>
      <c r="BE25" s="106">
        <v>2121.6</v>
      </c>
      <c r="BF25" s="106">
        <v>2</v>
      </c>
      <c r="BG25" s="106">
        <v>1060.8</v>
      </c>
      <c r="BH25" s="106">
        <v>11</v>
      </c>
      <c r="BI25" s="106">
        <v>5834.4</v>
      </c>
      <c r="BJ25" s="106">
        <v>14</v>
      </c>
      <c r="BK25" s="106">
        <v>7425.5999999999995</v>
      </c>
      <c r="BL25" s="106">
        <v>10</v>
      </c>
      <c r="BM25" s="106">
        <v>5304</v>
      </c>
      <c r="BN25" s="106">
        <v>12</v>
      </c>
      <c r="BO25" s="106">
        <v>6364.7999999999993</v>
      </c>
      <c r="BP25" s="106">
        <v>3</v>
      </c>
      <c r="BQ25" s="106">
        <v>1591.1999999999998</v>
      </c>
      <c r="BR25" s="106">
        <v>4</v>
      </c>
      <c r="BS25" s="106">
        <v>2121.6</v>
      </c>
      <c r="BT25" s="106">
        <v>4</v>
      </c>
      <c r="BU25" s="106">
        <v>2121.6</v>
      </c>
      <c r="BV25" s="106">
        <v>3</v>
      </c>
      <c r="BW25" s="106">
        <v>1591.1999999999998</v>
      </c>
      <c r="BX25" s="106">
        <v>14</v>
      </c>
      <c r="BY25" s="106">
        <v>7425.5999999999995</v>
      </c>
      <c r="BZ25" s="106">
        <v>15</v>
      </c>
      <c r="CA25" s="106">
        <v>7956</v>
      </c>
      <c r="CB25" s="106">
        <v>22</v>
      </c>
      <c r="CC25" s="106">
        <v>11668.8</v>
      </c>
      <c r="CD25" s="106">
        <v>20</v>
      </c>
      <c r="CE25" s="106">
        <v>10608</v>
      </c>
      <c r="CF25" s="106">
        <v>33</v>
      </c>
      <c r="CG25" s="106">
        <v>17503.2</v>
      </c>
      <c r="CH25" s="106">
        <v>31</v>
      </c>
      <c r="CI25" s="106">
        <v>16442.399999999998</v>
      </c>
      <c r="CJ25" s="106">
        <v>32</v>
      </c>
      <c r="CK25" s="106">
        <v>16972.8</v>
      </c>
      <c r="CL25" s="106">
        <v>31</v>
      </c>
      <c r="CM25" s="106">
        <v>16442.399999999998</v>
      </c>
      <c r="CN25" s="106">
        <v>18</v>
      </c>
      <c r="CO25" s="106">
        <v>9547.1999999999989</v>
      </c>
      <c r="CP25" s="106">
        <v>22</v>
      </c>
      <c r="CQ25" s="106">
        <v>11668.8</v>
      </c>
      <c r="CR25" s="106">
        <v>21</v>
      </c>
      <c r="CS25" s="106">
        <v>11138.4</v>
      </c>
      <c r="CT25" s="106">
        <v>26</v>
      </c>
      <c r="CU25" s="106">
        <v>13790.4</v>
      </c>
    </row>
    <row r="26" spans="2:99" x14ac:dyDescent="0.2">
      <c r="C26" s="105" t="s">
        <v>192</v>
      </c>
      <c r="D26" s="106">
        <v>2</v>
      </c>
      <c r="E26" s="106">
        <v>972</v>
      </c>
      <c r="F26" s="106">
        <v>3</v>
      </c>
      <c r="G26" s="106">
        <v>1458</v>
      </c>
      <c r="H26" s="106">
        <v>3</v>
      </c>
      <c r="I26" s="106">
        <v>1458</v>
      </c>
      <c r="J26" s="106">
        <v>4</v>
      </c>
      <c r="K26" s="106">
        <v>1944</v>
      </c>
      <c r="L26" s="106">
        <v>21</v>
      </c>
      <c r="M26" s="106">
        <v>10206</v>
      </c>
      <c r="N26" s="106">
        <v>15</v>
      </c>
      <c r="O26" s="106">
        <v>7290</v>
      </c>
      <c r="P26" s="106">
        <v>26</v>
      </c>
      <c r="Q26" s="106">
        <v>12636</v>
      </c>
      <c r="R26" s="106">
        <v>24</v>
      </c>
      <c r="S26" s="106">
        <v>11664</v>
      </c>
      <c r="T26" s="106">
        <v>3</v>
      </c>
      <c r="U26" s="106">
        <v>1458</v>
      </c>
      <c r="V26" s="106">
        <v>4</v>
      </c>
      <c r="W26" s="106">
        <v>1944</v>
      </c>
      <c r="X26" s="106">
        <v>4</v>
      </c>
      <c r="Y26" s="106">
        <v>1944</v>
      </c>
      <c r="Z26" s="106">
        <v>4</v>
      </c>
      <c r="AA26" s="106">
        <v>1944</v>
      </c>
      <c r="AB26" s="106">
        <v>3</v>
      </c>
      <c r="AC26" s="106">
        <v>1458</v>
      </c>
      <c r="AD26" s="106">
        <v>3</v>
      </c>
      <c r="AE26" s="106">
        <v>1458</v>
      </c>
      <c r="AF26" s="106">
        <v>3</v>
      </c>
      <c r="AG26" s="106">
        <v>1458</v>
      </c>
      <c r="AH26" s="106">
        <v>3</v>
      </c>
      <c r="AI26" s="106">
        <v>1458</v>
      </c>
      <c r="AJ26" s="106">
        <v>8</v>
      </c>
      <c r="AK26" s="106">
        <v>3888</v>
      </c>
      <c r="AL26" s="106">
        <v>12</v>
      </c>
      <c r="AM26" s="106">
        <v>5832</v>
      </c>
      <c r="AN26" s="106">
        <v>7</v>
      </c>
      <c r="AO26" s="106">
        <v>3402</v>
      </c>
      <c r="AP26" s="106">
        <v>15</v>
      </c>
      <c r="AQ26" s="106">
        <v>7290</v>
      </c>
      <c r="AR26" s="106">
        <v>28</v>
      </c>
      <c r="AS26" s="106">
        <v>13608</v>
      </c>
      <c r="AT26" s="106">
        <v>35</v>
      </c>
      <c r="AU26" s="106">
        <v>17010</v>
      </c>
      <c r="AV26" s="106">
        <v>25</v>
      </c>
      <c r="AW26" s="106">
        <v>12150</v>
      </c>
      <c r="AX26" s="106">
        <v>22</v>
      </c>
      <c r="AY26" s="106">
        <v>10692</v>
      </c>
      <c r="AZ26" s="106">
        <v>3</v>
      </c>
      <c r="BA26" s="106">
        <v>1458</v>
      </c>
      <c r="BB26" s="106">
        <v>3</v>
      </c>
      <c r="BC26" s="106">
        <v>1458</v>
      </c>
      <c r="BD26" s="106">
        <v>4</v>
      </c>
      <c r="BE26" s="106">
        <v>1944</v>
      </c>
      <c r="BF26" s="106">
        <v>2</v>
      </c>
      <c r="BG26" s="106">
        <v>972</v>
      </c>
      <c r="BH26" s="106">
        <v>11</v>
      </c>
      <c r="BI26" s="106">
        <v>5346</v>
      </c>
      <c r="BJ26" s="106">
        <v>14</v>
      </c>
      <c r="BK26" s="106">
        <v>6804</v>
      </c>
      <c r="BL26" s="106">
        <v>10</v>
      </c>
      <c r="BM26" s="106">
        <v>4860</v>
      </c>
      <c r="BN26" s="106">
        <v>12</v>
      </c>
      <c r="BO26" s="106">
        <v>5832</v>
      </c>
      <c r="BP26" s="106">
        <v>3</v>
      </c>
      <c r="BQ26" s="106">
        <v>1458</v>
      </c>
      <c r="BR26" s="106">
        <v>4</v>
      </c>
      <c r="BS26" s="106">
        <v>1944</v>
      </c>
      <c r="BT26" s="106">
        <v>3</v>
      </c>
      <c r="BU26" s="106">
        <v>1458</v>
      </c>
      <c r="BV26" s="106">
        <v>3</v>
      </c>
      <c r="BW26" s="106">
        <v>1458</v>
      </c>
      <c r="BX26" s="106">
        <v>15</v>
      </c>
      <c r="BY26" s="106">
        <v>7290</v>
      </c>
      <c r="BZ26" s="106">
        <v>15</v>
      </c>
      <c r="CA26" s="106">
        <v>7290</v>
      </c>
      <c r="CB26" s="106">
        <v>24</v>
      </c>
      <c r="CC26" s="106">
        <v>11664</v>
      </c>
      <c r="CD26" s="106">
        <v>21</v>
      </c>
      <c r="CE26" s="106">
        <v>10206</v>
      </c>
      <c r="CF26" s="106">
        <v>28</v>
      </c>
      <c r="CG26" s="106">
        <v>13608</v>
      </c>
      <c r="CH26" s="106">
        <v>31</v>
      </c>
      <c r="CI26" s="106">
        <v>15066</v>
      </c>
      <c r="CJ26" s="106">
        <v>28</v>
      </c>
      <c r="CK26" s="106">
        <v>13608</v>
      </c>
      <c r="CL26" s="106">
        <v>35</v>
      </c>
      <c r="CM26" s="106">
        <v>17010</v>
      </c>
      <c r="CN26" s="106">
        <v>21</v>
      </c>
      <c r="CO26" s="106">
        <v>10206</v>
      </c>
      <c r="CP26" s="106">
        <v>21</v>
      </c>
      <c r="CQ26" s="106">
        <v>10206</v>
      </c>
      <c r="CR26" s="106">
        <v>24</v>
      </c>
      <c r="CS26" s="106">
        <v>11664</v>
      </c>
      <c r="CT26" s="106">
        <v>24</v>
      </c>
      <c r="CU26" s="106">
        <v>11664</v>
      </c>
    </row>
    <row r="27" spans="2:99" x14ac:dyDescent="0.2">
      <c r="C27" s="105" t="s">
        <v>193</v>
      </c>
      <c r="D27" s="106">
        <v>3</v>
      </c>
      <c r="E27" s="106">
        <v>1281.5999999999999</v>
      </c>
      <c r="F27" s="106">
        <v>3</v>
      </c>
      <c r="G27" s="106">
        <v>1281.5999999999999</v>
      </c>
      <c r="H27" s="106">
        <v>3</v>
      </c>
      <c r="I27" s="106">
        <v>1281.5999999999999</v>
      </c>
      <c r="J27" s="106">
        <v>4</v>
      </c>
      <c r="K27" s="106">
        <v>1708.8</v>
      </c>
      <c r="L27" s="106">
        <v>23</v>
      </c>
      <c r="M27" s="106">
        <v>9825.6</v>
      </c>
      <c r="N27" s="106">
        <v>15</v>
      </c>
      <c r="O27" s="106">
        <v>6408</v>
      </c>
      <c r="P27" s="106">
        <v>23</v>
      </c>
      <c r="Q27" s="106">
        <v>9825.6</v>
      </c>
      <c r="R27" s="106">
        <v>24</v>
      </c>
      <c r="S27" s="106">
        <v>10252.799999999999</v>
      </c>
      <c r="T27" s="106">
        <v>3</v>
      </c>
      <c r="U27" s="106">
        <v>1281.5999999999999</v>
      </c>
      <c r="V27" s="106">
        <v>4</v>
      </c>
      <c r="W27" s="106">
        <v>1708.8</v>
      </c>
      <c r="X27" s="106">
        <v>3</v>
      </c>
      <c r="Y27" s="106">
        <v>1281.5999999999999</v>
      </c>
      <c r="Z27" s="106">
        <v>3</v>
      </c>
      <c r="AA27" s="106">
        <v>1281.5999999999999</v>
      </c>
      <c r="AB27" s="106">
        <v>4</v>
      </c>
      <c r="AC27" s="106">
        <v>1708.8</v>
      </c>
      <c r="AD27" s="106">
        <v>3</v>
      </c>
      <c r="AE27" s="106">
        <v>1281.5999999999999</v>
      </c>
      <c r="AF27" s="106">
        <v>2</v>
      </c>
      <c r="AG27" s="106">
        <v>854.4</v>
      </c>
      <c r="AH27" s="106">
        <v>3</v>
      </c>
      <c r="AI27" s="106">
        <v>1281.5999999999999</v>
      </c>
      <c r="AJ27" s="106">
        <v>8</v>
      </c>
      <c r="AK27" s="106">
        <v>3417.6</v>
      </c>
      <c r="AL27" s="106">
        <v>11</v>
      </c>
      <c r="AM27" s="106">
        <v>4699.2</v>
      </c>
      <c r="AN27" s="106">
        <v>8</v>
      </c>
      <c r="AO27" s="106">
        <v>3417.6</v>
      </c>
      <c r="AP27" s="106">
        <v>16</v>
      </c>
      <c r="AQ27" s="106">
        <v>6835.2</v>
      </c>
      <c r="AR27" s="106">
        <v>32</v>
      </c>
      <c r="AS27" s="106">
        <v>13670.4</v>
      </c>
      <c r="AT27" s="106">
        <v>39</v>
      </c>
      <c r="AU27" s="106">
        <v>16660.8</v>
      </c>
      <c r="AV27" s="106">
        <v>27</v>
      </c>
      <c r="AW27" s="106">
        <v>11534.4</v>
      </c>
      <c r="AX27" s="106">
        <v>20</v>
      </c>
      <c r="AY27" s="106">
        <v>8544</v>
      </c>
      <c r="AZ27" s="106">
        <v>2</v>
      </c>
      <c r="BA27" s="106">
        <v>854.4</v>
      </c>
      <c r="BB27" s="106">
        <v>4</v>
      </c>
      <c r="BC27" s="106">
        <v>1708.8</v>
      </c>
      <c r="BD27" s="106">
        <v>4</v>
      </c>
      <c r="BE27" s="106">
        <v>1708.8</v>
      </c>
      <c r="BF27" s="106">
        <v>2</v>
      </c>
      <c r="BG27" s="106">
        <v>854.4</v>
      </c>
      <c r="BH27" s="106">
        <v>10</v>
      </c>
      <c r="BI27" s="106">
        <v>4272</v>
      </c>
      <c r="BJ27" s="106">
        <v>14</v>
      </c>
      <c r="BK27" s="106">
        <v>5980.8</v>
      </c>
      <c r="BL27" s="106">
        <v>9</v>
      </c>
      <c r="BM27" s="106">
        <v>3844.7999999999997</v>
      </c>
      <c r="BN27" s="106">
        <v>11</v>
      </c>
      <c r="BO27" s="106">
        <v>4699.2</v>
      </c>
      <c r="BP27" s="106">
        <v>3</v>
      </c>
      <c r="BQ27" s="106">
        <v>1281.5999999999999</v>
      </c>
      <c r="BR27" s="106">
        <v>4</v>
      </c>
      <c r="BS27" s="106">
        <v>1708.8</v>
      </c>
      <c r="BT27" s="106">
        <v>4</v>
      </c>
      <c r="BU27" s="106">
        <v>1708.8</v>
      </c>
      <c r="BV27" s="106">
        <v>3</v>
      </c>
      <c r="BW27" s="106">
        <v>1281.5999999999999</v>
      </c>
      <c r="BX27" s="106">
        <v>16</v>
      </c>
      <c r="BY27" s="106">
        <v>6835.2</v>
      </c>
      <c r="BZ27" s="106">
        <v>13</v>
      </c>
      <c r="CA27" s="106">
        <v>5553.5999999999995</v>
      </c>
      <c r="CB27" s="106">
        <v>25</v>
      </c>
      <c r="CC27" s="106">
        <v>10680</v>
      </c>
      <c r="CD27" s="106">
        <v>22</v>
      </c>
      <c r="CE27" s="106">
        <v>9398.4</v>
      </c>
      <c r="CF27" s="106">
        <v>34</v>
      </c>
      <c r="CG27" s="106">
        <v>14524.8</v>
      </c>
      <c r="CH27" s="106">
        <v>34</v>
      </c>
      <c r="CI27" s="106">
        <v>14524.8</v>
      </c>
      <c r="CJ27" s="106">
        <v>33</v>
      </c>
      <c r="CK27" s="106">
        <v>14097.6</v>
      </c>
      <c r="CL27" s="106">
        <v>35</v>
      </c>
      <c r="CM27" s="106">
        <v>14952</v>
      </c>
      <c r="CN27" s="106">
        <v>20</v>
      </c>
      <c r="CO27" s="106">
        <v>8544</v>
      </c>
      <c r="CP27" s="106">
        <v>24</v>
      </c>
      <c r="CQ27" s="106">
        <v>10252.799999999999</v>
      </c>
      <c r="CR27" s="106">
        <v>23</v>
      </c>
      <c r="CS27" s="106">
        <v>9825.6</v>
      </c>
      <c r="CT27" s="106">
        <v>25</v>
      </c>
      <c r="CU27" s="106">
        <v>10680</v>
      </c>
    </row>
    <row r="28" spans="2:99" x14ac:dyDescent="0.2">
      <c r="C28" s="105" t="s">
        <v>194</v>
      </c>
      <c r="D28" s="106">
        <v>3</v>
      </c>
      <c r="E28" s="106">
        <v>2214</v>
      </c>
      <c r="F28" s="106">
        <v>4</v>
      </c>
      <c r="G28" s="106">
        <v>2952</v>
      </c>
      <c r="H28" s="106">
        <v>2</v>
      </c>
      <c r="I28" s="106">
        <v>1476</v>
      </c>
      <c r="J28" s="106">
        <v>4</v>
      </c>
      <c r="K28" s="106">
        <v>2952</v>
      </c>
      <c r="L28" s="106">
        <v>21</v>
      </c>
      <c r="M28" s="106">
        <v>15498</v>
      </c>
      <c r="N28" s="106">
        <v>16</v>
      </c>
      <c r="O28" s="106">
        <v>11808</v>
      </c>
      <c r="P28" s="106">
        <v>21</v>
      </c>
      <c r="Q28" s="106">
        <v>15498</v>
      </c>
      <c r="R28" s="106">
        <v>23</v>
      </c>
      <c r="S28" s="106">
        <v>16974</v>
      </c>
      <c r="T28" s="106">
        <v>4</v>
      </c>
      <c r="U28" s="106">
        <v>2952</v>
      </c>
      <c r="V28" s="106">
        <v>4</v>
      </c>
      <c r="W28" s="106">
        <v>2952</v>
      </c>
      <c r="X28" s="106">
        <v>3</v>
      </c>
      <c r="Y28" s="106">
        <v>2214</v>
      </c>
      <c r="Z28" s="106">
        <v>4</v>
      </c>
      <c r="AA28" s="106">
        <v>2952</v>
      </c>
      <c r="AB28" s="106">
        <v>3</v>
      </c>
      <c r="AC28" s="106">
        <v>2214</v>
      </c>
      <c r="AD28" s="106">
        <v>3</v>
      </c>
      <c r="AE28" s="106">
        <v>2214</v>
      </c>
      <c r="AF28" s="106">
        <v>3</v>
      </c>
      <c r="AG28" s="106">
        <v>2214</v>
      </c>
      <c r="AH28" s="106">
        <v>3</v>
      </c>
      <c r="AI28" s="106">
        <v>2214</v>
      </c>
      <c r="AJ28" s="106">
        <v>9</v>
      </c>
      <c r="AK28" s="106">
        <v>6642</v>
      </c>
      <c r="AL28" s="106">
        <v>10</v>
      </c>
      <c r="AM28" s="106">
        <v>7380</v>
      </c>
      <c r="AN28" s="106">
        <v>7</v>
      </c>
      <c r="AO28" s="106">
        <v>5166</v>
      </c>
      <c r="AP28" s="106">
        <v>15</v>
      </c>
      <c r="AQ28" s="106">
        <v>11070</v>
      </c>
      <c r="AR28" s="106">
        <v>30</v>
      </c>
      <c r="AS28" s="106">
        <v>22140</v>
      </c>
      <c r="AT28" s="106">
        <v>35</v>
      </c>
      <c r="AU28" s="106">
        <v>25830</v>
      </c>
      <c r="AV28" s="106">
        <v>27</v>
      </c>
      <c r="AW28" s="106">
        <v>19926</v>
      </c>
      <c r="AX28" s="106">
        <v>19</v>
      </c>
      <c r="AY28" s="106">
        <v>14022</v>
      </c>
      <c r="AZ28" s="106">
        <v>2</v>
      </c>
      <c r="BA28" s="106">
        <v>1476</v>
      </c>
      <c r="BB28" s="106">
        <v>4</v>
      </c>
      <c r="BC28" s="106">
        <v>2952</v>
      </c>
      <c r="BD28" s="106">
        <v>4</v>
      </c>
      <c r="BE28" s="106">
        <v>2952</v>
      </c>
      <c r="BF28" s="106">
        <v>2</v>
      </c>
      <c r="BG28" s="106">
        <v>1476</v>
      </c>
      <c r="BH28" s="106">
        <v>12</v>
      </c>
      <c r="BI28" s="106">
        <v>8856</v>
      </c>
      <c r="BJ28" s="106">
        <v>15</v>
      </c>
      <c r="BK28" s="106">
        <v>11070</v>
      </c>
      <c r="BL28" s="106">
        <v>9</v>
      </c>
      <c r="BM28" s="106">
        <v>6642</v>
      </c>
      <c r="BN28" s="106">
        <v>10</v>
      </c>
      <c r="BO28" s="106">
        <v>7380</v>
      </c>
      <c r="BP28" s="106">
        <v>3</v>
      </c>
      <c r="BQ28" s="106">
        <v>2214</v>
      </c>
      <c r="BR28" s="106">
        <v>3</v>
      </c>
      <c r="BS28" s="106">
        <v>2214</v>
      </c>
      <c r="BT28" s="106">
        <v>3</v>
      </c>
      <c r="BU28" s="106">
        <v>2214</v>
      </c>
      <c r="BV28" s="106">
        <v>3</v>
      </c>
      <c r="BW28" s="106">
        <v>2214</v>
      </c>
      <c r="BX28" s="106">
        <v>16</v>
      </c>
      <c r="BY28" s="106">
        <v>11808</v>
      </c>
      <c r="BZ28" s="106">
        <v>14</v>
      </c>
      <c r="CA28" s="106">
        <v>10332</v>
      </c>
      <c r="CB28" s="106">
        <v>24</v>
      </c>
      <c r="CC28" s="106">
        <v>17712</v>
      </c>
      <c r="CD28" s="106">
        <v>18</v>
      </c>
      <c r="CE28" s="106">
        <v>13284</v>
      </c>
      <c r="CF28" s="106">
        <v>29</v>
      </c>
      <c r="CG28" s="106">
        <v>21402</v>
      </c>
      <c r="CH28" s="106">
        <v>30</v>
      </c>
      <c r="CI28" s="106">
        <v>22140</v>
      </c>
      <c r="CJ28" s="106">
        <v>32</v>
      </c>
      <c r="CK28" s="106">
        <v>23616</v>
      </c>
      <c r="CL28" s="106">
        <v>32</v>
      </c>
      <c r="CM28" s="106">
        <v>23616</v>
      </c>
      <c r="CN28" s="106">
        <v>19</v>
      </c>
      <c r="CO28" s="106">
        <v>14022</v>
      </c>
      <c r="CP28" s="106">
        <v>21</v>
      </c>
      <c r="CQ28" s="106">
        <v>15498</v>
      </c>
      <c r="CR28" s="106">
        <v>20</v>
      </c>
      <c r="CS28" s="106">
        <v>14760</v>
      </c>
      <c r="CT28" s="106">
        <v>25</v>
      </c>
      <c r="CU28" s="106">
        <v>18450</v>
      </c>
    </row>
    <row r="29" spans="2:99" x14ac:dyDescent="0.2">
      <c r="C29" s="105" t="s">
        <v>195</v>
      </c>
      <c r="D29" s="106">
        <v>2</v>
      </c>
      <c r="E29" s="106">
        <v>676.8</v>
      </c>
      <c r="F29" s="106">
        <v>3</v>
      </c>
      <c r="G29" s="106">
        <v>1015.1999999999999</v>
      </c>
      <c r="H29" s="106">
        <v>2</v>
      </c>
      <c r="I29" s="106">
        <v>676.8</v>
      </c>
      <c r="J29" s="106">
        <v>4</v>
      </c>
      <c r="K29" s="106">
        <v>1353.6</v>
      </c>
      <c r="L29" s="106">
        <v>23</v>
      </c>
      <c r="M29" s="106">
        <v>7783.2</v>
      </c>
      <c r="N29" s="106">
        <v>14</v>
      </c>
      <c r="O29" s="106">
        <v>4737.5999999999995</v>
      </c>
      <c r="P29" s="106">
        <v>25</v>
      </c>
      <c r="Q29" s="106">
        <v>8460</v>
      </c>
      <c r="R29" s="106">
        <v>27</v>
      </c>
      <c r="S29" s="106">
        <v>9136.7999999999993</v>
      </c>
      <c r="T29" s="106">
        <v>4</v>
      </c>
      <c r="U29" s="106">
        <v>1353.6</v>
      </c>
      <c r="V29" s="106">
        <v>4</v>
      </c>
      <c r="W29" s="106">
        <v>1353.6</v>
      </c>
      <c r="X29" s="106">
        <v>3</v>
      </c>
      <c r="Y29" s="106">
        <v>1015.1999999999999</v>
      </c>
      <c r="Z29" s="106">
        <v>4</v>
      </c>
      <c r="AA29" s="106">
        <v>1353.6</v>
      </c>
      <c r="AB29" s="106">
        <v>4</v>
      </c>
      <c r="AC29" s="106">
        <v>1353.6</v>
      </c>
      <c r="AD29" s="106">
        <v>3</v>
      </c>
      <c r="AE29" s="106">
        <v>1015.1999999999999</v>
      </c>
      <c r="AF29" s="106">
        <v>2</v>
      </c>
      <c r="AG29" s="106">
        <v>676.8</v>
      </c>
      <c r="AH29" s="106">
        <v>2</v>
      </c>
      <c r="AI29" s="106">
        <v>676.8</v>
      </c>
      <c r="AJ29" s="106">
        <v>9</v>
      </c>
      <c r="AK29" s="106">
        <v>3045.6</v>
      </c>
      <c r="AL29" s="106">
        <v>11</v>
      </c>
      <c r="AM29" s="106">
        <v>3722.3999999999996</v>
      </c>
      <c r="AN29" s="106">
        <v>9</v>
      </c>
      <c r="AO29" s="106">
        <v>3045.6</v>
      </c>
      <c r="AP29" s="106">
        <v>14</v>
      </c>
      <c r="AQ29" s="106">
        <v>4737.5999999999995</v>
      </c>
      <c r="AR29" s="106">
        <v>32</v>
      </c>
      <c r="AS29" s="106">
        <v>10828.8</v>
      </c>
      <c r="AT29" s="106">
        <v>38</v>
      </c>
      <c r="AU29" s="106">
        <v>12859.199999999999</v>
      </c>
      <c r="AV29" s="106">
        <v>25</v>
      </c>
      <c r="AW29" s="106">
        <v>8460</v>
      </c>
      <c r="AX29" s="106">
        <v>21</v>
      </c>
      <c r="AY29" s="106">
        <v>7106.4</v>
      </c>
      <c r="AZ29" s="106">
        <v>2</v>
      </c>
      <c r="BA29" s="106">
        <v>676.8</v>
      </c>
      <c r="BB29" s="106">
        <v>4</v>
      </c>
      <c r="BC29" s="106">
        <v>1353.6</v>
      </c>
      <c r="BD29" s="106">
        <v>4</v>
      </c>
      <c r="BE29" s="106">
        <v>1353.6</v>
      </c>
      <c r="BF29" s="106">
        <v>2</v>
      </c>
      <c r="BG29" s="106">
        <v>676.8</v>
      </c>
      <c r="BH29" s="106">
        <v>11</v>
      </c>
      <c r="BI29" s="106">
        <v>3722.3999999999996</v>
      </c>
      <c r="BJ29" s="106">
        <v>16</v>
      </c>
      <c r="BK29" s="106">
        <v>5414.4</v>
      </c>
      <c r="BL29" s="106">
        <v>10</v>
      </c>
      <c r="BM29" s="106">
        <v>3384</v>
      </c>
      <c r="BN29" s="106">
        <v>10</v>
      </c>
      <c r="BO29" s="106">
        <v>3384</v>
      </c>
      <c r="BP29" s="106">
        <v>3</v>
      </c>
      <c r="BQ29" s="106">
        <v>1015.1999999999999</v>
      </c>
      <c r="BR29" s="106">
        <v>3</v>
      </c>
      <c r="BS29" s="106">
        <v>1015.1999999999999</v>
      </c>
      <c r="BT29" s="106">
        <v>4</v>
      </c>
      <c r="BU29" s="106">
        <v>1353.6</v>
      </c>
      <c r="BV29" s="106">
        <v>3</v>
      </c>
      <c r="BW29" s="106">
        <v>1015.1999999999999</v>
      </c>
      <c r="BX29" s="106">
        <v>16</v>
      </c>
      <c r="BY29" s="106">
        <v>5414.4</v>
      </c>
      <c r="BZ29" s="106">
        <v>14</v>
      </c>
      <c r="CA29" s="106">
        <v>4737.5999999999995</v>
      </c>
      <c r="CB29" s="106">
        <v>25</v>
      </c>
      <c r="CC29" s="106">
        <v>8460</v>
      </c>
      <c r="CD29" s="106">
        <v>21</v>
      </c>
      <c r="CE29" s="106">
        <v>7106.4</v>
      </c>
      <c r="CF29" s="106">
        <v>30</v>
      </c>
      <c r="CG29" s="106">
        <v>10152</v>
      </c>
      <c r="CH29" s="106">
        <v>35</v>
      </c>
      <c r="CI29" s="106">
        <v>11844</v>
      </c>
      <c r="CJ29" s="106">
        <v>33</v>
      </c>
      <c r="CK29" s="106">
        <v>11167.199999999999</v>
      </c>
      <c r="CL29" s="106">
        <v>37</v>
      </c>
      <c r="CM29" s="106">
        <v>12520.8</v>
      </c>
      <c r="CN29" s="106">
        <v>19</v>
      </c>
      <c r="CO29" s="106">
        <v>6429.5999999999995</v>
      </c>
      <c r="CP29" s="106">
        <v>26</v>
      </c>
      <c r="CQ29" s="106">
        <v>8798.4</v>
      </c>
      <c r="CR29" s="106">
        <v>22</v>
      </c>
      <c r="CS29" s="106">
        <v>7444.7999999999993</v>
      </c>
      <c r="CT29" s="106">
        <v>26</v>
      </c>
      <c r="CU29" s="106">
        <v>8798.4</v>
      </c>
    </row>
    <row r="30" spans="2:99" x14ac:dyDescent="0.2">
      <c r="C30" s="105" t="s">
        <v>196</v>
      </c>
      <c r="D30" s="106">
        <v>3</v>
      </c>
      <c r="E30" s="106">
        <v>417.59999999999997</v>
      </c>
      <c r="F30" s="106">
        <v>3</v>
      </c>
      <c r="G30" s="106">
        <v>417.59999999999997</v>
      </c>
      <c r="H30" s="106">
        <v>3</v>
      </c>
      <c r="I30" s="106">
        <v>417.59999999999997</v>
      </c>
      <c r="J30" s="106">
        <v>4</v>
      </c>
      <c r="K30" s="106">
        <v>556.79999999999995</v>
      </c>
      <c r="L30" s="106">
        <v>24</v>
      </c>
      <c r="M30" s="106">
        <v>3340.7999999999997</v>
      </c>
      <c r="N30" s="106">
        <v>16</v>
      </c>
      <c r="O30" s="106">
        <v>2227.1999999999998</v>
      </c>
      <c r="P30" s="106">
        <v>25</v>
      </c>
      <c r="Q30" s="106">
        <v>3479.9999999999995</v>
      </c>
      <c r="R30" s="106">
        <v>28</v>
      </c>
      <c r="S30" s="106">
        <v>3897.5999999999995</v>
      </c>
      <c r="T30" s="106">
        <v>3</v>
      </c>
      <c r="U30" s="106">
        <v>417.59999999999997</v>
      </c>
      <c r="V30" s="106">
        <v>4</v>
      </c>
      <c r="W30" s="106">
        <v>556.79999999999995</v>
      </c>
      <c r="X30" s="106">
        <v>3</v>
      </c>
      <c r="Y30" s="106">
        <v>417.59999999999997</v>
      </c>
      <c r="Z30" s="106">
        <v>3</v>
      </c>
      <c r="AA30" s="106">
        <v>417.59999999999997</v>
      </c>
      <c r="AB30" s="106">
        <v>4</v>
      </c>
      <c r="AC30" s="106">
        <v>556.79999999999995</v>
      </c>
      <c r="AD30" s="106">
        <v>3</v>
      </c>
      <c r="AE30" s="106">
        <v>417.59999999999997</v>
      </c>
      <c r="AF30" s="106">
        <v>3</v>
      </c>
      <c r="AG30" s="106">
        <v>417.59999999999997</v>
      </c>
      <c r="AH30" s="106">
        <v>3</v>
      </c>
      <c r="AI30" s="106">
        <v>417.59999999999997</v>
      </c>
      <c r="AJ30" s="106">
        <v>10</v>
      </c>
      <c r="AK30" s="106">
        <v>1392</v>
      </c>
      <c r="AL30" s="106">
        <v>10</v>
      </c>
      <c r="AM30" s="106">
        <v>1392</v>
      </c>
      <c r="AN30" s="106">
        <v>9</v>
      </c>
      <c r="AO30" s="106">
        <v>1252.8</v>
      </c>
      <c r="AP30" s="106">
        <v>13</v>
      </c>
      <c r="AQ30" s="106">
        <v>1809.6</v>
      </c>
      <c r="AR30" s="106">
        <v>31</v>
      </c>
      <c r="AS30" s="106">
        <v>4315.2</v>
      </c>
      <c r="AT30" s="106">
        <v>42</v>
      </c>
      <c r="AU30" s="106">
        <v>5846.4</v>
      </c>
      <c r="AV30" s="106">
        <v>26</v>
      </c>
      <c r="AW30" s="106">
        <v>3619.2</v>
      </c>
      <c r="AX30" s="106">
        <v>22</v>
      </c>
      <c r="AY30" s="106">
        <v>3062.3999999999996</v>
      </c>
      <c r="AZ30" s="106">
        <v>3</v>
      </c>
      <c r="BA30" s="106">
        <v>417.59999999999997</v>
      </c>
      <c r="BB30" s="106">
        <v>4</v>
      </c>
      <c r="BC30" s="106">
        <v>556.79999999999995</v>
      </c>
      <c r="BD30" s="106">
        <v>4</v>
      </c>
      <c r="BE30" s="106">
        <v>556.79999999999995</v>
      </c>
      <c r="BF30" s="106">
        <v>3</v>
      </c>
      <c r="BG30" s="106">
        <v>417.59999999999997</v>
      </c>
      <c r="BH30" s="106">
        <v>11</v>
      </c>
      <c r="BI30" s="106">
        <v>1531.1999999999998</v>
      </c>
      <c r="BJ30" s="106">
        <v>15</v>
      </c>
      <c r="BK30" s="106">
        <v>2088</v>
      </c>
      <c r="BL30" s="106">
        <v>10</v>
      </c>
      <c r="BM30" s="106">
        <v>1392</v>
      </c>
      <c r="BN30" s="106">
        <v>11</v>
      </c>
      <c r="BO30" s="106">
        <v>1531.1999999999998</v>
      </c>
      <c r="BP30" s="106">
        <v>3</v>
      </c>
      <c r="BQ30" s="106">
        <v>417.59999999999997</v>
      </c>
      <c r="BR30" s="106">
        <v>4</v>
      </c>
      <c r="BS30" s="106">
        <v>556.79999999999995</v>
      </c>
      <c r="BT30" s="106">
        <v>4</v>
      </c>
      <c r="BU30" s="106">
        <v>556.79999999999995</v>
      </c>
      <c r="BV30" s="106">
        <v>3</v>
      </c>
      <c r="BW30" s="106">
        <v>417.59999999999997</v>
      </c>
      <c r="BX30" s="106">
        <v>14</v>
      </c>
      <c r="BY30" s="106">
        <v>1948.7999999999997</v>
      </c>
      <c r="BZ30" s="106">
        <v>14</v>
      </c>
      <c r="CA30" s="106">
        <v>1948.7999999999997</v>
      </c>
      <c r="CB30" s="106">
        <v>24</v>
      </c>
      <c r="CC30" s="106">
        <v>3340.7999999999997</v>
      </c>
      <c r="CD30" s="106">
        <v>22</v>
      </c>
      <c r="CE30" s="106">
        <v>3062.3999999999996</v>
      </c>
      <c r="CF30" s="106">
        <v>34</v>
      </c>
      <c r="CG30" s="106">
        <v>4732.7999999999993</v>
      </c>
      <c r="CH30" s="106">
        <v>34</v>
      </c>
      <c r="CI30" s="106">
        <v>4732.7999999999993</v>
      </c>
      <c r="CJ30" s="106">
        <v>32</v>
      </c>
      <c r="CK30" s="106">
        <v>4454.3999999999996</v>
      </c>
      <c r="CL30" s="106">
        <v>37</v>
      </c>
      <c r="CM30" s="106">
        <v>5150.3999999999996</v>
      </c>
      <c r="CN30" s="106">
        <v>19</v>
      </c>
      <c r="CO30" s="106">
        <v>2644.7999999999997</v>
      </c>
      <c r="CP30" s="106">
        <v>24</v>
      </c>
      <c r="CQ30" s="106">
        <v>3340.7999999999997</v>
      </c>
      <c r="CR30" s="106">
        <v>24</v>
      </c>
      <c r="CS30" s="106">
        <v>3340.7999999999997</v>
      </c>
      <c r="CT30" s="106">
        <v>24</v>
      </c>
      <c r="CU30" s="106">
        <v>3340.7999999999997</v>
      </c>
    </row>
    <row r="31" spans="2:99" x14ac:dyDescent="0.2">
      <c r="C31" s="105" t="s">
        <v>197</v>
      </c>
      <c r="D31" s="106">
        <v>2</v>
      </c>
      <c r="E31" s="106">
        <v>681.6</v>
      </c>
      <c r="F31" s="106">
        <v>3</v>
      </c>
      <c r="G31" s="106">
        <v>1022.4000000000001</v>
      </c>
      <c r="H31" s="106">
        <v>2</v>
      </c>
      <c r="I31" s="106">
        <v>681.6</v>
      </c>
      <c r="J31" s="106">
        <v>4</v>
      </c>
      <c r="K31" s="106">
        <v>1363.2</v>
      </c>
      <c r="L31" s="106">
        <v>22</v>
      </c>
      <c r="M31" s="106">
        <v>7497.6</v>
      </c>
      <c r="N31" s="106">
        <v>15</v>
      </c>
      <c r="O31" s="106">
        <v>5112</v>
      </c>
      <c r="P31" s="106">
        <v>23</v>
      </c>
      <c r="Q31" s="106">
        <v>7838.4000000000005</v>
      </c>
      <c r="R31" s="106">
        <v>24</v>
      </c>
      <c r="S31" s="106">
        <v>8179.2000000000007</v>
      </c>
      <c r="T31" s="106">
        <v>4</v>
      </c>
      <c r="U31" s="106">
        <v>1363.2</v>
      </c>
      <c r="V31" s="106">
        <v>4</v>
      </c>
      <c r="W31" s="106">
        <v>1363.2</v>
      </c>
      <c r="X31" s="106">
        <v>3</v>
      </c>
      <c r="Y31" s="106">
        <v>1022.4000000000001</v>
      </c>
      <c r="Z31" s="106">
        <v>4</v>
      </c>
      <c r="AA31" s="106">
        <v>1363.2</v>
      </c>
      <c r="AB31" s="106">
        <v>4</v>
      </c>
      <c r="AC31" s="106">
        <v>1363.2</v>
      </c>
      <c r="AD31" s="106">
        <v>3</v>
      </c>
      <c r="AE31" s="106">
        <v>1022.4000000000001</v>
      </c>
      <c r="AF31" s="106">
        <v>3</v>
      </c>
      <c r="AG31" s="106">
        <v>1022.4000000000001</v>
      </c>
      <c r="AH31" s="106">
        <v>2</v>
      </c>
      <c r="AI31" s="106">
        <v>681.6</v>
      </c>
      <c r="AJ31" s="106">
        <v>9</v>
      </c>
      <c r="AK31" s="106">
        <v>3067.2000000000003</v>
      </c>
      <c r="AL31" s="106">
        <v>12</v>
      </c>
      <c r="AM31" s="106">
        <v>4089.6000000000004</v>
      </c>
      <c r="AN31" s="106">
        <v>8</v>
      </c>
      <c r="AO31" s="106">
        <v>2726.4</v>
      </c>
      <c r="AP31" s="106">
        <v>14</v>
      </c>
      <c r="AQ31" s="106">
        <v>4771.2</v>
      </c>
      <c r="AR31" s="106">
        <v>29</v>
      </c>
      <c r="AS31" s="106">
        <v>9883.2000000000007</v>
      </c>
      <c r="AT31" s="106">
        <v>33</v>
      </c>
      <c r="AU31" s="106">
        <v>11246.4</v>
      </c>
      <c r="AV31" s="106">
        <v>26</v>
      </c>
      <c r="AW31" s="106">
        <v>8860.8000000000011</v>
      </c>
      <c r="AX31" s="106">
        <v>20</v>
      </c>
      <c r="AY31" s="106">
        <v>6816</v>
      </c>
      <c r="AZ31" s="106">
        <v>3</v>
      </c>
      <c r="BA31" s="106">
        <v>1022.4000000000001</v>
      </c>
      <c r="BB31" s="106">
        <v>3</v>
      </c>
      <c r="BC31" s="106">
        <v>1022.4000000000001</v>
      </c>
      <c r="BD31" s="106">
        <v>4</v>
      </c>
      <c r="BE31" s="106">
        <v>1363.2</v>
      </c>
      <c r="BF31" s="106">
        <v>2</v>
      </c>
      <c r="BG31" s="106">
        <v>681.6</v>
      </c>
      <c r="BH31" s="106">
        <v>11</v>
      </c>
      <c r="BI31" s="106">
        <v>3748.8</v>
      </c>
      <c r="BJ31" s="106">
        <v>15</v>
      </c>
      <c r="BK31" s="106">
        <v>5112</v>
      </c>
      <c r="BL31" s="106">
        <v>9</v>
      </c>
      <c r="BM31" s="106">
        <v>3067.2000000000003</v>
      </c>
      <c r="BN31" s="106">
        <v>10</v>
      </c>
      <c r="BO31" s="106">
        <v>3408</v>
      </c>
      <c r="BP31" s="106">
        <v>3</v>
      </c>
      <c r="BQ31" s="106">
        <v>1022.4000000000001</v>
      </c>
      <c r="BR31" s="106">
        <v>3</v>
      </c>
      <c r="BS31" s="106">
        <v>1022.4000000000001</v>
      </c>
      <c r="BT31" s="106">
        <v>3</v>
      </c>
      <c r="BU31" s="106">
        <v>1022.4000000000001</v>
      </c>
      <c r="BV31" s="106">
        <v>3</v>
      </c>
      <c r="BW31" s="106">
        <v>1022.4000000000001</v>
      </c>
      <c r="BX31" s="106">
        <v>14</v>
      </c>
      <c r="BY31" s="106">
        <v>4771.2</v>
      </c>
      <c r="BZ31" s="106">
        <v>13</v>
      </c>
      <c r="CA31" s="106">
        <v>4430.4000000000005</v>
      </c>
      <c r="CB31" s="106">
        <v>22</v>
      </c>
      <c r="CC31" s="106">
        <v>7497.6</v>
      </c>
      <c r="CD31" s="106">
        <v>20</v>
      </c>
      <c r="CE31" s="106">
        <v>6816</v>
      </c>
      <c r="CF31" s="106">
        <v>34</v>
      </c>
      <c r="CG31" s="106">
        <v>11587.2</v>
      </c>
      <c r="CH31" s="106">
        <v>36</v>
      </c>
      <c r="CI31" s="106">
        <v>12268.800000000001</v>
      </c>
      <c r="CJ31" s="106">
        <v>34</v>
      </c>
      <c r="CK31" s="106">
        <v>11587.2</v>
      </c>
      <c r="CL31" s="106">
        <v>31</v>
      </c>
      <c r="CM31" s="106">
        <v>10564.800000000001</v>
      </c>
      <c r="CN31" s="106">
        <v>20</v>
      </c>
      <c r="CO31" s="106">
        <v>6816</v>
      </c>
      <c r="CP31" s="106">
        <v>25</v>
      </c>
      <c r="CQ31" s="106">
        <v>8520</v>
      </c>
      <c r="CR31" s="106">
        <v>22</v>
      </c>
      <c r="CS31" s="106">
        <v>7497.6</v>
      </c>
      <c r="CT31" s="106">
        <v>23</v>
      </c>
      <c r="CU31" s="106">
        <v>7838.4000000000005</v>
      </c>
    </row>
    <row r="32" spans="2:99" x14ac:dyDescent="0.2">
      <c r="C32" s="105" t="s">
        <v>198</v>
      </c>
      <c r="D32" s="106">
        <v>2</v>
      </c>
      <c r="E32" s="106">
        <v>1680</v>
      </c>
      <c r="F32" s="106">
        <v>3</v>
      </c>
      <c r="G32" s="106">
        <v>2520</v>
      </c>
      <c r="H32" s="106">
        <v>2</v>
      </c>
      <c r="I32" s="106">
        <v>1680</v>
      </c>
      <c r="J32" s="106">
        <v>4</v>
      </c>
      <c r="K32" s="106">
        <v>3360</v>
      </c>
      <c r="L32" s="106">
        <v>19</v>
      </c>
      <c r="M32" s="106">
        <v>15960</v>
      </c>
      <c r="N32" s="106">
        <v>14</v>
      </c>
      <c r="O32" s="106">
        <v>11760</v>
      </c>
      <c r="P32" s="106">
        <v>24</v>
      </c>
      <c r="Q32" s="106">
        <v>20160</v>
      </c>
      <c r="R32" s="106">
        <v>24</v>
      </c>
      <c r="S32" s="106">
        <v>20160</v>
      </c>
      <c r="T32" s="106">
        <v>3</v>
      </c>
      <c r="U32" s="106">
        <v>2520</v>
      </c>
      <c r="V32" s="106">
        <v>4</v>
      </c>
      <c r="W32" s="106">
        <v>3360</v>
      </c>
      <c r="X32" s="106">
        <v>3</v>
      </c>
      <c r="Y32" s="106">
        <v>2520</v>
      </c>
      <c r="Z32" s="106">
        <v>3</v>
      </c>
      <c r="AA32" s="106">
        <v>2520</v>
      </c>
      <c r="AB32" s="106">
        <v>3</v>
      </c>
      <c r="AC32" s="106">
        <v>2520</v>
      </c>
      <c r="AD32" s="106">
        <v>3</v>
      </c>
      <c r="AE32" s="106">
        <v>2520</v>
      </c>
      <c r="AF32" s="106">
        <v>2</v>
      </c>
      <c r="AG32" s="106">
        <v>1680</v>
      </c>
      <c r="AH32" s="106">
        <v>2</v>
      </c>
      <c r="AI32" s="106">
        <v>1680</v>
      </c>
      <c r="AJ32" s="106">
        <v>8</v>
      </c>
      <c r="AK32" s="106">
        <v>6720</v>
      </c>
      <c r="AL32" s="106">
        <v>10</v>
      </c>
      <c r="AM32" s="106">
        <v>8400</v>
      </c>
      <c r="AN32" s="106">
        <v>9</v>
      </c>
      <c r="AO32" s="106">
        <v>7560</v>
      </c>
      <c r="AP32" s="106">
        <v>13</v>
      </c>
      <c r="AQ32" s="106">
        <v>10920</v>
      </c>
      <c r="AR32" s="106">
        <v>30</v>
      </c>
      <c r="AS32" s="106">
        <v>25200</v>
      </c>
      <c r="AT32" s="106">
        <v>34</v>
      </c>
      <c r="AU32" s="106">
        <v>28560</v>
      </c>
      <c r="AV32" s="106">
        <v>27</v>
      </c>
      <c r="AW32" s="106">
        <v>22680</v>
      </c>
      <c r="AX32" s="106">
        <v>21</v>
      </c>
      <c r="AY32" s="106">
        <v>17640</v>
      </c>
      <c r="AZ32" s="106">
        <v>2</v>
      </c>
      <c r="BA32" s="106">
        <v>1680</v>
      </c>
      <c r="BB32" s="106">
        <v>3</v>
      </c>
      <c r="BC32" s="106">
        <v>2520</v>
      </c>
      <c r="BD32" s="106">
        <v>3</v>
      </c>
      <c r="BE32" s="106">
        <v>2520</v>
      </c>
      <c r="BF32" s="106">
        <v>2</v>
      </c>
      <c r="BG32" s="106">
        <v>1680</v>
      </c>
      <c r="BH32" s="106">
        <v>10</v>
      </c>
      <c r="BI32" s="106">
        <v>8400</v>
      </c>
      <c r="BJ32" s="106">
        <v>14</v>
      </c>
      <c r="BK32" s="106">
        <v>11760</v>
      </c>
      <c r="BL32" s="106">
        <v>8</v>
      </c>
      <c r="BM32" s="106">
        <v>6720</v>
      </c>
      <c r="BN32" s="106">
        <v>10</v>
      </c>
      <c r="BO32" s="106">
        <v>8400</v>
      </c>
      <c r="BP32" s="106">
        <v>3</v>
      </c>
      <c r="BQ32" s="106">
        <v>2520</v>
      </c>
      <c r="BR32" s="106">
        <v>3</v>
      </c>
      <c r="BS32" s="106">
        <v>2520</v>
      </c>
      <c r="BT32" s="106">
        <v>3</v>
      </c>
      <c r="BU32" s="106">
        <v>2520</v>
      </c>
      <c r="BV32" s="106">
        <v>3</v>
      </c>
      <c r="BW32" s="106">
        <v>2520</v>
      </c>
      <c r="BX32" s="106">
        <v>13</v>
      </c>
      <c r="BY32" s="106">
        <v>10920</v>
      </c>
      <c r="BZ32" s="106">
        <v>12</v>
      </c>
      <c r="CA32" s="106">
        <v>10080</v>
      </c>
      <c r="CB32" s="106">
        <v>21</v>
      </c>
      <c r="CC32" s="106">
        <v>17640</v>
      </c>
      <c r="CD32" s="106">
        <v>21</v>
      </c>
      <c r="CE32" s="106">
        <v>17640</v>
      </c>
      <c r="CF32" s="106">
        <v>30</v>
      </c>
      <c r="CG32" s="106">
        <v>25200</v>
      </c>
      <c r="CH32" s="106">
        <v>30</v>
      </c>
      <c r="CI32" s="106">
        <v>25200</v>
      </c>
      <c r="CJ32" s="106">
        <v>30</v>
      </c>
      <c r="CK32" s="106">
        <v>25200</v>
      </c>
      <c r="CL32" s="106">
        <v>32</v>
      </c>
      <c r="CM32" s="106">
        <v>26880</v>
      </c>
      <c r="CN32" s="106">
        <v>20</v>
      </c>
      <c r="CO32" s="106">
        <v>16800</v>
      </c>
      <c r="CP32" s="106">
        <v>22</v>
      </c>
      <c r="CQ32" s="106">
        <v>18480</v>
      </c>
      <c r="CR32" s="106">
        <v>22</v>
      </c>
      <c r="CS32" s="106">
        <v>18480</v>
      </c>
      <c r="CT32" s="106">
        <v>22</v>
      </c>
      <c r="CU32" s="106">
        <v>18480</v>
      </c>
    </row>
    <row r="33" spans="2:99" x14ac:dyDescent="0.2">
      <c r="C33" s="105" t="s">
        <v>199</v>
      </c>
      <c r="D33" s="106">
        <v>3</v>
      </c>
      <c r="E33" s="106">
        <v>1422</v>
      </c>
      <c r="F33" s="106">
        <v>3</v>
      </c>
      <c r="G33" s="106">
        <v>1422</v>
      </c>
      <c r="H33" s="106">
        <v>2</v>
      </c>
      <c r="I33" s="106">
        <v>948</v>
      </c>
      <c r="J33" s="106">
        <v>4</v>
      </c>
      <c r="K33" s="106">
        <v>1896</v>
      </c>
      <c r="L33" s="106">
        <v>22</v>
      </c>
      <c r="M33" s="106">
        <v>10428</v>
      </c>
      <c r="N33" s="106">
        <v>16</v>
      </c>
      <c r="O33" s="106">
        <v>7584</v>
      </c>
      <c r="P33" s="106">
        <v>24</v>
      </c>
      <c r="Q33" s="106">
        <v>11376</v>
      </c>
      <c r="R33" s="106">
        <v>27</v>
      </c>
      <c r="S33" s="106">
        <v>12798</v>
      </c>
      <c r="T33" s="106">
        <v>3</v>
      </c>
      <c r="U33" s="106">
        <v>1422</v>
      </c>
      <c r="V33" s="106">
        <v>3</v>
      </c>
      <c r="W33" s="106">
        <v>1422</v>
      </c>
      <c r="X33" s="106">
        <v>3</v>
      </c>
      <c r="Y33" s="106">
        <v>1422</v>
      </c>
      <c r="Z33" s="106">
        <v>3</v>
      </c>
      <c r="AA33" s="106">
        <v>1422</v>
      </c>
      <c r="AB33" s="106">
        <v>3</v>
      </c>
      <c r="AC33" s="106">
        <v>1422</v>
      </c>
      <c r="AD33" s="106">
        <v>3</v>
      </c>
      <c r="AE33" s="106">
        <v>1422</v>
      </c>
      <c r="AF33" s="106">
        <v>3</v>
      </c>
      <c r="AG33" s="106">
        <v>1422</v>
      </c>
      <c r="AH33" s="106">
        <v>2</v>
      </c>
      <c r="AI33" s="106">
        <v>948</v>
      </c>
      <c r="AJ33" s="106">
        <v>8</v>
      </c>
      <c r="AK33" s="106">
        <v>3792</v>
      </c>
      <c r="AL33" s="106">
        <v>11</v>
      </c>
      <c r="AM33" s="106">
        <v>5214</v>
      </c>
      <c r="AN33" s="106">
        <v>8</v>
      </c>
      <c r="AO33" s="106">
        <v>3792</v>
      </c>
      <c r="AP33" s="106">
        <v>14</v>
      </c>
      <c r="AQ33" s="106">
        <v>6636</v>
      </c>
      <c r="AR33" s="106">
        <v>28</v>
      </c>
      <c r="AS33" s="106">
        <v>13272</v>
      </c>
      <c r="AT33" s="106">
        <v>34</v>
      </c>
      <c r="AU33" s="106">
        <v>16116</v>
      </c>
      <c r="AV33" s="106">
        <v>28</v>
      </c>
      <c r="AW33" s="106">
        <v>13272</v>
      </c>
      <c r="AX33" s="106">
        <v>22</v>
      </c>
      <c r="AY33" s="106">
        <v>10428</v>
      </c>
      <c r="AZ33" s="106">
        <v>3</v>
      </c>
      <c r="BA33" s="106">
        <v>1422</v>
      </c>
      <c r="BB33" s="106">
        <v>3</v>
      </c>
      <c r="BC33" s="106">
        <v>1422</v>
      </c>
      <c r="BD33" s="106">
        <v>4</v>
      </c>
      <c r="BE33" s="106">
        <v>1896</v>
      </c>
      <c r="BF33" s="106">
        <v>2</v>
      </c>
      <c r="BG33" s="106">
        <v>948</v>
      </c>
      <c r="BH33" s="106">
        <v>11</v>
      </c>
      <c r="BI33" s="106">
        <v>5214</v>
      </c>
      <c r="BJ33" s="106">
        <v>13</v>
      </c>
      <c r="BK33" s="106">
        <v>6162</v>
      </c>
      <c r="BL33" s="106">
        <v>9</v>
      </c>
      <c r="BM33" s="106">
        <v>4266</v>
      </c>
      <c r="BN33" s="106">
        <v>12</v>
      </c>
      <c r="BO33" s="106">
        <v>5688</v>
      </c>
      <c r="BP33" s="106">
        <v>3</v>
      </c>
      <c r="BQ33" s="106">
        <v>1422</v>
      </c>
      <c r="BR33" s="106">
        <v>4</v>
      </c>
      <c r="BS33" s="106">
        <v>1896</v>
      </c>
      <c r="BT33" s="106">
        <v>3</v>
      </c>
      <c r="BU33" s="106">
        <v>1422</v>
      </c>
      <c r="BV33" s="106">
        <v>3</v>
      </c>
      <c r="BW33" s="106">
        <v>1422</v>
      </c>
      <c r="BX33" s="106">
        <v>16</v>
      </c>
      <c r="BY33" s="106">
        <v>7584</v>
      </c>
      <c r="BZ33" s="106">
        <v>15</v>
      </c>
      <c r="CA33" s="106">
        <v>7110</v>
      </c>
      <c r="CB33" s="106">
        <v>25</v>
      </c>
      <c r="CC33" s="106">
        <v>11850</v>
      </c>
      <c r="CD33" s="106">
        <v>19</v>
      </c>
      <c r="CE33" s="106">
        <v>9006</v>
      </c>
      <c r="CF33" s="106">
        <v>34</v>
      </c>
      <c r="CG33" s="106">
        <v>16116</v>
      </c>
      <c r="CH33" s="106">
        <v>33</v>
      </c>
      <c r="CI33" s="106">
        <v>15642</v>
      </c>
      <c r="CJ33" s="106">
        <v>29</v>
      </c>
      <c r="CK33" s="106">
        <v>13746</v>
      </c>
      <c r="CL33" s="106">
        <v>31</v>
      </c>
      <c r="CM33" s="106">
        <v>14694</v>
      </c>
      <c r="CN33" s="106">
        <v>18</v>
      </c>
      <c r="CO33" s="106">
        <v>8532</v>
      </c>
      <c r="CP33" s="106">
        <v>23</v>
      </c>
      <c r="CQ33" s="106">
        <v>10902</v>
      </c>
      <c r="CR33" s="106">
        <v>21</v>
      </c>
      <c r="CS33" s="106">
        <v>9954</v>
      </c>
      <c r="CT33" s="106">
        <v>22</v>
      </c>
      <c r="CU33" s="106">
        <v>10428</v>
      </c>
    </row>
    <row r="34" spans="2:99" x14ac:dyDescent="0.2">
      <c r="C34" s="105" t="s">
        <v>200</v>
      </c>
      <c r="D34" s="106">
        <v>2</v>
      </c>
      <c r="E34" s="106">
        <v>1096.8</v>
      </c>
      <c r="F34" s="106">
        <v>4</v>
      </c>
      <c r="G34" s="106">
        <v>2193.6</v>
      </c>
      <c r="H34" s="106">
        <v>2</v>
      </c>
      <c r="I34" s="106">
        <v>1096.8</v>
      </c>
      <c r="J34" s="106">
        <v>4</v>
      </c>
      <c r="K34" s="106">
        <v>2193.6</v>
      </c>
      <c r="L34" s="106">
        <v>24</v>
      </c>
      <c r="M34" s="106">
        <v>13161.599999999999</v>
      </c>
      <c r="N34" s="106">
        <v>14</v>
      </c>
      <c r="O34" s="106">
        <v>7677.5999999999995</v>
      </c>
      <c r="P34" s="106">
        <v>21</v>
      </c>
      <c r="Q34" s="106">
        <v>11516.4</v>
      </c>
      <c r="R34" s="106">
        <v>24</v>
      </c>
      <c r="S34" s="106">
        <v>13161.599999999999</v>
      </c>
      <c r="T34" s="106">
        <v>3</v>
      </c>
      <c r="U34" s="106">
        <v>1645.1999999999998</v>
      </c>
      <c r="V34" s="106">
        <v>3</v>
      </c>
      <c r="W34" s="106">
        <v>1645.1999999999998</v>
      </c>
      <c r="X34" s="106">
        <v>3</v>
      </c>
      <c r="Y34" s="106">
        <v>1645.1999999999998</v>
      </c>
      <c r="Z34" s="106">
        <v>3</v>
      </c>
      <c r="AA34" s="106">
        <v>1645.1999999999998</v>
      </c>
      <c r="AB34" s="106">
        <v>4</v>
      </c>
      <c r="AC34" s="106">
        <v>2193.6</v>
      </c>
      <c r="AD34" s="106">
        <v>3</v>
      </c>
      <c r="AE34" s="106">
        <v>1645.1999999999998</v>
      </c>
      <c r="AF34" s="106">
        <v>3</v>
      </c>
      <c r="AG34" s="106">
        <v>1645.1999999999998</v>
      </c>
      <c r="AH34" s="106">
        <v>2</v>
      </c>
      <c r="AI34" s="106">
        <v>1096.8</v>
      </c>
      <c r="AJ34" s="106">
        <v>8</v>
      </c>
      <c r="AK34" s="106">
        <v>4387.2</v>
      </c>
      <c r="AL34" s="106">
        <v>10</v>
      </c>
      <c r="AM34" s="106">
        <v>5484</v>
      </c>
      <c r="AN34" s="106">
        <v>8</v>
      </c>
      <c r="AO34" s="106">
        <v>4387.2</v>
      </c>
      <c r="AP34" s="106">
        <v>14</v>
      </c>
      <c r="AQ34" s="106">
        <v>7677.5999999999995</v>
      </c>
      <c r="AR34" s="106">
        <v>33</v>
      </c>
      <c r="AS34" s="106">
        <v>18097.2</v>
      </c>
      <c r="AT34" s="106">
        <v>34</v>
      </c>
      <c r="AU34" s="106">
        <v>18645.599999999999</v>
      </c>
      <c r="AV34" s="106">
        <v>25</v>
      </c>
      <c r="AW34" s="106">
        <v>13710</v>
      </c>
      <c r="AX34" s="106">
        <v>19</v>
      </c>
      <c r="AY34" s="106">
        <v>10419.6</v>
      </c>
      <c r="AZ34" s="106">
        <v>2</v>
      </c>
      <c r="BA34" s="106">
        <v>1096.8</v>
      </c>
      <c r="BB34" s="106">
        <v>4</v>
      </c>
      <c r="BC34" s="106">
        <v>2193.6</v>
      </c>
      <c r="BD34" s="106">
        <v>4</v>
      </c>
      <c r="BE34" s="106">
        <v>2193.6</v>
      </c>
      <c r="BF34" s="106">
        <v>2</v>
      </c>
      <c r="BG34" s="106">
        <v>1096.8</v>
      </c>
      <c r="BH34" s="106">
        <v>11</v>
      </c>
      <c r="BI34" s="106">
        <v>6032.4</v>
      </c>
      <c r="BJ34" s="106">
        <v>14</v>
      </c>
      <c r="BK34" s="106">
        <v>7677.5999999999995</v>
      </c>
      <c r="BL34" s="106">
        <v>9</v>
      </c>
      <c r="BM34" s="106">
        <v>4935.5999999999995</v>
      </c>
      <c r="BN34" s="106">
        <v>12</v>
      </c>
      <c r="BO34" s="106">
        <v>6580.7999999999993</v>
      </c>
      <c r="BP34" s="106">
        <v>3</v>
      </c>
      <c r="BQ34" s="106">
        <v>1645.1999999999998</v>
      </c>
      <c r="BR34" s="106">
        <v>3</v>
      </c>
      <c r="BS34" s="106">
        <v>1645.1999999999998</v>
      </c>
      <c r="BT34" s="106">
        <v>3</v>
      </c>
      <c r="BU34" s="106">
        <v>1645.1999999999998</v>
      </c>
      <c r="BV34" s="106">
        <v>3</v>
      </c>
      <c r="BW34" s="106">
        <v>1645.1999999999998</v>
      </c>
      <c r="BX34" s="106">
        <v>15</v>
      </c>
      <c r="BY34" s="106">
        <v>8226</v>
      </c>
      <c r="BZ34" s="106">
        <v>15</v>
      </c>
      <c r="CA34" s="106">
        <v>8226</v>
      </c>
      <c r="CB34" s="106">
        <v>24</v>
      </c>
      <c r="CC34" s="106">
        <v>13161.599999999999</v>
      </c>
      <c r="CD34" s="106">
        <v>19</v>
      </c>
      <c r="CE34" s="106">
        <v>10419.6</v>
      </c>
      <c r="CF34" s="106">
        <v>31</v>
      </c>
      <c r="CG34" s="106">
        <v>17000.399999999998</v>
      </c>
      <c r="CH34" s="106">
        <v>35</v>
      </c>
      <c r="CI34" s="106">
        <v>19194</v>
      </c>
      <c r="CJ34" s="106">
        <v>31</v>
      </c>
      <c r="CK34" s="106">
        <v>17000.399999999998</v>
      </c>
      <c r="CL34" s="106">
        <v>35</v>
      </c>
      <c r="CM34" s="106">
        <v>19194</v>
      </c>
      <c r="CN34" s="106">
        <v>21</v>
      </c>
      <c r="CO34" s="106">
        <v>11516.4</v>
      </c>
      <c r="CP34" s="106">
        <v>23</v>
      </c>
      <c r="CQ34" s="106">
        <v>12613.199999999999</v>
      </c>
      <c r="CR34" s="106">
        <v>20</v>
      </c>
      <c r="CS34" s="106">
        <v>10968</v>
      </c>
      <c r="CT34" s="106">
        <v>23</v>
      </c>
      <c r="CU34" s="106">
        <v>12613.199999999999</v>
      </c>
    </row>
    <row r="35" spans="2:99" x14ac:dyDescent="0.2">
      <c r="C35" s="105" t="s">
        <v>201</v>
      </c>
      <c r="D35" s="106">
        <v>2</v>
      </c>
      <c r="E35" s="106">
        <v>1005.5999999999998</v>
      </c>
      <c r="F35" s="106">
        <v>4</v>
      </c>
      <c r="G35" s="106">
        <v>2011.1999999999996</v>
      </c>
      <c r="H35" s="106">
        <v>2</v>
      </c>
      <c r="I35" s="106">
        <v>1005.5999999999998</v>
      </c>
      <c r="J35" s="106">
        <v>4</v>
      </c>
      <c r="K35" s="106">
        <v>2011.1999999999996</v>
      </c>
      <c r="L35" s="106">
        <v>24</v>
      </c>
      <c r="M35" s="106">
        <v>12067.199999999997</v>
      </c>
      <c r="N35" s="106">
        <v>15</v>
      </c>
      <c r="O35" s="106">
        <v>7541.9999999999982</v>
      </c>
      <c r="P35" s="106">
        <v>25</v>
      </c>
      <c r="Q35" s="106">
        <v>12569.999999999998</v>
      </c>
      <c r="R35" s="106">
        <v>24</v>
      </c>
      <c r="S35" s="106">
        <v>12067.199999999997</v>
      </c>
      <c r="T35" s="106">
        <v>4</v>
      </c>
      <c r="U35" s="106">
        <v>2011.1999999999996</v>
      </c>
      <c r="V35" s="106">
        <v>3</v>
      </c>
      <c r="W35" s="106">
        <v>1508.3999999999996</v>
      </c>
      <c r="X35" s="106">
        <v>4</v>
      </c>
      <c r="Y35" s="106">
        <v>2011.1999999999996</v>
      </c>
      <c r="Z35" s="106">
        <v>4</v>
      </c>
      <c r="AA35" s="106">
        <v>2011.1999999999996</v>
      </c>
      <c r="AB35" s="106">
        <v>3</v>
      </c>
      <c r="AC35" s="106">
        <v>1508.3999999999996</v>
      </c>
      <c r="AD35" s="106">
        <v>3</v>
      </c>
      <c r="AE35" s="106">
        <v>1508.3999999999996</v>
      </c>
      <c r="AF35" s="106">
        <v>3</v>
      </c>
      <c r="AG35" s="106">
        <v>1508.3999999999996</v>
      </c>
      <c r="AH35" s="106">
        <v>3</v>
      </c>
      <c r="AI35" s="106">
        <v>1508.3999999999996</v>
      </c>
      <c r="AJ35" s="106">
        <v>9</v>
      </c>
      <c r="AK35" s="106">
        <v>4525.1999999999989</v>
      </c>
      <c r="AL35" s="106">
        <v>11</v>
      </c>
      <c r="AM35" s="106">
        <v>5530.7999999999993</v>
      </c>
      <c r="AN35" s="106">
        <v>9</v>
      </c>
      <c r="AO35" s="106">
        <v>4525.1999999999989</v>
      </c>
      <c r="AP35" s="106">
        <v>14</v>
      </c>
      <c r="AQ35" s="106">
        <v>7039.1999999999989</v>
      </c>
      <c r="AR35" s="106">
        <v>33</v>
      </c>
      <c r="AS35" s="106">
        <v>16592.399999999998</v>
      </c>
      <c r="AT35" s="106">
        <v>33</v>
      </c>
      <c r="AU35" s="106">
        <v>16592.399999999998</v>
      </c>
      <c r="AV35" s="106">
        <v>28</v>
      </c>
      <c r="AW35" s="106">
        <v>14078.399999999998</v>
      </c>
      <c r="AX35" s="106">
        <v>20</v>
      </c>
      <c r="AY35" s="106">
        <v>10055.999999999998</v>
      </c>
      <c r="AZ35" s="106">
        <v>3</v>
      </c>
      <c r="BA35" s="106">
        <v>1508.3999999999996</v>
      </c>
      <c r="BB35" s="106">
        <v>4</v>
      </c>
      <c r="BC35" s="106">
        <v>2011.1999999999996</v>
      </c>
      <c r="BD35" s="106">
        <v>4</v>
      </c>
      <c r="BE35" s="106">
        <v>2011.1999999999996</v>
      </c>
      <c r="BF35" s="106">
        <v>2</v>
      </c>
      <c r="BG35" s="106">
        <v>1005.5999999999998</v>
      </c>
      <c r="BH35" s="106">
        <v>10</v>
      </c>
      <c r="BI35" s="106">
        <v>5027.9999999999991</v>
      </c>
      <c r="BJ35" s="106">
        <v>14</v>
      </c>
      <c r="BK35" s="106">
        <v>7039.1999999999989</v>
      </c>
      <c r="BL35" s="106">
        <v>9</v>
      </c>
      <c r="BM35" s="106">
        <v>4525.1999999999989</v>
      </c>
      <c r="BN35" s="106">
        <v>10</v>
      </c>
      <c r="BO35" s="106">
        <v>5027.9999999999991</v>
      </c>
      <c r="BP35" s="106">
        <v>3</v>
      </c>
      <c r="BQ35" s="106">
        <v>1508.3999999999996</v>
      </c>
      <c r="BR35" s="106">
        <v>4</v>
      </c>
      <c r="BS35" s="106">
        <v>2011.1999999999996</v>
      </c>
      <c r="BT35" s="106">
        <v>3</v>
      </c>
      <c r="BU35" s="106">
        <v>1508.3999999999996</v>
      </c>
      <c r="BV35" s="106">
        <v>3</v>
      </c>
      <c r="BW35" s="106">
        <v>1508.3999999999996</v>
      </c>
      <c r="BX35" s="106">
        <v>16</v>
      </c>
      <c r="BY35" s="106">
        <v>8044.7999999999984</v>
      </c>
      <c r="BZ35" s="106">
        <v>14</v>
      </c>
      <c r="CA35" s="106">
        <v>7039.1999999999989</v>
      </c>
      <c r="CB35" s="106">
        <v>22</v>
      </c>
      <c r="CC35" s="106">
        <v>11061.599999999999</v>
      </c>
      <c r="CD35" s="106">
        <v>22</v>
      </c>
      <c r="CE35" s="106">
        <v>11061.599999999999</v>
      </c>
      <c r="CF35" s="106">
        <v>32</v>
      </c>
      <c r="CG35" s="106">
        <v>16089.599999999997</v>
      </c>
      <c r="CH35" s="106">
        <v>32</v>
      </c>
      <c r="CI35" s="106">
        <v>16089.599999999997</v>
      </c>
      <c r="CJ35" s="106">
        <v>32</v>
      </c>
      <c r="CK35" s="106">
        <v>16089.599999999997</v>
      </c>
      <c r="CL35" s="106">
        <v>34</v>
      </c>
      <c r="CM35" s="106">
        <v>17095.199999999997</v>
      </c>
      <c r="CN35" s="106">
        <v>19</v>
      </c>
      <c r="CO35" s="106">
        <v>9553.1999999999989</v>
      </c>
      <c r="CP35" s="106">
        <v>23</v>
      </c>
      <c r="CQ35" s="106">
        <v>11564.399999999998</v>
      </c>
      <c r="CR35" s="106">
        <v>20</v>
      </c>
      <c r="CS35" s="106">
        <v>10055.999999999998</v>
      </c>
      <c r="CT35" s="106">
        <v>23</v>
      </c>
      <c r="CU35" s="106">
        <v>11564.399999999998</v>
      </c>
    </row>
    <row r="36" spans="2:99" x14ac:dyDescent="0.2">
      <c r="C36" s="105" t="s">
        <v>202</v>
      </c>
      <c r="D36" s="106">
        <v>2</v>
      </c>
      <c r="E36" s="106">
        <v>1521.6</v>
      </c>
      <c r="F36" s="106">
        <v>3</v>
      </c>
      <c r="G36" s="106">
        <v>2282.3999999999996</v>
      </c>
      <c r="H36" s="106">
        <v>2</v>
      </c>
      <c r="I36" s="106">
        <v>1521.6</v>
      </c>
      <c r="J36" s="106">
        <v>4</v>
      </c>
      <c r="K36" s="106">
        <v>3043.2</v>
      </c>
      <c r="L36" s="106">
        <v>21</v>
      </c>
      <c r="M36" s="106">
        <v>15976.8</v>
      </c>
      <c r="N36" s="106">
        <v>15</v>
      </c>
      <c r="O36" s="106">
        <v>11412</v>
      </c>
      <c r="P36" s="106">
        <v>22</v>
      </c>
      <c r="Q36" s="106">
        <v>16737.599999999999</v>
      </c>
      <c r="R36" s="106">
        <v>23</v>
      </c>
      <c r="S36" s="106">
        <v>17498.399999999998</v>
      </c>
      <c r="T36" s="106">
        <v>4</v>
      </c>
      <c r="U36" s="106">
        <v>3043.2</v>
      </c>
      <c r="V36" s="106">
        <v>4</v>
      </c>
      <c r="W36" s="106">
        <v>3043.2</v>
      </c>
      <c r="X36" s="106">
        <v>3</v>
      </c>
      <c r="Y36" s="106">
        <v>2282.3999999999996</v>
      </c>
      <c r="Z36" s="106">
        <v>3</v>
      </c>
      <c r="AA36" s="106">
        <v>2282.3999999999996</v>
      </c>
      <c r="AB36" s="106">
        <v>3</v>
      </c>
      <c r="AC36" s="106">
        <v>2282.3999999999996</v>
      </c>
      <c r="AD36" s="106">
        <v>3</v>
      </c>
      <c r="AE36" s="106">
        <v>2282.3999999999996</v>
      </c>
      <c r="AF36" s="106">
        <v>2</v>
      </c>
      <c r="AG36" s="106">
        <v>1521.6</v>
      </c>
      <c r="AH36" s="106">
        <v>3</v>
      </c>
      <c r="AI36" s="106">
        <v>2282.3999999999996</v>
      </c>
      <c r="AJ36" s="106">
        <v>8</v>
      </c>
      <c r="AK36" s="106">
        <v>6086.4</v>
      </c>
      <c r="AL36" s="106">
        <v>11</v>
      </c>
      <c r="AM36" s="106">
        <v>8368.7999999999993</v>
      </c>
      <c r="AN36" s="106">
        <v>8</v>
      </c>
      <c r="AO36" s="106">
        <v>6086.4</v>
      </c>
      <c r="AP36" s="106">
        <v>14</v>
      </c>
      <c r="AQ36" s="106">
        <v>10651.199999999999</v>
      </c>
      <c r="AR36" s="106">
        <v>29</v>
      </c>
      <c r="AS36" s="106">
        <v>22063.199999999997</v>
      </c>
      <c r="AT36" s="106">
        <v>35</v>
      </c>
      <c r="AU36" s="106">
        <v>26628</v>
      </c>
      <c r="AV36" s="106">
        <v>28</v>
      </c>
      <c r="AW36" s="106">
        <v>21302.399999999998</v>
      </c>
      <c r="AX36" s="106">
        <v>21</v>
      </c>
      <c r="AY36" s="106">
        <v>15976.8</v>
      </c>
      <c r="AZ36" s="106">
        <v>2</v>
      </c>
      <c r="BA36" s="106">
        <v>1521.6</v>
      </c>
      <c r="BB36" s="106">
        <v>4</v>
      </c>
      <c r="BC36" s="106">
        <v>3043.2</v>
      </c>
      <c r="BD36" s="106">
        <v>4</v>
      </c>
      <c r="BE36" s="106">
        <v>3043.2</v>
      </c>
      <c r="BF36" s="106">
        <v>2</v>
      </c>
      <c r="BG36" s="106">
        <v>1521.6</v>
      </c>
      <c r="BH36" s="106">
        <v>10</v>
      </c>
      <c r="BI36" s="106">
        <v>7608</v>
      </c>
      <c r="BJ36" s="106">
        <v>13</v>
      </c>
      <c r="BK36" s="106">
        <v>9890.4</v>
      </c>
      <c r="BL36" s="106">
        <v>9</v>
      </c>
      <c r="BM36" s="106">
        <v>6847.2</v>
      </c>
      <c r="BN36" s="106">
        <v>11</v>
      </c>
      <c r="BO36" s="106">
        <v>8368.7999999999993</v>
      </c>
      <c r="BP36" s="106">
        <v>3</v>
      </c>
      <c r="BQ36" s="106">
        <v>2282.3999999999996</v>
      </c>
      <c r="BR36" s="106">
        <v>3</v>
      </c>
      <c r="BS36" s="106">
        <v>2282.3999999999996</v>
      </c>
      <c r="BT36" s="106">
        <v>4</v>
      </c>
      <c r="BU36" s="106">
        <v>3043.2</v>
      </c>
      <c r="BV36" s="106">
        <v>3</v>
      </c>
      <c r="BW36" s="106">
        <v>2282.3999999999996</v>
      </c>
      <c r="BX36" s="106">
        <v>14</v>
      </c>
      <c r="BY36" s="106">
        <v>10651.199999999999</v>
      </c>
      <c r="BZ36" s="106">
        <v>13</v>
      </c>
      <c r="CA36" s="106">
        <v>9890.4</v>
      </c>
      <c r="CB36" s="106">
        <v>21</v>
      </c>
      <c r="CC36" s="106">
        <v>15976.8</v>
      </c>
      <c r="CD36" s="106">
        <v>18</v>
      </c>
      <c r="CE36" s="106">
        <v>13694.4</v>
      </c>
      <c r="CF36" s="106">
        <v>31</v>
      </c>
      <c r="CG36" s="106">
        <v>23584.799999999999</v>
      </c>
      <c r="CH36" s="106">
        <v>30</v>
      </c>
      <c r="CI36" s="106">
        <v>22824</v>
      </c>
      <c r="CJ36" s="106">
        <v>28</v>
      </c>
      <c r="CK36" s="106">
        <v>21302.399999999998</v>
      </c>
      <c r="CL36" s="106">
        <v>30</v>
      </c>
      <c r="CM36" s="106">
        <v>22824</v>
      </c>
      <c r="CN36" s="106">
        <v>18</v>
      </c>
      <c r="CO36" s="106">
        <v>13694.4</v>
      </c>
      <c r="CP36" s="106">
        <v>20</v>
      </c>
      <c r="CQ36" s="106">
        <v>15216</v>
      </c>
      <c r="CR36" s="106">
        <v>20</v>
      </c>
      <c r="CS36" s="106">
        <v>15216</v>
      </c>
      <c r="CT36" s="106">
        <v>22</v>
      </c>
      <c r="CU36" s="106">
        <v>16737.599999999999</v>
      </c>
    </row>
    <row r="37" spans="2:99" x14ac:dyDescent="0.2">
      <c r="B37" s="105" t="s">
        <v>128</v>
      </c>
      <c r="C37" s="105" t="s">
        <v>203</v>
      </c>
      <c r="D37" s="106">
        <v>14</v>
      </c>
      <c r="E37" s="106">
        <v>12045.6</v>
      </c>
      <c r="F37" s="106">
        <v>16</v>
      </c>
      <c r="G37" s="106">
        <v>13766.4</v>
      </c>
      <c r="H37" s="106">
        <v>10</v>
      </c>
      <c r="I37" s="106">
        <v>8604</v>
      </c>
      <c r="J37" s="106">
        <v>17</v>
      </c>
      <c r="K37" s="106">
        <v>14626.8</v>
      </c>
      <c r="L37" s="106">
        <v>76</v>
      </c>
      <c r="M37" s="106">
        <v>65390.400000000001</v>
      </c>
      <c r="N37" s="106">
        <v>90</v>
      </c>
      <c r="O37" s="106">
        <v>77436</v>
      </c>
      <c r="P37" s="106">
        <v>86</v>
      </c>
      <c r="Q37" s="106">
        <v>73994.399999999994</v>
      </c>
      <c r="R37" s="106">
        <v>65</v>
      </c>
      <c r="S37" s="106">
        <v>55926</v>
      </c>
      <c r="T37" s="106">
        <v>6</v>
      </c>
      <c r="U37" s="106">
        <v>5162.3999999999996</v>
      </c>
      <c r="V37" s="106">
        <v>3</v>
      </c>
      <c r="W37" s="106">
        <v>2581.1999999999998</v>
      </c>
      <c r="X37" s="106">
        <v>6</v>
      </c>
      <c r="Y37" s="106">
        <v>5162.3999999999996</v>
      </c>
      <c r="Z37" s="106">
        <v>4</v>
      </c>
      <c r="AA37" s="106">
        <v>3441.6</v>
      </c>
      <c r="AB37" s="106">
        <v>48</v>
      </c>
      <c r="AC37" s="106">
        <v>41299.199999999997</v>
      </c>
      <c r="AD37" s="106">
        <v>71</v>
      </c>
      <c r="AE37" s="106">
        <v>61088.4</v>
      </c>
      <c r="AF37" s="106">
        <v>58</v>
      </c>
      <c r="AG37" s="106">
        <v>49903.199999999997</v>
      </c>
      <c r="AH37" s="106">
        <v>98</v>
      </c>
      <c r="AI37" s="106">
        <v>84319.2</v>
      </c>
      <c r="AJ37" s="106">
        <v>55</v>
      </c>
      <c r="AK37" s="106">
        <v>47322</v>
      </c>
      <c r="AL37" s="106">
        <v>66</v>
      </c>
      <c r="AM37" s="106">
        <v>56786.400000000001</v>
      </c>
      <c r="AN37" s="106">
        <v>41</v>
      </c>
      <c r="AO37" s="106">
        <v>35276.400000000001</v>
      </c>
      <c r="AP37" s="106">
        <v>59</v>
      </c>
      <c r="AQ37" s="106">
        <v>50763.6</v>
      </c>
      <c r="AR37" s="106">
        <v>23</v>
      </c>
      <c r="AS37" s="106">
        <v>19789.2</v>
      </c>
      <c r="AT37" s="106">
        <v>25</v>
      </c>
      <c r="AU37" s="106">
        <v>21510</v>
      </c>
      <c r="AV37" s="106">
        <v>21</v>
      </c>
      <c r="AW37" s="106">
        <v>18068.399999999998</v>
      </c>
      <c r="AX37" s="106">
        <v>16</v>
      </c>
      <c r="AY37" s="106">
        <v>13766.4</v>
      </c>
      <c r="AZ37" s="106">
        <v>6</v>
      </c>
      <c r="BA37" s="106">
        <v>5162.3999999999996</v>
      </c>
      <c r="BB37" s="106">
        <v>7</v>
      </c>
      <c r="BC37" s="106">
        <v>6022.8</v>
      </c>
      <c r="BD37" s="106">
        <v>7</v>
      </c>
      <c r="BE37" s="106">
        <v>6022.8</v>
      </c>
      <c r="BF37" s="106">
        <v>8</v>
      </c>
      <c r="BG37" s="106">
        <v>6883.2</v>
      </c>
      <c r="BH37" s="106">
        <v>57</v>
      </c>
      <c r="BI37" s="106">
        <v>49042.799999999996</v>
      </c>
      <c r="BJ37" s="106">
        <v>53</v>
      </c>
      <c r="BK37" s="106">
        <v>45601.2</v>
      </c>
      <c r="BL37" s="106">
        <v>53</v>
      </c>
      <c r="BM37" s="106">
        <v>45601.2</v>
      </c>
      <c r="BN37" s="106">
        <v>54</v>
      </c>
      <c r="BO37" s="106">
        <v>46461.599999999999</v>
      </c>
      <c r="BP37" s="106">
        <v>33</v>
      </c>
      <c r="BQ37" s="106">
        <v>28393.200000000001</v>
      </c>
      <c r="BR37" s="106">
        <v>32</v>
      </c>
      <c r="BS37" s="106">
        <v>27532.799999999999</v>
      </c>
      <c r="BT37" s="106">
        <v>37</v>
      </c>
      <c r="BU37" s="106">
        <v>31834.799999999999</v>
      </c>
      <c r="BV37" s="106">
        <v>34</v>
      </c>
      <c r="BW37" s="106">
        <v>29253.599999999999</v>
      </c>
      <c r="BX37" s="106">
        <v>8</v>
      </c>
      <c r="BY37" s="106">
        <v>6883.2</v>
      </c>
      <c r="BZ37" s="106">
        <v>10</v>
      </c>
      <c r="CA37" s="106">
        <v>8604</v>
      </c>
      <c r="CB37" s="106">
        <v>8</v>
      </c>
      <c r="CC37" s="106">
        <v>6883.2</v>
      </c>
      <c r="CD37" s="106">
        <v>11</v>
      </c>
      <c r="CE37" s="106">
        <v>9464.4</v>
      </c>
      <c r="CF37" s="106">
        <v>6</v>
      </c>
      <c r="CG37" s="106">
        <v>5162.3999999999996</v>
      </c>
      <c r="CH37" s="106">
        <v>6</v>
      </c>
      <c r="CI37" s="106">
        <v>5162.3999999999996</v>
      </c>
      <c r="CJ37" s="106">
        <v>5</v>
      </c>
      <c r="CK37" s="106">
        <v>4302</v>
      </c>
      <c r="CL37" s="106">
        <v>4</v>
      </c>
      <c r="CM37" s="106">
        <v>3441.6</v>
      </c>
      <c r="CN37" s="106">
        <v>8</v>
      </c>
      <c r="CO37" s="106">
        <v>6883.2</v>
      </c>
      <c r="CP37" s="106">
        <v>8</v>
      </c>
      <c r="CQ37" s="106">
        <v>6883.2</v>
      </c>
      <c r="CR37" s="106">
        <v>8</v>
      </c>
      <c r="CS37" s="106">
        <v>6883.2</v>
      </c>
      <c r="CT37" s="106">
        <v>5</v>
      </c>
      <c r="CU37" s="106">
        <v>4302</v>
      </c>
    </row>
    <row r="38" spans="2:99" x14ac:dyDescent="0.2">
      <c r="C38" s="105" t="s">
        <v>204</v>
      </c>
      <c r="D38" s="106">
        <v>13</v>
      </c>
      <c r="E38" s="106">
        <v>16146</v>
      </c>
      <c r="F38" s="106">
        <v>16</v>
      </c>
      <c r="G38" s="106">
        <v>19872</v>
      </c>
      <c r="H38" s="106">
        <v>9</v>
      </c>
      <c r="I38" s="106">
        <v>11178</v>
      </c>
      <c r="J38" s="106">
        <v>16</v>
      </c>
      <c r="K38" s="106">
        <v>19872</v>
      </c>
      <c r="L38" s="106">
        <v>60</v>
      </c>
      <c r="M38" s="106">
        <v>74520</v>
      </c>
      <c r="N38" s="106">
        <v>74</v>
      </c>
      <c r="O38" s="106">
        <v>91908</v>
      </c>
      <c r="P38" s="106">
        <v>89</v>
      </c>
      <c r="Q38" s="106">
        <v>110538</v>
      </c>
      <c r="R38" s="106">
        <v>50</v>
      </c>
      <c r="S38" s="106">
        <v>62100</v>
      </c>
      <c r="T38" s="106">
        <v>6</v>
      </c>
      <c r="U38" s="106">
        <v>7452</v>
      </c>
      <c r="V38" s="106">
        <v>4</v>
      </c>
      <c r="W38" s="106">
        <v>4968</v>
      </c>
      <c r="X38" s="106">
        <v>6</v>
      </c>
      <c r="Y38" s="106">
        <v>7452</v>
      </c>
      <c r="Z38" s="106">
        <v>4</v>
      </c>
      <c r="AA38" s="106">
        <v>4968</v>
      </c>
      <c r="AB38" s="106">
        <v>44</v>
      </c>
      <c r="AC38" s="106">
        <v>54648</v>
      </c>
      <c r="AD38" s="106">
        <v>66</v>
      </c>
      <c r="AE38" s="106">
        <v>81972</v>
      </c>
      <c r="AF38" s="106">
        <v>50</v>
      </c>
      <c r="AG38" s="106">
        <v>62100</v>
      </c>
      <c r="AH38" s="106">
        <v>79</v>
      </c>
      <c r="AI38" s="106">
        <v>98118</v>
      </c>
      <c r="AJ38" s="106">
        <v>44</v>
      </c>
      <c r="AK38" s="106">
        <v>54648</v>
      </c>
      <c r="AL38" s="106">
        <v>67</v>
      </c>
      <c r="AM38" s="106">
        <v>83214</v>
      </c>
      <c r="AN38" s="106">
        <v>38</v>
      </c>
      <c r="AO38" s="106">
        <v>47196</v>
      </c>
      <c r="AP38" s="106">
        <v>48</v>
      </c>
      <c r="AQ38" s="106">
        <v>59616</v>
      </c>
      <c r="AR38" s="106">
        <v>22</v>
      </c>
      <c r="AS38" s="106">
        <v>27324</v>
      </c>
      <c r="AT38" s="106">
        <v>22</v>
      </c>
      <c r="AU38" s="106">
        <v>27324</v>
      </c>
      <c r="AV38" s="106">
        <v>18</v>
      </c>
      <c r="AW38" s="106">
        <v>22356</v>
      </c>
      <c r="AX38" s="106">
        <v>16</v>
      </c>
      <c r="AY38" s="106">
        <v>19872</v>
      </c>
      <c r="AZ38" s="106">
        <v>6</v>
      </c>
      <c r="BA38" s="106">
        <v>7452</v>
      </c>
      <c r="BB38" s="106">
        <v>6</v>
      </c>
      <c r="BC38" s="106">
        <v>7452</v>
      </c>
      <c r="BD38" s="106">
        <v>7</v>
      </c>
      <c r="BE38" s="106">
        <v>8694</v>
      </c>
      <c r="BF38" s="106">
        <v>7</v>
      </c>
      <c r="BG38" s="106">
        <v>8694</v>
      </c>
      <c r="BH38" s="106">
        <v>58</v>
      </c>
      <c r="BI38" s="106">
        <v>72036</v>
      </c>
      <c r="BJ38" s="106">
        <v>49</v>
      </c>
      <c r="BK38" s="106">
        <v>60858</v>
      </c>
      <c r="BL38" s="106">
        <v>49</v>
      </c>
      <c r="BM38" s="106">
        <v>60858</v>
      </c>
      <c r="BN38" s="106">
        <v>53</v>
      </c>
      <c r="BO38" s="106">
        <v>65826</v>
      </c>
      <c r="BP38" s="106">
        <v>35</v>
      </c>
      <c r="BQ38" s="106">
        <v>43470</v>
      </c>
      <c r="BR38" s="106">
        <v>34</v>
      </c>
      <c r="BS38" s="106">
        <v>42228</v>
      </c>
      <c r="BT38" s="106">
        <v>33</v>
      </c>
      <c r="BU38" s="106">
        <v>40986</v>
      </c>
      <c r="BV38" s="106">
        <v>33</v>
      </c>
      <c r="BW38" s="106">
        <v>40986</v>
      </c>
      <c r="BX38" s="106">
        <v>7</v>
      </c>
      <c r="BY38" s="106">
        <v>8694</v>
      </c>
      <c r="BZ38" s="106">
        <v>11</v>
      </c>
      <c r="CA38" s="106">
        <v>13662</v>
      </c>
      <c r="CB38" s="106">
        <v>7</v>
      </c>
      <c r="CC38" s="106">
        <v>8694</v>
      </c>
      <c r="CD38" s="106">
        <v>10</v>
      </c>
      <c r="CE38" s="106">
        <v>12420</v>
      </c>
      <c r="CF38" s="106">
        <v>7</v>
      </c>
      <c r="CG38" s="106">
        <v>8694</v>
      </c>
      <c r="CH38" s="106">
        <v>5</v>
      </c>
      <c r="CI38" s="106">
        <v>6210</v>
      </c>
      <c r="CJ38" s="106">
        <v>4</v>
      </c>
      <c r="CK38" s="106">
        <v>4968</v>
      </c>
      <c r="CL38" s="106">
        <v>4</v>
      </c>
      <c r="CM38" s="106">
        <v>4968</v>
      </c>
      <c r="CN38" s="106">
        <v>7</v>
      </c>
      <c r="CO38" s="106">
        <v>8694</v>
      </c>
      <c r="CP38" s="106">
        <v>8</v>
      </c>
      <c r="CQ38" s="106">
        <v>9936</v>
      </c>
      <c r="CR38" s="106">
        <v>7</v>
      </c>
      <c r="CS38" s="106">
        <v>8694</v>
      </c>
      <c r="CT38" s="106">
        <v>5</v>
      </c>
      <c r="CU38" s="106">
        <v>6210</v>
      </c>
    </row>
    <row r="39" spans="2:99" x14ac:dyDescent="0.2">
      <c r="C39" s="105" t="s">
        <v>205</v>
      </c>
      <c r="D39" s="106">
        <v>12</v>
      </c>
      <c r="E39" s="106">
        <v>17078.400000000001</v>
      </c>
      <c r="F39" s="106">
        <v>14</v>
      </c>
      <c r="G39" s="106">
        <v>19924.8</v>
      </c>
      <c r="H39" s="106">
        <v>10</v>
      </c>
      <c r="I39" s="106">
        <v>14232</v>
      </c>
      <c r="J39" s="106">
        <v>15</v>
      </c>
      <c r="K39" s="106">
        <v>21348</v>
      </c>
      <c r="L39" s="106">
        <v>63</v>
      </c>
      <c r="M39" s="106">
        <v>89661.6</v>
      </c>
      <c r="N39" s="106">
        <v>77</v>
      </c>
      <c r="O39" s="106">
        <v>109586.40000000001</v>
      </c>
      <c r="P39" s="106">
        <v>86</v>
      </c>
      <c r="Q39" s="106">
        <v>122395.2</v>
      </c>
      <c r="R39" s="106">
        <v>52</v>
      </c>
      <c r="S39" s="106">
        <v>74006.400000000009</v>
      </c>
      <c r="T39" s="106">
        <v>5</v>
      </c>
      <c r="U39" s="106">
        <v>7116</v>
      </c>
      <c r="V39" s="106">
        <v>4</v>
      </c>
      <c r="W39" s="106">
        <v>5692.8</v>
      </c>
      <c r="X39" s="106">
        <v>6</v>
      </c>
      <c r="Y39" s="106">
        <v>8539.2000000000007</v>
      </c>
      <c r="Z39" s="106">
        <v>4</v>
      </c>
      <c r="AA39" s="106">
        <v>5692.8</v>
      </c>
      <c r="AB39" s="106">
        <v>38</v>
      </c>
      <c r="AC39" s="106">
        <v>54081.599999999999</v>
      </c>
      <c r="AD39" s="106">
        <v>71</v>
      </c>
      <c r="AE39" s="106">
        <v>101047.2</v>
      </c>
      <c r="AF39" s="106">
        <v>44</v>
      </c>
      <c r="AG39" s="106">
        <v>62620.800000000003</v>
      </c>
      <c r="AH39" s="106">
        <v>87</v>
      </c>
      <c r="AI39" s="106">
        <v>123818.40000000001</v>
      </c>
      <c r="AJ39" s="106">
        <v>47</v>
      </c>
      <c r="AK39" s="106">
        <v>66890.400000000009</v>
      </c>
      <c r="AL39" s="106">
        <v>64</v>
      </c>
      <c r="AM39" s="106">
        <v>91084.800000000003</v>
      </c>
      <c r="AN39" s="106">
        <v>43</v>
      </c>
      <c r="AO39" s="106">
        <v>61197.599999999999</v>
      </c>
      <c r="AP39" s="106">
        <v>50</v>
      </c>
      <c r="AQ39" s="106">
        <v>71160</v>
      </c>
      <c r="AR39" s="106">
        <v>24</v>
      </c>
      <c r="AS39" s="106">
        <v>34156.800000000003</v>
      </c>
      <c r="AT39" s="106">
        <v>24</v>
      </c>
      <c r="AU39" s="106">
        <v>34156.800000000003</v>
      </c>
      <c r="AV39" s="106">
        <v>20</v>
      </c>
      <c r="AW39" s="106">
        <v>28464</v>
      </c>
      <c r="AX39" s="106">
        <v>16</v>
      </c>
      <c r="AY39" s="106">
        <v>22771.200000000001</v>
      </c>
      <c r="AZ39" s="106">
        <v>7</v>
      </c>
      <c r="BA39" s="106">
        <v>9962.4</v>
      </c>
      <c r="BB39" s="106">
        <v>6</v>
      </c>
      <c r="BC39" s="106">
        <v>8539.2000000000007</v>
      </c>
      <c r="BD39" s="106">
        <v>7</v>
      </c>
      <c r="BE39" s="106">
        <v>9962.4</v>
      </c>
      <c r="BF39" s="106">
        <v>7</v>
      </c>
      <c r="BG39" s="106">
        <v>9962.4</v>
      </c>
      <c r="BH39" s="106">
        <v>61</v>
      </c>
      <c r="BI39" s="106">
        <v>86815.2</v>
      </c>
      <c r="BJ39" s="106">
        <v>47</v>
      </c>
      <c r="BK39" s="106">
        <v>66890.400000000009</v>
      </c>
      <c r="BL39" s="106">
        <v>52</v>
      </c>
      <c r="BM39" s="106">
        <v>74006.400000000009</v>
      </c>
      <c r="BN39" s="106">
        <v>52</v>
      </c>
      <c r="BO39" s="106">
        <v>74006.400000000009</v>
      </c>
      <c r="BP39" s="106">
        <v>36</v>
      </c>
      <c r="BQ39" s="106">
        <v>51235.200000000004</v>
      </c>
      <c r="BR39" s="106">
        <v>32</v>
      </c>
      <c r="BS39" s="106">
        <v>45542.400000000001</v>
      </c>
      <c r="BT39" s="106">
        <v>29</v>
      </c>
      <c r="BU39" s="106">
        <v>41272.800000000003</v>
      </c>
      <c r="BV39" s="106">
        <v>31</v>
      </c>
      <c r="BW39" s="106">
        <v>44119.200000000004</v>
      </c>
      <c r="BX39" s="106">
        <v>6</v>
      </c>
      <c r="BY39" s="106">
        <v>8539.2000000000007</v>
      </c>
      <c r="BZ39" s="106">
        <v>11</v>
      </c>
      <c r="CA39" s="106">
        <v>15655.2</v>
      </c>
      <c r="CB39" s="106">
        <v>8</v>
      </c>
      <c r="CC39" s="106">
        <v>11385.6</v>
      </c>
      <c r="CD39" s="106">
        <v>11</v>
      </c>
      <c r="CE39" s="106">
        <v>15655.2</v>
      </c>
      <c r="CF39" s="106">
        <v>6</v>
      </c>
      <c r="CG39" s="106">
        <v>8539.2000000000007</v>
      </c>
      <c r="CH39" s="106">
        <v>6</v>
      </c>
      <c r="CI39" s="106">
        <v>8539.2000000000007</v>
      </c>
      <c r="CJ39" s="106">
        <v>4</v>
      </c>
      <c r="CK39" s="106">
        <v>5692.8</v>
      </c>
      <c r="CL39" s="106">
        <v>4</v>
      </c>
      <c r="CM39" s="106">
        <v>5692.8</v>
      </c>
      <c r="CN39" s="106">
        <v>8</v>
      </c>
      <c r="CO39" s="106">
        <v>11385.6</v>
      </c>
      <c r="CP39" s="106">
        <v>8</v>
      </c>
      <c r="CQ39" s="106">
        <v>11385.6</v>
      </c>
      <c r="CR39" s="106">
        <v>7</v>
      </c>
      <c r="CS39" s="106">
        <v>9962.4</v>
      </c>
      <c r="CT39" s="106">
        <v>5</v>
      </c>
      <c r="CU39" s="106">
        <v>7116</v>
      </c>
    </row>
    <row r="40" spans="2:99" x14ac:dyDescent="0.2">
      <c r="C40" s="105" t="s">
        <v>206</v>
      </c>
      <c r="D40" s="106">
        <v>14</v>
      </c>
      <c r="E40" s="106">
        <v>10147.199999999999</v>
      </c>
      <c r="F40" s="106">
        <v>16</v>
      </c>
      <c r="G40" s="106">
        <v>11596.8</v>
      </c>
      <c r="H40" s="106">
        <v>10</v>
      </c>
      <c r="I40" s="106">
        <v>7248</v>
      </c>
      <c r="J40" s="106">
        <v>17</v>
      </c>
      <c r="K40" s="106">
        <v>12321.599999999999</v>
      </c>
      <c r="L40" s="106">
        <v>66</v>
      </c>
      <c r="M40" s="106">
        <v>47836.799999999996</v>
      </c>
      <c r="N40" s="106">
        <v>94</v>
      </c>
      <c r="O40" s="106">
        <v>68131.199999999997</v>
      </c>
      <c r="P40" s="106">
        <v>102</v>
      </c>
      <c r="Q40" s="106">
        <v>73929.599999999991</v>
      </c>
      <c r="R40" s="106">
        <v>66</v>
      </c>
      <c r="S40" s="106">
        <v>47836.799999999996</v>
      </c>
      <c r="T40" s="106">
        <v>6</v>
      </c>
      <c r="U40" s="106">
        <v>4348.7999999999993</v>
      </c>
      <c r="V40" s="106">
        <v>4</v>
      </c>
      <c r="W40" s="106">
        <v>2899.2</v>
      </c>
      <c r="X40" s="106">
        <v>7</v>
      </c>
      <c r="Y40" s="106">
        <v>5073.5999999999995</v>
      </c>
      <c r="Z40" s="106">
        <v>4</v>
      </c>
      <c r="AA40" s="106">
        <v>2899.2</v>
      </c>
      <c r="AB40" s="106">
        <v>49</v>
      </c>
      <c r="AC40" s="106">
        <v>35515.199999999997</v>
      </c>
      <c r="AD40" s="106">
        <v>79</v>
      </c>
      <c r="AE40" s="106">
        <v>57259.199999999997</v>
      </c>
      <c r="AF40" s="106">
        <v>52</v>
      </c>
      <c r="AG40" s="106">
        <v>37689.599999999999</v>
      </c>
      <c r="AH40" s="106">
        <v>105</v>
      </c>
      <c r="AI40" s="106">
        <v>76104</v>
      </c>
      <c r="AJ40" s="106">
        <v>56</v>
      </c>
      <c r="AK40" s="106">
        <v>40588.799999999996</v>
      </c>
      <c r="AL40" s="106">
        <v>69</v>
      </c>
      <c r="AM40" s="106">
        <v>50011.199999999997</v>
      </c>
      <c r="AN40" s="106">
        <v>49</v>
      </c>
      <c r="AO40" s="106">
        <v>35515.199999999997</v>
      </c>
      <c r="AP40" s="106">
        <v>60</v>
      </c>
      <c r="AQ40" s="106">
        <v>43488</v>
      </c>
      <c r="AR40" s="106">
        <v>25</v>
      </c>
      <c r="AS40" s="106">
        <v>18120</v>
      </c>
      <c r="AT40" s="106">
        <v>23</v>
      </c>
      <c r="AU40" s="106">
        <v>16670.399999999998</v>
      </c>
      <c r="AV40" s="106">
        <v>22</v>
      </c>
      <c r="AW40" s="106">
        <v>15945.599999999999</v>
      </c>
      <c r="AX40" s="106">
        <v>19</v>
      </c>
      <c r="AY40" s="106">
        <v>13771.199999999999</v>
      </c>
      <c r="AZ40" s="106">
        <v>7</v>
      </c>
      <c r="BA40" s="106">
        <v>5073.5999999999995</v>
      </c>
      <c r="BB40" s="106">
        <v>7</v>
      </c>
      <c r="BC40" s="106">
        <v>5073.5999999999995</v>
      </c>
      <c r="BD40" s="106">
        <v>7</v>
      </c>
      <c r="BE40" s="106">
        <v>5073.5999999999995</v>
      </c>
      <c r="BF40" s="106">
        <v>7</v>
      </c>
      <c r="BG40" s="106">
        <v>5073.5999999999995</v>
      </c>
      <c r="BH40" s="106">
        <v>67</v>
      </c>
      <c r="BI40" s="106">
        <v>48561.599999999999</v>
      </c>
      <c r="BJ40" s="106">
        <v>54</v>
      </c>
      <c r="BK40" s="106">
        <v>39139.199999999997</v>
      </c>
      <c r="BL40" s="106">
        <v>56</v>
      </c>
      <c r="BM40" s="106">
        <v>40588.799999999996</v>
      </c>
      <c r="BN40" s="106">
        <v>58</v>
      </c>
      <c r="BO40" s="106">
        <v>42038.399999999994</v>
      </c>
      <c r="BP40" s="106">
        <v>36</v>
      </c>
      <c r="BQ40" s="106">
        <v>26092.799999999999</v>
      </c>
      <c r="BR40" s="106">
        <v>39</v>
      </c>
      <c r="BS40" s="106">
        <v>28267.199999999997</v>
      </c>
      <c r="BT40" s="106">
        <v>34</v>
      </c>
      <c r="BU40" s="106">
        <v>24643.199999999997</v>
      </c>
      <c r="BV40" s="106">
        <v>32</v>
      </c>
      <c r="BW40" s="106">
        <v>23193.599999999999</v>
      </c>
      <c r="BX40" s="106">
        <v>7</v>
      </c>
      <c r="BY40" s="106">
        <v>5073.5999999999995</v>
      </c>
      <c r="BZ40" s="106">
        <v>10</v>
      </c>
      <c r="CA40" s="106">
        <v>7248</v>
      </c>
      <c r="CB40" s="106">
        <v>8</v>
      </c>
      <c r="CC40" s="106">
        <v>5798.4</v>
      </c>
      <c r="CD40" s="106">
        <v>10</v>
      </c>
      <c r="CE40" s="106">
        <v>7248</v>
      </c>
      <c r="CF40" s="106">
        <v>7</v>
      </c>
      <c r="CG40" s="106">
        <v>5073.5999999999995</v>
      </c>
      <c r="CH40" s="106">
        <v>6</v>
      </c>
      <c r="CI40" s="106">
        <v>4348.7999999999993</v>
      </c>
      <c r="CJ40" s="106">
        <v>5</v>
      </c>
      <c r="CK40" s="106">
        <v>3624</v>
      </c>
      <c r="CL40" s="106">
        <v>4</v>
      </c>
      <c r="CM40" s="106">
        <v>2899.2</v>
      </c>
      <c r="CN40" s="106">
        <v>7</v>
      </c>
      <c r="CO40" s="106">
        <v>5073.5999999999995</v>
      </c>
      <c r="CP40" s="106">
        <v>8</v>
      </c>
      <c r="CQ40" s="106">
        <v>5798.4</v>
      </c>
      <c r="CR40" s="106">
        <v>7</v>
      </c>
      <c r="CS40" s="106">
        <v>5073.5999999999995</v>
      </c>
      <c r="CT40" s="106">
        <v>5</v>
      </c>
      <c r="CU40" s="106">
        <v>3624</v>
      </c>
    </row>
    <row r="41" spans="2:99" x14ac:dyDescent="0.2">
      <c r="C41" s="105" t="s">
        <v>207</v>
      </c>
      <c r="D41" s="106">
        <v>14</v>
      </c>
      <c r="E41" s="106">
        <v>9240</v>
      </c>
      <c r="F41" s="106">
        <v>14</v>
      </c>
      <c r="G41" s="106">
        <v>9240</v>
      </c>
      <c r="H41" s="106">
        <v>10</v>
      </c>
      <c r="I41" s="106">
        <v>6600</v>
      </c>
      <c r="J41" s="106">
        <v>17</v>
      </c>
      <c r="K41" s="106">
        <v>11220</v>
      </c>
      <c r="L41" s="106">
        <v>70</v>
      </c>
      <c r="M41" s="106">
        <v>46200</v>
      </c>
      <c r="N41" s="106">
        <v>94</v>
      </c>
      <c r="O41" s="106">
        <v>62040</v>
      </c>
      <c r="P41" s="106">
        <v>105</v>
      </c>
      <c r="Q41" s="106">
        <v>69300</v>
      </c>
      <c r="R41" s="106">
        <v>64</v>
      </c>
      <c r="S41" s="106">
        <v>42240</v>
      </c>
      <c r="T41" s="106">
        <v>6</v>
      </c>
      <c r="U41" s="106">
        <v>3960</v>
      </c>
      <c r="V41" s="106">
        <v>4</v>
      </c>
      <c r="W41" s="106">
        <v>2640</v>
      </c>
      <c r="X41" s="106">
        <v>6</v>
      </c>
      <c r="Y41" s="106">
        <v>3960</v>
      </c>
      <c r="Z41" s="106">
        <v>4</v>
      </c>
      <c r="AA41" s="106">
        <v>2640</v>
      </c>
      <c r="AB41" s="106">
        <v>46</v>
      </c>
      <c r="AC41" s="106">
        <v>30360</v>
      </c>
      <c r="AD41" s="106">
        <v>85</v>
      </c>
      <c r="AE41" s="106">
        <v>56100</v>
      </c>
      <c r="AF41" s="106">
        <v>56</v>
      </c>
      <c r="AG41" s="106">
        <v>36960</v>
      </c>
      <c r="AH41" s="106">
        <v>107</v>
      </c>
      <c r="AI41" s="106">
        <v>70620</v>
      </c>
      <c r="AJ41" s="106">
        <v>54</v>
      </c>
      <c r="AK41" s="106">
        <v>35640</v>
      </c>
      <c r="AL41" s="106">
        <v>78</v>
      </c>
      <c r="AM41" s="106">
        <v>51480</v>
      </c>
      <c r="AN41" s="106">
        <v>42</v>
      </c>
      <c r="AO41" s="106">
        <v>27720</v>
      </c>
      <c r="AP41" s="106">
        <v>62</v>
      </c>
      <c r="AQ41" s="106">
        <v>40920</v>
      </c>
      <c r="AR41" s="106">
        <v>27</v>
      </c>
      <c r="AS41" s="106">
        <v>17820</v>
      </c>
      <c r="AT41" s="106">
        <v>24</v>
      </c>
      <c r="AU41" s="106">
        <v>15840</v>
      </c>
      <c r="AV41" s="106">
        <v>21</v>
      </c>
      <c r="AW41" s="106">
        <v>13860</v>
      </c>
      <c r="AX41" s="106">
        <v>18</v>
      </c>
      <c r="AY41" s="106">
        <v>11880</v>
      </c>
      <c r="AZ41" s="106">
        <v>7</v>
      </c>
      <c r="BA41" s="106">
        <v>4620</v>
      </c>
      <c r="BB41" s="106">
        <v>8</v>
      </c>
      <c r="BC41" s="106">
        <v>5280</v>
      </c>
      <c r="BD41" s="106">
        <v>7</v>
      </c>
      <c r="BE41" s="106">
        <v>4620</v>
      </c>
      <c r="BF41" s="106">
        <v>7</v>
      </c>
      <c r="BG41" s="106">
        <v>4620</v>
      </c>
      <c r="BH41" s="106">
        <v>61</v>
      </c>
      <c r="BI41" s="106">
        <v>40260</v>
      </c>
      <c r="BJ41" s="106">
        <v>60</v>
      </c>
      <c r="BK41" s="106">
        <v>39600</v>
      </c>
      <c r="BL41" s="106">
        <v>63</v>
      </c>
      <c r="BM41" s="106">
        <v>41580</v>
      </c>
      <c r="BN41" s="106">
        <v>52</v>
      </c>
      <c r="BO41" s="106">
        <v>34320</v>
      </c>
      <c r="BP41" s="106">
        <v>37</v>
      </c>
      <c r="BQ41" s="106">
        <v>24420</v>
      </c>
      <c r="BR41" s="106">
        <v>35</v>
      </c>
      <c r="BS41" s="106">
        <v>23100</v>
      </c>
      <c r="BT41" s="106">
        <v>35</v>
      </c>
      <c r="BU41" s="106">
        <v>23100</v>
      </c>
      <c r="BV41" s="106">
        <v>36</v>
      </c>
      <c r="BW41" s="106">
        <v>23760</v>
      </c>
      <c r="BX41" s="106">
        <v>8</v>
      </c>
      <c r="BY41" s="106">
        <v>5280</v>
      </c>
      <c r="BZ41" s="106">
        <v>10</v>
      </c>
      <c r="CA41" s="106">
        <v>6600</v>
      </c>
      <c r="CB41" s="106">
        <v>8</v>
      </c>
      <c r="CC41" s="106">
        <v>5280</v>
      </c>
      <c r="CD41" s="106">
        <v>11</v>
      </c>
      <c r="CE41" s="106">
        <v>7260</v>
      </c>
      <c r="CF41" s="106">
        <v>7</v>
      </c>
      <c r="CG41" s="106">
        <v>4620</v>
      </c>
      <c r="CH41" s="106">
        <v>6</v>
      </c>
      <c r="CI41" s="106">
        <v>3960</v>
      </c>
      <c r="CJ41" s="106">
        <v>4</v>
      </c>
      <c r="CK41" s="106">
        <v>2640</v>
      </c>
      <c r="CL41" s="106">
        <v>4</v>
      </c>
      <c r="CM41" s="106">
        <v>2640</v>
      </c>
      <c r="CN41" s="106">
        <v>8</v>
      </c>
      <c r="CO41" s="106">
        <v>5280</v>
      </c>
      <c r="CP41" s="106">
        <v>9</v>
      </c>
      <c r="CQ41" s="106">
        <v>5940</v>
      </c>
      <c r="CR41" s="106">
        <v>7</v>
      </c>
      <c r="CS41" s="106">
        <v>4620</v>
      </c>
      <c r="CT41" s="106">
        <v>5</v>
      </c>
      <c r="CU41" s="106">
        <v>3300</v>
      </c>
    </row>
    <row r="42" spans="2:99" x14ac:dyDescent="0.2">
      <c r="C42" s="105" t="s">
        <v>208</v>
      </c>
      <c r="D42" s="106">
        <v>12</v>
      </c>
      <c r="E42" s="106">
        <v>10152</v>
      </c>
      <c r="F42" s="106">
        <v>16</v>
      </c>
      <c r="G42" s="106">
        <v>13536</v>
      </c>
      <c r="H42" s="106">
        <v>9</v>
      </c>
      <c r="I42" s="106">
        <v>7614</v>
      </c>
      <c r="J42" s="106">
        <v>15</v>
      </c>
      <c r="K42" s="106">
        <v>12690</v>
      </c>
      <c r="L42" s="106">
        <v>78</v>
      </c>
      <c r="M42" s="106">
        <v>65988</v>
      </c>
      <c r="N42" s="106">
        <v>82</v>
      </c>
      <c r="O42" s="106">
        <v>69372</v>
      </c>
      <c r="P42" s="106">
        <v>96</v>
      </c>
      <c r="Q42" s="106">
        <v>81216</v>
      </c>
      <c r="R42" s="106">
        <v>56</v>
      </c>
      <c r="S42" s="106">
        <v>47376</v>
      </c>
      <c r="T42" s="106">
        <v>6</v>
      </c>
      <c r="U42" s="106">
        <v>5076</v>
      </c>
      <c r="V42" s="106">
        <v>3</v>
      </c>
      <c r="W42" s="106">
        <v>2538</v>
      </c>
      <c r="X42" s="106">
        <v>6</v>
      </c>
      <c r="Y42" s="106">
        <v>5076</v>
      </c>
      <c r="Z42" s="106">
        <v>4</v>
      </c>
      <c r="AA42" s="106">
        <v>3384</v>
      </c>
      <c r="AB42" s="106">
        <v>51</v>
      </c>
      <c r="AC42" s="106">
        <v>43146</v>
      </c>
      <c r="AD42" s="106">
        <v>68</v>
      </c>
      <c r="AE42" s="106">
        <v>57528</v>
      </c>
      <c r="AF42" s="106">
        <v>60</v>
      </c>
      <c r="AG42" s="106">
        <v>50760</v>
      </c>
      <c r="AH42" s="106">
        <v>100</v>
      </c>
      <c r="AI42" s="106">
        <v>84600</v>
      </c>
      <c r="AJ42" s="106">
        <v>47</v>
      </c>
      <c r="AK42" s="106">
        <v>39762</v>
      </c>
      <c r="AL42" s="106">
        <v>75</v>
      </c>
      <c r="AM42" s="106">
        <v>63450</v>
      </c>
      <c r="AN42" s="106">
        <v>44</v>
      </c>
      <c r="AO42" s="106">
        <v>37224</v>
      </c>
      <c r="AP42" s="106">
        <v>58</v>
      </c>
      <c r="AQ42" s="106">
        <v>49068</v>
      </c>
      <c r="AR42" s="106">
        <v>24</v>
      </c>
      <c r="AS42" s="106">
        <v>20304</v>
      </c>
      <c r="AT42" s="106">
        <v>23</v>
      </c>
      <c r="AU42" s="106">
        <v>19458</v>
      </c>
      <c r="AV42" s="106">
        <v>19</v>
      </c>
      <c r="AW42" s="106">
        <v>16074</v>
      </c>
      <c r="AX42" s="106">
        <v>18</v>
      </c>
      <c r="AY42" s="106">
        <v>15228</v>
      </c>
      <c r="AZ42" s="106">
        <v>7</v>
      </c>
      <c r="BA42" s="106">
        <v>5922</v>
      </c>
      <c r="BB42" s="106">
        <v>7</v>
      </c>
      <c r="BC42" s="106">
        <v>5922</v>
      </c>
      <c r="BD42" s="106">
        <v>7</v>
      </c>
      <c r="BE42" s="106">
        <v>5922</v>
      </c>
      <c r="BF42" s="106">
        <v>8</v>
      </c>
      <c r="BG42" s="106">
        <v>6768</v>
      </c>
      <c r="BH42" s="106">
        <v>67</v>
      </c>
      <c r="BI42" s="106">
        <v>56682</v>
      </c>
      <c r="BJ42" s="106">
        <v>52</v>
      </c>
      <c r="BK42" s="106">
        <v>43992</v>
      </c>
      <c r="BL42" s="106">
        <v>51</v>
      </c>
      <c r="BM42" s="106">
        <v>43146</v>
      </c>
      <c r="BN42" s="106">
        <v>52</v>
      </c>
      <c r="BO42" s="106">
        <v>43992</v>
      </c>
      <c r="BP42" s="106">
        <v>38</v>
      </c>
      <c r="BQ42" s="106">
        <v>32148</v>
      </c>
      <c r="BR42" s="106">
        <v>34</v>
      </c>
      <c r="BS42" s="106">
        <v>28764</v>
      </c>
      <c r="BT42" s="106">
        <v>37</v>
      </c>
      <c r="BU42" s="106">
        <v>31302</v>
      </c>
      <c r="BV42" s="106">
        <v>32</v>
      </c>
      <c r="BW42" s="106">
        <v>27072</v>
      </c>
      <c r="BX42" s="106">
        <v>8</v>
      </c>
      <c r="BY42" s="106">
        <v>6768</v>
      </c>
      <c r="BZ42" s="106">
        <v>11</v>
      </c>
      <c r="CA42" s="106">
        <v>9306</v>
      </c>
      <c r="CB42" s="106">
        <v>8</v>
      </c>
      <c r="CC42" s="106">
        <v>6768</v>
      </c>
      <c r="CD42" s="106">
        <v>11</v>
      </c>
      <c r="CE42" s="106">
        <v>9306</v>
      </c>
      <c r="CF42" s="106">
        <v>7</v>
      </c>
      <c r="CG42" s="106">
        <v>5922</v>
      </c>
      <c r="CH42" s="106">
        <v>6</v>
      </c>
      <c r="CI42" s="106">
        <v>5076</v>
      </c>
      <c r="CJ42" s="106">
        <v>5</v>
      </c>
      <c r="CK42" s="106">
        <v>4230</v>
      </c>
      <c r="CL42" s="106">
        <v>4</v>
      </c>
      <c r="CM42" s="106">
        <v>3384</v>
      </c>
      <c r="CN42" s="106">
        <v>8</v>
      </c>
      <c r="CO42" s="106">
        <v>6768</v>
      </c>
      <c r="CP42" s="106">
        <v>7</v>
      </c>
      <c r="CQ42" s="106">
        <v>5922</v>
      </c>
      <c r="CR42" s="106">
        <v>7</v>
      </c>
      <c r="CS42" s="106">
        <v>5922</v>
      </c>
      <c r="CT42" s="106">
        <v>5</v>
      </c>
      <c r="CU42" s="106">
        <v>4230</v>
      </c>
    </row>
    <row r="43" spans="2:99" x14ac:dyDescent="0.2">
      <c r="C43" s="105" t="s">
        <v>209</v>
      </c>
      <c r="D43" s="106">
        <v>13</v>
      </c>
      <c r="E43" s="106">
        <v>13291.199999999999</v>
      </c>
      <c r="F43" s="106">
        <v>16</v>
      </c>
      <c r="G43" s="106">
        <v>16358.4</v>
      </c>
      <c r="H43" s="106">
        <v>9</v>
      </c>
      <c r="I43" s="106">
        <v>9201.6</v>
      </c>
      <c r="J43" s="106">
        <v>16</v>
      </c>
      <c r="K43" s="106">
        <v>16358.4</v>
      </c>
      <c r="L43" s="106">
        <v>75</v>
      </c>
      <c r="M43" s="106">
        <v>76680</v>
      </c>
      <c r="N43" s="106">
        <v>81</v>
      </c>
      <c r="O43" s="106">
        <v>82814.399999999994</v>
      </c>
      <c r="P43" s="106">
        <v>91</v>
      </c>
      <c r="Q43" s="106">
        <v>93038.399999999994</v>
      </c>
      <c r="R43" s="106">
        <v>58</v>
      </c>
      <c r="S43" s="106">
        <v>59299.199999999997</v>
      </c>
      <c r="T43" s="106">
        <v>6</v>
      </c>
      <c r="U43" s="106">
        <v>6134.4</v>
      </c>
      <c r="V43" s="106">
        <v>3</v>
      </c>
      <c r="W43" s="106">
        <v>3067.2</v>
      </c>
      <c r="X43" s="106">
        <v>6</v>
      </c>
      <c r="Y43" s="106">
        <v>6134.4</v>
      </c>
      <c r="Z43" s="106">
        <v>4</v>
      </c>
      <c r="AA43" s="106">
        <v>4089.6</v>
      </c>
      <c r="AB43" s="106">
        <v>45</v>
      </c>
      <c r="AC43" s="106">
        <v>46008</v>
      </c>
      <c r="AD43" s="106">
        <v>68</v>
      </c>
      <c r="AE43" s="106">
        <v>69523.199999999997</v>
      </c>
      <c r="AF43" s="106">
        <v>51</v>
      </c>
      <c r="AG43" s="106">
        <v>52142.400000000001</v>
      </c>
      <c r="AH43" s="106">
        <v>93</v>
      </c>
      <c r="AI43" s="106">
        <v>95083.199999999997</v>
      </c>
      <c r="AJ43" s="106">
        <v>47</v>
      </c>
      <c r="AK43" s="106">
        <v>48052.799999999996</v>
      </c>
      <c r="AL43" s="106">
        <v>75</v>
      </c>
      <c r="AM43" s="106">
        <v>76680</v>
      </c>
      <c r="AN43" s="106">
        <v>42</v>
      </c>
      <c r="AO43" s="106">
        <v>42940.799999999996</v>
      </c>
      <c r="AP43" s="106">
        <v>56</v>
      </c>
      <c r="AQ43" s="106">
        <v>57254.400000000001</v>
      </c>
      <c r="AR43" s="106">
        <v>22</v>
      </c>
      <c r="AS43" s="106">
        <v>22492.799999999999</v>
      </c>
      <c r="AT43" s="106">
        <v>22</v>
      </c>
      <c r="AU43" s="106">
        <v>22492.799999999999</v>
      </c>
      <c r="AV43" s="106">
        <v>18</v>
      </c>
      <c r="AW43" s="106">
        <v>18403.2</v>
      </c>
      <c r="AX43" s="106">
        <v>18</v>
      </c>
      <c r="AY43" s="106">
        <v>18403.2</v>
      </c>
      <c r="AZ43" s="106">
        <v>7</v>
      </c>
      <c r="BA43" s="106">
        <v>7156.8</v>
      </c>
      <c r="BB43" s="106">
        <v>6</v>
      </c>
      <c r="BC43" s="106">
        <v>6134.4</v>
      </c>
      <c r="BD43" s="106">
        <v>7</v>
      </c>
      <c r="BE43" s="106">
        <v>7156.8</v>
      </c>
      <c r="BF43" s="106">
        <v>8</v>
      </c>
      <c r="BG43" s="106">
        <v>8179.2</v>
      </c>
      <c r="BH43" s="106">
        <v>56</v>
      </c>
      <c r="BI43" s="106">
        <v>57254.400000000001</v>
      </c>
      <c r="BJ43" s="106">
        <v>57</v>
      </c>
      <c r="BK43" s="106">
        <v>58276.799999999996</v>
      </c>
      <c r="BL43" s="106">
        <v>52</v>
      </c>
      <c r="BM43" s="106">
        <v>53164.799999999996</v>
      </c>
      <c r="BN43" s="106">
        <v>52</v>
      </c>
      <c r="BO43" s="106">
        <v>53164.799999999996</v>
      </c>
      <c r="BP43" s="106">
        <v>35</v>
      </c>
      <c r="BQ43" s="106">
        <v>35784</v>
      </c>
      <c r="BR43" s="106">
        <v>33</v>
      </c>
      <c r="BS43" s="106">
        <v>33739.199999999997</v>
      </c>
      <c r="BT43" s="106">
        <v>32</v>
      </c>
      <c r="BU43" s="106">
        <v>32716.799999999999</v>
      </c>
      <c r="BV43" s="106">
        <v>35</v>
      </c>
      <c r="BW43" s="106">
        <v>35784</v>
      </c>
      <c r="BX43" s="106">
        <v>7</v>
      </c>
      <c r="BY43" s="106">
        <v>7156.8</v>
      </c>
      <c r="BZ43" s="106">
        <v>10</v>
      </c>
      <c r="CA43" s="106">
        <v>10224</v>
      </c>
      <c r="CB43" s="106">
        <v>8</v>
      </c>
      <c r="CC43" s="106">
        <v>8179.2</v>
      </c>
      <c r="CD43" s="106">
        <v>10</v>
      </c>
      <c r="CE43" s="106">
        <v>10224</v>
      </c>
      <c r="CF43" s="106">
        <v>6</v>
      </c>
      <c r="CG43" s="106">
        <v>6134.4</v>
      </c>
      <c r="CH43" s="106">
        <v>6</v>
      </c>
      <c r="CI43" s="106">
        <v>6134.4</v>
      </c>
      <c r="CJ43" s="106">
        <v>4</v>
      </c>
      <c r="CK43" s="106">
        <v>4089.6</v>
      </c>
      <c r="CL43" s="106">
        <v>4</v>
      </c>
      <c r="CM43" s="106">
        <v>4089.6</v>
      </c>
      <c r="CN43" s="106">
        <v>7</v>
      </c>
      <c r="CO43" s="106">
        <v>7156.8</v>
      </c>
      <c r="CP43" s="106">
        <v>8</v>
      </c>
      <c r="CQ43" s="106">
        <v>8179.2</v>
      </c>
      <c r="CR43" s="106">
        <v>7</v>
      </c>
      <c r="CS43" s="106">
        <v>7156.8</v>
      </c>
      <c r="CT43" s="106">
        <v>5</v>
      </c>
      <c r="CU43" s="106">
        <v>5112</v>
      </c>
    </row>
    <row r="44" spans="2:99" x14ac:dyDescent="0.2">
      <c r="C44" s="105" t="s">
        <v>210</v>
      </c>
      <c r="D44" s="106">
        <v>13</v>
      </c>
      <c r="E44" s="106">
        <v>13291.199999999999</v>
      </c>
      <c r="F44" s="106">
        <v>15</v>
      </c>
      <c r="G44" s="106">
        <v>15336</v>
      </c>
      <c r="H44" s="106">
        <v>10</v>
      </c>
      <c r="I44" s="106">
        <v>10224</v>
      </c>
      <c r="J44" s="106">
        <v>15</v>
      </c>
      <c r="K44" s="106">
        <v>15336</v>
      </c>
      <c r="L44" s="106">
        <v>67</v>
      </c>
      <c r="M44" s="106">
        <v>68500.800000000003</v>
      </c>
      <c r="N44" s="106">
        <v>83</v>
      </c>
      <c r="O44" s="106">
        <v>84859.199999999997</v>
      </c>
      <c r="P44" s="106">
        <v>93</v>
      </c>
      <c r="Q44" s="106">
        <v>95083.199999999997</v>
      </c>
      <c r="R44" s="106">
        <v>54</v>
      </c>
      <c r="S44" s="106">
        <v>55209.599999999999</v>
      </c>
      <c r="T44" s="106">
        <v>6</v>
      </c>
      <c r="U44" s="106">
        <v>6134.4</v>
      </c>
      <c r="V44" s="106">
        <v>3</v>
      </c>
      <c r="W44" s="106">
        <v>3067.2</v>
      </c>
      <c r="X44" s="106">
        <v>6</v>
      </c>
      <c r="Y44" s="106">
        <v>6134.4</v>
      </c>
      <c r="Z44" s="106">
        <v>4</v>
      </c>
      <c r="AA44" s="106">
        <v>4089.6</v>
      </c>
      <c r="AB44" s="106">
        <v>49</v>
      </c>
      <c r="AC44" s="106">
        <v>50097.599999999999</v>
      </c>
      <c r="AD44" s="106">
        <v>78</v>
      </c>
      <c r="AE44" s="106">
        <v>79747.199999999997</v>
      </c>
      <c r="AF44" s="106">
        <v>58</v>
      </c>
      <c r="AG44" s="106">
        <v>59299.199999999997</v>
      </c>
      <c r="AH44" s="106">
        <v>84</v>
      </c>
      <c r="AI44" s="106">
        <v>85881.599999999991</v>
      </c>
      <c r="AJ44" s="106">
        <v>53</v>
      </c>
      <c r="AK44" s="106">
        <v>54187.199999999997</v>
      </c>
      <c r="AL44" s="106">
        <v>71</v>
      </c>
      <c r="AM44" s="106">
        <v>72590.399999999994</v>
      </c>
      <c r="AN44" s="106">
        <v>45</v>
      </c>
      <c r="AO44" s="106">
        <v>46008</v>
      </c>
      <c r="AP44" s="106">
        <v>51</v>
      </c>
      <c r="AQ44" s="106">
        <v>52142.400000000001</v>
      </c>
      <c r="AR44" s="106">
        <v>22</v>
      </c>
      <c r="AS44" s="106">
        <v>22492.799999999999</v>
      </c>
      <c r="AT44" s="106">
        <v>23</v>
      </c>
      <c r="AU44" s="106">
        <v>23515.200000000001</v>
      </c>
      <c r="AV44" s="106">
        <v>18</v>
      </c>
      <c r="AW44" s="106">
        <v>18403.2</v>
      </c>
      <c r="AX44" s="106">
        <v>18</v>
      </c>
      <c r="AY44" s="106">
        <v>18403.2</v>
      </c>
      <c r="AZ44" s="106">
        <v>7</v>
      </c>
      <c r="BA44" s="106">
        <v>7156.8</v>
      </c>
      <c r="BB44" s="106">
        <v>7</v>
      </c>
      <c r="BC44" s="106">
        <v>7156.8</v>
      </c>
      <c r="BD44" s="106">
        <v>7</v>
      </c>
      <c r="BE44" s="106">
        <v>7156.8</v>
      </c>
      <c r="BF44" s="106">
        <v>7</v>
      </c>
      <c r="BG44" s="106">
        <v>7156.8</v>
      </c>
      <c r="BH44" s="106">
        <v>59</v>
      </c>
      <c r="BI44" s="106">
        <v>60321.599999999999</v>
      </c>
      <c r="BJ44" s="106">
        <v>51</v>
      </c>
      <c r="BK44" s="106">
        <v>52142.400000000001</v>
      </c>
      <c r="BL44" s="106">
        <v>52</v>
      </c>
      <c r="BM44" s="106">
        <v>53164.799999999996</v>
      </c>
      <c r="BN44" s="106">
        <v>53</v>
      </c>
      <c r="BO44" s="106">
        <v>54187.199999999997</v>
      </c>
      <c r="BP44" s="106">
        <v>39</v>
      </c>
      <c r="BQ44" s="106">
        <v>39873.599999999999</v>
      </c>
      <c r="BR44" s="106">
        <v>32</v>
      </c>
      <c r="BS44" s="106">
        <v>32716.799999999999</v>
      </c>
      <c r="BT44" s="106">
        <v>33</v>
      </c>
      <c r="BU44" s="106">
        <v>33739.199999999997</v>
      </c>
      <c r="BV44" s="106">
        <v>33</v>
      </c>
      <c r="BW44" s="106">
        <v>33739.199999999997</v>
      </c>
      <c r="BX44" s="106">
        <v>7</v>
      </c>
      <c r="BY44" s="106">
        <v>7156.8</v>
      </c>
      <c r="BZ44" s="106">
        <v>11</v>
      </c>
      <c r="CA44" s="106">
        <v>11246.4</v>
      </c>
      <c r="CB44" s="106">
        <v>8</v>
      </c>
      <c r="CC44" s="106">
        <v>8179.2</v>
      </c>
      <c r="CD44" s="106">
        <v>11</v>
      </c>
      <c r="CE44" s="106">
        <v>11246.4</v>
      </c>
      <c r="CF44" s="106">
        <v>7</v>
      </c>
      <c r="CG44" s="106">
        <v>7156.8</v>
      </c>
      <c r="CH44" s="106">
        <v>6</v>
      </c>
      <c r="CI44" s="106">
        <v>6134.4</v>
      </c>
      <c r="CJ44" s="106">
        <v>5</v>
      </c>
      <c r="CK44" s="106">
        <v>5112</v>
      </c>
      <c r="CL44" s="106">
        <v>4</v>
      </c>
      <c r="CM44" s="106">
        <v>4089.6</v>
      </c>
      <c r="CN44" s="106">
        <v>8</v>
      </c>
      <c r="CO44" s="106">
        <v>8179.2</v>
      </c>
      <c r="CP44" s="106">
        <v>8</v>
      </c>
      <c r="CQ44" s="106">
        <v>8179.2</v>
      </c>
      <c r="CR44" s="106">
        <v>7</v>
      </c>
      <c r="CS44" s="106">
        <v>7156.8</v>
      </c>
      <c r="CT44" s="106">
        <v>5</v>
      </c>
      <c r="CU44" s="106">
        <v>5112</v>
      </c>
    </row>
    <row r="45" spans="2:99" x14ac:dyDescent="0.2">
      <c r="C45" s="105" t="s">
        <v>211</v>
      </c>
      <c r="D45" s="106">
        <v>12</v>
      </c>
      <c r="E45" s="106">
        <v>14990.400000000001</v>
      </c>
      <c r="F45" s="106">
        <v>13</v>
      </c>
      <c r="G45" s="106">
        <v>16239.6</v>
      </c>
      <c r="H45" s="106">
        <v>9</v>
      </c>
      <c r="I45" s="106">
        <v>11242.800000000001</v>
      </c>
      <c r="J45" s="106">
        <v>14</v>
      </c>
      <c r="K45" s="106">
        <v>17488.8</v>
      </c>
      <c r="L45" s="106">
        <v>61</v>
      </c>
      <c r="M45" s="106">
        <v>76201.2</v>
      </c>
      <c r="N45" s="106">
        <v>77</v>
      </c>
      <c r="O45" s="106">
        <v>96188.400000000009</v>
      </c>
      <c r="P45" s="106">
        <v>85</v>
      </c>
      <c r="Q45" s="106">
        <v>106182</v>
      </c>
      <c r="R45" s="106">
        <v>54</v>
      </c>
      <c r="S45" s="106">
        <v>67456.800000000003</v>
      </c>
      <c r="T45" s="106">
        <v>6</v>
      </c>
      <c r="U45" s="106">
        <v>7495.2000000000007</v>
      </c>
      <c r="V45" s="106">
        <v>3</v>
      </c>
      <c r="W45" s="106">
        <v>3747.6000000000004</v>
      </c>
      <c r="X45" s="106">
        <v>6</v>
      </c>
      <c r="Y45" s="106">
        <v>7495.2000000000007</v>
      </c>
      <c r="Z45" s="106">
        <v>3</v>
      </c>
      <c r="AA45" s="106">
        <v>3747.6000000000004</v>
      </c>
      <c r="AB45" s="106">
        <v>42</v>
      </c>
      <c r="AC45" s="106">
        <v>52466.400000000001</v>
      </c>
      <c r="AD45" s="106">
        <v>65</v>
      </c>
      <c r="AE45" s="106">
        <v>81198</v>
      </c>
      <c r="AF45" s="106">
        <v>49</v>
      </c>
      <c r="AG45" s="106">
        <v>61210.8</v>
      </c>
      <c r="AH45" s="106">
        <v>82</v>
      </c>
      <c r="AI45" s="106">
        <v>102434.40000000001</v>
      </c>
      <c r="AJ45" s="106">
        <v>46</v>
      </c>
      <c r="AK45" s="106">
        <v>57463.200000000004</v>
      </c>
      <c r="AL45" s="106">
        <v>69</v>
      </c>
      <c r="AM45" s="106">
        <v>86194.8</v>
      </c>
      <c r="AN45" s="106">
        <v>41</v>
      </c>
      <c r="AO45" s="106">
        <v>51217.200000000004</v>
      </c>
      <c r="AP45" s="106">
        <v>47</v>
      </c>
      <c r="AQ45" s="106">
        <v>58712.4</v>
      </c>
      <c r="AR45" s="106">
        <v>21</v>
      </c>
      <c r="AS45" s="106">
        <v>26233.200000000001</v>
      </c>
      <c r="AT45" s="106">
        <v>23</v>
      </c>
      <c r="AU45" s="106">
        <v>28731.600000000002</v>
      </c>
      <c r="AV45" s="106">
        <v>18</v>
      </c>
      <c r="AW45" s="106">
        <v>22485.600000000002</v>
      </c>
      <c r="AX45" s="106">
        <v>17</v>
      </c>
      <c r="AY45" s="106">
        <v>21236.400000000001</v>
      </c>
      <c r="AZ45" s="106">
        <v>6</v>
      </c>
      <c r="BA45" s="106">
        <v>7495.2000000000007</v>
      </c>
      <c r="BB45" s="106">
        <v>7</v>
      </c>
      <c r="BC45" s="106">
        <v>8744.4</v>
      </c>
      <c r="BD45" s="106">
        <v>7</v>
      </c>
      <c r="BE45" s="106">
        <v>8744.4</v>
      </c>
      <c r="BF45" s="106">
        <v>7</v>
      </c>
      <c r="BG45" s="106">
        <v>8744.4</v>
      </c>
      <c r="BH45" s="106">
        <v>54</v>
      </c>
      <c r="BI45" s="106">
        <v>67456.800000000003</v>
      </c>
      <c r="BJ45" s="106">
        <v>49</v>
      </c>
      <c r="BK45" s="106">
        <v>61210.8</v>
      </c>
      <c r="BL45" s="106">
        <v>48</v>
      </c>
      <c r="BM45" s="106">
        <v>59961.600000000006</v>
      </c>
      <c r="BN45" s="106">
        <v>53</v>
      </c>
      <c r="BO45" s="106">
        <v>66207.600000000006</v>
      </c>
      <c r="BP45" s="106">
        <v>33</v>
      </c>
      <c r="BQ45" s="106">
        <v>41223.599999999999</v>
      </c>
      <c r="BR45" s="106">
        <v>34</v>
      </c>
      <c r="BS45" s="106">
        <v>42472.800000000003</v>
      </c>
      <c r="BT45" s="106">
        <v>33</v>
      </c>
      <c r="BU45" s="106">
        <v>41223.599999999999</v>
      </c>
      <c r="BV45" s="106">
        <v>34</v>
      </c>
      <c r="BW45" s="106">
        <v>42472.800000000003</v>
      </c>
      <c r="BX45" s="106">
        <v>6</v>
      </c>
      <c r="BY45" s="106">
        <v>7495.2000000000007</v>
      </c>
      <c r="BZ45" s="106">
        <v>11</v>
      </c>
      <c r="CA45" s="106">
        <v>13741.2</v>
      </c>
      <c r="CB45" s="106">
        <v>8</v>
      </c>
      <c r="CC45" s="106">
        <v>9993.6</v>
      </c>
      <c r="CD45" s="106">
        <v>11</v>
      </c>
      <c r="CE45" s="106">
        <v>13741.2</v>
      </c>
      <c r="CF45" s="106">
        <v>7</v>
      </c>
      <c r="CG45" s="106">
        <v>8744.4</v>
      </c>
      <c r="CH45" s="106">
        <v>5</v>
      </c>
      <c r="CI45" s="106">
        <v>6246</v>
      </c>
      <c r="CJ45" s="106">
        <v>4</v>
      </c>
      <c r="CK45" s="106">
        <v>4996.8</v>
      </c>
      <c r="CL45" s="106">
        <v>4</v>
      </c>
      <c r="CM45" s="106">
        <v>4996.8</v>
      </c>
      <c r="CN45" s="106">
        <v>7</v>
      </c>
      <c r="CO45" s="106">
        <v>8744.4</v>
      </c>
      <c r="CP45" s="106">
        <v>8</v>
      </c>
      <c r="CQ45" s="106">
        <v>9993.6</v>
      </c>
      <c r="CR45" s="106">
        <v>6</v>
      </c>
      <c r="CS45" s="106">
        <v>7495.2000000000007</v>
      </c>
      <c r="CT45" s="106">
        <v>5</v>
      </c>
      <c r="CU45" s="106">
        <v>6246</v>
      </c>
    </row>
    <row r="46" spans="2:99" x14ac:dyDescent="0.2">
      <c r="C46" s="105" t="s">
        <v>212</v>
      </c>
      <c r="D46" s="106">
        <v>13</v>
      </c>
      <c r="E46" s="106">
        <v>15756</v>
      </c>
      <c r="F46" s="106">
        <v>16</v>
      </c>
      <c r="G46" s="106">
        <v>19392</v>
      </c>
      <c r="H46" s="106">
        <v>9</v>
      </c>
      <c r="I46" s="106">
        <v>10908</v>
      </c>
      <c r="J46" s="106">
        <v>15</v>
      </c>
      <c r="K46" s="106">
        <v>18180</v>
      </c>
      <c r="L46" s="106">
        <v>69</v>
      </c>
      <c r="M46" s="106">
        <v>83628</v>
      </c>
      <c r="N46" s="106">
        <v>74</v>
      </c>
      <c r="O46" s="106">
        <v>89688</v>
      </c>
      <c r="P46" s="106">
        <v>88</v>
      </c>
      <c r="Q46" s="106">
        <v>106656</v>
      </c>
      <c r="R46" s="106">
        <v>61</v>
      </c>
      <c r="S46" s="106">
        <v>73932</v>
      </c>
      <c r="T46" s="106">
        <v>6</v>
      </c>
      <c r="U46" s="106">
        <v>7272</v>
      </c>
      <c r="V46" s="106">
        <v>3</v>
      </c>
      <c r="W46" s="106">
        <v>3636</v>
      </c>
      <c r="X46" s="106">
        <v>7</v>
      </c>
      <c r="Y46" s="106">
        <v>8484</v>
      </c>
      <c r="Z46" s="106">
        <v>4</v>
      </c>
      <c r="AA46" s="106">
        <v>4848</v>
      </c>
      <c r="AB46" s="106">
        <v>46</v>
      </c>
      <c r="AC46" s="106">
        <v>55752</v>
      </c>
      <c r="AD46" s="106">
        <v>65</v>
      </c>
      <c r="AE46" s="106">
        <v>78780</v>
      </c>
      <c r="AF46" s="106">
        <v>53</v>
      </c>
      <c r="AG46" s="106">
        <v>64236</v>
      </c>
      <c r="AH46" s="106">
        <v>89</v>
      </c>
      <c r="AI46" s="106">
        <v>107868</v>
      </c>
      <c r="AJ46" s="106">
        <v>44</v>
      </c>
      <c r="AK46" s="106">
        <v>53328</v>
      </c>
      <c r="AL46" s="106">
        <v>59</v>
      </c>
      <c r="AM46" s="106">
        <v>71508</v>
      </c>
      <c r="AN46" s="106">
        <v>43</v>
      </c>
      <c r="AO46" s="106">
        <v>52116</v>
      </c>
      <c r="AP46" s="106">
        <v>49</v>
      </c>
      <c r="AQ46" s="106">
        <v>59388</v>
      </c>
      <c r="AR46" s="106">
        <v>23</v>
      </c>
      <c r="AS46" s="106">
        <v>27876</v>
      </c>
      <c r="AT46" s="106">
        <v>21</v>
      </c>
      <c r="AU46" s="106">
        <v>25452</v>
      </c>
      <c r="AV46" s="106">
        <v>17</v>
      </c>
      <c r="AW46" s="106">
        <v>20604</v>
      </c>
      <c r="AX46" s="106">
        <v>17</v>
      </c>
      <c r="AY46" s="106">
        <v>20604</v>
      </c>
      <c r="AZ46" s="106">
        <v>7</v>
      </c>
      <c r="BA46" s="106">
        <v>8484</v>
      </c>
      <c r="BB46" s="106">
        <v>7</v>
      </c>
      <c r="BC46" s="106">
        <v>8484</v>
      </c>
      <c r="BD46" s="106">
        <v>7</v>
      </c>
      <c r="BE46" s="106">
        <v>8484</v>
      </c>
      <c r="BF46" s="106">
        <v>7</v>
      </c>
      <c r="BG46" s="106">
        <v>8484</v>
      </c>
      <c r="BH46" s="106">
        <v>63</v>
      </c>
      <c r="BI46" s="106">
        <v>76356</v>
      </c>
      <c r="BJ46" s="106">
        <v>54</v>
      </c>
      <c r="BK46" s="106">
        <v>65448</v>
      </c>
      <c r="BL46" s="106">
        <v>55</v>
      </c>
      <c r="BM46" s="106">
        <v>66660</v>
      </c>
      <c r="BN46" s="106">
        <v>55</v>
      </c>
      <c r="BO46" s="106">
        <v>66660</v>
      </c>
      <c r="BP46" s="106">
        <v>39</v>
      </c>
      <c r="BQ46" s="106">
        <v>47268</v>
      </c>
      <c r="BR46" s="106">
        <v>36</v>
      </c>
      <c r="BS46" s="106">
        <v>43632</v>
      </c>
      <c r="BT46" s="106">
        <v>36</v>
      </c>
      <c r="BU46" s="106">
        <v>43632</v>
      </c>
      <c r="BV46" s="106">
        <v>34</v>
      </c>
      <c r="BW46" s="106">
        <v>41208</v>
      </c>
      <c r="BX46" s="106">
        <v>7</v>
      </c>
      <c r="BY46" s="106">
        <v>8484</v>
      </c>
      <c r="BZ46" s="106">
        <v>11</v>
      </c>
      <c r="CA46" s="106">
        <v>13332</v>
      </c>
      <c r="CB46" s="106">
        <v>7</v>
      </c>
      <c r="CC46" s="106">
        <v>8484</v>
      </c>
      <c r="CD46" s="106">
        <v>9</v>
      </c>
      <c r="CE46" s="106">
        <v>10908</v>
      </c>
      <c r="CF46" s="106">
        <v>7</v>
      </c>
      <c r="CG46" s="106">
        <v>8484</v>
      </c>
      <c r="CH46" s="106">
        <v>5</v>
      </c>
      <c r="CI46" s="106">
        <v>6060</v>
      </c>
      <c r="CJ46" s="106">
        <v>4</v>
      </c>
      <c r="CK46" s="106">
        <v>4848</v>
      </c>
      <c r="CL46" s="106">
        <v>4</v>
      </c>
      <c r="CM46" s="106">
        <v>4848</v>
      </c>
      <c r="CN46" s="106">
        <v>7</v>
      </c>
      <c r="CO46" s="106">
        <v>8484</v>
      </c>
      <c r="CP46" s="106">
        <v>7</v>
      </c>
      <c r="CQ46" s="106">
        <v>8484</v>
      </c>
      <c r="CR46" s="106">
        <v>7</v>
      </c>
      <c r="CS46" s="106">
        <v>8484</v>
      </c>
      <c r="CT46" s="106">
        <v>4</v>
      </c>
      <c r="CU46" s="106">
        <v>4848</v>
      </c>
    </row>
    <row r="47" spans="2:99" x14ac:dyDescent="0.2">
      <c r="C47" s="105" t="s">
        <v>213</v>
      </c>
      <c r="D47" s="106">
        <v>12</v>
      </c>
      <c r="E47" s="106">
        <v>18331.199999999997</v>
      </c>
      <c r="F47" s="106">
        <v>13</v>
      </c>
      <c r="G47" s="106">
        <v>19858.8</v>
      </c>
      <c r="H47" s="106">
        <v>9</v>
      </c>
      <c r="I47" s="106">
        <v>13748.4</v>
      </c>
      <c r="J47" s="106">
        <v>15</v>
      </c>
      <c r="K47" s="106">
        <v>22914</v>
      </c>
      <c r="L47" s="106">
        <v>65</v>
      </c>
      <c r="M47" s="106">
        <v>99294</v>
      </c>
      <c r="N47" s="106">
        <v>72</v>
      </c>
      <c r="O47" s="106">
        <v>109987.2</v>
      </c>
      <c r="P47" s="106">
        <v>86</v>
      </c>
      <c r="Q47" s="106">
        <v>131373.6</v>
      </c>
      <c r="R47" s="106">
        <v>52</v>
      </c>
      <c r="S47" s="106">
        <v>79435.199999999997</v>
      </c>
      <c r="T47" s="106">
        <v>5</v>
      </c>
      <c r="U47" s="106">
        <v>7638</v>
      </c>
      <c r="V47" s="106">
        <v>3</v>
      </c>
      <c r="W47" s="106">
        <v>4582.7999999999993</v>
      </c>
      <c r="X47" s="106">
        <v>6</v>
      </c>
      <c r="Y47" s="106">
        <v>9165.5999999999985</v>
      </c>
      <c r="Z47" s="106">
        <v>4</v>
      </c>
      <c r="AA47" s="106">
        <v>6110.4</v>
      </c>
      <c r="AB47" s="106">
        <v>41</v>
      </c>
      <c r="AC47" s="106">
        <v>62631.6</v>
      </c>
      <c r="AD47" s="106">
        <v>69</v>
      </c>
      <c r="AE47" s="106">
        <v>105404.4</v>
      </c>
      <c r="AF47" s="106">
        <v>46</v>
      </c>
      <c r="AG47" s="106">
        <v>70269.599999999991</v>
      </c>
      <c r="AH47" s="106">
        <v>76</v>
      </c>
      <c r="AI47" s="106">
        <v>116097.59999999999</v>
      </c>
      <c r="AJ47" s="106">
        <v>42</v>
      </c>
      <c r="AK47" s="106">
        <v>64159.199999999997</v>
      </c>
      <c r="AL47" s="106">
        <v>65</v>
      </c>
      <c r="AM47" s="106">
        <v>99294</v>
      </c>
      <c r="AN47" s="106">
        <v>38</v>
      </c>
      <c r="AO47" s="106">
        <v>58048.799999999996</v>
      </c>
      <c r="AP47" s="106">
        <v>46</v>
      </c>
      <c r="AQ47" s="106">
        <v>70269.599999999991</v>
      </c>
      <c r="AR47" s="106">
        <v>24</v>
      </c>
      <c r="AS47" s="106">
        <v>36662.399999999994</v>
      </c>
      <c r="AT47" s="106">
        <v>23</v>
      </c>
      <c r="AU47" s="106">
        <v>35134.799999999996</v>
      </c>
      <c r="AV47" s="106">
        <v>17</v>
      </c>
      <c r="AW47" s="106">
        <v>25969.199999999997</v>
      </c>
      <c r="AX47" s="106">
        <v>15</v>
      </c>
      <c r="AY47" s="106">
        <v>22914</v>
      </c>
      <c r="AZ47" s="106">
        <v>6</v>
      </c>
      <c r="BA47" s="106">
        <v>9165.5999999999985</v>
      </c>
      <c r="BB47" s="106">
        <v>7</v>
      </c>
      <c r="BC47" s="106">
        <v>10693.199999999999</v>
      </c>
      <c r="BD47" s="106">
        <v>7</v>
      </c>
      <c r="BE47" s="106">
        <v>10693.199999999999</v>
      </c>
      <c r="BF47" s="106">
        <v>7</v>
      </c>
      <c r="BG47" s="106">
        <v>10693.199999999999</v>
      </c>
      <c r="BH47" s="106">
        <v>52</v>
      </c>
      <c r="BI47" s="106">
        <v>79435.199999999997</v>
      </c>
      <c r="BJ47" s="106">
        <v>46</v>
      </c>
      <c r="BK47" s="106">
        <v>70269.599999999991</v>
      </c>
      <c r="BL47" s="106">
        <v>55</v>
      </c>
      <c r="BM47" s="106">
        <v>84018</v>
      </c>
      <c r="BN47" s="106">
        <v>45</v>
      </c>
      <c r="BO47" s="106">
        <v>68742</v>
      </c>
      <c r="BP47" s="106">
        <v>31</v>
      </c>
      <c r="BQ47" s="106">
        <v>47355.6</v>
      </c>
      <c r="BR47" s="106">
        <v>35</v>
      </c>
      <c r="BS47" s="106">
        <v>53466</v>
      </c>
      <c r="BT47" s="106">
        <v>31</v>
      </c>
      <c r="BU47" s="106">
        <v>47355.6</v>
      </c>
      <c r="BV47" s="106">
        <v>29</v>
      </c>
      <c r="BW47" s="106">
        <v>44300.399999999994</v>
      </c>
      <c r="BX47" s="106">
        <v>7</v>
      </c>
      <c r="BY47" s="106">
        <v>10693.199999999999</v>
      </c>
      <c r="BZ47" s="106">
        <v>9</v>
      </c>
      <c r="CA47" s="106">
        <v>13748.4</v>
      </c>
      <c r="CB47" s="106">
        <v>7</v>
      </c>
      <c r="CC47" s="106">
        <v>10693.199999999999</v>
      </c>
      <c r="CD47" s="106">
        <v>10</v>
      </c>
      <c r="CE47" s="106">
        <v>15276</v>
      </c>
      <c r="CF47" s="106">
        <v>7</v>
      </c>
      <c r="CG47" s="106">
        <v>10693.199999999999</v>
      </c>
      <c r="CH47" s="106">
        <v>5</v>
      </c>
      <c r="CI47" s="106">
        <v>7638</v>
      </c>
      <c r="CJ47" s="106">
        <v>4</v>
      </c>
      <c r="CK47" s="106">
        <v>6110.4</v>
      </c>
      <c r="CL47" s="106">
        <v>4</v>
      </c>
      <c r="CM47" s="106">
        <v>6110.4</v>
      </c>
      <c r="CN47" s="106">
        <v>7</v>
      </c>
      <c r="CO47" s="106">
        <v>10693.199999999999</v>
      </c>
      <c r="CP47" s="106">
        <v>8</v>
      </c>
      <c r="CQ47" s="106">
        <v>12220.8</v>
      </c>
      <c r="CR47" s="106">
        <v>7</v>
      </c>
      <c r="CS47" s="106">
        <v>10693.199999999999</v>
      </c>
      <c r="CT47" s="106">
        <v>5</v>
      </c>
      <c r="CU47" s="106">
        <v>7638</v>
      </c>
    </row>
    <row r="48" spans="2:99" x14ac:dyDescent="0.2">
      <c r="C48" s="105" t="s">
        <v>214</v>
      </c>
      <c r="D48" s="106">
        <v>14</v>
      </c>
      <c r="E48" s="106">
        <v>12146.4</v>
      </c>
      <c r="F48" s="106">
        <v>16</v>
      </c>
      <c r="G48" s="106">
        <v>13881.6</v>
      </c>
      <c r="H48" s="106">
        <v>9</v>
      </c>
      <c r="I48" s="106">
        <v>7808.4000000000005</v>
      </c>
      <c r="J48" s="106">
        <v>16</v>
      </c>
      <c r="K48" s="106">
        <v>13881.6</v>
      </c>
      <c r="L48" s="106">
        <v>72</v>
      </c>
      <c r="M48" s="106">
        <v>62467.200000000004</v>
      </c>
      <c r="N48" s="106">
        <v>78</v>
      </c>
      <c r="O48" s="106">
        <v>67672.800000000003</v>
      </c>
      <c r="P48" s="106">
        <v>96</v>
      </c>
      <c r="Q48" s="106">
        <v>83289.600000000006</v>
      </c>
      <c r="R48" s="106">
        <v>58</v>
      </c>
      <c r="S48" s="106">
        <v>50320.800000000003</v>
      </c>
      <c r="T48" s="106">
        <v>6</v>
      </c>
      <c r="U48" s="106">
        <v>5205.6000000000004</v>
      </c>
      <c r="V48" s="106">
        <v>4</v>
      </c>
      <c r="W48" s="106">
        <v>3470.4</v>
      </c>
      <c r="X48" s="106">
        <v>6</v>
      </c>
      <c r="Y48" s="106">
        <v>5205.6000000000004</v>
      </c>
      <c r="Z48" s="106">
        <v>4</v>
      </c>
      <c r="AA48" s="106">
        <v>3470.4</v>
      </c>
      <c r="AB48" s="106">
        <v>49</v>
      </c>
      <c r="AC48" s="106">
        <v>42512.4</v>
      </c>
      <c r="AD48" s="106">
        <v>69</v>
      </c>
      <c r="AE48" s="106">
        <v>59864.4</v>
      </c>
      <c r="AF48" s="106">
        <v>58</v>
      </c>
      <c r="AG48" s="106">
        <v>50320.800000000003</v>
      </c>
      <c r="AH48" s="106">
        <v>101</v>
      </c>
      <c r="AI48" s="106">
        <v>87627.6</v>
      </c>
      <c r="AJ48" s="106">
        <v>55</v>
      </c>
      <c r="AK48" s="106">
        <v>47718</v>
      </c>
      <c r="AL48" s="106">
        <v>75</v>
      </c>
      <c r="AM48" s="106">
        <v>65070</v>
      </c>
      <c r="AN48" s="106">
        <v>43</v>
      </c>
      <c r="AO48" s="106">
        <v>37306.800000000003</v>
      </c>
      <c r="AP48" s="106">
        <v>54</v>
      </c>
      <c r="AQ48" s="106">
        <v>46850.400000000001</v>
      </c>
      <c r="AR48" s="106">
        <v>23</v>
      </c>
      <c r="AS48" s="106">
        <v>19954.8</v>
      </c>
      <c r="AT48" s="106">
        <v>24</v>
      </c>
      <c r="AU48" s="106">
        <v>20822.400000000001</v>
      </c>
      <c r="AV48" s="106">
        <v>19</v>
      </c>
      <c r="AW48" s="106">
        <v>16484.400000000001</v>
      </c>
      <c r="AX48" s="106">
        <v>18</v>
      </c>
      <c r="AY48" s="106">
        <v>15616.800000000001</v>
      </c>
      <c r="AZ48" s="106">
        <v>7</v>
      </c>
      <c r="BA48" s="106">
        <v>6073.2</v>
      </c>
      <c r="BB48" s="106">
        <v>7</v>
      </c>
      <c r="BC48" s="106">
        <v>6073.2</v>
      </c>
      <c r="BD48" s="106">
        <v>8</v>
      </c>
      <c r="BE48" s="106">
        <v>6940.8</v>
      </c>
      <c r="BF48" s="106">
        <v>7</v>
      </c>
      <c r="BG48" s="106">
        <v>6073.2</v>
      </c>
      <c r="BH48" s="106">
        <v>69</v>
      </c>
      <c r="BI48" s="106">
        <v>59864.4</v>
      </c>
      <c r="BJ48" s="106">
        <v>51</v>
      </c>
      <c r="BK48" s="106">
        <v>44247.6</v>
      </c>
      <c r="BL48" s="106">
        <v>60</v>
      </c>
      <c r="BM48" s="106">
        <v>52056</v>
      </c>
      <c r="BN48" s="106">
        <v>50</v>
      </c>
      <c r="BO48" s="106">
        <v>43380</v>
      </c>
      <c r="BP48" s="106">
        <v>37</v>
      </c>
      <c r="BQ48" s="106">
        <v>32101.200000000001</v>
      </c>
      <c r="BR48" s="106">
        <v>37</v>
      </c>
      <c r="BS48" s="106">
        <v>32101.200000000001</v>
      </c>
      <c r="BT48" s="106">
        <v>34</v>
      </c>
      <c r="BU48" s="106">
        <v>29498.400000000001</v>
      </c>
      <c r="BV48" s="106">
        <v>32</v>
      </c>
      <c r="BW48" s="106">
        <v>27763.200000000001</v>
      </c>
      <c r="BX48" s="106">
        <v>8</v>
      </c>
      <c r="BY48" s="106">
        <v>6940.8</v>
      </c>
      <c r="BZ48" s="106">
        <v>12</v>
      </c>
      <c r="CA48" s="106">
        <v>10411.200000000001</v>
      </c>
      <c r="CB48" s="106">
        <v>8</v>
      </c>
      <c r="CC48" s="106">
        <v>6940.8</v>
      </c>
      <c r="CD48" s="106">
        <v>10</v>
      </c>
      <c r="CE48" s="106">
        <v>8676</v>
      </c>
      <c r="CF48" s="106">
        <v>7</v>
      </c>
      <c r="CG48" s="106">
        <v>6073.2</v>
      </c>
      <c r="CH48" s="106">
        <v>6</v>
      </c>
      <c r="CI48" s="106">
        <v>5205.6000000000004</v>
      </c>
      <c r="CJ48" s="106">
        <v>4</v>
      </c>
      <c r="CK48" s="106">
        <v>3470.4</v>
      </c>
      <c r="CL48" s="106">
        <v>4</v>
      </c>
      <c r="CM48" s="106">
        <v>3470.4</v>
      </c>
      <c r="CN48" s="106">
        <v>7</v>
      </c>
      <c r="CO48" s="106">
        <v>6073.2</v>
      </c>
      <c r="CP48" s="106">
        <v>9</v>
      </c>
      <c r="CQ48" s="106">
        <v>7808.4000000000005</v>
      </c>
      <c r="CR48" s="106">
        <v>7</v>
      </c>
      <c r="CS48" s="106">
        <v>6073.2</v>
      </c>
      <c r="CT48" s="106">
        <v>5</v>
      </c>
      <c r="CU48" s="106">
        <v>4338</v>
      </c>
    </row>
    <row r="49" spans="2:99" x14ac:dyDescent="0.2">
      <c r="B49" s="105" t="s">
        <v>129</v>
      </c>
      <c r="C49" s="105" t="s">
        <v>215</v>
      </c>
      <c r="D49" s="106">
        <v>8</v>
      </c>
      <c r="E49" s="106">
        <v>7881.5999999999995</v>
      </c>
      <c r="F49" s="106">
        <v>4</v>
      </c>
      <c r="G49" s="106">
        <v>3940.7999999999997</v>
      </c>
      <c r="H49" s="106">
        <v>7</v>
      </c>
      <c r="I49" s="106">
        <v>6896.4</v>
      </c>
      <c r="J49" s="106">
        <v>6.1150756624005345</v>
      </c>
      <c r="K49" s="106">
        <v>6024.5725425970058</v>
      </c>
      <c r="L49" s="106">
        <v>39.031713814687045</v>
      </c>
      <c r="M49" s="106">
        <v>38454.044450229674</v>
      </c>
      <c r="N49" s="106">
        <v>25.053000986699828</v>
      </c>
      <c r="O49" s="106">
        <v>24682.21657209667</v>
      </c>
      <c r="P49" s="106">
        <v>38</v>
      </c>
      <c r="Q49" s="106">
        <v>37437.599999999999</v>
      </c>
      <c r="R49" s="106">
        <v>28.08961419646899</v>
      </c>
      <c r="S49" s="106">
        <v>27673.887906361248</v>
      </c>
      <c r="T49" s="106">
        <v>5.0215206611570249</v>
      </c>
      <c r="U49" s="106">
        <v>4947.2021553719005</v>
      </c>
      <c r="V49" s="106">
        <v>5.0182803806447236</v>
      </c>
      <c r="W49" s="106">
        <v>4944.0098310111816</v>
      </c>
      <c r="X49" s="106">
        <v>4.0488622538478953</v>
      </c>
      <c r="Y49" s="106">
        <v>3988.9390924909462</v>
      </c>
      <c r="Z49" s="106">
        <v>3.0253734518471465</v>
      </c>
      <c r="AA49" s="106">
        <v>2980.5979247598084</v>
      </c>
      <c r="AB49" s="106">
        <v>7.0507927503392436</v>
      </c>
      <c r="AC49" s="106">
        <v>6946.4410176342226</v>
      </c>
      <c r="AD49" s="106">
        <v>10</v>
      </c>
      <c r="AE49" s="106">
        <v>9852</v>
      </c>
      <c r="AF49" s="106">
        <v>6.0409243954698502</v>
      </c>
      <c r="AG49" s="106">
        <v>5951.5187144168958</v>
      </c>
      <c r="AH49" s="106">
        <v>6.1175555523428127</v>
      </c>
      <c r="AI49" s="106">
        <v>6027.0157301681384</v>
      </c>
      <c r="AJ49" s="106">
        <v>8.0671499659663901</v>
      </c>
      <c r="AK49" s="106">
        <v>7947.7561464700866</v>
      </c>
      <c r="AL49" s="106">
        <v>7.1148587197469988</v>
      </c>
      <c r="AM49" s="106">
        <v>7009.5588106947425</v>
      </c>
      <c r="AN49" s="106">
        <v>7</v>
      </c>
      <c r="AO49" s="106">
        <v>6896.4</v>
      </c>
      <c r="AP49" s="106">
        <v>8.1604115873379168</v>
      </c>
      <c r="AQ49" s="106">
        <v>8039.6374958453152</v>
      </c>
      <c r="AR49" s="106">
        <v>4.0314926149505723</v>
      </c>
      <c r="AS49" s="106">
        <v>3971.8265242493035</v>
      </c>
      <c r="AT49" s="106">
        <v>5.0739755486150484</v>
      </c>
      <c r="AU49" s="106">
        <v>4998.8807104955449</v>
      </c>
      <c r="AV49" s="106">
        <v>3.0713777512414779</v>
      </c>
      <c r="AW49" s="106">
        <v>3025.9213605231039</v>
      </c>
      <c r="AX49" s="106">
        <v>3.0352206093583658</v>
      </c>
      <c r="AY49" s="106">
        <v>2990.2993443398618</v>
      </c>
      <c r="AZ49" s="106">
        <v>5.0674416737495189</v>
      </c>
      <c r="BA49" s="106">
        <v>4992.4435369780258</v>
      </c>
      <c r="BB49" s="106">
        <v>6.1252099054097142</v>
      </c>
      <c r="BC49" s="106">
        <v>6034.55679880965</v>
      </c>
      <c r="BD49" s="106">
        <v>5</v>
      </c>
      <c r="BE49" s="106">
        <v>4926</v>
      </c>
      <c r="BF49" s="106">
        <v>7.1497466691686995</v>
      </c>
      <c r="BG49" s="106">
        <v>7043.9304184650018</v>
      </c>
      <c r="BH49" s="106">
        <v>4.096517165814463</v>
      </c>
      <c r="BI49" s="106">
        <v>4035.8887117604086</v>
      </c>
      <c r="BJ49" s="106">
        <v>5.1172328994196397</v>
      </c>
      <c r="BK49" s="106">
        <v>5041.4978525082288</v>
      </c>
      <c r="BL49" s="106">
        <v>5</v>
      </c>
      <c r="BM49" s="106">
        <v>4926</v>
      </c>
      <c r="BN49" s="106">
        <v>3.0847318143845248</v>
      </c>
      <c r="BO49" s="106">
        <v>3039.0777835316335</v>
      </c>
      <c r="BP49" s="106">
        <v>2.0823971149469558</v>
      </c>
      <c r="BQ49" s="106">
        <v>2051.5776376457407</v>
      </c>
      <c r="BR49" s="106">
        <v>2.0768707777023785</v>
      </c>
      <c r="BS49" s="106">
        <v>2046.1330901923832</v>
      </c>
      <c r="BT49" s="106">
        <v>4.1974200164893727</v>
      </c>
      <c r="BU49" s="106">
        <v>4135.29820024533</v>
      </c>
      <c r="BV49" s="106">
        <v>4.1105861232907257</v>
      </c>
      <c r="BW49" s="106">
        <v>4049.7494486660225</v>
      </c>
      <c r="BX49" s="106">
        <v>43</v>
      </c>
      <c r="BY49" s="106">
        <v>42363.6</v>
      </c>
      <c r="BZ49" s="106">
        <v>52.127985136741977</v>
      </c>
      <c r="CA49" s="106">
        <v>51356.490956718189</v>
      </c>
      <c r="CB49" s="106">
        <v>72.099055162717221</v>
      </c>
      <c r="CC49" s="106">
        <v>71031.989146309003</v>
      </c>
      <c r="CD49" s="106">
        <v>73.156461625070364</v>
      </c>
      <c r="CE49" s="106">
        <v>72073.745993019314</v>
      </c>
      <c r="CF49" s="106">
        <v>24</v>
      </c>
      <c r="CG49" s="106">
        <v>23644.799999999999</v>
      </c>
      <c r="CH49" s="106">
        <v>23</v>
      </c>
      <c r="CI49" s="106">
        <v>22659.599999999999</v>
      </c>
      <c r="CJ49" s="106">
        <v>25.327314814814816</v>
      </c>
      <c r="CK49" s="106">
        <v>24952.470555555556</v>
      </c>
      <c r="CL49" s="106">
        <v>17.280840442231085</v>
      </c>
      <c r="CM49" s="106">
        <v>17025.084003686065</v>
      </c>
      <c r="CN49" s="106">
        <v>4.0892774699907664</v>
      </c>
      <c r="CO49" s="106">
        <v>4028.7561634349026</v>
      </c>
      <c r="CP49" s="106">
        <v>4.0619490358126722</v>
      </c>
      <c r="CQ49" s="106">
        <v>4001.8321900826445</v>
      </c>
      <c r="CR49" s="106">
        <v>3</v>
      </c>
      <c r="CS49" s="106">
        <v>2955.6</v>
      </c>
      <c r="CT49" s="106">
        <v>3.1785693766159149</v>
      </c>
      <c r="CU49" s="106">
        <v>3131.526549841999</v>
      </c>
    </row>
    <row r="50" spans="2:99" x14ac:dyDescent="0.2">
      <c r="C50" s="105" t="s">
        <v>216</v>
      </c>
      <c r="D50" s="106">
        <v>7</v>
      </c>
      <c r="E50" s="106">
        <v>1974</v>
      </c>
      <c r="F50" s="106">
        <v>5</v>
      </c>
      <c r="G50" s="106">
        <v>1410</v>
      </c>
      <c r="H50" s="106">
        <v>7</v>
      </c>
      <c r="I50" s="106">
        <v>1974</v>
      </c>
      <c r="J50" s="106">
        <v>7</v>
      </c>
      <c r="K50" s="106">
        <v>1974</v>
      </c>
      <c r="L50" s="106">
        <v>46</v>
      </c>
      <c r="M50" s="106">
        <v>12972</v>
      </c>
      <c r="N50" s="106">
        <v>27</v>
      </c>
      <c r="O50" s="106">
        <v>7614</v>
      </c>
      <c r="P50" s="106">
        <v>41</v>
      </c>
      <c r="Q50" s="106">
        <v>11562</v>
      </c>
      <c r="R50" s="106">
        <v>33</v>
      </c>
      <c r="S50" s="106">
        <v>9306</v>
      </c>
      <c r="T50" s="106">
        <v>5</v>
      </c>
      <c r="U50" s="106">
        <v>1410</v>
      </c>
      <c r="V50" s="106">
        <v>5</v>
      </c>
      <c r="W50" s="106">
        <v>1410</v>
      </c>
      <c r="X50" s="106">
        <v>5</v>
      </c>
      <c r="Y50" s="106">
        <v>1410</v>
      </c>
      <c r="Z50" s="106">
        <v>4</v>
      </c>
      <c r="AA50" s="106">
        <v>1128</v>
      </c>
      <c r="AB50" s="106">
        <v>7</v>
      </c>
      <c r="AC50" s="106">
        <v>1974</v>
      </c>
      <c r="AD50" s="106">
        <v>11</v>
      </c>
      <c r="AE50" s="106">
        <v>3102</v>
      </c>
      <c r="AF50" s="106">
        <v>6</v>
      </c>
      <c r="AG50" s="106">
        <v>1692</v>
      </c>
      <c r="AH50" s="106">
        <v>7</v>
      </c>
      <c r="AI50" s="106">
        <v>1974</v>
      </c>
      <c r="AJ50" s="106">
        <v>9</v>
      </c>
      <c r="AK50" s="106">
        <v>2538</v>
      </c>
      <c r="AL50" s="106">
        <v>7</v>
      </c>
      <c r="AM50" s="106">
        <v>1974</v>
      </c>
      <c r="AN50" s="106">
        <v>7</v>
      </c>
      <c r="AO50" s="106">
        <v>1974</v>
      </c>
      <c r="AP50" s="106">
        <v>8</v>
      </c>
      <c r="AQ50" s="106">
        <v>2256</v>
      </c>
      <c r="AR50" s="106">
        <v>5</v>
      </c>
      <c r="AS50" s="106">
        <v>1410</v>
      </c>
      <c r="AT50" s="106">
        <v>4</v>
      </c>
      <c r="AU50" s="106">
        <v>1128</v>
      </c>
      <c r="AV50" s="106">
        <v>3</v>
      </c>
      <c r="AW50" s="106">
        <v>846</v>
      </c>
      <c r="AX50" s="106">
        <v>3</v>
      </c>
      <c r="AY50" s="106">
        <v>846</v>
      </c>
      <c r="AZ50" s="106">
        <v>6</v>
      </c>
      <c r="BA50" s="106">
        <v>1692</v>
      </c>
      <c r="BB50" s="106">
        <v>6</v>
      </c>
      <c r="BC50" s="106">
        <v>1692</v>
      </c>
      <c r="BD50" s="106">
        <v>5</v>
      </c>
      <c r="BE50" s="106">
        <v>1410</v>
      </c>
      <c r="BF50" s="106">
        <v>7</v>
      </c>
      <c r="BG50" s="106">
        <v>1974</v>
      </c>
      <c r="BH50" s="106">
        <v>5</v>
      </c>
      <c r="BI50" s="106">
        <v>1410</v>
      </c>
      <c r="BJ50" s="106">
        <v>6</v>
      </c>
      <c r="BK50" s="106">
        <v>1692</v>
      </c>
      <c r="BL50" s="106">
        <v>6</v>
      </c>
      <c r="BM50" s="106">
        <v>1692</v>
      </c>
      <c r="BN50" s="106">
        <v>4</v>
      </c>
      <c r="BO50" s="106">
        <v>1128</v>
      </c>
      <c r="BP50" s="106">
        <v>2</v>
      </c>
      <c r="BQ50" s="106">
        <v>564</v>
      </c>
      <c r="BR50" s="106">
        <v>2</v>
      </c>
      <c r="BS50" s="106">
        <v>564</v>
      </c>
      <c r="BT50" s="106">
        <v>4</v>
      </c>
      <c r="BU50" s="106">
        <v>1128</v>
      </c>
      <c r="BV50" s="106">
        <v>4</v>
      </c>
      <c r="BW50" s="106">
        <v>1128</v>
      </c>
      <c r="BX50" s="106">
        <v>52</v>
      </c>
      <c r="BY50" s="106">
        <v>14664</v>
      </c>
      <c r="BZ50" s="106">
        <v>65</v>
      </c>
      <c r="CA50" s="106">
        <v>18330</v>
      </c>
      <c r="CB50" s="106">
        <v>88</v>
      </c>
      <c r="CC50" s="106">
        <v>24816</v>
      </c>
      <c r="CD50" s="106">
        <v>89</v>
      </c>
      <c r="CE50" s="106">
        <v>25098</v>
      </c>
      <c r="CF50" s="106">
        <v>30</v>
      </c>
      <c r="CG50" s="106">
        <v>8460</v>
      </c>
      <c r="CH50" s="106">
        <v>25</v>
      </c>
      <c r="CI50" s="106">
        <v>7050</v>
      </c>
      <c r="CJ50" s="106">
        <v>29</v>
      </c>
      <c r="CK50" s="106">
        <v>8178</v>
      </c>
      <c r="CL50" s="106">
        <v>20</v>
      </c>
      <c r="CM50" s="106">
        <v>5640</v>
      </c>
      <c r="CN50" s="106">
        <v>4</v>
      </c>
      <c r="CO50" s="106">
        <v>1128</v>
      </c>
      <c r="CP50" s="106">
        <v>4</v>
      </c>
      <c r="CQ50" s="106">
        <v>1128</v>
      </c>
      <c r="CR50" s="106">
        <v>3</v>
      </c>
      <c r="CS50" s="106">
        <v>846</v>
      </c>
      <c r="CT50" s="106">
        <v>3</v>
      </c>
      <c r="CU50" s="106">
        <v>846</v>
      </c>
    </row>
    <row r="51" spans="2:99" x14ac:dyDescent="0.2">
      <c r="C51" s="105" t="s">
        <v>217</v>
      </c>
      <c r="D51" s="106">
        <v>7</v>
      </c>
      <c r="E51" s="106">
        <v>5980.8</v>
      </c>
      <c r="F51" s="106">
        <v>5</v>
      </c>
      <c r="G51" s="106">
        <v>4272</v>
      </c>
      <c r="H51" s="106">
        <v>8</v>
      </c>
      <c r="I51" s="106">
        <v>6835.2</v>
      </c>
      <c r="J51" s="106">
        <v>7</v>
      </c>
      <c r="K51" s="106">
        <v>5980.8</v>
      </c>
      <c r="L51" s="106">
        <v>38</v>
      </c>
      <c r="M51" s="106">
        <v>32467.200000000001</v>
      </c>
      <c r="N51" s="106">
        <v>25</v>
      </c>
      <c r="O51" s="106">
        <v>21360</v>
      </c>
      <c r="P51" s="106">
        <v>35</v>
      </c>
      <c r="Q51" s="106">
        <v>29904</v>
      </c>
      <c r="R51" s="106">
        <v>30</v>
      </c>
      <c r="S51" s="106">
        <v>25632</v>
      </c>
      <c r="T51" s="106">
        <v>5</v>
      </c>
      <c r="U51" s="106">
        <v>4272</v>
      </c>
      <c r="V51" s="106">
        <v>5</v>
      </c>
      <c r="W51" s="106">
        <v>4272</v>
      </c>
      <c r="X51" s="106">
        <v>4</v>
      </c>
      <c r="Y51" s="106">
        <v>3417.6</v>
      </c>
      <c r="Z51" s="106">
        <v>3</v>
      </c>
      <c r="AA51" s="106">
        <v>2563.1999999999998</v>
      </c>
      <c r="AB51" s="106">
        <v>8</v>
      </c>
      <c r="AC51" s="106">
        <v>6835.2</v>
      </c>
      <c r="AD51" s="106">
        <v>11</v>
      </c>
      <c r="AE51" s="106">
        <v>9398.4</v>
      </c>
      <c r="AF51" s="106">
        <v>5</v>
      </c>
      <c r="AG51" s="106">
        <v>4272</v>
      </c>
      <c r="AH51" s="106">
        <v>6</v>
      </c>
      <c r="AI51" s="106">
        <v>5126.3999999999996</v>
      </c>
      <c r="AJ51" s="106">
        <v>8</v>
      </c>
      <c r="AK51" s="106">
        <v>6835.2</v>
      </c>
      <c r="AL51" s="106">
        <v>6</v>
      </c>
      <c r="AM51" s="106">
        <v>5126.3999999999996</v>
      </c>
      <c r="AN51" s="106">
        <v>7</v>
      </c>
      <c r="AO51" s="106">
        <v>5980.8</v>
      </c>
      <c r="AP51" s="106">
        <v>8</v>
      </c>
      <c r="AQ51" s="106">
        <v>6835.2</v>
      </c>
      <c r="AR51" s="106">
        <v>4</v>
      </c>
      <c r="AS51" s="106">
        <v>3417.6</v>
      </c>
      <c r="AT51" s="106">
        <v>5</v>
      </c>
      <c r="AU51" s="106">
        <v>4272</v>
      </c>
      <c r="AV51" s="106">
        <v>3</v>
      </c>
      <c r="AW51" s="106">
        <v>2563.1999999999998</v>
      </c>
      <c r="AX51" s="106">
        <v>3</v>
      </c>
      <c r="AY51" s="106">
        <v>2563.1999999999998</v>
      </c>
      <c r="AZ51" s="106">
        <v>5</v>
      </c>
      <c r="BA51" s="106">
        <v>4272</v>
      </c>
      <c r="BB51" s="106">
        <v>6</v>
      </c>
      <c r="BC51" s="106">
        <v>5126.3999999999996</v>
      </c>
      <c r="BD51" s="106">
        <v>5</v>
      </c>
      <c r="BE51" s="106">
        <v>4272</v>
      </c>
      <c r="BF51" s="106">
        <v>7</v>
      </c>
      <c r="BG51" s="106">
        <v>5980.8</v>
      </c>
      <c r="BH51" s="106">
        <v>4</v>
      </c>
      <c r="BI51" s="106">
        <v>3417.6</v>
      </c>
      <c r="BJ51" s="106">
        <v>6</v>
      </c>
      <c r="BK51" s="106">
        <v>5126.3999999999996</v>
      </c>
      <c r="BL51" s="106">
        <v>5</v>
      </c>
      <c r="BM51" s="106">
        <v>4272</v>
      </c>
      <c r="BN51" s="106">
        <v>4</v>
      </c>
      <c r="BO51" s="106">
        <v>3417.6</v>
      </c>
      <c r="BP51" s="106">
        <v>2</v>
      </c>
      <c r="BQ51" s="106">
        <v>1708.8</v>
      </c>
      <c r="BR51" s="106">
        <v>2</v>
      </c>
      <c r="BS51" s="106">
        <v>1708.8</v>
      </c>
      <c r="BT51" s="106">
        <v>4</v>
      </c>
      <c r="BU51" s="106">
        <v>3417.6</v>
      </c>
      <c r="BV51" s="106">
        <v>4</v>
      </c>
      <c r="BW51" s="106">
        <v>3417.6</v>
      </c>
      <c r="BX51" s="106">
        <v>46</v>
      </c>
      <c r="BY51" s="106">
        <v>39302.400000000001</v>
      </c>
      <c r="BZ51" s="106">
        <v>55</v>
      </c>
      <c r="CA51" s="106">
        <v>46992</v>
      </c>
      <c r="CB51" s="106">
        <v>71</v>
      </c>
      <c r="CC51" s="106">
        <v>60662.400000000001</v>
      </c>
      <c r="CD51" s="106">
        <v>76</v>
      </c>
      <c r="CE51" s="106">
        <v>64934.400000000001</v>
      </c>
      <c r="CF51" s="106">
        <v>26</v>
      </c>
      <c r="CG51" s="106">
        <v>22214.399999999998</v>
      </c>
      <c r="CH51" s="106">
        <v>21</v>
      </c>
      <c r="CI51" s="106">
        <v>17942.399999999998</v>
      </c>
      <c r="CJ51" s="106">
        <v>24</v>
      </c>
      <c r="CK51" s="106">
        <v>20505.599999999999</v>
      </c>
      <c r="CL51" s="106">
        <v>18</v>
      </c>
      <c r="CM51" s="106">
        <v>15379.199999999999</v>
      </c>
      <c r="CN51" s="106">
        <v>4</v>
      </c>
      <c r="CO51" s="106">
        <v>3417.6</v>
      </c>
      <c r="CP51" s="106">
        <v>4</v>
      </c>
      <c r="CQ51" s="106">
        <v>3417.6</v>
      </c>
      <c r="CR51" s="106">
        <v>3</v>
      </c>
      <c r="CS51" s="106">
        <v>2563.1999999999998</v>
      </c>
      <c r="CT51" s="106">
        <v>3</v>
      </c>
      <c r="CU51" s="106">
        <v>2563.1999999999998</v>
      </c>
    </row>
    <row r="52" spans="2:99" x14ac:dyDescent="0.2">
      <c r="C52" s="105" t="s">
        <v>218</v>
      </c>
      <c r="D52" s="106">
        <v>7</v>
      </c>
      <c r="E52" s="106">
        <v>3780</v>
      </c>
      <c r="F52" s="106">
        <v>4</v>
      </c>
      <c r="G52" s="106">
        <v>2160</v>
      </c>
      <c r="H52" s="106">
        <v>8</v>
      </c>
      <c r="I52" s="106">
        <v>4320</v>
      </c>
      <c r="J52" s="106">
        <v>7</v>
      </c>
      <c r="K52" s="106">
        <v>3780</v>
      </c>
      <c r="L52" s="106">
        <v>39</v>
      </c>
      <c r="M52" s="106">
        <v>21060</v>
      </c>
      <c r="N52" s="106">
        <v>25</v>
      </c>
      <c r="O52" s="106">
        <v>13500</v>
      </c>
      <c r="P52" s="106">
        <v>43</v>
      </c>
      <c r="Q52" s="106">
        <v>23220</v>
      </c>
      <c r="R52" s="106">
        <v>29</v>
      </c>
      <c r="S52" s="106">
        <v>15660</v>
      </c>
      <c r="T52" s="106">
        <v>5</v>
      </c>
      <c r="U52" s="106">
        <v>2700</v>
      </c>
      <c r="V52" s="106">
        <v>4</v>
      </c>
      <c r="W52" s="106">
        <v>2160</v>
      </c>
      <c r="X52" s="106">
        <v>4</v>
      </c>
      <c r="Y52" s="106">
        <v>2160</v>
      </c>
      <c r="Z52" s="106">
        <v>4</v>
      </c>
      <c r="AA52" s="106">
        <v>2160</v>
      </c>
      <c r="AB52" s="106">
        <v>7</v>
      </c>
      <c r="AC52" s="106">
        <v>3780</v>
      </c>
      <c r="AD52" s="106">
        <v>11</v>
      </c>
      <c r="AE52" s="106">
        <v>5940</v>
      </c>
      <c r="AF52" s="106">
        <v>6</v>
      </c>
      <c r="AG52" s="106">
        <v>3240</v>
      </c>
      <c r="AH52" s="106">
        <v>6</v>
      </c>
      <c r="AI52" s="106">
        <v>3240</v>
      </c>
      <c r="AJ52" s="106">
        <v>9</v>
      </c>
      <c r="AK52" s="106">
        <v>4860</v>
      </c>
      <c r="AL52" s="106">
        <v>6</v>
      </c>
      <c r="AM52" s="106">
        <v>3240</v>
      </c>
      <c r="AN52" s="106">
        <v>7</v>
      </c>
      <c r="AO52" s="106">
        <v>3780</v>
      </c>
      <c r="AP52" s="106">
        <v>8</v>
      </c>
      <c r="AQ52" s="106">
        <v>4320</v>
      </c>
      <c r="AR52" s="106">
        <v>5</v>
      </c>
      <c r="AS52" s="106">
        <v>2700</v>
      </c>
      <c r="AT52" s="106">
        <v>4</v>
      </c>
      <c r="AU52" s="106">
        <v>2160</v>
      </c>
      <c r="AV52" s="106">
        <v>3</v>
      </c>
      <c r="AW52" s="106">
        <v>1620</v>
      </c>
      <c r="AX52" s="106">
        <v>3</v>
      </c>
      <c r="AY52" s="106">
        <v>1620</v>
      </c>
      <c r="AZ52" s="106">
        <v>6</v>
      </c>
      <c r="BA52" s="106">
        <v>3240</v>
      </c>
      <c r="BB52" s="106">
        <v>5</v>
      </c>
      <c r="BC52" s="106">
        <v>2700</v>
      </c>
      <c r="BD52" s="106">
        <v>5</v>
      </c>
      <c r="BE52" s="106">
        <v>2700</v>
      </c>
      <c r="BF52" s="106">
        <v>7</v>
      </c>
      <c r="BG52" s="106">
        <v>3780</v>
      </c>
      <c r="BH52" s="106">
        <v>5</v>
      </c>
      <c r="BI52" s="106">
        <v>2700</v>
      </c>
      <c r="BJ52" s="106">
        <v>6</v>
      </c>
      <c r="BK52" s="106">
        <v>3240</v>
      </c>
      <c r="BL52" s="106">
        <v>6</v>
      </c>
      <c r="BM52" s="106">
        <v>3240</v>
      </c>
      <c r="BN52" s="106">
        <v>4</v>
      </c>
      <c r="BO52" s="106">
        <v>2160</v>
      </c>
      <c r="BP52" s="106">
        <v>2</v>
      </c>
      <c r="BQ52" s="106">
        <v>1080</v>
      </c>
      <c r="BR52" s="106">
        <v>2</v>
      </c>
      <c r="BS52" s="106">
        <v>1080</v>
      </c>
      <c r="BT52" s="106">
        <v>3</v>
      </c>
      <c r="BU52" s="106">
        <v>1620</v>
      </c>
      <c r="BV52" s="106">
        <v>4</v>
      </c>
      <c r="BW52" s="106">
        <v>2160</v>
      </c>
      <c r="BX52" s="106">
        <v>48</v>
      </c>
      <c r="BY52" s="106">
        <v>25920</v>
      </c>
      <c r="BZ52" s="106">
        <v>61</v>
      </c>
      <c r="CA52" s="106">
        <v>32940</v>
      </c>
      <c r="CB52" s="106">
        <v>84</v>
      </c>
      <c r="CC52" s="106">
        <v>45360</v>
      </c>
      <c r="CD52" s="106">
        <v>82</v>
      </c>
      <c r="CE52" s="106">
        <v>44280</v>
      </c>
      <c r="CF52" s="106">
        <v>29</v>
      </c>
      <c r="CG52" s="106">
        <v>15660</v>
      </c>
      <c r="CH52" s="106">
        <v>21</v>
      </c>
      <c r="CI52" s="106">
        <v>11340</v>
      </c>
      <c r="CJ52" s="106">
        <v>28</v>
      </c>
      <c r="CK52" s="106">
        <v>15120</v>
      </c>
      <c r="CL52" s="106">
        <v>18</v>
      </c>
      <c r="CM52" s="106">
        <v>9720</v>
      </c>
      <c r="CN52" s="106">
        <v>4</v>
      </c>
      <c r="CO52" s="106">
        <v>2160</v>
      </c>
      <c r="CP52" s="106">
        <v>4</v>
      </c>
      <c r="CQ52" s="106">
        <v>2160</v>
      </c>
      <c r="CR52" s="106">
        <v>3</v>
      </c>
      <c r="CS52" s="106">
        <v>1620</v>
      </c>
      <c r="CT52" s="106">
        <v>2</v>
      </c>
      <c r="CU52" s="106">
        <v>1080</v>
      </c>
    </row>
    <row r="53" spans="2:99" x14ac:dyDescent="0.2">
      <c r="C53" s="105" t="s">
        <v>219</v>
      </c>
      <c r="D53" s="106">
        <v>7</v>
      </c>
      <c r="E53" s="106">
        <v>2847.6</v>
      </c>
      <c r="F53" s="106">
        <v>5</v>
      </c>
      <c r="G53" s="106">
        <v>2034</v>
      </c>
      <c r="H53" s="106">
        <v>7</v>
      </c>
      <c r="I53" s="106">
        <v>2847.6</v>
      </c>
      <c r="J53" s="106">
        <v>8</v>
      </c>
      <c r="K53" s="106">
        <v>3254.4</v>
      </c>
      <c r="L53" s="106">
        <v>41</v>
      </c>
      <c r="M53" s="106">
        <v>16678.8</v>
      </c>
      <c r="N53" s="106">
        <v>27</v>
      </c>
      <c r="O53" s="106">
        <v>10983.6</v>
      </c>
      <c r="P53" s="106">
        <v>41</v>
      </c>
      <c r="Q53" s="106">
        <v>16678.8</v>
      </c>
      <c r="R53" s="106">
        <v>31</v>
      </c>
      <c r="S53" s="106">
        <v>12610.800000000001</v>
      </c>
      <c r="T53" s="106">
        <v>5</v>
      </c>
      <c r="U53" s="106">
        <v>2034</v>
      </c>
      <c r="V53" s="106">
        <v>5</v>
      </c>
      <c r="W53" s="106">
        <v>2034</v>
      </c>
      <c r="X53" s="106">
        <v>4</v>
      </c>
      <c r="Y53" s="106">
        <v>1627.2</v>
      </c>
      <c r="Z53" s="106">
        <v>4</v>
      </c>
      <c r="AA53" s="106">
        <v>1627.2</v>
      </c>
      <c r="AB53" s="106">
        <v>8</v>
      </c>
      <c r="AC53" s="106">
        <v>3254.4</v>
      </c>
      <c r="AD53" s="106">
        <v>10</v>
      </c>
      <c r="AE53" s="106">
        <v>4068</v>
      </c>
      <c r="AF53" s="106">
        <v>6</v>
      </c>
      <c r="AG53" s="106">
        <v>2440.8000000000002</v>
      </c>
      <c r="AH53" s="106">
        <v>6</v>
      </c>
      <c r="AI53" s="106">
        <v>2440.8000000000002</v>
      </c>
      <c r="AJ53" s="106">
        <v>9</v>
      </c>
      <c r="AK53" s="106">
        <v>3661.2000000000003</v>
      </c>
      <c r="AL53" s="106">
        <v>7</v>
      </c>
      <c r="AM53" s="106">
        <v>2847.6</v>
      </c>
      <c r="AN53" s="106">
        <v>7</v>
      </c>
      <c r="AO53" s="106">
        <v>2847.6</v>
      </c>
      <c r="AP53" s="106">
        <v>8</v>
      </c>
      <c r="AQ53" s="106">
        <v>3254.4</v>
      </c>
      <c r="AR53" s="106">
        <v>5</v>
      </c>
      <c r="AS53" s="106">
        <v>2034</v>
      </c>
      <c r="AT53" s="106">
        <v>5</v>
      </c>
      <c r="AU53" s="106">
        <v>2034</v>
      </c>
      <c r="AV53" s="106">
        <v>3</v>
      </c>
      <c r="AW53" s="106">
        <v>1220.4000000000001</v>
      </c>
      <c r="AX53" s="106">
        <v>3</v>
      </c>
      <c r="AY53" s="106">
        <v>1220.4000000000001</v>
      </c>
      <c r="AZ53" s="106">
        <v>5</v>
      </c>
      <c r="BA53" s="106">
        <v>2034</v>
      </c>
      <c r="BB53" s="106">
        <v>6</v>
      </c>
      <c r="BC53" s="106">
        <v>2440.8000000000002</v>
      </c>
      <c r="BD53" s="106">
        <v>6</v>
      </c>
      <c r="BE53" s="106">
        <v>2440.8000000000002</v>
      </c>
      <c r="BF53" s="106">
        <v>7</v>
      </c>
      <c r="BG53" s="106">
        <v>2847.6</v>
      </c>
      <c r="BH53" s="106">
        <v>5</v>
      </c>
      <c r="BI53" s="106">
        <v>2034</v>
      </c>
      <c r="BJ53" s="106">
        <v>6</v>
      </c>
      <c r="BK53" s="106">
        <v>2440.8000000000002</v>
      </c>
      <c r="BL53" s="106">
        <v>6</v>
      </c>
      <c r="BM53" s="106">
        <v>2440.8000000000002</v>
      </c>
      <c r="BN53" s="106">
        <v>4</v>
      </c>
      <c r="BO53" s="106">
        <v>1627.2</v>
      </c>
      <c r="BP53" s="106">
        <v>2</v>
      </c>
      <c r="BQ53" s="106">
        <v>813.6</v>
      </c>
      <c r="BR53" s="106">
        <v>2</v>
      </c>
      <c r="BS53" s="106">
        <v>813.6</v>
      </c>
      <c r="BT53" s="106">
        <v>4</v>
      </c>
      <c r="BU53" s="106">
        <v>1627.2</v>
      </c>
      <c r="BV53" s="106">
        <v>4</v>
      </c>
      <c r="BW53" s="106">
        <v>1627.2</v>
      </c>
      <c r="BX53" s="106">
        <v>46</v>
      </c>
      <c r="BY53" s="106">
        <v>18712.8</v>
      </c>
      <c r="BZ53" s="106">
        <v>60</v>
      </c>
      <c r="CA53" s="106">
        <v>24408</v>
      </c>
      <c r="CB53" s="106">
        <v>76</v>
      </c>
      <c r="CC53" s="106">
        <v>30916.799999999999</v>
      </c>
      <c r="CD53" s="106">
        <v>84</v>
      </c>
      <c r="CE53" s="106">
        <v>34171.200000000004</v>
      </c>
      <c r="CF53" s="106">
        <v>30</v>
      </c>
      <c r="CG53" s="106">
        <v>12204</v>
      </c>
      <c r="CH53" s="106">
        <v>21</v>
      </c>
      <c r="CI53" s="106">
        <v>8542.8000000000011</v>
      </c>
      <c r="CJ53" s="106">
        <v>26</v>
      </c>
      <c r="CK53" s="106">
        <v>10576.800000000001</v>
      </c>
      <c r="CL53" s="106">
        <v>18</v>
      </c>
      <c r="CM53" s="106">
        <v>7322.4000000000005</v>
      </c>
      <c r="CN53" s="106">
        <v>4</v>
      </c>
      <c r="CO53" s="106">
        <v>1627.2</v>
      </c>
      <c r="CP53" s="106">
        <v>4</v>
      </c>
      <c r="CQ53" s="106">
        <v>1627.2</v>
      </c>
      <c r="CR53" s="106">
        <v>4</v>
      </c>
      <c r="CS53" s="106">
        <v>1627.2</v>
      </c>
      <c r="CT53" s="106">
        <v>3</v>
      </c>
      <c r="CU53" s="106">
        <v>1220.4000000000001</v>
      </c>
    </row>
    <row r="54" spans="2:99" x14ac:dyDescent="0.2">
      <c r="C54" s="105" t="s">
        <v>220</v>
      </c>
      <c r="D54" s="106">
        <v>8</v>
      </c>
      <c r="E54" s="106">
        <v>2678.4</v>
      </c>
      <c r="F54" s="106">
        <v>4</v>
      </c>
      <c r="G54" s="106">
        <v>1339.2</v>
      </c>
      <c r="H54" s="106">
        <v>7</v>
      </c>
      <c r="I54" s="106">
        <v>2343.6</v>
      </c>
      <c r="J54" s="106">
        <v>7</v>
      </c>
      <c r="K54" s="106">
        <v>2343.6</v>
      </c>
      <c r="L54" s="106">
        <v>45</v>
      </c>
      <c r="M54" s="106">
        <v>15066</v>
      </c>
      <c r="N54" s="106">
        <v>25</v>
      </c>
      <c r="O54" s="106">
        <v>8370</v>
      </c>
      <c r="P54" s="106">
        <v>38</v>
      </c>
      <c r="Q54" s="106">
        <v>12722.4</v>
      </c>
      <c r="R54" s="106">
        <v>29</v>
      </c>
      <c r="S54" s="106">
        <v>9709.2000000000007</v>
      </c>
      <c r="T54" s="106">
        <v>5</v>
      </c>
      <c r="U54" s="106">
        <v>1674</v>
      </c>
      <c r="V54" s="106">
        <v>4</v>
      </c>
      <c r="W54" s="106">
        <v>1339.2</v>
      </c>
      <c r="X54" s="106">
        <v>4</v>
      </c>
      <c r="Y54" s="106">
        <v>1339.2</v>
      </c>
      <c r="Z54" s="106">
        <v>4</v>
      </c>
      <c r="AA54" s="106">
        <v>1339.2</v>
      </c>
      <c r="AB54" s="106">
        <v>7</v>
      </c>
      <c r="AC54" s="106">
        <v>2343.6</v>
      </c>
      <c r="AD54" s="106">
        <v>10</v>
      </c>
      <c r="AE54" s="106">
        <v>3348</v>
      </c>
      <c r="AF54" s="106">
        <v>6</v>
      </c>
      <c r="AG54" s="106">
        <v>2008.8000000000002</v>
      </c>
      <c r="AH54" s="106">
        <v>7</v>
      </c>
      <c r="AI54" s="106">
        <v>2343.6</v>
      </c>
      <c r="AJ54" s="106">
        <v>8</v>
      </c>
      <c r="AK54" s="106">
        <v>2678.4</v>
      </c>
      <c r="AL54" s="106">
        <v>7</v>
      </c>
      <c r="AM54" s="106">
        <v>2343.6</v>
      </c>
      <c r="AN54" s="106">
        <v>7</v>
      </c>
      <c r="AO54" s="106">
        <v>2343.6</v>
      </c>
      <c r="AP54" s="106">
        <v>8</v>
      </c>
      <c r="AQ54" s="106">
        <v>2678.4</v>
      </c>
      <c r="AR54" s="106">
        <v>5</v>
      </c>
      <c r="AS54" s="106">
        <v>1674</v>
      </c>
      <c r="AT54" s="106">
        <v>5</v>
      </c>
      <c r="AU54" s="106">
        <v>1674</v>
      </c>
      <c r="AV54" s="106">
        <v>4</v>
      </c>
      <c r="AW54" s="106">
        <v>1339.2</v>
      </c>
      <c r="AX54" s="106">
        <v>3</v>
      </c>
      <c r="AY54" s="106">
        <v>1004.4000000000001</v>
      </c>
      <c r="AZ54" s="106">
        <v>5</v>
      </c>
      <c r="BA54" s="106">
        <v>1674</v>
      </c>
      <c r="BB54" s="106">
        <v>6</v>
      </c>
      <c r="BC54" s="106">
        <v>2008.8000000000002</v>
      </c>
      <c r="BD54" s="106">
        <v>5</v>
      </c>
      <c r="BE54" s="106">
        <v>1674</v>
      </c>
      <c r="BF54" s="106">
        <v>6</v>
      </c>
      <c r="BG54" s="106">
        <v>2008.8000000000002</v>
      </c>
      <c r="BH54" s="106">
        <v>5</v>
      </c>
      <c r="BI54" s="106">
        <v>1674</v>
      </c>
      <c r="BJ54" s="106">
        <v>5</v>
      </c>
      <c r="BK54" s="106">
        <v>1674</v>
      </c>
      <c r="BL54" s="106">
        <v>5</v>
      </c>
      <c r="BM54" s="106">
        <v>1674</v>
      </c>
      <c r="BN54" s="106">
        <v>3</v>
      </c>
      <c r="BO54" s="106">
        <v>1004.4000000000001</v>
      </c>
      <c r="BP54" s="106">
        <v>2</v>
      </c>
      <c r="BQ54" s="106">
        <v>669.6</v>
      </c>
      <c r="BR54" s="106">
        <v>2</v>
      </c>
      <c r="BS54" s="106">
        <v>669.6</v>
      </c>
      <c r="BT54" s="106">
        <v>4</v>
      </c>
      <c r="BU54" s="106">
        <v>1339.2</v>
      </c>
      <c r="BV54" s="106">
        <v>4</v>
      </c>
      <c r="BW54" s="106">
        <v>1339.2</v>
      </c>
      <c r="BX54" s="106">
        <v>48</v>
      </c>
      <c r="BY54" s="106">
        <v>16070.400000000001</v>
      </c>
      <c r="BZ54" s="106">
        <v>60</v>
      </c>
      <c r="CA54" s="106">
        <v>20088</v>
      </c>
      <c r="CB54" s="106">
        <v>87</v>
      </c>
      <c r="CC54" s="106">
        <v>29127.600000000002</v>
      </c>
      <c r="CD54" s="106">
        <v>86</v>
      </c>
      <c r="CE54" s="106">
        <v>28792.799999999999</v>
      </c>
      <c r="CF54" s="106">
        <v>29</v>
      </c>
      <c r="CG54" s="106">
        <v>9709.2000000000007</v>
      </c>
      <c r="CH54" s="106">
        <v>21</v>
      </c>
      <c r="CI54" s="106">
        <v>7030.8</v>
      </c>
      <c r="CJ54" s="106">
        <v>27</v>
      </c>
      <c r="CK54" s="106">
        <v>9039.6</v>
      </c>
      <c r="CL54" s="106">
        <v>19</v>
      </c>
      <c r="CM54" s="106">
        <v>6361.2</v>
      </c>
      <c r="CN54" s="106">
        <v>4</v>
      </c>
      <c r="CO54" s="106">
        <v>1339.2</v>
      </c>
      <c r="CP54" s="106">
        <v>4</v>
      </c>
      <c r="CQ54" s="106">
        <v>1339.2</v>
      </c>
      <c r="CR54" s="106">
        <v>3</v>
      </c>
      <c r="CS54" s="106">
        <v>1004.4000000000001</v>
      </c>
      <c r="CT54" s="106">
        <v>2</v>
      </c>
      <c r="CU54" s="106">
        <v>669.6</v>
      </c>
    </row>
    <row r="55" spans="2:99" x14ac:dyDescent="0.2">
      <c r="C55" s="105" t="s">
        <v>221</v>
      </c>
      <c r="D55" s="106">
        <v>7</v>
      </c>
      <c r="E55" s="106">
        <v>4645.2</v>
      </c>
      <c r="F55" s="106">
        <v>5</v>
      </c>
      <c r="G55" s="106">
        <v>3318</v>
      </c>
      <c r="H55" s="106">
        <v>7</v>
      </c>
      <c r="I55" s="106">
        <v>4645.2</v>
      </c>
      <c r="J55" s="106">
        <v>7</v>
      </c>
      <c r="K55" s="106">
        <v>4645.2</v>
      </c>
      <c r="L55" s="106">
        <v>42</v>
      </c>
      <c r="M55" s="106">
        <v>27871.200000000001</v>
      </c>
      <c r="N55" s="106">
        <v>24</v>
      </c>
      <c r="O55" s="106">
        <v>15926.400000000001</v>
      </c>
      <c r="P55" s="106">
        <v>39</v>
      </c>
      <c r="Q55" s="106">
        <v>25880.400000000001</v>
      </c>
      <c r="R55" s="106">
        <v>27</v>
      </c>
      <c r="S55" s="106">
        <v>17917.2</v>
      </c>
      <c r="T55" s="106">
        <v>5</v>
      </c>
      <c r="U55" s="106">
        <v>3318</v>
      </c>
      <c r="V55" s="106">
        <v>4</v>
      </c>
      <c r="W55" s="106">
        <v>2654.4</v>
      </c>
      <c r="X55" s="106">
        <v>4</v>
      </c>
      <c r="Y55" s="106">
        <v>2654.4</v>
      </c>
      <c r="Z55" s="106">
        <v>3</v>
      </c>
      <c r="AA55" s="106">
        <v>1990.8000000000002</v>
      </c>
      <c r="AB55" s="106">
        <v>7</v>
      </c>
      <c r="AC55" s="106">
        <v>4645.2</v>
      </c>
      <c r="AD55" s="106">
        <v>10</v>
      </c>
      <c r="AE55" s="106">
        <v>6636</v>
      </c>
      <c r="AF55" s="106">
        <v>6</v>
      </c>
      <c r="AG55" s="106">
        <v>3981.6000000000004</v>
      </c>
      <c r="AH55" s="106">
        <v>7</v>
      </c>
      <c r="AI55" s="106">
        <v>4645.2</v>
      </c>
      <c r="AJ55" s="106">
        <v>9</v>
      </c>
      <c r="AK55" s="106">
        <v>5972.4000000000005</v>
      </c>
      <c r="AL55" s="106">
        <v>6</v>
      </c>
      <c r="AM55" s="106">
        <v>3981.6000000000004</v>
      </c>
      <c r="AN55" s="106">
        <v>7</v>
      </c>
      <c r="AO55" s="106">
        <v>4645.2</v>
      </c>
      <c r="AP55" s="106">
        <v>8</v>
      </c>
      <c r="AQ55" s="106">
        <v>5308.8</v>
      </c>
      <c r="AR55" s="106">
        <v>5</v>
      </c>
      <c r="AS55" s="106">
        <v>3318</v>
      </c>
      <c r="AT55" s="106">
        <v>5</v>
      </c>
      <c r="AU55" s="106">
        <v>3318</v>
      </c>
      <c r="AV55" s="106">
        <v>3</v>
      </c>
      <c r="AW55" s="106">
        <v>1990.8000000000002</v>
      </c>
      <c r="AX55" s="106">
        <v>3</v>
      </c>
      <c r="AY55" s="106">
        <v>1990.8000000000002</v>
      </c>
      <c r="AZ55" s="106">
        <v>5</v>
      </c>
      <c r="BA55" s="106">
        <v>3318</v>
      </c>
      <c r="BB55" s="106">
        <v>6</v>
      </c>
      <c r="BC55" s="106">
        <v>3981.6000000000004</v>
      </c>
      <c r="BD55" s="106">
        <v>5</v>
      </c>
      <c r="BE55" s="106">
        <v>3318</v>
      </c>
      <c r="BF55" s="106">
        <v>6</v>
      </c>
      <c r="BG55" s="106">
        <v>3981.6000000000004</v>
      </c>
      <c r="BH55" s="106">
        <v>5</v>
      </c>
      <c r="BI55" s="106">
        <v>3318</v>
      </c>
      <c r="BJ55" s="106">
        <v>5</v>
      </c>
      <c r="BK55" s="106">
        <v>3318</v>
      </c>
      <c r="BL55" s="106">
        <v>6</v>
      </c>
      <c r="BM55" s="106">
        <v>3981.6000000000004</v>
      </c>
      <c r="BN55" s="106">
        <v>4</v>
      </c>
      <c r="BO55" s="106">
        <v>2654.4</v>
      </c>
      <c r="BP55" s="106">
        <v>2</v>
      </c>
      <c r="BQ55" s="106">
        <v>1327.2</v>
      </c>
      <c r="BR55" s="106">
        <v>2</v>
      </c>
      <c r="BS55" s="106">
        <v>1327.2</v>
      </c>
      <c r="BT55" s="106">
        <v>3</v>
      </c>
      <c r="BU55" s="106">
        <v>1990.8000000000002</v>
      </c>
      <c r="BV55" s="106">
        <v>4</v>
      </c>
      <c r="BW55" s="106">
        <v>2654.4</v>
      </c>
      <c r="BX55" s="106">
        <v>49</v>
      </c>
      <c r="BY55" s="106">
        <v>32516.400000000001</v>
      </c>
      <c r="BZ55" s="106">
        <v>53</v>
      </c>
      <c r="CA55" s="106">
        <v>35170.800000000003</v>
      </c>
      <c r="CB55" s="106">
        <v>76</v>
      </c>
      <c r="CC55" s="106">
        <v>50433.599999999999</v>
      </c>
      <c r="CD55" s="106">
        <v>80</v>
      </c>
      <c r="CE55" s="106">
        <v>53088</v>
      </c>
      <c r="CF55" s="106">
        <v>27</v>
      </c>
      <c r="CG55" s="106">
        <v>17917.2</v>
      </c>
      <c r="CH55" s="106">
        <v>21</v>
      </c>
      <c r="CI55" s="106">
        <v>13935.6</v>
      </c>
      <c r="CJ55" s="106">
        <v>23</v>
      </c>
      <c r="CK55" s="106">
        <v>15262.800000000001</v>
      </c>
      <c r="CL55" s="106">
        <v>19</v>
      </c>
      <c r="CM55" s="106">
        <v>12608.4</v>
      </c>
      <c r="CN55" s="106">
        <v>4</v>
      </c>
      <c r="CO55" s="106">
        <v>2654.4</v>
      </c>
      <c r="CP55" s="106">
        <v>4</v>
      </c>
      <c r="CQ55" s="106">
        <v>2654.4</v>
      </c>
      <c r="CR55" s="106">
        <v>3</v>
      </c>
      <c r="CS55" s="106">
        <v>1990.8000000000002</v>
      </c>
      <c r="CT55" s="106">
        <v>2</v>
      </c>
      <c r="CU55" s="106">
        <v>1327.2</v>
      </c>
    </row>
    <row r="56" spans="2:99" x14ac:dyDescent="0.2">
      <c r="C56" s="105" t="s">
        <v>222</v>
      </c>
      <c r="D56" s="106">
        <v>7</v>
      </c>
      <c r="E56" s="106">
        <v>8055.5999999999995</v>
      </c>
      <c r="F56" s="106">
        <v>5</v>
      </c>
      <c r="G56" s="106">
        <v>5754</v>
      </c>
      <c r="H56" s="106">
        <v>7</v>
      </c>
      <c r="I56" s="106">
        <v>8055.5999999999995</v>
      </c>
      <c r="J56" s="106">
        <v>7.1071394098211869</v>
      </c>
      <c r="K56" s="106">
        <v>8178.896032822222</v>
      </c>
      <c r="L56" s="106">
        <v>34.028542433218341</v>
      </c>
      <c r="M56" s="106">
        <v>39160.046632147663</v>
      </c>
      <c r="N56" s="106">
        <v>20.049215201935553</v>
      </c>
      <c r="O56" s="106">
        <v>23072.636854387434</v>
      </c>
      <c r="P56" s="106">
        <v>39</v>
      </c>
      <c r="Q56" s="106">
        <v>44881.2</v>
      </c>
      <c r="R56" s="106">
        <v>25.082720796740606</v>
      </c>
      <c r="S56" s="106">
        <v>28865.195092889087</v>
      </c>
      <c r="T56" s="106">
        <v>5.0215206611570249</v>
      </c>
      <c r="U56" s="106">
        <v>5778.765976859504</v>
      </c>
      <c r="V56" s="106">
        <v>4.0182803806447236</v>
      </c>
      <c r="W56" s="106">
        <v>4624.2370620459478</v>
      </c>
      <c r="X56" s="106">
        <v>4.0488622538478953</v>
      </c>
      <c r="Y56" s="106">
        <v>4659.4306817281577</v>
      </c>
      <c r="Z56" s="106">
        <v>3.0228361066624321</v>
      </c>
      <c r="AA56" s="106">
        <v>3478.6797915471266</v>
      </c>
      <c r="AB56" s="106">
        <v>6.0435366431479229</v>
      </c>
      <c r="AC56" s="106">
        <v>6954.9019689346296</v>
      </c>
      <c r="AD56" s="106">
        <v>9</v>
      </c>
      <c r="AE56" s="106">
        <v>10357.199999999999</v>
      </c>
      <c r="AF56" s="106">
        <v>6.0409243954698502</v>
      </c>
      <c r="AG56" s="106">
        <v>6951.8957943067035</v>
      </c>
      <c r="AH56" s="106">
        <v>6.1175555523428127</v>
      </c>
      <c r="AI56" s="106">
        <v>7040.0829296361089</v>
      </c>
      <c r="AJ56" s="106">
        <v>7.0636157572313163</v>
      </c>
      <c r="AK56" s="106">
        <v>8128.8090134217982</v>
      </c>
      <c r="AL56" s="106">
        <v>7.1069374287299647</v>
      </c>
      <c r="AM56" s="106">
        <v>8178.6635929824433</v>
      </c>
      <c r="AN56" s="106">
        <v>7</v>
      </c>
      <c r="AO56" s="106">
        <v>8055.5999999999995</v>
      </c>
      <c r="AP56" s="106">
        <v>7.1688543024609661</v>
      </c>
      <c r="AQ56" s="106">
        <v>8249.9175312720799</v>
      </c>
      <c r="AR56" s="106">
        <v>4.0296401081887741</v>
      </c>
      <c r="AS56" s="106">
        <v>4637.3098365036412</v>
      </c>
      <c r="AT56" s="106">
        <v>4.0739755486150484</v>
      </c>
      <c r="AU56" s="106">
        <v>4688.3310613461972</v>
      </c>
      <c r="AV56" s="106">
        <v>3.0642399761173302</v>
      </c>
      <c r="AW56" s="106">
        <v>3526.3273645158233</v>
      </c>
      <c r="AX56" s="106">
        <v>3.0372924099088578</v>
      </c>
      <c r="AY56" s="106">
        <v>3495.3161053231133</v>
      </c>
      <c r="AZ56" s="106">
        <v>5.0741858411244705</v>
      </c>
      <c r="BA56" s="106">
        <v>5839.3730659660405</v>
      </c>
      <c r="BB56" s="106">
        <v>5.1043415878414287</v>
      </c>
      <c r="BC56" s="106">
        <v>5874.0762992879163</v>
      </c>
      <c r="BD56" s="106">
        <v>5</v>
      </c>
      <c r="BE56" s="106">
        <v>5754</v>
      </c>
      <c r="BF56" s="106">
        <v>6.1497466691686995</v>
      </c>
      <c r="BG56" s="106">
        <v>7077.1284668793387</v>
      </c>
      <c r="BH56" s="106">
        <v>5.0816683710737767</v>
      </c>
      <c r="BI56" s="106">
        <v>5847.9839614317016</v>
      </c>
      <c r="BJ56" s="106">
        <v>5.1094173727916639</v>
      </c>
      <c r="BK56" s="106">
        <v>5879.9175126086466</v>
      </c>
      <c r="BL56" s="106">
        <v>6</v>
      </c>
      <c r="BM56" s="106">
        <v>6904.7999999999993</v>
      </c>
      <c r="BN56" s="106">
        <v>4.0721789529942249</v>
      </c>
      <c r="BO56" s="106">
        <v>4686.2635391057538</v>
      </c>
      <c r="BP56" s="106">
        <v>2.0920908931760094</v>
      </c>
      <c r="BQ56" s="106">
        <v>2407.5781998669513</v>
      </c>
      <c r="BR56" s="106">
        <v>2.0768707777023785</v>
      </c>
      <c r="BS56" s="106">
        <v>2390.062890979897</v>
      </c>
      <c r="BT56" s="106">
        <v>4.2063936536025253</v>
      </c>
      <c r="BU56" s="106">
        <v>4840.7178165657861</v>
      </c>
      <c r="BV56" s="106">
        <v>4.1061626783590963</v>
      </c>
      <c r="BW56" s="106">
        <v>4725.3720102556481</v>
      </c>
      <c r="BX56" s="106">
        <v>41</v>
      </c>
      <c r="BY56" s="106">
        <v>47182.799999999996</v>
      </c>
      <c r="BZ56" s="106">
        <v>46.113764565992867</v>
      </c>
      <c r="CA56" s="106">
        <v>53067.720262544586</v>
      </c>
      <c r="CB56" s="106">
        <v>75.095245348766554</v>
      </c>
      <c r="CC56" s="106">
        <v>86419.608347360539</v>
      </c>
      <c r="CD56" s="106">
        <v>72.145285794708201</v>
      </c>
      <c r="CE56" s="106">
        <v>83024.794892550199</v>
      </c>
      <c r="CF56" s="106">
        <v>25</v>
      </c>
      <c r="CG56" s="106">
        <v>28770</v>
      </c>
      <c r="CH56" s="106">
        <v>22</v>
      </c>
      <c r="CI56" s="106">
        <v>25317.599999999999</v>
      </c>
      <c r="CJ56" s="106">
        <v>24.290946502057611</v>
      </c>
      <c r="CK56" s="106">
        <v>27954.021234567899</v>
      </c>
      <c r="CL56" s="106">
        <v>18.317471804261228</v>
      </c>
      <c r="CM56" s="106">
        <v>21079.746552343819</v>
      </c>
      <c r="CN56" s="106">
        <v>4.0892774699907664</v>
      </c>
      <c r="CO56" s="106">
        <v>4705.940512465374</v>
      </c>
      <c r="CP56" s="106">
        <v>3.0567866161616162</v>
      </c>
      <c r="CQ56" s="106">
        <v>3517.7500378787877</v>
      </c>
      <c r="CR56" s="106">
        <v>3</v>
      </c>
      <c r="CS56" s="106">
        <v>3452.3999999999996</v>
      </c>
      <c r="CT56" s="106">
        <v>2.1785693766159149</v>
      </c>
      <c r="CU56" s="106">
        <v>2507.0976386095949</v>
      </c>
    </row>
    <row r="57" spans="2:99" x14ac:dyDescent="0.2">
      <c r="C57" s="105" t="s">
        <v>223</v>
      </c>
      <c r="D57" s="106">
        <v>7</v>
      </c>
      <c r="E57" s="106">
        <v>9878.4</v>
      </c>
      <c r="F57" s="106">
        <v>5</v>
      </c>
      <c r="G57" s="106">
        <v>7056</v>
      </c>
      <c r="H57" s="106">
        <v>8</v>
      </c>
      <c r="I57" s="106">
        <v>11289.6</v>
      </c>
      <c r="J57" s="106">
        <v>6</v>
      </c>
      <c r="K57" s="106">
        <v>8467.2000000000007</v>
      </c>
      <c r="L57" s="106">
        <v>33</v>
      </c>
      <c r="M57" s="106">
        <v>46569.599999999999</v>
      </c>
      <c r="N57" s="106">
        <v>23</v>
      </c>
      <c r="O57" s="106">
        <v>32457.600000000002</v>
      </c>
      <c r="P57" s="106">
        <v>34</v>
      </c>
      <c r="Q57" s="106">
        <v>47980.800000000003</v>
      </c>
      <c r="R57" s="106">
        <v>27</v>
      </c>
      <c r="S57" s="106">
        <v>38102.400000000001</v>
      </c>
      <c r="T57" s="106">
        <v>5</v>
      </c>
      <c r="U57" s="106">
        <v>7056</v>
      </c>
      <c r="V57" s="106">
        <v>5</v>
      </c>
      <c r="W57" s="106">
        <v>7056</v>
      </c>
      <c r="X57" s="106">
        <v>4</v>
      </c>
      <c r="Y57" s="106">
        <v>5644.8</v>
      </c>
      <c r="Z57" s="106">
        <v>3</v>
      </c>
      <c r="AA57" s="106">
        <v>4233.6000000000004</v>
      </c>
      <c r="AB57" s="106">
        <v>6</v>
      </c>
      <c r="AC57" s="106">
        <v>8467.2000000000007</v>
      </c>
      <c r="AD57" s="106">
        <v>10</v>
      </c>
      <c r="AE57" s="106">
        <v>14112</v>
      </c>
      <c r="AF57" s="106">
        <v>5</v>
      </c>
      <c r="AG57" s="106">
        <v>7056</v>
      </c>
      <c r="AH57" s="106">
        <v>6</v>
      </c>
      <c r="AI57" s="106">
        <v>8467.2000000000007</v>
      </c>
      <c r="AJ57" s="106">
        <v>8</v>
      </c>
      <c r="AK57" s="106">
        <v>11289.6</v>
      </c>
      <c r="AL57" s="106">
        <v>6</v>
      </c>
      <c r="AM57" s="106">
        <v>8467.2000000000007</v>
      </c>
      <c r="AN57" s="106">
        <v>7</v>
      </c>
      <c r="AO57" s="106">
        <v>9878.4</v>
      </c>
      <c r="AP57" s="106">
        <v>7</v>
      </c>
      <c r="AQ57" s="106">
        <v>9878.4</v>
      </c>
      <c r="AR57" s="106">
        <v>4</v>
      </c>
      <c r="AS57" s="106">
        <v>5644.8</v>
      </c>
      <c r="AT57" s="106">
        <v>4</v>
      </c>
      <c r="AU57" s="106">
        <v>5644.8</v>
      </c>
      <c r="AV57" s="106">
        <v>3</v>
      </c>
      <c r="AW57" s="106">
        <v>4233.6000000000004</v>
      </c>
      <c r="AX57" s="106">
        <v>3</v>
      </c>
      <c r="AY57" s="106">
        <v>4233.6000000000004</v>
      </c>
      <c r="AZ57" s="106">
        <v>4</v>
      </c>
      <c r="BA57" s="106">
        <v>5644.8</v>
      </c>
      <c r="BB57" s="106">
        <v>5</v>
      </c>
      <c r="BC57" s="106">
        <v>7056</v>
      </c>
      <c r="BD57" s="106">
        <v>5</v>
      </c>
      <c r="BE57" s="106">
        <v>7056</v>
      </c>
      <c r="BF57" s="106">
        <v>6</v>
      </c>
      <c r="BG57" s="106">
        <v>8467.2000000000007</v>
      </c>
      <c r="BH57" s="106">
        <v>5</v>
      </c>
      <c r="BI57" s="106">
        <v>7056</v>
      </c>
      <c r="BJ57" s="106">
        <v>5</v>
      </c>
      <c r="BK57" s="106">
        <v>7056</v>
      </c>
      <c r="BL57" s="106">
        <v>5</v>
      </c>
      <c r="BM57" s="106">
        <v>7056</v>
      </c>
      <c r="BN57" s="106">
        <v>3</v>
      </c>
      <c r="BO57" s="106">
        <v>4233.6000000000004</v>
      </c>
      <c r="BP57" s="106">
        <v>2</v>
      </c>
      <c r="BQ57" s="106">
        <v>2822.4</v>
      </c>
      <c r="BR57" s="106">
        <v>2</v>
      </c>
      <c r="BS57" s="106">
        <v>2822.4</v>
      </c>
      <c r="BT57" s="106">
        <v>4</v>
      </c>
      <c r="BU57" s="106">
        <v>5644.8</v>
      </c>
      <c r="BV57" s="106">
        <v>4</v>
      </c>
      <c r="BW57" s="106">
        <v>5644.8</v>
      </c>
      <c r="BX57" s="106">
        <v>35</v>
      </c>
      <c r="BY57" s="106">
        <v>49392</v>
      </c>
      <c r="BZ57" s="106">
        <v>43</v>
      </c>
      <c r="CA57" s="106">
        <v>60681.599999999999</v>
      </c>
      <c r="CB57" s="106">
        <v>64</v>
      </c>
      <c r="CC57" s="106">
        <v>90316.800000000003</v>
      </c>
      <c r="CD57" s="106">
        <v>58</v>
      </c>
      <c r="CE57" s="106">
        <v>81849.600000000006</v>
      </c>
      <c r="CF57" s="106">
        <v>23</v>
      </c>
      <c r="CG57" s="106">
        <v>32457.600000000002</v>
      </c>
      <c r="CH57" s="106">
        <v>20</v>
      </c>
      <c r="CI57" s="106">
        <v>28224</v>
      </c>
      <c r="CJ57" s="106">
        <v>20</v>
      </c>
      <c r="CK57" s="106">
        <v>28224</v>
      </c>
      <c r="CL57" s="106">
        <v>16</v>
      </c>
      <c r="CM57" s="106">
        <v>22579.200000000001</v>
      </c>
      <c r="CN57" s="106">
        <v>4</v>
      </c>
      <c r="CO57" s="106">
        <v>5644.8</v>
      </c>
      <c r="CP57" s="106">
        <v>3</v>
      </c>
      <c r="CQ57" s="106">
        <v>4233.6000000000004</v>
      </c>
      <c r="CR57" s="106">
        <v>3</v>
      </c>
      <c r="CS57" s="106">
        <v>4233.6000000000004</v>
      </c>
      <c r="CT57" s="106">
        <v>2</v>
      </c>
      <c r="CU57" s="106">
        <v>2822.4</v>
      </c>
    </row>
    <row r="58" spans="2:99" x14ac:dyDescent="0.2">
      <c r="C58" s="105" t="s">
        <v>224</v>
      </c>
      <c r="D58" s="106">
        <v>7</v>
      </c>
      <c r="E58" s="106">
        <v>8240.4</v>
      </c>
      <c r="F58" s="106">
        <v>4</v>
      </c>
      <c r="G58" s="106">
        <v>4708.8</v>
      </c>
      <c r="H58" s="106">
        <v>7</v>
      </c>
      <c r="I58" s="106">
        <v>8240.4</v>
      </c>
      <c r="J58" s="106">
        <v>7.1071394098211869</v>
      </c>
      <c r="K58" s="106">
        <v>8366.5245132415021</v>
      </c>
      <c r="L58" s="106">
        <v>33.028542433218341</v>
      </c>
      <c r="M58" s="106">
        <v>38881.200152384634</v>
      </c>
      <c r="N58" s="106">
        <v>23.045429417171281</v>
      </c>
      <c r="O58" s="106">
        <v>27129.079509894033</v>
      </c>
      <c r="P58" s="106">
        <v>32</v>
      </c>
      <c r="Q58" s="106">
        <v>37670.400000000001</v>
      </c>
      <c r="R58" s="106">
        <v>28.075827397012223</v>
      </c>
      <c r="S58" s="106">
        <v>33050.864011762787</v>
      </c>
      <c r="T58" s="106">
        <v>5.0242107438016532</v>
      </c>
      <c r="U58" s="106">
        <v>5914.5008876033062</v>
      </c>
      <c r="V58" s="106">
        <v>4.0182803806447236</v>
      </c>
      <c r="W58" s="106">
        <v>4730.3196640949691</v>
      </c>
      <c r="X58" s="106">
        <v>4.0488622538478953</v>
      </c>
      <c r="Y58" s="106">
        <v>4766.3206452297427</v>
      </c>
      <c r="Z58" s="106">
        <v>3.0279107970318613</v>
      </c>
      <c r="AA58" s="106">
        <v>3564.4565902659074</v>
      </c>
      <c r="AB58" s="106">
        <v>6.0507927503392436</v>
      </c>
      <c r="AC58" s="106">
        <v>7122.9932256993579</v>
      </c>
      <c r="AD58" s="106">
        <v>10</v>
      </c>
      <c r="AE58" s="106">
        <v>11772</v>
      </c>
      <c r="AF58" s="106">
        <v>6.0409243954698502</v>
      </c>
      <c r="AG58" s="106">
        <v>7111.3761983471077</v>
      </c>
      <c r="AH58" s="106">
        <v>6.1175555523428127</v>
      </c>
      <c r="AI58" s="106">
        <v>7201.5863962179592</v>
      </c>
      <c r="AJ58" s="106">
        <v>9.0671499659663901</v>
      </c>
      <c r="AK58" s="106">
        <v>10673.848939935635</v>
      </c>
      <c r="AL58" s="106">
        <v>6.0990161377129297</v>
      </c>
      <c r="AM58" s="106">
        <v>7179.7617973156612</v>
      </c>
      <c r="AN58" s="106">
        <v>6</v>
      </c>
      <c r="AO58" s="106">
        <v>7063.2000000000007</v>
      </c>
      <c r="AP58" s="106">
        <v>7.1604115873379177</v>
      </c>
      <c r="AQ58" s="106">
        <v>8429.2365206141967</v>
      </c>
      <c r="AR58" s="106">
        <v>5.0314926149505723</v>
      </c>
      <c r="AS58" s="106">
        <v>5923.0731063198136</v>
      </c>
      <c r="AT58" s="106">
        <v>4.0715096969945463</v>
      </c>
      <c r="AU58" s="106">
        <v>4792.9812153019802</v>
      </c>
      <c r="AV58" s="106">
        <v>3.066619234492046</v>
      </c>
      <c r="AW58" s="106">
        <v>3610.0241628440367</v>
      </c>
      <c r="AX58" s="106">
        <v>3.0352206093583658</v>
      </c>
      <c r="AY58" s="106">
        <v>3573.0617013366682</v>
      </c>
      <c r="AZ58" s="106">
        <v>5.0674416737495189</v>
      </c>
      <c r="BA58" s="106">
        <v>5965.3923383379342</v>
      </c>
      <c r="BB58" s="106">
        <v>5.1252099054097142</v>
      </c>
      <c r="BC58" s="106">
        <v>6033.3971006483162</v>
      </c>
      <c r="BD58" s="106">
        <v>5</v>
      </c>
      <c r="BE58" s="106">
        <v>5886</v>
      </c>
      <c r="BF58" s="106">
        <v>6.1418652655282413</v>
      </c>
      <c r="BG58" s="106">
        <v>7230.2037905798461</v>
      </c>
      <c r="BH58" s="106">
        <v>4.0816683710737767</v>
      </c>
      <c r="BI58" s="106">
        <v>4804.9400064280499</v>
      </c>
      <c r="BJ58" s="106">
        <v>5.1016018461636881</v>
      </c>
      <c r="BK58" s="106">
        <v>6005.6056933038935</v>
      </c>
      <c r="BL58" s="106">
        <v>6</v>
      </c>
      <c r="BM58" s="106">
        <v>7063.2000000000007</v>
      </c>
      <c r="BN58" s="106">
        <v>3.0753171683417997</v>
      </c>
      <c r="BO58" s="106">
        <v>3620.2633705719668</v>
      </c>
      <c r="BP58" s="106">
        <v>2.0920908931760094</v>
      </c>
      <c r="BQ58" s="106">
        <v>2462.8093994467981</v>
      </c>
      <c r="BR58" s="106">
        <v>2.0768707777023785</v>
      </c>
      <c r="BS58" s="106">
        <v>2444.8922795112398</v>
      </c>
      <c r="BT58" s="106">
        <v>3.1794727422630658</v>
      </c>
      <c r="BU58" s="106">
        <v>3742.8753121920813</v>
      </c>
      <c r="BV58" s="106">
        <v>4.0928923435642091</v>
      </c>
      <c r="BW58" s="106">
        <v>4818.1528668437868</v>
      </c>
      <c r="BX58" s="106">
        <v>40</v>
      </c>
      <c r="BY58" s="106">
        <v>47088</v>
      </c>
      <c r="BZ58" s="106">
        <v>45.117319708680142</v>
      </c>
      <c r="CA58" s="106">
        <v>53112.108761058269</v>
      </c>
      <c r="CB58" s="106">
        <v>75.102864976667888</v>
      </c>
      <c r="CC58" s="106">
        <v>88411.092650533436</v>
      </c>
      <c r="CD58" s="106">
        <v>72.134109964346038</v>
      </c>
      <c r="CE58" s="106">
        <v>84916.27425002816</v>
      </c>
      <c r="CF58" s="106">
        <v>26</v>
      </c>
      <c r="CG58" s="106">
        <v>30607.200000000001</v>
      </c>
      <c r="CH58" s="106">
        <v>19</v>
      </c>
      <c r="CI58" s="106">
        <v>22366.799999999999</v>
      </c>
      <c r="CJ58" s="106">
        <v>25.290946502057611</v>
      </c>
      <c r="CK58" s="106">
        <v>29772.502222222221</v>
      </c>
      <c r="CL58" s="106">
        <v>18.329682258271273</v>
      </c>
      <c r="CM58" s="106">
        <v>21577.701954436943</v>
      </c>
      <c r="CN58" s="106">
        <v>4.0952293013234842</v>
      </c>
      <c r="CO58" s="106">
        <v>4820.9039335180059</v>
      </c>
      <c r="CP58" s="106">
        <v>4.0722738751147842</v>
      </c>
      <c r="CQ58" s="106">
        <v>4793.8808057851238</v>
      </c>
      <c r="CR58" s="106">
        <v>4</v>
      </c>
      <c r="CS58" s="106">
        <v>4708.8</v>
      </c>
      <c r="CT58" s="106">
        <v>2.1785693766159149</v>
      </c>
      <c r="CU58" s="106">
        <v>2564.6118701522551</v>
      </c>
    </row>
    <row r="59" spans="2:99" x14ac:dyDescent="0.2">
      <c r="C59" s="105" t="s">
        <v>225</v>
      </c>
      <c r="D59" s="106">
        <v>8</v>
      </c>
      <c r="E59" s="106">
        <v>2428.7999999999997</v>
      </c>
      <c r="F59" s="106">
        <v>5</v>
      </c>
      <c r="G59" s="106">
        <v>1517.9999999999998</v>
      </c>
      <c r="H59" s="106">
        <v>8</v>
      </c>
      <c r="I59" s="106">
        <v>2428.7999999999997</v>
      </c>
      <c r="J59" s="106">
        <v>7</v>
      </c>
      <c r="K59" s="106">
        <v>2125.1999999999998</v>
      </c>
      <c r="L59" s="106">
        <v>42</v>
      </c>
      <c r="M59" s="106">
        <v>12751.199999999999</v>
      </c>
      <c r="N59" s="106">
        <v>28</v>
      </c>
      <c r="O59" s="106">
        <v>8500.7999999999993</v>
      </c>
      <c r="P59" s="106">
        <v>46</v>
      </c>
      <c r="Q59" s="106">
        <v>13965.599999999999</v>
      </c>
      <c r="R59" s="106">
        <v>29</v>
      </c>
      <c r="S59" s="106">
        <v>8804.4</v>
      </c>
      <c r="T59" s="106">
        <v>5</v>
      </c>
      <c r="U59" s="106">
        <v>1517.9999999999998</v>
      </c>
      <c r="V59" s="106">
        <v>4</v>
      </c>
      <c r="W59" s="106">
        <v>1214.3999999999999</v>
      </c>
      <c r="X59" s="106">
        <v>5</v>
      </c>
      <c r="Y59" s="106">
        <v>1517.9999999999998</v>
      </c>
      <c r="Z59" s="106">
        <v>4</v>
      </c>
      <c r="AA59" s="106">
        <v>1214.3999999999999</v>
      </c>
      <c r="AB59" s="106">
        <v>8</v>
      </c>
      <c r="AC59" s="106">
        <v>2428.7999999999997</v>
      </c>
      <c r="AD59" s="106">
        <v>12</v>
      </c>
      <c r="AE59" s="106">
        <v>3643.2</v>
      </c>
      <c r="AF59" s="106">
        <v>6</v>
      </c>
      <c r="AG59" s="106">
        <v>1821.6</v>
      </c>
      <c r="AH59" s="106">
        <v>7</v>
      </c>
      <c r="AI59" s="106">
        <v>2125.1999999999998</v>
      </c>
      <c r="AJ59" s="106">
        <v>8</v>
      </c>
      <c r="AK59" s="106">
        <v>2428.7999999999997</v>
      </c>
      <c r="AL59" s="106">
        <v>8</v>
      </c>
      <c r="AM59" s="106">
        <v>2428.7999999999997</v>
      </c>
      <c r="AN59" s="106">
        <v>8</v>
      </c>
      <c r="AO59" s="106">
        <v>2428.7999999999997</v>
      </c>
      <c r="AP59" s="106">
        <v>8</v>
      </c>
      <c r="AQ59" s="106">
        <v>2428.7999999999997</v>
      </c>
      <c r="AR59" s="106">
        <v>5</v>
      </c>
      <c r="AS59" s="106">
        <v>1517.9999999999998</v>
      </c>
      <c r="AT59" s="106">
        <v>4</v>
      </c>
      <c r="AU59" s="106">
        <v>1214.3999999999999</v>
      </c>
      <c r="AV59" s="106">
        <v>3</v>
      </c>
      <c r="AW59" s="106">
        <v>910.8</v>
      </c>
      <c r="AX59" s="106">
        <v>3</v>
      </c>
      <c r="AY59" s="106">
        <v>910.8</v>
      </c>
      <c r="AZ59" s="106">
        <v>5</v>
      </c>
      <c r="BA59" s="106">
        <v>1517.9999999999998</v>
      </c>
      <c r="BB59" s="106">
        <v>6</v>
      </c>
      <c r="BC59" s="106">
        <v>1821.6</v>
      </c>
      <c r="BD59" s="106">
        <v>5</v>
      </c>
      <c r="BE59" s="106">
        <v>1517.9999999999998</v>
      </c>
      <c r="BF59" s="106">
        <v>7</v>
      </c>
      <c r="BG59" s="106">
        <v>2125.1999999999998</v>
      </c>
      <c r="BH59" s="106">
        <v>5</v>
      </c>
      <c r="BI59" s="106">
        <v>1517.9999999999998</v>
      </c>
      <c r="BJ59" s="106">
        <v>6</v>
      </c>
      <c r="BK59" s="106">
        <v>1821.6</v>
      </c>
      <c r="BL59" s="106">
        <v>6</v>
      </c>
      <c r="BM59" s="106">
        <v>1821.6</v>
      </c>
      <c r="BN59" s="106">
        <v>4</v>
      </c>
      <c r="BO59" s="106">
        <v>1214.3999999999999</v>
      </c>
      <c r="BP59" s="106">
        <v>2</v>
      </c>
      <c r="BQ59" s="106">
        <v>607.19999999999993</v>
      </c>
      <c r="BR59" s="106">
        <v>2</v>
      </c>
      <c r="BS59" s="106">
        <v>607.19999999999993</v>
      </c>
      <c r="BT59" s="106">
        <v>4</v>
      </c>
      <c r="BU59" s="106">
        <v>1214.3999999999999</v>
      </c>
      <c r="BV59" s="106">
        <v>4</v>
      </c>
      <c r="BW59" s="106">
        <v>1214.3999999999999</v>
      </c>
      <c r="BX59" s="106">
        <v>44</v>
      </c>
      <c r="BY59" s="106">
        <v>13358.399999999998</v>
      </c>
      <c r="BZ59" s="106">
        <v>58</v>
      </c>
      <c r="CA59" s="106">
        <v>17608.8</v>
      </c>
      <c r="CB59" s="106">
        <v>80</v>
      </c>
      <c r="CC59" s="106">
        <v>24287.999999999996</v>
      </c>
      <c r="CD59" s="106">
        <v>89</v>
      </c>
      <c r="CE59" s="106">
        <v>27020.399999999998</v>
      </c>
      <c r="CF59" s="106">
        <v>29</v>
      </c>
      <c r="CG59" s="106">
        <v>8804.4</v>
      </c>
      <c r="CH59" s="106">
        <v>23</v>
      </c>
      <c r="CI59" s="106">
        <v>6982.7999999999993</v>
      </c>
      <c r="CJ59" s="106">
        <v>28</v>
      </c>
      <c r="CK59" s="106">
        <v>8500.7999999999993</v>
      </c>
      <c r="CL59" s="106">
        <v>18</v>
      </c>
      <c r="CM59" s="106">
        <v>5464.7999999999993</v>
      </c>
      <c r="CN59" s="106">
        <v>4</v>
      </c>
      <c r="CO59" s="106">
        <v>1214.3999999999999</v>
      </c>
      <c r="CP59" s="106">
        <v>4</v>
      </c>
      <c r="CQ59" s="106">
        <v>1214.3999999999999</v>
      </c>
      <c r="CR59" s="106">
        <v>3</v>
      </c>
      <c r="CS59" s="106">
        <v>910.8</v>
      </c>
      <c r="CT59" s="106">
        <v>2</v>
      </c>
      <c r="CU59" s="106">
        <v>607.19999999999993</v>
      </c>
    </row>
    <row r="60" spans="2:99" x14ac:dyDescent="0.2">
      <c r="C60" s="105" t="s">
        <v>226</v>
      </c>
      <c r="D60" s="106">
        <v>7</v>
      </c>
      <c r="E60" s="106">
        <v>4561.2</v>
      </c>
      <c r="F60" s="106">
        <v>5</v>
      </c>
      <c r="G60" s="106">
        <v>3258</v>
      </c>
      <c r="H60" s="106">
        <v>7</v>
      </c>
      <c r="I60" s="106">
        <v>4561.2</v>
      </c>
      <c r="J60" s="106">
        <v>7</v>
      </c>
      <c r="K60" s="106">
        <v>4561.2</v>
      </c>
      <c r="L60" s="106">
        <v>38</v>
      </c>
      <c r="M60" s="106">
        <v>24760.799999999999</v>
      </c>
      <c r="N60" s="106">
        <v>24</v>
      </c>
      <c r="O60" s="106">
        <v>15638.400000000001</v>
      </c>
      <c r="P60" s="106">
        <v>42</v>
      </c>
      <c r="Q60" s="106">
        <v>27367.200000000001</v>
      </c>
      <c r="R60" s="106">
        <v>29</v>
      </c>
      <c r="S60" s="106">
        <v>18896.400000000001</v>
      </c>
      <c r="T60" s="106">
        <v>5</v>
      </c>
      <c r="U60" s="106">
        <v>3258</v>
      </c>
      <c r="V60" s="106">
        <v>5</v>
      </c>
      <c r="W60" s="106">
        <v>3258</v>
      </c>
      <c r="X60" s="106">
        <v>4</v>
      </c>
      <c r="Y60" s="106">
        <v>2606.4</v>
      </c>
      <c r="Z60" s="106">
        <v>3</v>
      </c>
      <c r="AA60" s="106">
        <v>1954.8000000000002</v>
      </c>
      <c r="AB60" s="106">
        <v>7</v>
      </c>
      <c r="AC60" s="106">
        <v>4561.2</v>
      </c>
      <c r="AD60" s="106">
        <v>10</v>
      </c>
      <c r="AE60" s="106">
        <v>6516</v>
      </c>
      <c r="AF60" s="106">
        <v>5</v>
      </c>
      <c r="AG60" s="106">
        <v>3258</v>
      </c>
      <c r="AH60" s="106">
        <v>7</v>
      </c>
      <c r="AI60" s="106">
        <v>4561.2</v>
      </c>
      <c r="AJ60" s="106">
        <v>8</v>
      </c>
      <c r="AK60" s="106">
        <v>5212.8</v>
      </c>
      <c r="AL60" s="106">
        <v>6</v>
      </c>
      <c r="AM60" s="106">
        <v>3909.6000000000004</v>
      </c>
      <c r="AN60" s="106">
        <v>7</v>
      </c>
      <c r="AO60" s="106">
        <v>4561.2</v>
      </c>
      <c r="AP60" s="106">
        <v>8</v>
      </c>
      <c r="AQ60" s="106">
        <v>5212.8</v>
      </c>
      <c r="AR60" s="106">
        <v>4</v>
      </c>
      <c r="AS60" s="106">
        <v>2606.4</v>
      </c>
      <c r="AT60" s="106">
        <v>4</v>
      </c>
      <c r="AU60" s="106">
        <v>2606.4</v>
      </c>
      <c r="AV60" s="106">
        <v>3</v>
      </c>
      <c r="AW60" s="106">
        <v>1954.8000000000002</v>
      </c>
      <c r="AX60" s="106">
        <v>3</v>
      </c>
      <c r="AY60" s="106">
        <v>1954.8000000000002</v>
      </c>
      <c r="AZ60" s="106">
        <v>5</v>
      </c>
      <c r="BA60" s="106">
        <v>3258</v>
      </c>
      <c r="BB60" s="106">
        <v>5</v>
      </c>
      <c r="BC60" s="106">
        <v>3258</v>
      </c>
      <c r="BD60" s="106">
        <v>5</v>
      </c>
      <c r="BE60" s="106">
        <v>3258</v>
      </c>
      <c r="BF60" s="106">
        <v>6</v>
      </c>
      <c r="BG60" s="106">
        <v>3909.6000000000004</v>
      </c>
      <c r="BH60" s="106">
        <v>4</v>
      </c>
      <c r="BI60" s="106">
        <v>2606.4</v>
      </c>
      <c r="BJ60" s="106">
        <v>5</v>
      </c>
      <c r="BK60" s="106">
        <v>3258</v>
      </c>
      <c r="BL60" s="106">
        <v>5</v>
      </c>
      <c r="BM60" s="106">
        <v>3258</v>
      </c>
      <c r="BN60" s="106">
        <v>4</v>
      </c>
      <c r="BO60" s="106">
        <v>2606.4</v>
      </c>
      <c r="BP60" s="106">
        <v>2</v>
      </c>
      <c r="BQ60" s="106">
        <v>1303.2</v>
      </c>
      <c r="BR60" s="106">
        <v>2</v>
      </c>
      <c r="BS60" s="106">
        <v>1303.2</v>
      </c>
      <c r="BT60" s="106">
        <v>4</v>
      </c>
      <c r="BU60" s="106">
        <v>2606.4</v>
      </c>
      <c r="BV60" s="106">
        <v>4</v>
      </c>
      <c r="BW60" s="106">
        <v>2606.4</v>
      </c>
      <c r="BX60" s="106">
        <v>44</v>
      </c>
      <c r="BY60" s="106">
        <v>28670.400000000001</v>
      </c>
      <c r="BZ60" s="106">
        <v>58</v>
      </c>
      <c r="CA60" s="106">
        <v>37792.800000000003</v>
      </c>
      <c r="CB60" s="106">
        <v>77</v>
      </c>
      <c r="CC60" s="106">
        <v>50173.200000000004</v>
      </c>
      <c r="CD60" s="106">
        <v>84</v>
      </c>
      <c r="CE60" s="106">
        <v>54734.400000000001</v>
      </c>
      <c r="CF60" s="106">
        <v>29</v>
      </c>
      <c r="CG60" s="106">
        <v>18896.400000000001</v>
      </c>
      <c r="CH60" s="106">
        <v>24</v>
      </c>
      <c r="CI60" s="106">
        <v>15638.400000000001</v>
      </c>
      <c r="CJ60" s="106">
        <v>24</v>
      </c>
      <c r="CK60" s="106">
        <v>15638.400000000001</v>
      </c>
      <c r="CL60" s="106">
        <v>16</v>
      </c>
      <c r="CM60" s="106">
        <v>10425.6</v>
      </c>
      <c r="CN60" s="106">
        <v>4</v>
      </c>
      <c r="CO60" s="106">
        <v>2606.4</v>
      </c>
      <c r="CP60" s="106">
        <v>3</v>
      </c>
      <c r="CQ60" s="106">
        <v>1954.8000000000002</v>
      </c>
      <c r="CR60" s="106">
        <v>3</v>
      </c>
      <c r="CS60" s="106">
        <v>1954.8000000000002</v>
      </c>
      <c r="CT60" s="106">
        <v>3</v>
      </c>
      <c r="CU60" s="106">
        <v>1954.8000000000002</v>
      </c>
    </row>
    <row r="61" spans="2:99" x14ac:dyDescent="0.2">
      <c r="C61" s="105" t="s">
        <v>227</v>
      </c>
      <c r="D61" s="106">
        <v>7</v>
      </c>
      <c r="E61" s="106">
        <v>6661.1999999999989</v>
      </c>
      <c r="F61" s="106">
        <v>5</v>
      </c>
      <c r="G61" s="106">
        <v>4758</v>
      </c>
      <c r="H61" s="106">
        <v>7</v>
      </c>
      <c r="I61" s="106">
        <v>6661.1999999999989</v>
      </c>
      <c r="J61" s="106">
        <v>7</v>
      </c>
      <c r="K61" s="106">
        <v>6661.1999999999989</v>
      </c>
      <c r="L61" s="106">
        <v>36</v>
      </c>
      <c r="M61" s="106">
        <v>34257.599999999999</v>
      </c>
      <c r="N61" s="106">
        <v>24</v>
      </c>
      <c r="O61" s="106">
        <v>22838.399999999998</v>
      </c>
      <c r="P61" s="106">
        <v>37</v>
      </c>
      <c r="Q61" s="106">
        <v>35209.199999999997</v>
      </c>
      <c r="R61" s="106">
        <v>28</v>
      </c>
      <c r="S61" s="106">
        <v>26644.799999999996</v>
      </c>
      <c r="T61" s="106">
        <v>5</v>
      </c>
      <c r="U61" s="106">
        <v>4758</v>
      </c>
      <c r="V61" s="106">
        <v>4</v>
      </c>
      <c r="W61" s="106">
        <v>3806.3999999999996</v>
      </c>
      <c r="X61" s="106">
        <v>4</v>
      </c>
      <c r="Y61" s="106">
        <v>3806.3999999999996</v>
      </c>
      <c r="Z61" s="106">
        <v>3</v>
      </c>
      <c r="AA61" s="106">
        <v>2854.7999999999997</v>
      </c>
      <c r="AB61" s="106">
        <v>7</v>
      </c>
      <c r="AC61" s="106">
        <v>6661.1999999999989</v>
      </c>
      <c r="AD61" s="106">
        <v>10</v>
      </c>
      <c r="AE61" s="106">
        <v>9516</v>
      </c>
      <c r="AF61" s="106">
        <v>6</v>
      </c>
      <c r="AG61" s="106">
        <v>5709.5999999999995</v>
      </c>
      <c r="AH61" s="106">
        <v>6</v>
      </c>
      <c r="AI61" s="106">
        <v>5709.5999999999995</v>
      </c>
      <c r="AJ61" s="106">
        <v>7</v>
      </c>
      <c r="AK61" s="106">
        <v>6661.1999999999989</v>
      </c>
      <c r="AL61" s="106">
        <v>6</v>
      </c>
      <c r="AM61" s="106">
        <v>5709.5999999999995</v>
      </c>
      <c r="AN61" s="106">
        <v>7</v>
      </c>
      <c r="AO61" s="106">
        <v>6661.1999999999989</v>
      </c>
      <c r="AP61" s="106">
        <v>8</v>
      </c>
      <c r="AQ61" s="106">
        <v>7612.7999999999993</v>
      </c>
      <c r="AR61" s="106">
        <v>5</v>
      </c>
      <c r="AS61" s="106">
        <v>4758</v>
      </c>
      <c r="AT61" s="106">
        <v>5</v>
      </c>
      <c r="AU61" s="106">
        <v>4758</v>
      </c>
      <c r="AV61" s="106">
        <v>3</v>
      </c>
      <c r="AW61" s="106">
        <v>2854.7999999999997</v>
      </c>
      <c r="AX61" s="106">
        <v>3</v>
      </c>
      <c r="AY61" s="106">
        <v>2854.7999999999997</v>
      </c>
      <c r="AZ61" s="106">
        <v>5</v>
      </c>
      <c r="BA61" s="106">
        <v>4758</v>
      </c>
      <c r="BB61" s="106">
        <v>6</v>
      </c>
      <c r="BC61" s="106">
        <v>5709.5999999999995</v>
      </c>
      <c r="BD61" s="106">
        <v>5</v>
      </c>
      <c r="BE61" s="106">
        <v>4758</v>
      </c>
      <c r="BF61" s="106">
        <v>7</v>
      </c>
      <c r="BG61" s="106">
        <v>6661.1999999999989</v>
      </c>
      <c r="BH61" s="106">
        <v>5</v>
      </c>
      <c r="BI61" s="106">
        <v>4758</v>
      </c>
      <c r="BJ61" s="106">
        <v>5</v>
      </c>
      <c r="BK61" s="106">
        <v>4758</v>
      </c>
      <c r="BL61" s="106">
        <v>6</v>
      </c>
      <c r="BM61" s="106">
        <v>5709.5999999999995</v>
      </c>
      <c r="BN61" s="106">
        <v>4</v>
      </c>
      <c r="BO61" s="106">
        <v>3806.3999999999996</v>
      </c>
      <c r="BP61" s="106">
        <v>2</v>
      </c>
      <c r="BQ61" s="106">
        <v>1903.1999999999998</v>
      </c>
      <c r="BR61" s="106">
        <v>2</v>
      </c>
      <c r="BS61" s="106">
        <v>1903.1999999999998</v>
      </c>
      <c r="BT61" s="106">
        <v>3</v>
      </c>
      <c r="BU61" s="106">
        <v>2854.7999999999997</v>
      </c>
      <c r="BV61" s="106">
        <v>4</v>
      </c>
      <c r="BW61" s="106">
        <v>3806.3999999999996</v>
      </c>
      <c r="BX61" s="106">
        <v>41</v>
      </c>
      <c r="BY61" s="106">
        <v>39015.599999999999</v>
      </c>
      <c r="BZ61" s="106">
        <v>49</v>
      </c>
      <c r="CA61" s="106">
        <v>46628.399999999994</v>
      </c>
      <c r="CB61" s="106">
        <v>76</v>
      </c>
      <c r="CC61" s="106">
        <v>72321.599999999991</v>
      </c>
      <c r="CD61" s="106">
        <v>78</v>
      </c>
      <c r="CE61" s="106">
        <v>74224.799999999988</v>
      </c>
      <c r="CF61" s="106">
        <v>27</v>
      </c>
      <c r="CG61" s="106">
        <v>25693.199999999997</v>
      </c>
      <c r="CH61" s="106">
        <v>21</v>
      </c>
      <c r="CI61" s="106">
        <v>19983.599999999999</v>
      </c>
      <c r="CJ61" s="106">
        <v>26</v>
      </c>
      <c r="CK61" s="106">
        <v>24741.599999999999</v>
      </c>
      <c r="CL61" s="106">
        <v>16</v>
      </c>
      <c r="CM61" s="106">
        <v>15225.599999999999</v>
      </c>
      <c r="CN61" s="106">
        <v>3</v>
      </c>
      <c r="CO61" s="106">
        <v>2854.7999999999997</v>
      </c>
      <c r="CP61" s="106">
        <v>3</v>
      </c>
      <c r="CQ61" s="106">
        <v>2854.7999999999997</v>
      </c>
      <c r="CR61" s="106">
        <v>3</v>
      </c>
      <c r="CS61" s="106">
        <v>2854.7999999999997</v>
      </c>
      <c r="CT61" s="106">
        <v>2</v>
      </c>
      <c r="CU61" s="106">
        <v>1903.1999999999998</v>
      </c>
    </row>
    <row r="62" spans="2:99" x14ac:dyDescent="0.2">
      <c r="C62" s="105" t="s">
        <v>228</v>
      </c>
      <c r="D62" s="106">
        <v>7</v>
      </c>
      <c r="E62" s="106">
        <v>11936.4</v>
      </c>
      <c r="F62" s="106">
        <v>4</v>
      </c>
      <c r="G62" s="106">
        <v>6820.8</v>
      </c>
      <c r="H62" s="106">
        <v>6</v>
      </c>
      <c r="I62" s="106">
        <v>10231.200000000001</v>
      </c>
      <c r="J62" s="106">
        <v>6</v>
      </c>
      <c r="K62" s="106">
        <v>10231.200000000001</v>
      </c>
      <c r="L62" s="106">
        <v>34</v>
      </c>
      <c r="M62" s="106">
        <v>57976.800000000003</v>
      </c>
      <c r="N62" s="106">
        <v>22</v>
      </c>
      <c r="O62" s="106">
        <v>37514.400000000001</v>
      </c>
      <c r="P62" s="106">
        <v>32</v>
      </c>
      <c r="Q62" s="106">
        <v>54566.400000000001</v>
      </c>
      <c r="R62" s="106">
        <v>21</v>
      </c>
      <c r="S62" s="106">
        <v>35809.200000000004</v>
      </c>
      <c r="T62" s="106">
        <v>4</v>
      </c>
      <c r="U62" s="106">
        <v>6820.8</v>
      </c>
      <c r="V62" s="106">
        <v>4</v>
      </c>
      <c r="W62" s="106">
        <v>6820.8</v>
      </c>
      <c r="X62" s="106">
        <v>4</v>
      </c>
      <c r="Y62" s="106">
        <v>6820.8</v>
      </c>
      <c r="Z62" s="106">
        <v>4</v>
      </c>
      <c r="AA62" s="106">
        <v>6820.8</v>
      </c>
      <c r="AB62" s="106">
        <v>7</v>
      </c>
      <c r="AC62" s="106">
        <v>11936.4</v>
      </c>
      <c r="AD62" s="106">
        <v>10</v>
      </c>
      <c r="AE62" s="106">
        <v>17052</v>
      </c>
      <c r="AF62" s="106">
        <v>5</v>
      </c>
      <c r="AG62" s="106">
        <v>8526</v>
      </c>
      <c r="AH62" s="106">
        <v>6</v>
      </c>
      <c r="AI62" s="106">
        <v>10231.200000000001</v>
      </c>
      <c r="AJ62" s="106">
        <v>8</v>
      </c>
      <c r="AK62" s="106">
        <v>13641.6</v>
      </c>
      <c r="AL62" s="106">
        <v>6</v>
      </c>
      <c r="AM62" s="106">
        <v>10231.200000000001</v>
      </c>
      <c r="AN62" s="106">
        <v>6</v>
      </c>
      <c r="AO62" s="106">
        <v>10231.200000000001</v>
      </c>
      <c r="AP62" s="106">
        <v>7</v>
      </c>
      <c r="AQ62" s="106">
        <v>11936.4</v>
      </c>
      <c r="AR62" s="106">
        <v>5</v>
      </c>
      <c r="AS62" s="106">
        <v>8526</v>
      </c>
      <c r="AT62" s="106">
        <v>4</v>
      </c>
      <c r="AU62" s="106">
        <v>6820.8</v>
      </c>
      <c r="AV62" s="106">
        <v>3</v>
      </c>
      <c r="AW62" s="106">
        <v>5115.6000000000004</v>
      </c>
      <c r="AX62" s="106">
        <v>3</v>
      </c>
      <c r="AY62" s="106">
        <v>5115.6000000000004</v>
      </c>
      <c r="AZ62" s="106">
        <v>4</v>
      </c>
      <c r="BA62" s="106">
        <v>6820.8</v>
      </c>
      <c r="BB62" s="106">
        <v>6</v>
      </c>
      <c r="BC62" s="106">
        <v>10231.200000000001</v>
      </c>
      <c r="BD62" s="106">
        <v>4</v>
      </c>
      <c r="BE62" s="106">
        <v>6820.8</v>
      </c>
      <c r="BF62" s="106">
        <v>6</v>
      </c>
      <c r="BG62" s="106">
        <v>10231.200000000001</v>
      </c>
      <c r="BH62" s="106">
        <v>4</v>
      </c>
      <c r="BI62" s="106">
        <v>6820.8</v>
      </c>
      <c r="BJ62" s="106">
        <v>4</v>
      </c>
      <c r="BK62" s="106">
        <v>6820.8</v>
      </c>
      <c r="BL62" s="106">
        <v>5</v>
      </c>
      <c r="BM62" s="106">
        <v>8526</v>
      </c>
      <c r="BN62" s="106">
        <v>3</v>
      </c>
      <c r="BO62" s="106">
        <v>5115.6000000000004</v>
      </c>
      <c r="BP62" s="106">
        <v>2</v>
      </c>
      <c r="BQ62" s="106">
        <v>3410.4</v>
      </c>
      <c r="BR62" s="106">
        <v>2</v>
      </c>
      <c r="BS62" s="106">
        <v>3410.4</v>
      </c>
      <c r="BT62" s="106">
        <v>4</v>
      </c>
      <c r="BU62" s="106">
        <v>6820.8</v>
      </c>
      <c r="BV62" s="106">
        <v>4</v>
      </c>
      <c r="BW62" s="106">
        <v>6820.8</v>
      </c>
      <c r="BX62" s="106">
        <v>33</v>
      </c>
      <c r="BY62" s="106">
        <v>56271.6</v>
      </c>
      <c r="BZ62" s="106">
        <v>40</v>
      </c>
      <c r="CA62" s="106">
        <v>68208</v>
      </c>
      <c r="CB62" s="106">
        <v>61</v>
      </c>
      <c r="CC62" s="106">
        <v>104017.2</v>
      </c>
      <c r="CD62" s="106">
        <v>55</v>
      </c>
      <c r="CE62" s="106">
        <v>93786</v>
      </c>
      <c r="CF62" s="106">
        <v>23</v>
      </c>
      <c r="CG62" s="106">
        <v>39219.599999999999</v>
      </c>
      <c r="CH62" s="106">
        <v>19</v>
      </c>
      <c r="CI62" s="106">
        <v>32398.799999999999</v>
      </c>
      <c r="CJ62" s="106">
        <v>21</v>
      </c>
      <c r="CK62" s="106">
        <v>35809.200000000004</v>
      </c>
      <c r="CL62" s="106">
        <v>16</v>
      </c>
      <c r="CM62" s="106">
        <v>27283.200000000001</v>
      </c>
      <c r="CN62" s="106">
        <v>4</v>
      </c>
      <c r="CO62" s="106">
        <v>6820.8</v>
      </c>
      <c r="CP62" s="106">
        <v>3</v>
      </c>
      <c r="CQ62" s="106">
        <v>5115.6000000000004</v>
      </c>
      <c r="CR62" s="106">
        <v>3</v>
      </c>
      <c r="CS62" s="106">
        <v>5115.6000000000004</v>
      </c>
      <c r="CT62" s="106">
        <v>2</v>
      </c>
      <c r="CU62" s="106">
        <v>3410.4</v>
      </c>
    </row>
    <row r="63" spans="2:99" x14ac:dyDescent="0.2">
      <c r="C63" s="105" t="s">
        <v>229</v>
      </c>
      <c r="D63" s="106">
        <v>8</v>
      </c>
      <c r="E63" s="106">
        <v>6364.8</v>
      </c>
      <c r="F63" s="106">
        <v>4</v>
      </c>
      <c r="G63" s="106">
        <v>3182.4</v>
      </c>
      <c r="H63" s="106">
        <v>8</v>
      </c>
      <c r="I63" s="106">
        <v>6364.8</v>
      </c>
      <c r="J63" s="106">
        <v>7</v>
      </c>
      <c r="K63" s="106">
        <v>5569.2</v>
      </c>
      <c r="L63" s="106">
        <v>36</v>
      </c>
      <c r="M63" s="106">
        <v>28641.600000000002</v>
      </c>
      <c r="N63" s="106">
        <v>24</v>
      </c>
      <c r="O63" s="106">
        <v>19094.400000000001</v>
      </c>
      <c r="P63" s="106">
        <v>41</v>
      </c>
      <c r="Q63" s="106">
        <v>32619.600000000002</v>
      </c>
      <c r="R63" s="106">
        <v>27</v>
      </c>
      <c r="S63" s="106">
        <v>21481.200000000001</v>
      </c>
      <c r="T63" s="106">
        <v>5</v>
      </c>
      <c r="U63" s="106">
        <v>3978</v>
      </c>
      <c r="V63" s="106">
        <v>5</v>
      </c>
      <c r="W63" s="106">
        <v>3978</v>
      </c>
      <c r="X63" s="106">
        <v>4</v>
      </c>
      <c r="Y63" s="106">
        <v>3182.4</v>
      </c>
      <c r="Z63" s="106">
        <v>4</v>
      </c>
      <c r="AA63" s="106">
        <v>3182.4</v>
      </c>
      <c r="AB63" s="106">
        <v>7</v>
      </c>
      <c r="AC63" s="106">
        <v>5569.2</v>
      </c>
      <c r="AD63" s="106">
        <v>9</v>
      </c>
      <c r="AE63" s="106">
        <v>7160.4000000000005</v>
      </c>
      <c r="AF63" s="106">
        <v>6</v>
      </c>
      <c r="AG63" s="106">
        <v>4773.6000000000004</v>
      </c>
      <c r="AH63" s="106">
        <v>7</v>
      </c>
      <c r="AI63" s="106">
        <v>5569.2</v>
      </c>
      <c r="AJ63" s="106">
        <v>8</v>
      </c>
      <c r="AK63" s="106">
        <v>6364.8</v>
      </c>
      <c r="AL63" s="106">
        <v>6</v>
      </c>
      <c r="AM63" s="106">
        <v>4773.6000000000004</v>
      </c>
      <c r="AN63" s="106">
        <v>7</v>
      </c>
      <c r="AO63" s="106">
        <v>5569.2</v>
      </c>
      <c r="AP63" s="106">
        <v>8</v>
      </c>
      <c r="AQ63" s="106">
        <v>6364.8</v>
      </c>
      <c r="AR63" s="106">
        <v>5</v>
      </c>
      <c r="AS63" s="106">
        <v>3978</v>
      </c>
      <c r="AT63" s="106">
        <v>5</v>
      </c>
      <c r="AU63" s="106">
        <v>3978</v>
      </c>
      <c r="AV63" s="106">
        <v>3</v>
      </c>
      <c r="AW63" s="106">
        <v>2386.8000000000002</v>
      </c>
      <c r="AX63" s="106">
        <v>3</v>
      </c>
      <c r="AY63" s="106">
        <v>2386.8000000000002</v>
      </c>
      <c r="AZ63" s="106">
        <v>5</v>
      </c>
      <c r="BA63" s="106">
        <v>3978</v>
      </c>
      <c r="BB63" s="106">
        <v>5</v>
      </c>
      <c r="BC63" s="106">
        <v>3978</v>
      </c>
      <c r="BD63" s="106">
        <v>5</v>
      </c>
      <c r="BE63" s="106">
        <v>3978</v>
      </c>
      <c r="BF63" s="106">
        <v>6</v>
      </c>
      <c r="BG63" s="106">
        <v>4773.6000000000004</v>
      </c>
      <c r="BH63" s="106">
        <v>5</v>
      </c>
      <c r="BI63" s="106">
        <v>3978</v>
      </c>
      <c r="BJ63" s="106">
        <v>5</v>
      </c>
      <c r="BK63" s="106">
        <v>3978</v>
      </c>
      <c r="BL63" s="106">
        <v>5</v>
      </c>
      <c r="BM63" s="106">
        <v>3978</v>
      </c>
      <c r="BN63" s="106">
        <v>4</v>
      </c>
      <c r="BO63" s="106">
        <v>3182.4</v>
      </c>
      <c r="BP63" s="106">
        <v>2</v>
      </c>
      <c r="BQ63" s="106">
        <v>1591.2</v>
      </c>
      <c r="BR63" s="106">
        <v>2</v>
      </c>
      <c r="BS63" s="106">
        <v>1591.2</v>
      </c>
      <c r="BT63" s="106">
        <v>4</v>
      </c>
      <c r="BU63" s="106">
        <v>3182.4</v>
      </c>
      <c r="BV63" s="106">
        <v>4</v>
      </c>
      <c r="BW63" s="106">
        <v>3182.4</v>
      </c>
      <c r="BX63" s="106">
        <v>41</v>
      </c>
      <c r="BY63" s="106">
        <v>32619.600000000002</v>
      </c>
      <c r="BZ63" s="106">
        <v>51</v>
      </c>
      <c r="CA63" s="106">
        <v>40575.599999999999</v>
      </c>
      <c r="CB63" s="106">
        <v>77</v>
      </c>
      <c r="CC63" s="106">
        <v>61261.200000000004</v>
      </c>
      <c r="CD63" s="106">
        <v>77</v>
      </c>
      <c r="CE63" s="106">
        <v>61261.200000000004</v>
      </c>
      <c r="CF63" s="106">
        <v>25</v>
      </c>
      <c r="CG63" s="106">
        <v>19890</v>
      </c>
      <c r="CH63" s="106">
        <v>23</v>
      </c>
      <c r="CI63" s="106">
        <v>18298.8</v>
      </c>
      <c r="CJ63" s="106">
        <v>23</v>
      </c>
      <c r="CK63" s="106">
        <v>18298.8</v>
      </c>
      <c r="CL63" s="106">
        <v>19</v>
      </c>
      <c r="CM63" s="106">
        <v>15116.4</v>
      </c>
      <c r="CN63" s="106">
        <v>4</v>
      </c>
      <c r="CO63" s="106">
        <v>3182.4</v>
      </c>
      <c r="CP63" s="106">
        <v>4</v>
      </c>
      <c r="CQ63" s="106">
        <v>3182.4</v>
      </c>
      <c r="CR63" s="106">
        <v>4</v>
      </c>
      <c r="CS63" s="106">
        <v>3182.4</v>
      </c>
      <c r="CT63" s="106">
        <v>3</v>
      </c>
      <c r="CU63" s="106">
        <v>2386.8000000000002</v>
      </c>
    </row>
    <row r="64" spans="2:99" x14ac:dyDescent="0.2">
      <c r="C64" s="105" t="s">
        <v>230</v>
      </c>
      <c r="D64" s="106">
        <v>7</v>
      </c>
      <c r="E64" s="106">
        <v>7064.3999999999987</v>
      </c>
      <c r="F64" s="106">
        <v>5</v>
      </c>
      <c r="G64" s="106">
        <v>5045.9999999999991</v>
      </c>
      <c r="H64" s="106">
        <v>7</v>
      </c>
      <c r="I64" s="106">
        <v>7064.3999999999987</v>
      </c>
      <c r="J64" s="106">
        <v>7</v>
      </c>
      <c r="K64" s="106">
        <v>7064.3999999999987</v>
      </c>
      <c r="L64" s="106">
        <v>41</v>
      </c>
      <c r="M64" s="106">
        <v>41377.19999999999</v>
      </c>
      <c r="N64" s="106">
        <v>25</v>
      </c>
      <c r="O64" s="106">
        <v>25229.999999999996</v>
      </c>
      <c r="P64" s="106">
        <v>38</v>
      </c>
      <c r="Q64" s="106">
        <v>38349.599999999991</v>
      </c>
      <c r="R64" s="106">
        <v>26</v>
      </c>
      <c r="S64" s="106">
        <v>26239.199999999997</v>
      </c>
      <c r="T64" s="106">
        <v>5</v>
      </c>
      <c r="U64" s="106">
        <v>5045.9999999999991</v>
      </c>
      <c r="V64" s="106">
        <v>5</v>
      </c>
      <c r="W64" s="106">
        <v>5045.9999999999991</v>
      </c>
      <c r="X64" s="106">
        <v>4</v>
      </c>
      <c r="Y64" s="106">
        <v>4036.7999999999993</v>
      </c>
      <c r="Z64" s="106">
        <v>4</v>
      </c>
      <c r="AA64" s="106">
        <v>4036.7999999999993</v>
      </c>
      <c r="AB64" s="106">
        <v>6</v>
      </c>
      <c r="AC64" s="106">
        <v>6055.1999999999989</v>
      </c>
      <c r="AD64" s="106">
        <v>9</v>
      </c>
      <c r="AE64" s="106">
        <v>9082.7999999999993</v>
      </c>
      <c r="AF64" s="106">
        <v>5</v>
      </c>
      <c r="AG64" s="106">
        <v>5045.9999999999991</v>
      </c>
      <c r="AH64" s="106">
        <v>6</v>
      </c>
      <c r="AI64" s="106">
        <v>6055.1999999999989</v>
      </c>
      <c r="AJ64" s="106">
        <v>8</v>
      </c>
      <c r="AK64" s="106">
        <v>8073.5999999999985</v>
      </c>
      <c r="AL64" s="106">
        <v>6</v>
      </c>
      <c r="AM64" s="106">
        <v>6055.1999999999989</v>
      </c>
      <c r="AN64" s="106">
        <v>6</v>
      </c>
      <c r="AO64" s="106">
        <v>6055.1999999999989</v>
      </c>
      <c r="AP64" s="106">
        <v>8</v>
      </c>
      <c r="AQ64" s="106">
        <v>8073.5999999999985</v>
      </c>
      <c r="AR64" s="106">
        <v>5</v>
      </c>
      <c r="AS64" s="106">
        <v>5045.9999999999991</v>
      </c>
      <c r="AT64" s="106">
        <v>4</v>
      </c>
      <c r="AU64" s="106">
        <v>4036.7999999999993</v>
      </c>
      <c r="AV64" s="106">
        <v>3</v>
      </c>
      <c r="AW64" s="106">
        <v>3027.5999999999995</v>
      </c>
      <c r="AX64" s="106">
        <v>3</v>
      </c>
      <c r="AY64" s="106">
        <v>3027.5999999999995</v>
      </c>
      <c r="AZ64" s="106">
        <v>5</v>
      </c>
      <c r="BA64" s="106">
        <v>5045.9999999999991</v>
      </c>
      <c r="BB64" s="106">
        <v>6</v>
      </c>
      <c r="BC64" s="106">
        <v>6055.1999999999989</v>
      </c>
      <c r="BD64" s="106">
        <v>4</v>
      </c>
      <c r="BE64" s="106">
        <v>4036.7999999999993</v>
      </c>
      <c r="BF64" s="106">
        <v>7</v>
      </c>
      <c r="BG64" s="106">
        <v>7064.3999999999987</v>
      </c>
      <c r="BH64" s="106">
        <v>5</v>
      </c>
      <c r="BI64" s="106">
        <v>5045.9999999999991</v>
      </c>
      <c r="BJ64" s="106">
        <v>5</v>
      </c>
      <c r="BK64" s="106">
        <v>5045.9999999999991</v>
      </c>
      <c r="BL64" s="106">
        <v>5</v>
      </c>
      <c r="BM64" s="106">
        <v>5045.9999999999991</v>
      </c>
      <c r="BN64" s="106">
        <v>3</v>
      </c>
      <c r="BO64" s="106">
        <v>3027.5999999999995</v>
      </c>
      <c r="BP64" s="106">
        <v>2</v>
      </c>
      <c r="BQ64" s="106">
        <v>2018.3999999999996</v>
      </c>
      <c r="BR64" s="106">
        <v>2</v>
      </c>
      <c r="BS64" s="106">
        <v>2018.3999999999996</v>
      </c>
      <c r="BT64" s="106">
        <v>3</v>
      </c>
      <c r="BU64" s="106">
        <v>3027.5999999999995</v>
      </c>
      <c r="BV64" s="106">
        <v>4</v>
      </c>
      <c r="BW64" s="106">
        <v>4036.7999999999993</v>
      </c>
      <c r="BX64" s="106">
        <v>42</v>
      </c>
      <c r="BY64" s="106">
        <v>42386.399999999994</v>
      </c>
      <c r="BZ64" s="106">
        <v>55</v>
      </c>
      <c r="CA64" s="106">
        <v>55505.999999999993</v>
      </c>
      <c r="CB64" s="106">
        <v>73</v>
      </c>
      <c r="CC64" s="106">
        <v>73671.599999999991</v>
      </c>
      <c r="CD64" s="106">
        <v>68</v>
      </c>
      <c r="CE64" s="106">
        <v>68625.599999999991</v>
      </c>
      <c r="CF64" s="106">
        <v>27</v>
      </c>
      <c r="CG64" s="106">
        <v>27248.399999999994</v>
      </c>
      <c r="CH64" s="106">
        <v>20</v>
      </c>
      <c r="CI64" s="106">
        <v>20183.999999999996</v>
      </c>
      <c r="CJ64" s="106">
        <v>23</v>
      </c>
      <c r="CK64" s="106">
        <v>23211.599999999995</v>
      </c>
      <c r="CL64" s="106">
        <v>16</v>
      </c>
      <c r="CM64" s="106">
        <v>16147.199999999997</v>
      </c>
      <c r="CN64" s="106">
        <v>4</v>
      </c>
      <c r="CO64" s="106">
        <v>4036.7999999999993</v>
      </c>
      <c r="CP64" s="106">
        <v>4</v>
      </c>
      <c r="CQ64" s="106">
        <v>4036.7999999999993</v>
      </c>
      <c r="CR64" s="106">
        <v>3</v>
      </c>
      <c r="CS64" s="106">
        <v>3027.5999999999995</v>
      </c>
      <c r="CT64" s="106">
        <v>2</v>
      </c>
      <c r="CU64" s="106">
        <v>2018.3999999999996</v>
      </c>
    </row>
    <row r="65" spans="2:99" x14ac:dyDescent="0.2">
      <c r="C65" s="105" t="s">
        <v>231</v>
      </c>
      <c r="D65" s="106">
        <v>8</v>
      </c>
      <c r="E65" s="106">
        <v>8208</v>
      </c>
      <c r="F65" s="106">
        <v>4</v>
      </c>
      <c r="G65" s="106">
        <v>4104</v>
      </c>
      <c r="H65" s="106">
        <v>7</v>
      </c>
      <c r="I65" s="106">
        <v>7182</v>
      </c>
      <c r="J65" s="106">
        <v>7</v>
      </c>
      <c r="K65" s="106">
        <v>7182</v>
      </c>
      <c r="L65" s="106">
        <v>37</v>
      </c>
      <c r="M65" s="106">
        <v>37962</v>
      </c>
      <c r="N65" s="106">
        <v>23</v>
      </c>
      <c r="O65" s="106">
        <v>23598</v>
      </c>
      <c r="P65" s="106">
        <v>39</v>
      </c>
      <c r="Q65" s="106">
        <v>40014</v>
      </c>
      <c r="R65" s="106">
        <v>27</v>
      </c>
      <c r="S65" s="106">
        <v>27702</v>
      </c>
      <c r="T65" s="106">
        <v>5</v>
      </c>
      <c r="U65" s="106">
        <v>5130</v>
      </c>
      <c r="V65" s="106">
        <v>5</v>
      </c>
      <c r="W65" s="106">
        <v>5130</v>
      </c>
      <c r="X65" s="106">
        <v>4</v>
      </c>
      <c r="Y65" s="106">
        <v>4104</v>
      </c>
      <c r="Z65" s="106">
        <v>4</v>
      </c>
      <c r="AA65" s="106">
        <v>4104</v>
      </c>
      <c r="AB65" s="106">
        <v>7</v>
      </c>
      <c r="AC65" s="106">
        <v>7182</v>
      </c>
      <c r="AD65" s="106">
        <v>9</v>
      </c>
      <c r="AE65" s="106">
        <v>9234</v>
      </c>
      <c r="AF65" s="106">
        <v>6</v>
      </c>
      <c r="AG65" s="106">
        <v>6156</v>
      </c>
      <c r="AH65" s="106">
        <v>6</v>
      </c>
      <c r="AI65" s="106">
        <v>6156</v>
      </c>
      <c r="AJ65" s="106">
        <v>8</v>
      </c>
      <c r="AK65" s="106">
        <v>8208</v>
      </c>
      <c r="AL65" s="106">
        <v>7</v>
      </c>
      <c r="AM65" s="106">
        <v>7182</v>
      </c>
      <c r="AN65" s="106">
        <v>7</v>
      </c>
      <c r="AO65" s="106">
        <v>7182</v>
      </c>
      <c r="AP65" s="106">
        <v>7</v>
      </c>
      <c r="AQ65" s="106">
        <v>7182</v>
      </c>
      <c r="AR65" s="106">
        <v>4</v>
      </c>
      <c r="AS65" s="106">
        <v>4104</v>
      </c>
      <c r="AT65" s="106">
        <v>4</v>
      </c>
      <c r="AU65" s="106">
        <v>4104</v>
      </c>
      <c r="AV65" s="106">
        <v>3</v>
      </c>
      <c r="AW65" s="106">
        <v>3078</v>
      </c>
      <c r="AX65" s="106">
        <v>3</v>
      </c>
      <c r="AY65" s="106">
        <v>3078</v>
      </c>
      <c r="AZ65" s="106">
        <v>5</v>
      </c>
      <c r="BA65" s="106">
        <v>5130</v>
      </c>
      <c r="BB65" s="106">
        <v>6</v>
      </c>
      <c r="BC65" s="106">
        <v>6156</v>
      </c>
      <c r="BD65" s="106">
        <v>5</v>
      </c>
      <c r="BE65" s="106">
        <v>5130</v>
      </c>
      <c r="BF65" s="106">
        <v>6</v>
      </c>
      <c r="BG65" s="106">
        <v>6156</v>
      </c>
      <c r="BH65" s="106">
        <v>5</v>
      </c>
      <c r="BI65" s="106">
        <v>5130</v>
      </c>
      <c r="BJ65" s="106">
        <v>5</v>
      </c>
      <c r="BK65" s="106">
        <v>5130</v>
      </c>
      <c r="BL65" s="106">
        <v>6</v>
      </c>
      <c r="BM65" s="106">
        <v>6156</v>
      </c>
      <c r="BN65" s="106">
        <v>4</v>
      </c>
      <c r="BO65" s="106">
        <v>4104</v>
      </c>
      <c r="BP65" s="106">
        <v>2</v>
      </c>
      <c r="BQ65" s="106">
        <v>2052</v>
      </c>
      <c r="BR65" s="106">
        <v>2</v>
      </c>
      <c r="BS65" s="106">
        <v>2052</v>
      </c>
      <c r="BT65" s="106">
        <v>3</v>
      </c>
      <c r="BU65" s="106">
        <v>3078</v>
      </c>
      <c r="BV65" s="106">
        <v>3</v>
      </c>
      <c r="BW65" s="106">
        <v>3078</v>
      </c>
      <c r="BX65" s="106">
        <v>39</v>
      </c>
      <c r="BY65" s="106">
        <v>40014</v>
      </c>
      <c r="BZ65" s="106">
        <v>48</v>
      </c>
      <c r="CA65" s="106">
        <v>49248</v>
      </c>
      <c r="CB65" s="106">
        <v>76</v>
      </c>
      <c r="CC65" s="106">
        <v>77976</v>
      </c>
      <c r="CD65" s="106">
        <v>73</v>
      </c>
      <c r="CE65" s="106">
        <v>74898</v>
      </c>
      <c r="CF65" s="106">
        <v>23</v>
      </c>
      <c r="CG65" s="106">
        <v>23598</v>
      </c>
      <c r="CH65" s="106">
        <v>22</v>
      </c>
      <c r="CI65" s="106">
        <v>22572</v>
      </c>
      <c r="CJ65" s="106">
        <v>23</v>
      </c>
      <c r="CK65" s="106">
        <v>23598</v>
      </c>
      <c r="CL65" s="106">
        <v>18</v>
      </c>
      <c r="CM65" s="106">
        <v>18468</v>
      </c>
      <c r="CN65" s="106">
        <v>4</v>
      </c>
      <c r="CO65" s="106">
        <v>4104</v>
      </c>
      <c r="CP65" s="106">
        <v>3</v>
      </c>
      <c r="CQ65" s="106">
        <v>3078</v>
      </c>
      <c r="CR65" s="106">
        <v>4</v>
      </c>
      <c r="CS65" s="106">
        <v>4104</v>
      </c>
      <c r="CT65" s="106">
        <v>3</v>
      </c>
      <c r="CU65" s="106">
        <v>3078</v>
      </c>
    </row>
    <row r="66" spans="2:99" x14ac:dyDescent="0.2">
      <c r="C66" s="105" t="s">
        <v>232</v>
      </c>
      <c r="D66" s="106">
        <v>7</v>
      </c>
      <c r="E66" s="106">
        <v>8332.7999999999993</v>
      </c>
      <c r="F66" s="106">
        <v>5</v>
      </c>
      <c r="G66" s="106">
        <v>5951.9999999999991</v>
      </c>
      <c r="H66" s="106">
        <v>7</v>
      </c>
      <c r="I66" s="106">
        <v>8332.7999999999993</v>
      </c>
      <c r="J66" s="106">
        <v>6</v>
      </c>
      <c r="K66" s="106">
        <v>7142.4</v>
      </c>
      <c r="L66" s="106">
        <v>40</v>
      </c>
      <c r="M66" s="106">
        <v>47615.999999999993</v>
      </c>
      <c r="N66" s="106">
        <v>21</v>
      </c>
      <c r="O66" s="106">
        <v>24998.399999999998</v>
      </c>
      <c r="P66" s="106">
        <v>33</v>
      </c>
      <c r="Q66" s="106">
        <v>39283.199999999997</v>
      </c>
      <c r="R66" s="106">
        <v>24</v>
      </c>
      <c r="S66" s="106">
        <v>28569.599999999999</v>
      </c>
      <c r="T66" s="106">
        <v>4</v>
      </c>
      <c r="U66" s="106">
        <v>4761.5999999999995</v>
      </c>
      <c r="V66" s="106">
        <v>4</v>
      </c>
      <c r="W66" s="106">
        <v>4761.5999999999995</v>
      </c>
      <c r="X66" s="106">
        <v>4</v>
      </c>
      <c r="Y66" s="106">
        <v>4761.5999999999995</v>
      </c>
      <c r="Z66" s="106">
        <v>3</v>
      </c>
      <c r="AA66" s="106">
        <v>3571.2</v>
      </c>
      <c r="AB66" s="106">
        <v>7</v>
      </c>
      <c r="AC66" s="106">
        <v>8332.7999999999993</v>
      </c>
      <c r="AD66" s="106">
        <v>9</v>
      </c>
      <c r="AE66" s="106">
        <v>10713.599999999999</v>
      </c>
      <c r="AF66" s="106">
        <v>6</v>
      </c>
      <c r="AG66" s="106">
        <v>7142.4</v>
      </c>
      <c r="AH66" s="106">
        <v>6</v>
      </c>
      <c r="AI66" s="106">
        <v>7142.4</v>
      </c>
      <c r="AJ66" s="106">
        <v>8</v>
      </c>
      <c r="AK66" s="106">
        <v>9523.1999999999989</v>
      </c>
      <c r="AL66" s="106">
        <v>6</v>
      </c>
      <c r="AM66" s="106">
        <v>7142.4</v>
      </c>
      <c r="AN66" s="106">
        <v>6</v>
      </c>
      <c r="AO66" s="106">
        <v>7142.4</v>
      </c>
      <c r="AP66" s="106">
        <v>7</v>
      </c>
      <c r="AQ66" s="106">
        <v>8332.7999999999993</v>
      </c>
      <c r="AR66" s="106">
        <v>5</v>
      </c>
      <c r="AS66" s="106">
        <v>5951.9999999999991</v>
      </c>
      <c r="AT66" s="106">
        <v>4</v>
      </c>
      <c r="AU66" s="106">
        <v>4761.5999999999995</v>
      </c>
      <c r="AV66" s="106">
        <v>3</v>
      </c>
      <c r="AW66" s="106">
        <v>3571.2</v>
      </c>
      <c r="AX66" s="106">
        <v>3</v>
      </c>
      <c r="AY66" s="106">
        <v>3571.2</v>
      </c>
      <c r="AZ66" s="106">
        <v>5</v>
      </c>
      <c r="BA66" s="106">
        <v>5951.9999999999991</v>
      </c>
      <c r="BB66" s="106">
        <v>6</v>
      </c>
      <c r="BC66" s="106">
        <v>7142.4</v>
      </c>
      <c r="BD66" s="106">
        <v>4</v>
      </c>
      <c r="BE66" s="106">
        <v>4761.5999999999995</v>
      </c>
      <c r="BF66" s="106">
        <v>7</v>
      </c>
      <c r="BG66" s="106">
        <v>8332.7999999999993</v>
      </c>
      <c r="BH66" s="106">
        <v>4</v>
      </c>
      <c r="BI66" s="106">
        <v>4761.5999999999995</v>
      </c>
      <c r="BJ66" s="106">
        <v>5</v>
      </c>
      <c r="BK66" s="106">
        <v>5951.9999999999991</v>
      </c>
      <c r="BL66" s="106">
        <v>5</v>
      </c>
      <c r="BM66" s="106">
        <v>5951.9999999999991</v>
      </c>
      <c r="BN66" s="106">
        <v>4</v>
      </c>
      <c r="BO66" s="106">
        <v>4761.5999999999995</v>
      </c>
      <c r="BP66" s="106">
        <v>2</v>
      </c>
      <c r="BQ66" s="106">
        <v>2380.7999999999997</v>
      </c>
      <c r="BR66" s="106">
        <v>2</v>
      </c>
      <c r="BS66" s="106">
        <v>2380.7999999999997</v>
      </c>
      <c r="BT66" s="106">
        <v>4</v>
      </c>
      <c r="BU66" s="106">
        <v>4761.5999999999995</v>
      </c>
      <c r="BV66" s="106">
        <v>4</v>
      </c>
      <c r="BW66" s="106">
        <v>4761.5999999999995</v>
      </c>
      <c r="BX66" s="106">
        <v>38</v>
      </c>
      <c r="BY66" s="106">
        <v>45235.199999999997</v>
      </c>
      <c r="BZ66" s="106">
        <v>51</v>
      </c>
      <c r="CA66" s="106">
        <v>60710.399999999994</v>
      </c>
      <c r="CB66" s="106">
        <v>75</v>
      </c>
      <c r="CC66" s="106">
        <v>89279.999999999985</v>
      </c>
      <c r="CD66" s="106">
        <v>70</v>
      </c>
      <c r="CE66" s="106">
        <v>83327.999999999985</v>
      </c>
      <c r="CF66" s="106">
        <v>23</v>
      </c>
      <c r="CG66" s="106">
        <v>27379.199999999997</v>
      </c>
      <c r="CH66" s="106">
        <v>19</v>
      </c>
      <c r="CI66" s="106">
        <v>22617.599999999999</v>
      </c>
      <c r="CJ66" s="106">
        <v>21</v>
      </c>
      <c r="CK66" s="106">
        <v>24998.399999999998</v>
      </c>
      <c r="CL66" s="106">
        <v>18</v>
      </c>
      <c r="CM66" s="106">
        <v>21427.199999999997</v>
      </c>
      <c r="CN66" s="106">
        <v>4</v>
      </c>
      <c r="CO66" s="106">
        <v>4761.5999999999995</v>
      </c>
      <c r="CP66" s="106">
        <v>4</v>
      </c>
      <c r="CQ66" s="106">
        <v>4761.5999999999995</v>
      </c>
      <c r="CR66" s="106">
        <v>3</v>
      </c>
      <c r="CS66" s="106">
        <v>3571.2</v>
      </c>
      <c r="CT66" s="106">
        <v>2</v>
      </c>
      <c r="CU66" s="106">
        <v>2380.7999999999997</v>
      </c>
    </row>
    <row r="67" spans="2:99" x14ac:dyDescent="0.2">
      <c r="C67" s="105" t="s">
        <v>233</v>
      </c>
      <c r="D67" s="106">
        <v>7</v>
      </c>
      <c r="E67" s="106">
        <v>7862.4000000000005</v>
      </c>
      <c r="F67" s="106">
        <v>5</v>
      </c>
      <c r="G67" s="106">
        <v>5616</v>
      </c>
      <c r="H67" s="106">
        <v>6</v>
      </c>
      <c r="I67" s="106">
        <v>6739.2000000000007</v>
      </c>
      <c r="J67" s="106">
        <v>6</v>
      </c>
      <c r="K67" s="106">
        <v>6739.2000000000007</v>
      </c>
      <c r="L67" s="106">
        <v>35</v>
      </c>
      <c r="M67" s="106">
        <v>39312</v>
      </c>
      <c r="N67" s="106">
        <v>24</v>
      </c>
      <c r="O67" s="106">
        <v>26956.800000000003</v>
      </c>
      <c r="P67" s="106">
        <v>37</v>
      </c>
      <c r="Q67" s="106">
        <v>41558.400000000001</v>
      </c>
      <c r="R67" s="106">
        <v>27</v>
      </c>
      <c r="S67" s="106">
        <v>30326.400000000001</v>
      </c>
      <c r="T67" s="106">
        <v>5</v>
      </c>
      <c r="U67" s="106">
        <v>5616</v>
      </c>
      <c r="V67" s="106">
        <v>5</v>
      </c>
      <c r="W67" s="106">
        <v>5616</v>
      </c>
      <c r="X67" s="106">
        <v>4</v>
      </c>
      <c r="Y67" s="106">
        <v>4492.8</v>
      </c>
      <c r="Z67" s="106">
        <v>3</v>
      </c>
      <c r="AA67" s="106">
        <v>3369.6000000000004</v>
      </c>
      <c r="AB67" s="106">
        <v>8</v>
      </c>
      <c r="AC67" s="106">
        <v>8985.6</v>
      </c>
      <c r="AD67" s="106">
        <v>10</v>
      </c>
      <c r="AE67" s="106">
        <v>11232</v>
      </c>
      <c r="AF67" s="106">
        <v>6</v>
      </c>
      <c r="AG67" s="106">
        <v>6739.2000000000007</v>
      </c>
      <c r="AH67" s="106">
        <v>6</v>
      </c>
      <c r="AI67" s="106">
        <v>6739.2000000000007</v>
      </c>
      <c r="AJ67" s="106">
        <v>7</v>
      </c>
      <c r="AK67" s="106">
        <v>7862.4000000000005</v>
      </c>
      <c r="AL67" s="106">
        <v>7</v>
      </c>
      <c r="AM67" s="106">
        <v>7862.4000000000005</v>
      </c>
      <c r="AN67" s="106">
        <v>6</v>
      </c>
      <c r="AO67" s="106">
        <v>6739.2000000000007</v>
      </c>
      <c r="AP67" s="106">
        <v>8</v>
      </c>
      <c r="AQ67" s="106">
        <v>8985.6</v>
      </c>
      <c r="AR67" s="106">
        <v>4</v>
      </c>
      <c r="AS67" s="106">
        <v>4492.8</v>
      </c>
      <c r="AT67" s="106">
        <v>5</v>
      </c>
      <c r="AU67" s="106">
        <v>5616</v>
      </c>
      <c r="AV67" s="106">
        <v>3</v>
      </c>
      <c r="AW67" s="106">
        <v>3369.6000000000004</v>
      </c>
      <c r="AX67" s="106">
        <v>3</v>
      </c>
      <c r="AY67" s="106">
        <v>3369.6000000000004</v>
      </c>
      <c r="AZ67" s="106">
        <v>4</v>
      </c>
      <c r="BA67" s="106">
        <v>4492.8</v>
      </c>
      <c r="BB67" s="106">
        <v>5</v>
      </c>
      <c r="BC67" s="106">
        <v>5616</v>
      </c>
      <c r="BD67" s="106">
        <v>5</v>
      </c>
      <c r="BE67" s="106">
        <v>5616</v>
      </c>
      <c r="BF67" s="106">
        <v>7</v>
      </c>
      <c r="BG67" s="106">
        <v>7862.4000000000005</v>
      </c>
      <c r="BH67" s="106">
        <v>5</v>
      </c>
      <c r="BI67" s="106">
        <v>5616</v>
      </c>
      <c r="BJ67" s="106">
        <v>5</v>
      </c>
      <c r="BK67" s="106">
        <v>5616</v>
      </c>
      <c r="BL67" s="106">
        <v>6</v>
      </c>
      <c r="BM67" s="106">
        <v>6739.2000000000007</v>
      </c>
      <c r="BN67" s="106">
        <v>3</v>
      </c>
      <c r="BO67" s="106">
        <v>3369.6000000000004</v>
      </c>
      <c r="BP67" s="106">
        <v>2</v>
      </c>
      <c r="BQ67" s="106">
        <v>2246.4</v>
      </c>
      <c r="BR67" s="106">
        <v>2</v>
      </c>
      <c r="BS67" s="106">
        <v>2246.4</v>
      </c>
      <c r="BT67" s="106">
        <v>3</v>
      </c>
      <c r="BU67" s="106">
        <v>3369.6000000000004</v>
      </c>
      <c r="BV67" s="106">
        <v>4</v>
      </c>
      <c r="BW67" s="106">
        <v>4492.8</v>
      </c>
      <c r="BX67" s="106">
        <v>44</v>
      </c>
      <c r="BY67" s="106">
        <v>49420.800000000003</v>
      </c>
      <c r="BZ67" s="106">
        <v>49</v>
      </c>
      <c r="CA67" s="106">
        <v>55036.800000000003</v>
      </c>
      <c r="CB67" s="106">
        <v>69</v>
      </c>
      <c r="CC67" s="106">
        <v>77500.800000000003</v>
      </c>
      <c r="CD67" s="106">
        <v>65</v>
      </c>
      <c r="CE67" s="106">
        <v>73008</v>
      </c>
      <c r="CF67" s="106">
        <v>24</v>
      </c>
      <c r="CG67" s="106">
        <v>26956.800000000003</v>
      </c>
      <c r="CH67" s="106">
        <v>22</v>
      </c>
      <c r="CI67" s="106">
        <v>24710.400000000001</v>
      </c>
      <c r="CJ67" s="106">
        <v>24</v>
      </c>
      <c r="CK67" s="106">
        <v>26956.800000000003</v>
      </c>
      <c r="CL67" s="106">
        <v>17</v>
      </c>
      <c r="CM67" s="106">
        <v>19094.400000000001</v>
      </c>
      <c r="CN67" s="106">
        <v>4</v>
      </c>
      <c r="CO67" s="106">
        <v>4492.8</v>
      </c>
      <c r="CP67" s="106">
        <v>3</v>
      </c>
      <c r="CQ67" s="106">
        <v>3369.6000000000004</v>
      </c>
      <c r="CR67" s="106">
        <v>3</v>
      </c>
      <c r="CS67" s="106">
        <v>3369.6000000000004</v>
      </c>
      <c r="CT67" s="106">
        <v>3</v>
      </c>
      <c r="CU67" s="106">
        <v>3369.6000000000004</v>
      </c>
    </row>
    <row r="68" spans="2:99" x14ac:dyDescent="0.2">
      <c r="C68" s="105" t="s">
        <v>234</v>
      </c>
      <c r="D68" s="106">
        <v>7</v>
      </c>
      <c r="E68" s="106">
        <v>7232.4000000000005</v>
      </c>
      <c r="F68" s="106">
        <v>5</v>
      </c>
      <c r="G68" s="106">
        <v>5166</v>
      </c>
      <c r="H68" s="106">
        <v>6</v>
      </c>
      <c r="I68" s="106">
        <v>6199.2000000000007</v>
      </c>
      <c r="J68" s="106">
        <v>6</v>
      </c>
      <c r="K68" s="106">
        <v>6199.2000000000007</v>
      </c>
      <c r="L68" s="106">
        <v>40</v>
      </c>
      <c r="M68" s="106">
        <v>41328</v>
      </c>
      <c r="N68" s="106">
        <v>25</v>
      </c>
      <c r="O68" s="106">
        <v>25830</v>
      </c>
      <c r="P68" s="106">
        <v>36</v>
      </c>
      <c r="Q68" s="106">
        <v>37195.200000000004</v>
      </c>
      <c r="R68" s="106">
        <v>29</v>
      </c>
      <c r="S68" s="106">
        <v>29962.800000000003</v>
      </c>
      <c r="T68" s="106">
        <v>4</v>
      </c>
      <c r="U68" s="106">
        <v>4132.8</v>
      </c>
      <c r="V68" s="106">
        <v>4</v>
      </c>
      <c r="W68" s="106">
        <v>4132.8</v>
      </c>
      <c r="X68" s="106">
        <v>4</v>
      </c>
      <c r="Y68" s="106">
        <v>4132.8</v>
      </c>
      <c r="Z68" s="106">
        <v>4</v>
      </c>
      <c r="AA68" s="106">
        <v>4132.8</v>
      </c>
      <c r="AB68" s="106">
        <v>7</v>
      </c>
      <c r="AC68" s="106">
        <v>7232.4000000000005</v>
      </c>
      <c r="AD68" s="106">
        <v>9</v>
      </c>
      <c r="AE68" s="106">
        <v>9298.8000000000011</v>
      </c>
      <c r="AF68" s="106">
        <v>5</v>
      </c>
      <c r="AG68" s="106">
        <v>5166</v>
      </c>
      <c r="AH68" s="106">
        <v>6</v>
      </c>
      <c r="AI68" s="106">
        <v>6199.2000000000007</v>
      </c>
      <c r="AJ68" s="106">
        <v>8</v>
      </c>
      <c r="AK68" s="106">
        <v>8265.6</v>
      </c>
      <c r="AL68" s="106">
        <v>7</v>
      </c>
      <c r="AM68" s="106">
        <v>7232.4000000000005</v>
      </c>
      <c r="AN68" s="106">
        <v>7</v>
      </c>
      <c r="AO68" s="106">
        <v>7232.4000000000005</v>
      </c>
      <c r="AP68" s="106">
        <v>8</v>
      </c>
      <c r="AQ68" s="106">
        <v>8265.6</v>
      </c>
      <c r="AR68" s="106">
        <v>4</v>
      </c>
      <c r="AS68" s="106">
        <v>4132.8</v>
      </c>
      <c r="AT68" s="106">
        <v>5</v>
      </c>
      <c r="AU68" s="106">
        <v>5166</v>
      </c>
      <c r="AV68" s="106">
        <v>3</v>
      </c>
      <c r="AW68" s="106">
        <v>3099.6000000000004</v>
      </c>
      <c r="AX68" s="106">
        <v>3</v>
      </c>
      <c r="AY68" s="106">
        <v>3099.6000000000004</v>
      </c>
      <c r="AZ68" s="106">
        <v>5</v>
      </c>
      <c r="BA68" s="106">
        <v>5166</v>
      </c>
      <c r="BB68" s="106">
        <v>5</v>
      </c>
      <c r="BC68" s="106">
        <v>5166</v>
      </c>
      <c r="BD68" s="106">
        <v>4</v>
      </c>
      <c r="BE68" s="106">
        <v>4132.8</v>
      </c>
      <c r="BF68" s="106">
        <v>7</v>
      </c>
      <c r="BG68" s="106">
        <v>7232.4000000000005</v>
      </c>
      <c r="BH68" s="106">
        <v>4</v>
      </c>
      <c r="BI68" s="106">
        <v>4132.8</v>
      </c>
      <c r="BJ68" s="106">
        <v>5</v>
      </c>
      <c r="BK68" s="106">
        <v>5166</v>
      </c>
      <c r="BL68" s="106">
        <v>5</v>
      </c>
      <c r="BM68" s="106">
        <v>5166</v>
      </c>
      <c r="BN68" s="106">
        <v>4</v>
      </c>
      <c r="BO68" s="106">
        <v>4132.8</v>
      </c>
      <c r="BP68" s="106">
        <v>2</v>
      </c>
      <c r="BQ68" s="106">
        <v>2066.4</v>
      </c>
      <c r="BR68" s="106">
        <v>2</v>
      </c>
      <c r="BS68" s="106">
        <v>2066.4</v>
      </c>
      <c r="BT68" s="106">
        <v>3</v>
      </c>
      <c r="BU68" s="106">
        <v>3099.6000000000004</v>
      </c>
      <c r="BV68" s="106">
        <v>4</v>
      </c>
      <c r="BW68" s="106">
        <v>4132.8</v>
      </c>
      <c r="BX68" s="106">
        <v>41</v>
      </c>
      <c r="BY68" s="106">
        <v>42361.200000000004</v>
      </c>
      <c r="BZ68" s="106">
        <v>51</v>
      </c>
      <c r="CA68" s="106">
        <v>52693.200000000004</v>
      </c>
      <c r="CB68" s="106">
        <v>80</v>
      </c>
      <c r="CC68" s="106">
        <v>82656</v>
      </c>
      <c r="CD68" s="106">
        <v>69</v>
      </c>
      <c r="CE68" s="106">
        <v>71290.8</v>
      </c>
      <c r="CF68" s="106">
        <v>25</v>
      </c>
      <c r="CG68" s="106">
        <v>25830</v>
      </c>
      <c r="CH68" s="106">
        <v>20</v>
      </c>
      <c r="CI68" s="106">
        <v>20664</v>
      </c>
      <c r="CJ68" s="106">
        <v>22</v>
      </c>
      <c r="CK68" s="106">
        <v>22730.400000000001</v>
      </c>
      <c r="CL68" s="106">
        <v>18</v>
      </c>
      <c r="CM68" s="106">
        <v>18597.600000000002</v>
      </c>
      <c r="CN68" s="106">
        <v>4</v>
      </c>
      <c r="CO68" s="106">
        <v>4132.8</v>
      </c>
      <c r="CP68" s="106">
        <v>4</v>
      </c>
      <c r="CQ68" s="106">
        <v>4132.8</v>
      </c>
      <c r="CR68" s="106">
        <v>3</v>
      </c>
      <c r="CS68" s="106">
        <v>3099.6000000000004</v>
      </c>
      <c r="CT68" s="106">
        <v>3</v>
      </c>
      <c r="CU68" s="106">
        <v>3099.6000000000004</v>
      </c>
    </row>
    <row r="69" spans="2:99" x14ac:dyDescent="0.2">
      <c r="C69" s="105" t="s">
        <v>235</v>
      </c>
      <c r="D69" s="106">
        <v>7</v>
      </c>
      <c r="E69" s="106">
        <v>5308.8</v>
      </c>
      <c r="F69" s="106">
        <v>5</v>
      </c>
      <c r="G69" s="106">
        <v>3792</v>
      </c>
      <c r="H69" s="106">
        <v>7</v>
      </c>
      <c r="I69" s="106">
        <v>5308.8</v>
      </c>
      <c r="J69" s="106">
        <v>7</v>
      </c>
      <c r="K69" s="106">
        <v>5308.8</v>
      </c>
      <c r="L69" s="106">
        <v>37</v>
      </c>
      <c r="M69" s="106">
        <v>28060.799999999999</v>
      </c>
      <c r="N69" s="106">
        <v>26</v>
      </c>
      <c r="O69" s="106">
        <v>19718.399999999998</v>
      </c>
      <c r="P69" s="106">
        <v>35</v>
      </c>
      <c r="Q69" s="106">
        <v>26544</v>
      </c>
      <c r="R69" s="106">
        <v>29</v>
      </c>
      <c r="S69" s="106">
        <v>21993.599999999999</v>
      </c>
      <c r="T69" s="106">
        <v>4</v>
      </c>
      <c r="U69" s="106">
        <v>3033.6</v>
      </c>
      <c r="V69" s="106">
        <v>5</v>
      </c>
      <c r="W69" s="106">
        <v>3792</v>
      </c>
      <c r="X69" s="106">
        <v>4</v>
      </c>
      <c r="Y69" s="106">
        <v>3033.6</v>
      </c>
      <c r="Z69" s="106">
        <v>3</v>
      </c>
      <c r="AA69" s="106">
        <v>2275.1999999999998</v>
      </c>
      <c r="AB69" s="106">
        <v>8</v>
      </c>
      <c r="AC69" s="106">
        <v>6067.2</v>
      </c>
      <c r="AD69" s="106">
        <v>11</v>
      </c>
      <c r="AE69" s="106">
        <v>8342.4</v>
      </c>
      <c r="AF69" s="106">
        <v>6</v>
      </c>
      <c r="AG69" s="106">
        <v>4550.3999999999996</v>
      </c>
      <c r="AH69" s="106">
        <v>6</v>
      </c>
      <c r="AI69" s="106">
        <v>4550.3999999999996</v>
      </c>
      <c r="AJ69" s="106">
        <v>8</v>
      </c>
      <c r="AK69" s="106">
        <v>6067.2</v>
      </c>
      <c r="AL69" s="106">
        <v>6</v>
      </c>
      <c r="AM69" s="106">
        <v>4550.3999999999996</v>
      </c>
      <c r="AN69" s="106">
        <v>7</v>
      </c>
      <c r="AO69" s="106">
        <v>5308.8</v>
      </c>
      <c r="AP69" s="106">
        <v>8</v>
      </c>
      <c r="AQ69" s="106">
        <v>6067.2</v>
      </c>
      <c r="AR69" s="106">
        <v>4</v>
      </c>
      <c r="AS69" s="106">
        <v>3033.6</v>
      </c>
      <c r="AT69" s="106">
        <v>5</v>
      </c>
      <c r="AU69" s="106">
        <v>3792</v>
      </c>
      <c r="AV69" s="106">
        <v>3</v>
      </c>
      <c r="AW69" s="106">
        <v>2275.1999999999998</v>
      </c>
      <c r="AX69" s="106">
        <v>3</v>
      </c>
      <c r="AY69" s="106">
        <v>2275.1999999999998</v>
      </c>
      <c r="AZ69" s="106">
        <v>5</v>
      </c>
      <c r="BA69" s="106">
        <v>3792</v>
      </c>
      <c r="BB69" s="106">
        <v>5</v>
      </c>
      <c r="BC69" s="106">
        <v>3792</v>
      </c>
      <c r="BD69" s="106">
        <v>5</v>
      </c>
      <c r="BE69" s="106">
        <v>3792</v>
      </c>
      <c r="BF69" s="106">
        <v>7</v>
      </c>
      <c r="BG69" s="106">
        <v>5308.8</v>
      </c>
      <c r="BH69" s="106">
        <v>4</v>
      </c>
      <c r="BI69" s="106">
        <v>3033.6</v>
      </c>
      <c r="BJ69" s="106">
        <v>5</v>
      </c>
      <c r="BK69" s="106">
        <v>3792</v>
      </c>
      <c r="BL69" s="106">
        <v>5</v>
      </c>
      <c r="BM69" s="106">
        <v>3792</v>
      </c>
      <c r="BN69" s="106">
        <v>4</v>
      </c>
      <c r="BO69" s="106">
        <v>3033.6</v>
      </c>
      <c r="BP69" s="106">
        <v>2</v>
      </c>
      <c r="BQ69" s="106">
        <v>1516.8</v>
      </c>
      <c r="BR69" s="106">
        <v>2</v>
      </c>
      <c r="BS69" s="106">
        <v>1516.8</v>
      </c>
      <c r="BT69" s="106">
        <v>3</v>
      </c>
      <c r="BU69" s="106">
        <v>2275.1999999999998</v>
      </c>
      <c r="BV69" s="106">
        <v>4</v>
      </c>
      <c r="BW69" s="106">
        <v>3033.6</v>
      </c>
      <c r="BX69" s="106">
        <v>41</v>
      </c>
      <c r="BY69" s="106">
        <v>31094.399999999998</v>
      </c>
      <c r="BZ69" s="106">
        <v>54</v>
      </c>
      <c r="CA69" s="106">
        <v>40953.599999999999</v>
      </c>
      <c r="CB69" s="106">
        <v>78</v>
      </c>
      <c r="CC69" s="106">
        <v>59155.199999999997</v>
      </c>
      <c r="CD69" s="106">
        <v>68</v>
      </c>
      <c r="CE69" s="106">
        <v>51571.199999999997</v>
      </c>
      <c r="CF69" s="106">
        <v>25</v>
      </c>
      <c r="CG69" s="106">
        <v>18960</v>
      </c>
      <c r="CH69" s="106">
        <v>20</v>
      </c>
      <c r="CI69" s="106">
        <v>15168</v>
      </c>
      <c r="CJ69" s="106">
        <v>22</v>
      </c>
      <c r="CK69" s="106">
        <v>16684.8</v>
      </c>
      <c r="CL69" s="106">
        <v>18</v>
      </c>
      <c r="CM69" s="106">
        <v>13651.199999999999</v>
      </c>
      <c r="CN69" s="106">
        <v>4</v>
      </c>
      <c r="CO69" s="106">
        <v>3033.6</v>
      </c>
      <c r="CP69" s="106">
        <v>4</v>
      </c>
      <c r="CQ69" s="106">
        <v>3033.6</v>
      </c>
      <c r="CR69" s="106">
        <v>3</v>
      </c>
      <c r="CS69" s="106">
        <v>2275.1999999999998</v>
      </c>
      <c r="CT69" s="106">
        <v>3</v>
      </c>
      <c r="CU69" s="106">
        <v>2275.1999999999998</v>
      </c>
    </row>
    <row r="70" spans="2:99" x14ac:dyDescent="0.2">
      <c r="C70" s="105" t="s">
        <v>236</v>
      </c>
      <c r="D70" s="106">
        <v>7</v>
      </c>
      <c r="E70" s="106">
        <v>3746.3999999999996</v>
      </c>
      <c r="F70" s="106">
        <v>5</v>
      </c>
      <c r="G70" s="106">
        <v>2675.9999999999995</v>
      </c>
      <c r="H70" s="106">
        <v>8</v>
      </c>
      <c r="I70" s="106">
        <v>4281.5999999999995</v>
      </c>
      <c r="J70" s="106">
        <v>7</v>
      </c>
      <c r="K70" s="106">
        <v>3746.3999999999996</v>
      </c>
      <c r="L70" s="106">
        <v>41</v>
      </c>
      <c r="M70" s="106">
        <v>21943.199999999997</v>
      </c>
      <c r="N70" s="106">
        <v>25</v>
      </c>
      <c r="O70" s="106">
        <v>13379.999999999998</v>
      </c>
      <c r="P70" s="106">
        <v>42</v>
      </c>
      <c r="Q70" s="106">
        <v>22478.399999999998</v>
      </c>
      <c r="R70" s="106">
        <v>27</v>
      </c>
      <c r="S70" s="106">
        <v>14450.399999999998</v>
      </c>
      <c r="T70" s="106">
        <v>5</v>
      </c>
      <c r="U70" s="106">
        <v>2675.9999999999995</v>
      </c>
      <c r="V70" s="106">
        <v>4</v>
      </c>
      <c r="W70" s="106">
        <v>2140.7999999999997</v>
      </c>
      <c r="X70" s="106">
        <v>4</v>
      </c>
      <c r="Y70" s="106">
        <v>2140.7999999999997</v>
      </c>
      <c r="Z70" s="106">
        <v>3</v>
      </c>
      <c r="AA70" s="106">
        <v>1605.6</v>
      </c>
      <c r="AB70" s="106">
        <v>8</v>
      </c>
      <c r="AC70" s="106">
        <v>4281.5999999999995</v>
      </c>
      <c r="AD70" s="106">
        <v>10</v>
      </c>
      <c r="AE70" s="106">
        <v>5351.9999999999991</v>
      </c>
      <c r="AF70" s="106">
        <v>6</v>
      </c>
      <c r="AG70" s="106">
        <v>3211.2</v>
      </c>
      <c r="AH70" s="106">
        <v>6</v>
      </c>
      <c r="AI70" s="106">
        <v>3211.2</v>
      </c>
      <c r="AJ70" s="106">
        <v>9</v>
      </c>
      <c r="AK70" s="106">
        <v>4816.7999999999993</v>
      </c>
      <c r="AL70" s="106">
        <v>7</v>
      </c>
      <c r="AM70" s="106">
        <v>3746.3999999999996</v>
      </c>
      <c r="AN70" s="106">
        <v>7</v>
      </c>
      <c r="AO70" s="106">
        <v>3746.3999999999996</v>
      </c>
      <c r="AP70" s="106">
        <v>8</v>
      </c>
      <c r="AQ70" s="106">
        <v>4281.5999999999995</v>
      </c>
      <c r="AR70" s="106">
        <v>5</v>
      </c>
      <c r="AS70" s="106">
        <v>2675.9999999999995</v>
      </c>
      <c r="AT70" s="106">
        <v>4</v>
      </c>
      <c r="AU70" s="106">
        <v>2140.7999999999997</v>
      </c>
      <c r="AV70" s="106">
        <v>3</v>
      </c>
      <c r="AW70" s="106">
        <v>1605.6</v>
      </c>
      <c r="AX70" s="106">
        <v>3</v>
      </c>
      <c r="AY70" s="106">
        <v>1605.6</v>
      </c>
      <c r="AZ70" s="106">
        <v>5</v>
      </c>
      <c r="BA70" s="106">
        <v>2675.9999999999995</v>
      </c>
      <c r="BB70" s="106">
        <v>6</v>
      </c>
      <c r="BC70" s="106">
        <v>3211.2</v>
      </c>
      <c r="BD70" s="106">
        <v>5</v>
      </c>
      <c r="BE70" s="106">
        <v>2675.9999999999995</v>
      </c>
      <c r="BF70" s="106">
        <v>6</v>
      </c>
      <c r="BG70" s="106">
        <v>3211.2</v>
      </c>
      <c r="BH70" s="106">
        <v>5</v>
      </c>
      <c r="BI70" s="106">
        <v>2675.9999999999995</v>
      </c>
      <c r="BJ70" s="106">
        <v>5</v>
      </c>
      <c r="BK70" s="106">
        <v>2675.9999999999995</v>
      </c>
      <c r="BL70" s="106">
        <v>6</v>
      </c>
      <c r="BM70" s="106">
        <v>3211.2</v>
      </c>
      <c r="BN70" s="106">
        <v>4</v>
      </c>
      <c r="BO70" s="106">
        <v>2140.7999999999997</v>
      </c>
      <c r="BP70" s="106">
        <v>2</v>
      </c>
      <c r="BQ70" s="106">
        <v>1070.3999999999999</v>
      </c>
      <c r="BR70" s="106">
        <v>2</v>
      </c>
      <c r="BS70" s="106">
        <v>1070.3999999999999</v>
      </c>
      <c r="BT70" s="106">
        <v>4</v>
      </c>
      <c r="BU70" s="106">
        <v>2140.7999999999997</v>
      </c>
      <c r="BV70" s="106">
        <v>4</v>
      </c>
      <c r="BW70" s="106">
        <v>2140.7999999999997</v>
      </c>
      <c r="BX70" s="106">
        <v>43</v>
      </c>
      <c r="BY70" s="106">
        <v>23013.599999999999</v>
      </c>
      <c r="BZ70" s="106">
        <v>57</v>
      </c>
      <c r="CA70" s="106">
        <v>30506.399999999998</v>
      </c>
      <c r="CB70" s="106">
        <v>82</v>
      </c>
      <c r="CC70" s="106">
        <v>43886.399999999994</v>
      </c>
      <c r="CD70" s="106">
        <v>86</v>
      </c>
      <c r="CE70" s="106">
        <v>46027.199999999997</v>
      </c>
      <c r="CF70" s="106">
        <v>29</v>
      </c>
      <c r="CG70" s="106">
        <v>15520.799999999997</v>
      </c>
      <c r="CH70" s="106">
        <v>23</v>
      </c>
      <c r="CI70" s="106">
        <v>12309.599999999999</v>
      </c>
      <c r="CJ70" s="106">
        <v>25</v>
      </c>
      <c r="CK70" s="106">
        <v>13379.999999999998</v>
      </c>
      <c r="CL70" s="106">
        <v>17</v>
      </c>
      <c r="CM70" s="106">
        <v>9098.4</v>
      </c>
      <c r="CN70" s="106">
        <v>4</v>
      </c>
      <c r="CO70" s="106">
        <v>2140.7999999999997</v>
      </c>
      <c r="CP70" s="106">
        <v>4</v>
      </c>
      <c r="CQ70" s="106">
        <v>2140.7999999999997</v>
      </c>
      <c r="CR70" s="106">
        <v>3</v>
      </c>
      <c r="CS70" s="106">
        <v>1605.6</v>
      </c>
      <c r="CT70" s="106">
        <v>2</v>
      </c>
      <c r="CU70" s="106">
        <v>1070.3999999999999</v>
      </c>
    </row>
    <row r="71" spans="2:99" x14ac:dyDescent="0.2">
      <c r="B71" s="105" t="s">
        <v>130</v>
      </c>
      <c r="C71" s="105" t="s">
        <v>237</v>
      </c>
      <c r="D71" s="106">
        <v>19</v>
      </c>
      <c r="E71" s="106">
        <v>10716</v>
      </c>
      <c r="F71" s="106">
        <v>15.365828778529707</v>
      </c>
      <c r="G71" s="106">
        <v>8666.3274310907545</v>
      </c>
      <c r="H71" s="106">
        <v>14.395258272632674</v>
      </c>
      <c r="I71" s="106">
        <v>8118.9256657648284</v>
      </c>
      <c r="J71" s="106">
        <v>16.079362525793471</v>
      </c>
      <c r="K71" s="106">
        <v>9068.7604645475167</v>
      </c>
      <c r="L71" s="106">
        <v>18.079284536717616</v>
      </c>
      <c r="M71" s="106">
        <v>10196.716478708735</v>
      </c>
      <c r="N71" s="106">
        <v>21.090858834342562</v>
      </c>
      <c r="O71" s="106">
        <v>11895.244382569204</v>
      </c>
      <c r="P71" s="106">
        <v>21</v>
      </c>
      <c r="Q71" s="106">
        <v>11844</v>
      </c>
      <c r="R71" s="106">
        <v>19.172334993209596</v>
      </c>
      <c r="S71" s="106">
        <v>10813.196936170212</v>
      </c>
      <c r="T71" s="106">
        <v>4.0511115702479339</v>
      </c>
      <c r="U71" s="106">
        <v>2284.8269256198346</v>
      </c>
      <c r="V71" s="106">
        <v>5.0443952101371847</v>
      </c>
      <c r="W71" s="106">
        <v>2845.0388985173722</v>
      </c>
      <c r="X71" s="106">
        <v>5.1194410649615207</v>
      </c>
      <c r="Y71" s="106">
        <v>2887.3647606382979</v>
      </c>
      <c r="Z71" s="106">
        <v>5.0405975229554345</v>
      </c>
      <c r="AA71" s="106">
        <v>2842.8970029468651</v>
      </c>
      <c r="AB71" s="106">
        <v>9.1233538222524491</v>
      </c>
      <c r="AC71" s="106">
        <v>5145.5715557503809</v>
      </c>
      <c r="AD71" s="106">
        <v>9</v>
      </c>
      <c r="AE71" s="106">
        <v>5076</v>
      </c>
      <c r="AF71" s="106">
        <v>11.12277318640955</v>
      </c>
      <c r="AG71" s="106">
        <v>6273.2440771349857</v>
      </c>
      <c r="AH71" s="106">
        <v>8.1616388844713672</v>
      </c>
      <c r="AI71" s="106">
        <v>4603.1643308418516</v>
      </c>
      <c r="AJ71" s="106">
        <v>4.0424105048208778</v>
      </c>
      <c r="AK71" s="106">
        <v>2279.919524718975</v>
      </c>
      <c r="AL71" s="106">
        <v>6.0475277461022063</v>
      </c>
      <c r="AM71" s="106">
        <v>3410.8056488016446</v>
      </c>
      <c r="AN71" s="106">
        <v>4</v>
      </c>
      <c r="AO71" s="106">
        <v>2256</v>
      </c>
      <c r="AP71" s="106">
        <v>5.0675417209843863</v>
      </c>
      <c r="AQ71" s="106">
        <v>2858.0935306351939</v>
      </c>
      <c r="AR71" s="106">
        <v>47.187103182941634</v>
      </c>
      <c r="AS71" s="106">
        <v>26613.526195179082</v>
      </c>
      <c r="AT71" s="106">
        <v>35.155348652091604</v>
      </c>
      <c r="AU71" s="106">
        <v>19827.616639779666</v>
      </c>
      <c r="AV71" s="106">
        <v>45.142755502482956</v>
      </c>
      <c r="AW71" s="106">
        <v>25460.514103400386</v>
      </c>
      <c r="AX71" s="106">
        <v>28.169887645140353</v>
      </c>
      <c r="AY71" s="106">
        <v>15887.816631859159</v>
      </c>
      <c r="AZ71" s="106">
        <v>66.053953338999619</v>
      </c>
      <c r="BA71" s="106">
        <v>37254.429683195784</v>
      </c>
      <c r="BB71" s="106">
        <v>76.076517164417041</v>
      </c>
      <c r="BC71" s="106">
        <v>42907.155680731208</v>
      </c>
      <c r="BD71" s="106">
        <v>38</v>
      </c>
      <c r="BE71" s="106">
        <v>21432</v>
      </c>
      <c r="BF71" s="106">
        <v>57.070932632764119</v>
      </c>
      <c r="BG71" s="106">
        <v>32188.006004878964</v>
      </c>
      <c r="BH71" s="106">
        <v>6.1707611395178965</v>
      </c>
      <c r="BI71" s="106">
        <v>3480.3092826880938</v>
      </c>
      <c r="BJ71" s="106">
        <v>6.2735434319791601</v>
      </c>
      <c r="BK71" s="106">
        <v>3538.2784956362461</v>
      </c>
      <c r="BL71" s="106">
        <v>4</v>
      </c>
      <c r="BM71" s="106">
        <v>2256</v>
      </c>
      <c r="BN71" s="106">
        <v>4.1569107673787498</v>
      </c>
      <c r="BO71" s="106">
        <v>2344.497672801615</v>
      </c>
      <c r="BP71" s="106">
        <v>4.0581626693743216</v>
      </c>
      <c r="BQ71" s="106">
        <v>2288.8037455271174</v>
      </c>
      <c r="BR71" s="106">
        <v>4.034164790089946</v>
      </c>
      <c r="BS71" s="106">
        <v>2275.2689416107296</v>
      </c>
      <c r="BT71" s="106">
        <v>4.0717890969052259</v>
      </c>
      <c r="BU71" s="106">
        <v>2296.4890506545476</v>
      </c>
      <c r="BV71" s="106">
        <v>4.0353875594530324</v>
      </c>
      <c r="BW71" s="106">
        <v>2275.9585835315102</v>
      </c>
      <c r="BX71" s="106">
        <v>3</v>
      </c>
      <c r="BY71" s="106">
        <v>1692</v>
      </c>
      <c r="BZ71" s="106">
        <v>5.0746579964328182</v>
      </c>
      <c r="CA71" s="106">
        <v>2862.1071099881096</v>
      </c>
      <c r="CB71" s="106">
        <v>4.060957023210598</v>
      </c>
      <c r="CC71" s="106">
        <v>2290.3797610907773</v>
      </c>
      <c r="CD71" s="106">
        <v>7.1229341339838621</v>
      </c>
      <c r="CE71" s="106">
        <v>4017.3348515668981</v>
      </c>
      <c r="CF71" s="106">
        <v>21</v>
      </c>
      <c r="CG71" s="106">
        <v>11844</v>
      </c>
      <c r="CH71" s="106">
        <v>35</v>
      </c>
      <c r="CI71" s="106">
        <v>19740</v>
      </c>
      <c r="CJ71" s="106">
        <v>26.181841563786008</v>
      </c>
      <c r="CK71" s="106">
        <v>14766.558641975309</v>
      </c>
      <c r="CL71" s="106">
        <v>19.170946356140661</v>
      </c>
      <c r="CM71" s="106">
        <v>10812.413744863332</v>
      </c>
      <c r="CN71" s="106">
        <v>5.0595183133271773</v>
      </c>
      <c r="CO71" s="106">
        <v>2853.568328716528</v>
      </c>
      <c r="CP71" s="106">
        <v>4.0619490358126722</v>
      </c>
      <c r="CQ71" s="106">
        <v>2290.9392561983473</v>
      </c>
      <c r="CR71" s="106">
        <v>4</v>
      </c>
      <c r="CS71" s="106">
        <v>2256</v>
      </c>
      <c r="CT71" s="106">
        <v>5.1116058603849472</v>
      </c>
      <c r="CU71" s="106">
        <v>2882.9457052571101</v>
      </c>
    </row>
    <row r="72" spans="2:99" x14ac:dyDescent="0.2">
      <c r="C72" s="105" t="s">
        <v>238</v>
      </c>
      <c r="D72" s="106">
        <v>23</v>
      </c>
      <c r="E72" s="106">
        <v>1711.1999999999998</v>
      </c>
      <c r="F72" s="106">
        <v>18.33969815149187</v>
      </c>
      <c r="G72" s="106">
        <v>1364.473542470995</v>
      </c>
      <c r="H72" s="106">
        <v>15.368907721123829</v>
      </c>
      <c r="I72" s="106">
        <v>1143.4467344516127</v>
      </c>
      <c r="J72" s="106">
        <v>20.091266904662493</v>
      </c>
      <c r="K72" s="106">
        <v>1494.7902577068894</v>
      </c>
      <c r="L72" s="106">
        <v>19.091970062592434</v>
      </c>
      <c r="M72" s="106">
        <v>1420.442572656877</v>
      </c>
      <c r="N72" s="106">
        <v>22.087073049578287</v>
      </c>
      <c r="O72" s="106">
        <v>1643.2782348886244</v>
      </c>
      <c r="P72" s="106">
        <v>25</v>
      </c>
      <c r="Q72" s="106">
        <v>1859.9999999999998</v>
      </c>
      <c r="R72" s="106">
        <v>21.158548193752829</v>
      </c>
      <c r="S72" s="106">
        <v>1574.1959856152102</v>
      </c>
      <c r="T72" s="106">
        <v>5.0511115702479339</v>
      </c>
      <c r="U72" s="106">
        <v>375.80270082644626</v>
      </c>
      <c r="V72" s="106">
        <v>6.0470066930864315</v>
      </c>
      <c r="W72" s="106">
        <v>449.89729796563046</v>
      </c>
      <c r="X72" s="106">
        <v>5.1140119256450882</v>
      </c>
      <c r="Y72" s="106">
        <v>380.48248726799454</v>
      </c>
      <c r="Z72" s="106">
        <v>6.0405975229554345</v>
      </c>
      <c r="AA72" s="106">
        <v>449.42045570788429</v>
      </c>
      <c r="AB72" s="106">
        <v>9.1160977150611284</v>
      </c>
      <c r="AC72" s="106">
        <v>678.23767000054784</v>
      </c>
      <c r="AD72" s="106">
        <v>10</v>
      </c>
      <c r="AE72" s="106">
        <v>743.99999999999989</v>
      </c>
      <c r="AF72" s="106">
        <v>13.115952453831241</v>
      </c>
      <c r="AG72" s="106">
        <v>975.82686256504428</v>
      </c>
      <c r="AH72" s="106">
        <v>10.161638884471367</v>
      </c>
      <c r="AI72" s="106">
        <v>756.02593300466958</v>
      </c>
      <c r="AJ72" s="106">
        <v>5.038876296085804</v>
      </c>
      <c r="AK72" s="106">
        <v>374.8923964287838</v>
      </c>
      <c r="AL72" s="106">
        <v>7.0514883916107234</v>
      </c>
      <c r="AM72" s="106">
        <v>524.63073633583781</v>
      </c>
      <c r="AN72" s="106">
        <v>4</v>
      </c>
      <c r="AO72" s="106">
        <v>297.59999999999997</v>
      </c>
      <c r="AP72" s="106">
        <v>5.0759844361074347</v>
      </c>
      <c r="AQ72" s="106">
        <v>377.65324204639307</v>
      </c>
      <c r="AR72" s="106">
        <v>47.209333264083213</v>
      </c>
      <c r="AS72" s="106">
        <v>3512.3743948477904</v>
      </c>
      <c r="AT72" s="106">
        <v>37.167677910194108</v>
      </c>
      <c r="AU72" s="106">
        <v>2765.2752365184415</v>
      </c>
      <c r="AV72" s="106">
        <v>51.166548086230115</v>
      </c>
      <c r="AW72" s="106">
        <v>3806.7911776155202</v>
      </c>
      <c r="AX72" s="106">
        <v>32.188533850094778</v>
      </c>
      <c r="AY72" s="106">
        <v>2394.8269184470514</v>
      </c>
      <c r="AZ72" s="106">
        <v>69.053953338999619</v>
      </c>
      <c r="BA72" s="106">
        <v>5137.614128421571</v>
      </c>
      <c r="BB72" s="106">
        <v>78.076517164417041</v>
      </c>
      <c r="BC72" s="106">
        <v>5808.8928770326274</v>
      </c>
      <c r="BD72" s="106">
        <v>40</v>
      </c>
      <c r="BE72" s="106">
        <v>2975.9999999999995</v>
      </c>
      <c r="BF72" s="106">
        <v>67.07881403640458</v>
      </c>
      <c r="BG72" s="106">
        <v>4990.6637643085005</v>
      </c>
      <c r="BH72" s="106">
        <v>7.1670489408327249</v>
      </c>
      <c r="BI72" s="106">
        <v>533.22844119795468</v>
      </c>
      <c r="BJ72" s="106">
        <v>7.2735434319791601</v>
      </c>
      <c r="BK72" s="106">
        <v>541.15163133924943</v>
      </c>
      <c r="BL72" s="106">
        <v>5</v>
      </c>
      <c r="BM72" s="106">
        <v>371.99999999999994</v>
      </c>
      <c r="BN72" s="106">
        <v>4.1757400594641991</v>
      </c>
      <c r="BO72" s="106">
        <v>310.6750604241364</v>
      </c>
      <c r="BP72" s="106">
        <v>5.0581626693743216</v>
      </c>
      <c r="BQ72" s="106">
        <v>376.3273026014495</v>
      </c>
      <c r="BR72" s="106">
        <v>4.0427059876124325</v>
      </c>
      <c r="BS72" s="106">
        <v>300.77732547836496</v>
      </c>
      <c r="BT72" s="106">
        <v>4.0807627340183794</v>
      </c>
      <c r="BU72" s="106">
        <v>303.6087474109674</v>
      </c>
      <c r="BV72" s="106">
        <v>5.0398110043846609</v>
      </c>
      <c r="BW72" s="106">
        <v>374.9619387262187</v>
      </c>
      <c r="BX72" s="106">
        <v>3</v>
      </c>
      <c r="BY72" s="106">
        <v>223.2</v>
      </c>
      <c r="BZ72" s="106">
        <v>6.0817682818073724</v>
      </c>
      <c r="CA72" s="106">
        <v>452.48356016646846</v>
      </c>
      <c r="CB72" s="106">
        <v>5.060957023210598</v>
      </c>
      <c r="CC72" s="106">
        <v>376.53520252686843</v>
      </c>
      <c r="CD72" s="106">
        <v>6.1341099643460311</v>
      </c>
      <c r="CE72" s="106">
        <v>456.37778134734464</v>
      </c>
      <c r="CF72" s="106">
        <v>25</v>
      </c>
      <c r="CG72" s="106">
        <v>1859.9999999999998</v>
      </c>
      <c r="CH72" s="106">
        <v>35</v>
      </c>
      <c r="CI72" s="106">
        <v>2603.9999999999995</v>
      </c>
      <c r="CJ72" s="106">
        <v>27.157596021947874</v>
      </c>
      <c r="CK72" s="106">
        <v>2020.5251440329216</v>
      </c>
      <c r="CL72" s="106">
        <v>21.18315681015071</v>
      </c>
      <c r="CM72" s="106">
        <v>1576.0268666752127</v>
      </c>
      <c r="CN72" s="106">
        <v>5.0714219759926129</v>
      </c>
      <c r="CO72" s="106">
        <v>377.31379501385038</v>
      </c>
      <c r="CP72" s="106">
        <v>4.0671114554637278</v>
      </c>
      <c r="CQ72" s="106">
        <v>302.5930922865013</v>
      </c>
      <c r="CR72" s="106">
        <v>5</v>
      </c>
      <c r="CS72" s="106">
        <v>371.99999999999994</v>
      </c>
      <c r="CT72" s="106">
        <v>5.1339270324619362</v>
      </c>
      <c r="CU72" s="106">
        <v>381.96417121516799</v>
      </c>
    </row>
    <row r="73" spans="2:99" x14ac:dyDescent="0.2">
      <c r="C73" s="105" t="s">
        <v>239</v>
      </c>
      <c r="D73" s="106">
        <v>20</v>
      </c>
      <c r="E73" s="106">
        <v>11183.999999999998</v>
      </c>
      <c r="F73" s="106">
        <v>16.313567524454037</v>
      </c>
      <c r="G73" s="106">
        <v>9122.5469596746952</v>
      </c>
      <c r="H73" s="106">
        <v>13.368907721123829</v>
      </c>
      <c r="I73" s="106">
        <v>7475.8931976524445</v>
      </c>
      <c r="J73" s="106">
        <v>17.079362525793471</v>
      </c>
      <c r="K73" s="106">
        <v>9550.7795244237077</v>
      </c>
      <c r="L73" s="106">
        <v>16.091970062592434</v>
      </c>
      <c r="M73" s="106">
        <v>8998.6296590016882</v>
      </c>
      <c r="N73" s="106">
        <v>22.090858834342562</v>
      </c>
      <c r="O73" s="106">
        <v>12353.20826016436</v>
      </c>
      <c r="P73" s="106">
        <v>21</v>
      </c>
      <c r="Q73" s="106">
        <v>11743.199999999999</v>
      </c>
      <c r="R73" s="106">
        <v>20.165441593481212</v>
      </c>
      <c r="S73" s="106">
        <v>11276.514939074692</v>
      </c>
      <c r="T73" s="106">
        <v>4.0511115702479339</v>
      </c>
      <c r="U73" s="106">
        <v>2265.3815900826444</v>
      </c>
      <c r="V73" s="106">
        <v>5.0443952101371847</v>
      </c>
      <c r="W73" s="106">
        <v>2820.8258015087135</v>
      </c>
      <c r="X73" s="106">
        <v>4.1140119256450882</v>
      </c>
      <c r="Y73" s="106">
        <v>2300.555468820733</v>
      </c>
      <c r="Z73" s="106">
        <v>5.0355228325860049</v>
      </c>
      <c r="AA73" s="106">
        <v>2815.8643679820934</v>
      </c>
      <c r="AB73" s="106">
        <v>8.1160977150611284</v>
      </c>
      <c r="AC73" s="106">
        <v>4538.5218422621829</v>
      </c>
      <c r="AD73" s="106">
        <v>9</v>
      </c>
      <c r="AE73" s="106">
        <v>5032.7999999999993</v>
      </c>
      <c r="AF73" s="106">
        <v>11.115952453831241</v>
      </c>
      <c r="AG73" s="106">
        <v>6216.040612182429</v>
      </c>
      <c r="AH73" s="106">
        <v>8.1616388844713672</v>
      </c>
      <c r="AI73" s="106">
        <v>4563.9884641963881</v>
      </c>
      <c r="AJ73" s="106">
        <v>4.038876296085804</v>
      </c>
      <c r="AK73" s="106">
        <v>2258.5396247711815</v>
      </c>
      <c r="AL73" s="106">
        <v>6.0475277461022063</v>
      </c>
      <c r="AM73" s="106">
        <v>3381.7775156203534</v>
      </c>
      <c r="AN73" s="106">
        <v>4</v>
      </c>
      <c r="AO73" s="106">
        <v>2236.7999999999997</v>
      </c>
      <c r="AP73" s="106">
        <v>5.0675417209843863</v>
      </c>
      <c r="AQ73" s="106">
        <v>2833.7693303744686</v>
      </c>
      <c r="AR73" s="106">
        <v>47.190808196465234</v>
      </c>
      <c r="AS73" s="106">
        <v>26389.099943463356</v>
      </c>
      <c r="AT73" s="106">
        <v>38.140553542368593</v>
      </c>
      <c r="AU73" s="106">
        <v>21328.197540892514</v>
      </c>
      <c r="AV73" s="106">
        <v>45.135617727358806</v>
      </c>
      <c r="AW73" s="106">
        <v>25239.837433139041</v>
      </c>
      <c r="AX73" s="106">
        <v>26.176103046791827</v>
      </c>
      <c r="AY73" s="106">
        <v>14637.676823765987</v>
      </c>
      <c r="AZ73" s="106">
        <v>62.053953338999612</v>
      </c>
      <c r="BA73" s="106">
        <v>34700.570707168576</v>
      </c>
      <c r="BB73" s="106">
        <v>77.06956105856095</v>
      </c>
      <c r="BC73" s="106">
        <v>43097.298543947276</v>
      </c>
      <c r="BD73" s="106">
        <v>38</v>
      </c>
      <c r="BE73" s="106">
        <v>21249.599999999999</v>
      </c>
      <c r="BF73" s="106">
        <v>60.070932632764119</v>
      </c>
      <c r="BG73" s="106">
        <v>33591.66552824169</v>
      </c>
      <c r="BH73" s="106">
        <v>7.1522001460920377</v>
      </c>
      <c r="BI73" s="106">
        <v>3999.5103216946668</v>
      </c>
      <c r="BJ73" s="106">
        <v>6.242281325467256</v>
      </c>
      <c r="BK73" s="106">
        <v>3490.6837172012893</v>
      </c>
      <c r="BL73" s="106">
        <v>4</v>
      </c>
      <c r="BM73" s="106">
        <v>2236.7999999999997</v>
      </c>
      <c r="BN73" s="106">
        <v>4.1694636287690496</v>
      </c>
      <c r="BO73" s="106">
        <v>2331.5640612076522</v>
      </c>
      <c r="BP73" s="106">
        <v>5.0581626693743216</v>
      </c>
      <c r="BQ73" s="106">
        <v>2828.5245647141201</v>
      </c>
      <c r="BR73" s="106">
        <v>4.0384353888511892</v>
      </c>
      <c r="BS73" s="106">
        <v>2258.2930694455849</v>
      </c>
      <c r="BT73" s="106">
        <v>4.0717890969052259</v>
      </c>
      <c r="BU73" s="106">
        <v>2276.9444629894019</v>
      </c>
      <c r="BV73" s="106">
        <v>4.0353875594530324</v>
      </c>
      <c r="BW73" s="106">
        <v>2256.5887232461355</v>
      </c>
      <c r="BX73" s="106">
        <v>3</v>
      </c>
      <c r="BY73" s="106">
        <v>1677.6</v>
      </c>
      <c r="BZ73" s="106">
        <v>6.0782131391200949</v>
      </c>
      <c r="CA73" s="106">
        <v>3398.9367873959568</v>
      </c>
      <c r="CB73" s="106">
        <v>4.0685766511119228</v>
      </c>
      <c r="CC73" s="106">
        <v>2275.1480633017868</v>
      </c>
      <c r="CD73" s="106">
        <v>6.1173462188027772</v>
      </c>
      <c r="CE73" s="106">
        <v>3420.8200055545126</v>
      </c>
      <c r="CF73" s="106">
        <v>26</v>
      </c>
      <c r="CG73" s="106">
        <v>14539.199999999999</v>
      </c>
      <c r="CH73" s="106">
        <v>32</v>
      </c>
      <c r="CI73" s="106">
        <v>17894.399999999998</v>
      </c>
      <c r="CJ73" s="106">
        <v>29.157596021947874</v>
      </c>
      <c r="CK73" s="106">
        <v>16304.927695473249</v>
      </c>
      <c r="CL73" s="106">
        <v>18.170946356140661</v>
      </c>
      <c r="CM73" s="106">
        <v>10161.193202353856</v>
      </c>
      <c r="CN73" s="106">
        <v>5.0595183133271773</v>
      </c>
      <c r="CO73" s="106">
        <v>2829.282640812557</v>
      </c>
      <c r="CP73" s="106">
        <v>4.0722738751147842</v>
      </c>
      <c r="CQ73" s="106">
        <v>2277.2155509641871</v>
      </c>
      <c r="CR73" s="106">
        <v>5</v>
      </c>
      <c r="CS73" s="106">
        <v>2795.9999999999995</v>
      </c>
      <c r="CT73" s="106">
        <v>5.1227664464234417</v>
      </c>
      <c r="CU73" s="106">
        <v>2864.6509968399882</v>
      </c>
    </row>
    <row r="74" spans="2:99" x14ac:dyDescent="0.2">
      <c r="C74" s="105" t="s">
        <v>240</v>
      </c>
      <c r="D74" s="106">
        <v>21</v>
      </c>
      <c r="E74" s="106">
        <v>8467.1999999999989</v>
      </c>
      <c r="F74" s="106">
        <v>16.33969815149187</v>
      </c>
      <c r="G74" s="106">
        <v>6588.1662946815222</v>
      </c>
      <c r="H74" s="106">
        <v>13.368907721123829</v>
      </c>
      <c r="I74" s="106">
        <v>5390.3435931571275</v>
      </c>
      <c r="J74" s="106">
        <v>17.087298778372819</v>
      </c>
      <c r="K74" s="106">
        <v>6889.5988674399205</v>
      </c>
      <c r="L74" s="106">
        <v>16.082455918186323</v>
      </c>
      <c r="M74" s="106">
        <v>6484.4462262127254</v>
      </c>
      <c r="N74" s="106">
        <v>25.090858834342562</v>
      </c>
      <c r="O74" s="106">
        <v>10116.63428200692</v>
      </c>
      <c r="P74" s="106">
        <v>22</v>
      </c>
      <c r="Q74" s="106">
        <v>8870.4</v>
      </c>
      <c r="R74" s="106">
        <v>19.158548193752829</v>
      </c>
      <c r="S74" s="106">
        <v>7724.7266317211406</v>
      </c>
      <c r="T74" s="106">
        <v>5.0484214876033056</v>
      </c>
      <c r="U74" s="106">
        <v>2035.5235438016527</v>
      </c>
      <c r="V74" s="106">
        <v>5.0443952101371847</v>
      </c>
      <c r="W74" s="106">
        <v>2033.9001487273129</v>
      </c>
      <c r="X74" s="106">
        <v>4.1302993435943867</v>
      </c>
      <c r="Y74" s="106">
        <v>1665.3366953372567</v>
      </c>
      <c r="Z74" s="106">
        <v>6.0405975229554345</v>
      </c>
      <c r="AA74" s="106">
        <v>2435.5689212556313</v>
      </c>
      <c r="AB74" s="106">
        <v>8.1015855006784872</v>
      </c>
      <c r="AC74" s="106">
        <v>3266.5592738735659</v>
      </c>
      <c r="AD74" s="106">
        <v>10</v>
      </c>
      <c r="AE74" s="106">
        <v>4032</v>
      </c>
      <c r="AF74" s="106">
        <v>11.12277318640955</v>
      </c>
      <c r="AG74" s="106">
        <v>4484.7021487603306</v>
      </c>
      <c r="AH74" s="106">
        <v>9.1616388844713672</v>
      </c>
      <c r="AI74" s="106">
        <v>3693.9727982188551</v>
      </c>
      <c r="AJ74" s="106">
        <v>5.038876296085804</v>
      </c>
      <c r="AK74" s="106">
        <v>2031.6749225817962</v>
      </c>
      <c r="AL74" s="106">
        <v>6.0514883916107234</v>
      </c>
      <c r="AM74" s="106">
        <v>2439.9601194974434</v>
      </c>
      <c r="AN74" s="106">
        <v>4</v>
      </c>
      <c r="AO74" s="106">
        <v>1612.8</v>
      </c>
      <c r="AP74" s="106">
        <v>5.0759844361074347</v>
      </c>
      <c r="AQ74" s="106">
        <v>2046.6369246385175</v>
      </c>
      <c r="AR74" s="106">
        <v>42.185250676179834</v>
      </c>
      <c r="AS74" s="106">
        <v>17009.093072635707</v>
      </c>
      <c r="AT74" s="106">
        <v>41.165212058573609</v>
      </c>
      <c r="AU74" s="106">
        <v>16597.813502016877</v>
      </c>
      <c r="AV74" s="106">
        <v>44.157031052731249</v>
      </c>
      <c r="AW74" s="106">
        <v>17804.114920461237</v>
      </c>
      <c r="AX74" s="106">
        <v>26.176103046791827</v>
      </c>
      <c r="AY74" s="106">
        <v>10554.204748466464</v>
      </c>
      <c r="AZ74" s="106">
        <v>70.053953338999619</v>
      </c>
      <c r="BA74" s="106">
        <v>28245.753986284646</v>
      </c>
      <c r="BB74" s="106">
        <v>71.076517164417041</v>
      </c>
      <c r="BC74" s="106">
        <v>28658.051720692951</v>
      </c>
      <c r="BD74" s="106">
        <v>40</v>
      </c>
      <c r="BE74" s="106">
        <v>16128</v>
      </c>
      <c r="BF74" s="106">
        <v>65.07881403640458</v>
      </c>
      <c r="BG74" s="106">
        <v>26239.777819478328</v>
      </c>
      <c r="BH74" s="106">
        <v>7.1596245434623818</v>
      </c>
      <c r="BI74" s="106">
        <v>2886.7606159240322</v>
      </c>
      <c r="BJ74" s="106">
        <v>7.2735434319791601</v>
      </c>
      <c r="BK74" s="106">
        <v>2932.6927117739974</v>
      </c>
      <c r="BL74" s="106">
        <v>5</v>
      </c>
      <c r="BM74" s="106">
        <v>2016</v>
      </c>
      <c r="BN74" s="106">
        <v>4.1631871980738993</v>
      </c>
      <c r="BO74" s="106">
        <v>1678.597078263396</v>
      </c>
      <c r="BP74" s="106">
        <v>5.0630095584888481</v>
      </c>
      <c r="BQ74" s="106">
        <v>2041.4054539827034</v>
      </c>
      <c r="BR74" s="106">
        <v>3.0384353888511892</v>
      </c>
      <c r="BS74" s="106">
        <v>1225.0971487847994</v>
      </c>
      <c r="BT74" s="106">
        <v>4.0717890969052259</v>
      </c>
      <c r="BU74" s="106">
        <v>1641.745363872187</v>
      </c>
      <c r="BV74" s="106">
        <v>4.0353875594530324</v>
      </c>
      <c r="BW74" s="106">
        <v>1627.0682639714626</v>
      </c>
      <c r="BX74" s="106">
        <v>3</v>
      </c>
      <c r="BY74" s="106">
        <v>1209.5999999999999</v>
      </c>
      <c r="BZ74" s="106">
        <v>6.0817682818073724</v>
      </c>
      <c r="CA74" s="106">
        <v>2452.1689712247326</v>
      </c>
      <c r="CB74" s="106">
        <v>4.0647668371612609</v>
      </c>
      <c r="CC74" s="106">
        <v>1638.9139887434203</v>
      </c>
      <c r="CD74" s="106">
        <v>6.1173462188027772</v>
      </c>
      <c r="CE74" s="106">
        <v>2466.5139954212796</v>
      </c>
      <c r="CF74" s="106">
        <v>23</v>
      </c>
      <c r="CG74" s="106">
        <v>9273.6</v>
      </c>
      <c r="CH74" s="106">
        <v>33</v>
      </c>
      <c r="CI74" s="106">
        <v>13305.6</v>
      </c>
      <c r="CJ74" s="106">
        <v>30.181841563786008</v>
      </c>
      <c r="CK74" s="106">
        <v>12169.318518518518</v>
      </c>
      <c r="CL74" s="106">
        <v>20.18315681015071</v>
      </c>
      <c r="CM74" s="106">
        <v>8137.8488258527659</v>
      </c>
      <c r="CN74" s="106">
        <v>5.0714219759926129</v>
      </c>
      <c r="CO74" s="106">
        <v>2044.7973407202214</v>
      </c>
      <c r="CP74" s="106">
        <v>4.0671114554637278</v>
      </c>
      <c r="CQ74" s="106">
        <v>1639.8593388429749</v>
      </c>
      <c r="CR74" s="106">
        <v>5</v>
      </c>
      <c r="CS74" s="106">
        <v>2016</v>
      </c>
      <c r="CT74" s="106">
        <v>5.1339270324619362</v>
      </c>
      <c r="CU74" s="106">
        <v>2069.9993794886527</v>
      </c>
    </row>
    <row r="75" spans="2:99" x14ac:dyDescent="0.2">
      <c r="C75" s="105" t="s">
        <v>241</v>
      </c>
      <c r="D75" s="106">
        <v>19</v>
      </c>
      <c r="E75" s="106">
        <v>12220.8</v>
      </c>
      <c r="F75" s="106">
        <v>15.365828778529707</v>
      </c>
      <c r="G75" s="106">
        <v>9883.301070350306</v>
      </c>
      <c r="H75" s="106">
        <v>12.395258272632674</v>
      </c>
      <c r="I75" s="106">
        <v>7972.6301209573348</v>
      </c>
      <c r="J75" s="106">
        <v>16.0753943995038</v>
      </c>
      <c r="K75" s="106">
        <v>10339.693677760843</v>
      </c>
      <c r="L75" s="106">
        <v>16.085627299655027</v>
      </c>
      <c r="M75" s="106">
        <v>10346.275479138112</v>
      </c>
      <c r="N75" s="106">
        <v>24.083287264814015</v>
      </c>
      <c r="O75" s="106">
        <v>15490.370368728372</v>
      </c>
      <c r="P75" s="106">
        <v>24</v>
      </c>
      <c r="Q75" s="106">
        <v>15436.8</v>
      </c>
      <c r="R75" s="106">
        <v>22.144761394296061</v>
      </c>
      <c r="S75" s="106">
        <v>14243.510528811225</v>
      </c>
      <c r="T75" s="106">
        <v>4.0430413223140498</v>
      </c>
      <c r="U75" s="106">
        <v>2600.4841785123967</v>
      </c>
      <c r="V75" s="106">
        <v>5.0470066930864315</v>
      </c>
      <c r="W75" s="106">
        <v>3246.2347049931923</v>
      </c>
      <c r="X75" s="106">
        <v>4.1085827863286557</v>
      </c>
      <c r="Y75" s="106">
        <v>2642.6404481665909</v>
      </c>
      <c r="Z75" s="106">
        <v>5.0355228325860049</v>
      </c>
      <c r="AA75" s="106">
        <v>3238.8482859193182</v>
      </c>
      <c r="AB75" s="106">
        <v>9.1160977150611284</v>
      </c>
      <c r="AC75" s="106">
        <v>5863.4740503273169</v>
      </c>
      <c r="AD75" s="106">
        <v>9</v>
      </c>
      <c r="AE75" s="106">
        <v>5788.7999999999993</v>
      </c>
      <c r="AF75" s="106">
        <v>10.102310988674626</v>
      </c>
      <c r="AG75" s="106">
        <v>6497.8064279155187</v>
      </c>
      <c r="AH75" s="106">
        <v>9.1469444404285163</v>
      </c>
      <c r="AI75" s="106">
        <v>5883.3146640836212</v>
      </c>
      <c r="AJ75" s="106">
        <v>4.0353420873507311</v>
      </c>
      <c r="AK75" s="106">
        <v>2595.53203058399</v>
      </c>
      <c r="AL75" s="106">
        <v>6.0475277461022063</v>
      </c>
      <c r="AM75" s="106">
        <v>3889.7698462929388</v>
      </c>
      <c r="AN75" s="106">
        <v>4</v>
      </c>
      <c r="AO75" s="106">
        <v>2572.7999999999997</v>
      </c>
      <c r="AP75" s="106">
        <v>5.0675417209843863</v>
      </c>
      <c r="AQ75" s="106">
        <v>3259.4428349371569</v>
      </c>
      <c r="AR75" s="106">
        <v>40.188955689703434</v>
      </c>
      <c r="AS75" s="106">
        <v>25849.536299617244</v>
      </c>
      <c r="AT75" s="106">
        <v>37.138087690748087</v>
      </c>
      <c r="AU75" s="106">
        <v>23887.218002689166</v>
      </c>
      <c r="AV75" s="106">
        <v>46.140376244108239</v>
      </c>
      <c r="AW75" s="106">
        <v>29677.490000210415</v>
      </c>
      <c r="AX75" s="106">
        <v>27.192677451195763</v>
      </c>
      <c r="AY75" s="106">
        <v>17490.330136609115</v>
      </c>
      <c r="AZ75" s="106">
        <v>69.053953338999619</v>
      </c>
      <c r="BA75" s="106">
        <v>44415.502787644553</v>
      </c>
      <c r="BB75" s="106">
        <v>77.06956105856095</v>
      </c>
      <c r="BC75" s="106">
        <v>49571.141672866397</v>
      </c>
      <c r="BD75" s="106">
        <v>38</v>
      </c>
      <c r="BE75" s="106">
        <v>24441.599999999999</v>
      </c>
      <c r="BF75" s="106">
        <v>58.070932632764119</v>
      </c>
      <c r="BG75" s="106">
        <v>37351.223869393878</v>
      </c>
      <c r="BH75" s="106">
        <v>6.1447757487216945</v>
      </c>
      <c r="BI75" s="106">
        <v>3952.3197615777935</v>
      </c>
      <c r="BJ75" s="106">
        <v>6.2344657988392802</v>
      </c>
      <c r="BK75" s="106">
        <v>4010.0084018134248</v>
      </c>
      <c r="BL75" s="106">
        <v>4</v>
      </c>
      <c r="BM75" s="106">
        <v>2572.7999999999997</v>
      </c>
      <c r="BN75" s="106">
        <v>4.160048982726325</v>
      </c>
      <c r="BO75" s="106">
        <v>2675.743505689572</v>
      </c>
      <c r="BP75" s="106">
        <v>4.0581626693743216</v>
      </c>
      <c r="BQ75" s="106">
        <v>2610.2102289415634</v>
      </c>
      <c r="BR75" s="106">
        <v>3.0384353888511892</v>
      </c>
      <c r="BS75" s="106">
        <v>1954.3216421090847</v>
      </c>
      <c r="BT75" s="106">
        <v>4.0807627340183794</v>
      </c>
      <c r="BU75" s="106">
        <v>2624.7465905206213</v>
      </c>
      <c r="BV75" s="106">
        <v>4.0353875594530324</v>
      </c>
      <c r="BW75" s="106">
        <v>2595.5612782401899</v>
      </c>
      <c r="BX75" s="106">
        <v>3</v>
      </c>
      <c r="BY75" s="106">
        <v>1929.6</v>
      </c>
      <c r="BZ75" s="106">
        <v>5.0711028537455407</v>
      </c>
      <c r="CA75" s="106">
        <v>3261.7333555291316</v>
      </c>
      <c r="CB75" s="106">
        <v>4.0571472092599361</v>
      </c>
      <c r="CC75" s="106">
        <v>2609.5570849959904</v>
      </c>
      <c r="CD75" s="106">
        <v>6.1229341339838621</v>
      </c>
      <c r="CE75" s="106">
        <v>3938.2712349784197</v>
      </c>
      <c r="CF75" s="106">
        <v>26</v>
      </c>
      <c r="CG75" s="106">
        <v>16723.199999999997</v>
      </c>
      <c r="CH75" s="106">
        <v>28</v>
      </c>
      <c r="CI75" s="106">
        <v>18009.599999999999</v>
      </c>
      <c r="CJ75" s="106">
        <v>26.157596021947874</v>
      </c>
      <c r="CK75" s="106">
        <v>16824.56576131687</v>
      </c>
      <c r="CL75" s="106">
        <v>18.158735902130612</v>
      </c>
      <c r="CM75" s="106">
        <v>11679.698932250409</v>
      </c>
      <c r="CN75" s="106">
        <v>4.0595183133271773</v>
      </c>
      <c r="CO75" s="106">
        <v>2611.08217913204</v>
      </c>
      <c r="CP75" s="106">
        <v>4.0567866161616157</v>
      </c>
      <c r="CQ75" s="106">
        <v>2609.325151515151</v>
      </c>
      <c r="CR75" s="106">
        <v>5</v>
      </c>
      <c r="CS75" s="106">
        <v>3215.9999999999995</v>
      </c>
      <c r="CT75" s="106">
        <v>5.1116058603849472</v>
      </c>
      <c r="CU75" s="106">
        <v>3287.7848893995979</v>
      </c>
    </row>
    <row r="76" spans="2:99" x14ac:dyDescent="0.2">
      <c r="C76" s="105" t="s">
        <v>242</v>
      </c>
      <c r="D76" s="106">
        <v>20</v>
      </c>
      <c r="E76" s="106">
        <v>15576</v>
      </c>
      <c r="F76" s="106">
        <v>15.339698151491872</v>
      </c>
      <c r="G76" s="106">
        <v>11946.556920381869</v>
      </c>
      <c r="H76" s="106">
        <v>11.395258272632674</v>
      </c>
      <c r="I76" s="106">
        <v>8874.6271427263255</v>
      </c>
      <c r="J76" s="106">
        <v>17.0753943995038</v>
      </c>
      <c r="K76" s="106">
        <v>13298.317158333559</v>
      </c>
      <c r="L76" s="106">
        <v>16.082455918186323</v>
      </c>
      <c r="M76" s="106">
        <v>12525.016669083507</v>
      </c>
      <c r="N76" s="106">
        <v>23.075715695285467</v>
      </c>
      <c r="O76" s="106">
        <v>17971.367383488319</v>
      </c>
      <c r="P76" s="106">
        <v>23</v>
      </c>
      <c r="Q76" s="106">
        <v>17912.399999999998</v>
      </c>
      <c r="R76" s="106">
        <v>21.165441593481212</v>
      </c>
      <c r="S76" s="106">
        <v>16483.645913003165</v>
      </c>
      <c r="T76" s="106">
        <v>5.0484214876033056</v>
      </c>
      <c r="U76" s="106">
        <v>3931.710654545454</v>
      </c>
      <c r="V76" s="106">
        <v>5.0417837271879389</v>
      </c>
      <c r="W76" s="106">
        <v>3926.5411667339667</v>
      </c>
      <c r="X76" s="106">
        <v>4.1194410649615207</v>
      </c>
      <c r="Y76" s="106">
        <v>3208.220701392032</v>
      </c>
      <c r="Z76" s="106">
        <v>6.0329854874012909</v>
      </c>
      <c r="AA76" s="106">
        <v>4698.4890975881253</v>
      </c>
      <c r="AB76" s="106">
        <v>8.1088416078698078</v>
      </c>
      <c r="AC76" s="106">
        <v>6315.1658442090056</v>
      </c>
      <c r="AD76" s="106">
        <v>9</v>
      </c>
      <c r="AE76" s="106">
        <v>7009.2</v>
      </c>
      <c r="AF76" s="106">
        <v>10.102310988674626</v>
      </c>
      <c r="AG76" s="106">
        <v>7867.6797979797984</v>
      </c>
      <c r="AH76" s="106">
        <v>8.1763333285142181</v>
      </c>
      <c r="AI76" s="106">
        <v>6367.7283962468728</v>
      </c>
      <c r="AJ76" s="106">
        <v>4.038876296085804</v>
      </c>
      <c r="AK76" s="106">
        <v>3145.4768593916242</v>
      </c>
      <c r="AL76" s="106">
        <v>6.0435671005936893</v>
      </c>
      <c r="AM76" s="106">
        <v>4706.7300579423645</v>
      </c>
      <c r="AN76" s="106">
        <v>4</v>
      </c>
      <c r="AO76" s="106">
        <v>3115.2</v>
      </c>
      <c r="AP76" s="106">
        <v>5.0844271512304831</v>
      </c>
      <c r="AQ76" s="106">
        <v>3959.7518653783</v>
      </c>
      <c r="AR76" s="106">
        <v>45.194513209988827</v>
      </c>
      <c r="AS76" s="106">
        <v>35197.486887939296</v>
      </c>
      <c r="AT76" s="106">
        <v>34.155348652091604</v>
      </c>
      <c r="AU76" s="106">
        <v>26600.185530248938</v>
      </c>
      <c r="AV76" s="106">
        <v>39.145134760857673</v>
      </c>
      <c r="AW76" s="106">
        <v>30486.230951755955</v>
      </c>
      <c r="AX76" s="106">
        <v>24.186462049544289</v>
      </c>
      <c r="AY76" s="106">
        <v>18836.41664418509</v>
      </c>
      <c r="AZ76" s="106">
        <v>58.047209171624665</v>
      </c>
      <c r="BA76" s="106">
        <v>45207.166502861284</v>
      </c>
      <c r="BB76" s="106">
        <v>67.076517164417041</v>
      </c>
      <c r="BC76" s="106">
        <v>52239.191567647991</v>
      </c>
      <c r="BD76" s="106">
        <v>36</v>
      </c>
      <c r="BE76" s="106">
        <v>28036.799999999999</v>
      </c>
      <c r="BF76" s="106">
        <v>62.070932632764119</v>
      </c>
      <c r="BG76" s="106">
        <v>48340.842334396693</v>
      </c>
      <c r="BH76" s="106">
        <v>6.1596245434623818</v>
      </c>
      <c r="BI76" s="106">
        <v>4797.1155944485026</v>
      </c>
      <c r="BJ76" s="106">
        <v>7.2579123787232085</v>
      </c>
      <c r="BK76" s="106">
        <v>5652.4621605496341</v>
      </c>
      <c r="BL76" s="106">
        <v>4</v>
      </c>
      <c r="BM76" s="106">
        <v>3115.2</v>
      </c>
      <c r="BN76" s="106">
        <v>4.1569107673787498</v>
      </c>
      <c r="BO76" s="106">
        <v>3237.40210563457</v>
      </c>
      <c r="BP76" s="106">
        <v>4.0630095584888481</v>
      </c>
      <c r="BQ76" s="106">
        <v>3164.2718441511147</v>
      </c>
      <c r="BR76" s="106">
        <v>3.0384353888511892</v>
      </c>
      <c r="BS76" s="106">
        <v>2366.3334808373061</v>
      </c>
      <c r="BT76" s="106">
        <v>4.0807627340183794</v>
      </c>
      <c r="BU76" s="106">
        <v>3178.0980172535137</v>
      </c>
      <c r="BV76" s="106">
        <v>4.0398110043846609</v>
      </c>
      <c r="BW76" s="106">
        <v>3146.2048102147737</v>
      </c>
      <c r="BX76" s="106">
        <v>3</v>
      </c>
      <c r="BY76" s="106">
        <v>2336.3999999999996</v>
      </c>
      <c r="BZ76" s="106">
        <v>5.0817682818073724</v>
      </c>
      <c r="CA76" s="106">
        <v>3957.6811378715815</v>
      </c>
      <c r="CB76" s="106">
        <v>5.0647668371612609</v>
      </c>
      <c r="CC76" s="106">
        <v>3944.4404127811899</v>
      </c>
      <c r="CD76" s="106">
        <v>7.1173462188027772</v>
      </c>
      <c r="CE76" s="106">
        <v>5542.9892352036022</v>
      </c>
      <c r="CF76" s="106">
        <v>24</v>
      </c>
      <c r="CG76" s="106">
        <v>18691.199999999997</v>
      </c>
      <c r="CH76" s="106">
        <v>28</v>
      </c>
      <c r="CI76" s="106">
        <v>21806.399999999998</v>
      </c>
      <c r="CJ76" s="106">
        <v>26.157596021947874</v>
      </c>
      <c r="CK76" s="106">
        <v>20371.535781893002</v>
      </c>
      <c r="CL76" s="106">
        <v>18.18315681015071</v>
      </c>
      <c r="CM76" s="106">
        <v>14161.042523745371</v>
      </c>
      <c r="CN76" s="106">
        <v>4.0654701446598951</v>
      </c>
      <c r="CO76" s="106">
        <v>3166.188148661126</v>
      </c>
      <c r="CP76" s="106">
        <v>4.0671114554637278</v>
      </c>
      <c r="CQ76" s="106">
        <v>3167.4664015151511</v>
      </c>
      <c r="CR76" s="106">
        <v>4</v>
      </c>
      <c r="CS76" s="106">
        <v>3115.2</v>
      </c>
      <c r="CT76" s="106">
        <v>4.1227664464234417</v>
      </c>
      <c r="CU76" s="106">
        <v>3210.8105084745762</v>
      </c>
    </row>
    <row r="77" spans="2:99" x14ac:dyDescent="0.2">
      <c r="C77" s="105" t="s">
        <v>243</v>
      </c>
      <c r="D77" s="106">
        <v>23</v>
      </c>
      <c r="E77" s="106">
        <v>6403.2</v>
      </c>
      <c r="F77" s="106">
        <v>18.391959405567544</v>
      </c>
      <c r="G77" s="106">
        <v>5120.3214985100039</v>
      </c>
      <c r="H77" s="106">
        <v>13.421608824141519</v>
      </c>
      <c r="I77" s="106">
        <v>3736.5758966409985</v>
      </c>
      <c r="J77" s="106">
        <v>18.079362525793471</v>
      </c>
      <c r="K77" s="106">
        <v>5033.2945271809022</v>
      </c>
      <c r="L77" s="106">
        <v>17.076113155248912</v>
      </c>
      <c r="M77" s="106">
        <v>4753.9899024212964</v>
      </c>
      <c r="N77" s="106">
        <v>23.087073049578287</v>
      </c>
      <c r="O77" s="106">
        <v>6427.4411370025946</v>
      </c>
      <c r="P77" s="106">
        <v>26</v>
      </c>
      <c r="Q77" s="106">
        <v>7238.4</v>
      </c>
      <c r="R77" s="106">
        <v>23.158548193752829</v>
      </c>
      <c r="S77" s="106">
        <v>6447.3398171407871</v>
      </c>
      <c r="T77" s="106">
        <v>5.0511115702479339</v>
      </c>
      <c r="U77" s="106">
        <v>1406.2294611570246</v>
      </c>
      <c r="V77" s="106">
        <v>5.0443952101371847</v>
      </c>
      <c r="W77" s="106">
        <v>1404.3596265021922</v>
      </c>
      <c r="X77" s="106">
        <v>5.1194410649615207</v>
      </c>
      <c r="Y77" s="106">
        <v>1425.2523924852871</v>
      </c>
      <c r="Z77" s="106">
        <v>5.0380601777707197</v>
      </c>
      <c r="AA77" s="106">
        <v>1402.5959534913682</v>
      </c>
      <c r="AB77" s="106">
        <v>9.1233538222524491</v>
      </c>
      <c r="AC77" s="106">
        <v>2539.9417041150814</v>
      </c>
      <c r="AD77" s="106">
        <v>10</v>
      </c>
      <c r="AE77" s="106">
        <v>2784</v>
      </c>
      <c r="AF77" s="106">
        <v>12.115952453831241</v>
      </c>
      <c r="AG77" s="106">
        <v>3373.0811631466172</v>
      </c>
      <c r="AH77" s="106">
        <v>8.1616388844713672</v>
      </c>
      <c r="AI77" s="106">
        <v>2272.2002654368284</v>
      </c>
      <c r="AJ77" s="106">
        <v>4.038876296085804</v>
      </c>
      <c r="AK77" s="106">
        <v>1124.4231608302878</v>
      </c>
      <c r="AL77" s="106">
        <v>6.0514883916107234</v>
      </c>
      <c r="AM77" s="106">
        <v>1684.7343682244252</v>
      </c>
      <c r="AN77" s="106">
        <v>4</v>
      </c>
      <c r="AO77" s="106">
        <v>1113.5999999999999</v>
      </c>
      <c r="AP77" s="106">
        <v>5.0759844361074347</v>
      </c>
      <c r="AQ77" s="106">
        <v>1413.1540670123097</v>
      </c>
      <c r="AR77" s="106">
        <v>51.192660703227027</v>
      </c>
      <c r="AS77" s="106">
        <v>14252.036739778403</v>
      </c>
      <c r="AT77" s="106">
        <v>40.160280355332603</v>
      </c>
      <c r="AU77" s="106">
        <v>11180.622050924596</v>
      </c>
      <c r="AV77" s="106">
        <v>49.154651794356539</v>
      </c>
      <c r="AW77" s="106">
        <v>13684.655059548859</v>
      </c>
      <c r="AX77" s="106">
        <v>30.190605650645274</v>
      </c>
      <c r="AY77" s="106">
        <v>8405.0646131396443</v>
      </c>
      <c r="AZ77" s="106">
        <v>66.053953338999619</v>
      </c>
      <c r="BA77" s="106">
        <v>18389.420609577493</v>
      </c>
      <c r="BB77" s="106">
        <v>81.06956105856095</v>
      </c>
      <c r="BC77" s="106">
        <v>22569.765798703367</v>
      </c>
      <c r="BD77" s="106">
        <v>43</v>
      </c>
      <c r="BE77" s="106">
        <v>11971.199999999999</v>
      </c>
      <c r="BF77" s="106">
        <v>68.07881403640458</v>
      </c>
      <c r="BG77" s="106">
        <v>18953.141827735035</v>
      </c>
      <c r="BH77" s="106">
        <v>6.1522001460920377</v>
      </c>
      <c r="BI77" s="106">
        <v>1712.7725206720231</v>
      </c>
      <c r="BJ77" s="106">
        <v>7.2657279053511843</v>
      </c>
      <c r="BK77" s="106">
        <v>2022.7786488497695</v>
      </c>
      <c r="BL77" s="106">
        <v>4</v>
      </c>
      <c r="BM77" s="106">
        <v>1113.5999999999999</v>
      </c>
      <c r="BN77" s="106">
        <v>4.1788782748117743</v>
      </c>
      <c r="BO77" s="106">
        <v>1163.3997117075978</v>
      </c>
      <c r="BP77" s="106">
        <v>5.0581626693743216</v>
      </c>
      <c r="BQ77" s="106">
        <v>1408.192487153811</v>
      </c>
      <c r="BR77" s="106">
        <v>4.0384353888511892</v>
      </c>
      <c r="BS77" s="106">
        <v>1124.3004122561711</v>
      </c>
      <c r="BT77" s="106">
        <v>4.0807627340183794</v>
      </c>
      <c r="BU77" s="106">
        <v>1136.0843451507167</v>
      </c>
      <c r="BV77" s="106">
        <v>4.0353875594530324</v>
      </c>
      <c r="BW77" s="106">
        <v>1123.4518965517241</v>
      </c>
      <c r="BX77" s="106">
        <v>3</v>
      </c>
      <c r="BY77" s="106">
        <v>835.19999999999993</v>
      </c>
      <c r="BZ77" s="106">
        <v>5.0711028537455407</v>
      </c>
      <c r="CA77" s="106">
        <v>1411.7950344827584</v>
      </c>
      <c r="CB77" s="106">
        <v>4.0685766511119228</v>
      </c>
      <c r="CC77" s="106">
        <v>1132.6917396695592</v>
      </c>
      <c r="CD77" s="106">
        <v>7.1229341339838621</v>
      </c>
      <c r="CE77" s="106">
        <v>1983.0248629011071</v>
      </c>
      <c r="CF77" s="106">
        <v>27</v>
      </c>
      <c r="CG77" s="106">
        <v>7516.7999999999993</v>
      </c>
      <c r="CH77" s="106">
        <v>36</v>
      </c>
      <c r="CI77" s="106">
        <v>10022.4</v>
      </c>
      <c r="CJ77" s="106">
        <v>32.169718792866938</v>
      </c>
      <c r="CK77" s="106">
        <v>8956.0497119341544</v>
      </c>
      <c r="CL77" s="106">
        <v>19.207577718170803</v>
      </c>
      <c r="CM77" s="106">
        <v>5347.3896367387515</v>
      </c>
      <c r="CN77" s="106">
        <v>5.0654701446598951</v>
      </c>
      <c r="CO77" s="106">
        <v>1410.2268882733147</v>
      </c>
      <c r="CP77" s="106">
        <v>4.0671114554637278</v>
      </c>
      <c r="CQ77" s="106">
        <v>1132.2838292011018</v>
      </c>
      <c r="CR77" s="106">
        <v>4</v>
      </c>
      <c r="CS77" s="106">
        <v>1113.5999999999999</v>
      </c>
      <c r="CT77" s="106">
        <v>5.1227664464234417</v>
      </c>
      <c r="CU77" s="106">
        <v>1426.178178684286</v>
      </c>
    </row>
    <row r="78" spans="2:99" x14ac:dyDescent="0.2">
      <c r="C78" s="105" t="s">
        <v>244</v>
      </c>
      <c r="D78" s="106">
        <v>19</v>
      </c>
      <c r="E78" s="106">
        <v>10488</v>
      </c>
      <c r="F78" s="106">
        <v>16.33969815149187</v>
      </c>
      <c r="G78" s="106">
        <v>9019.5133796235114</v>
      </c>
      <c r="H78" s="106">
        <v>13.421608824141519</v>
      </c>
      <c r="I78" s="106">
        <v>7408.7280709261186</v>
      </c>
      <c r="J78" s="106">
        <v>19.079362525793471</v>
      </c>
      <c r="K78" s="106">
        <v>10531.808114237996</v>
      </c>
      <c r="L78" s="106">
        <v>16.08879868112373</v>
      </c>
      <c r="M78" s="106">
        <v>8881.0168719802987</v>
      </c>
      <c r="N78" s="106">
        <v>22.079501480049739</v>
      </c>
      <c r="O78" s="106">
        <v>12187.884816987456</v>
      </c>
      <c r="P78" s="106">
        <v>21</v>
      </c>
      <c r="Q78" s="106">
        <v>11592</v>
      </c>
      <c r="R78" s="106">
        <v>18.165441593481212</v>
      </c>
      <c r="S78" s="106">
        <v>10027.32375960163</v>
      </c>
      <c r="T78" s="106">
        <v>5.0511115702479339</v>
      </c>
      <c r="U78" s="106">
        <v>2788.2135867768593</v>
      </c>
      <c r="V78" s="106">
        <v>5.0443952101371847</v>
      </c>
      <c r="W78" s="106">
        <v>2784.5061559957257</v>
      </c>
      <c r="X78" s="106">
        <v>5.1085827863286557</v>
      </c>
      <c r="Y78" s="106">
        <v>2819.937698053418</v>
      </c>
      <c r="Z78" s="106">
        <v>6.0329854874012909</v>
      </c>
      <c r="AA78" s="106">
        <v>3330.2079890455125</v>
      </c>
      <c r="AB78" s="106">
        <v>8.1160977150611284</v>
      </c>
      <c r="AC78" s="106">
        <v>4480.0859387137425</v>
      </c>
      <c r="AD78" s="106">
        <v>9</v>
      </c>
      <c r="AE78" s="106">
        <v>4968</v>
      </c>
      <c r="AF78" s="106">
        <v>12.115952453831241</v>
      </c>
      <c r="AG78" s="106">
        <v>6688.0057545148447</v>
      </c>
      <c r="AH78" s="106">
        <v>8.1763333285142181</v>
      </c>
      <c r="AI78" s="106">
        <v>4513.3359973398483</v>
      </c>
      <c r="AJ78" s="106">
        <v>4.038876296085804</v>
      </c>
      <c r="AK78" s="106">
        <v>2229.4597154393637</v>
      </c>
      <c r="AL78" s="106">
        <v>6.0435671005936893</v>
      </c>
      <c r="AM78" s="106">
        <v>3336.0490395277166</v>
      </c>
      <c r="AN78" s="106">
        <v>4</v>
      </c>
      <c r="AO78" s="106">
        <v>2208</v>
      </c>
      <c r="AP78" s="106">
        <v>5.0759844361074347</v>
      </c>
      <c r="AQ78" s="106">
        <v>2801.9434087313039</v>
      </c>
      <c r="AR78" s="106">
        <v>41.20192323703602</v>
      </c>
      <c r="AS78" s="106">
        <v>22743.461626843884</v>
      </c>
      <c r="AT78" s="106">
        <v>38.152882800471097</v>
      </c>
      <c r="AU78" s="106">
        <v>21060.391305860045</v>
      </c>
      <c r="AV78" s="106">
        <v>46.159410311105965</v>
      </c>
      <c r="AW78" s="106">
        <v>25479.994491730493</v>
      </c>
      <c r="AX78" s="106">
        <v>28.192677451195763</v>
      </c>
      <c r="AY78" s="106">
        <v>15562.357953060062</v>
      </c>
      <c r="AZ78" s="106">
        <v>67.060697506374567</v>
      </c>
      <c r="BA78" s="106">
        <v>37017.505023518759</v>
      </c>
      <c r="BB78" s="106">
        <v>70.076517164417041</v>
      </c>
      <c r="BC78" s="106">
        <v>38682.237474758207</v>
      </c>
      <c r="BD78" s="106">
        <v>34</v>
      </c>
      <c r="BE78" s="106">
        <v>18768</v>
      </c>
      <c r="BF78" s="106">
        <v>57.07881403640458</v>
      </c>
      <c r="BG78" s="106">
        <v>31507.505348095328</v>
      </c>
      <c r="BH78" s="106">
        <v>6.1707611395178965</v>
      </c>
      <c r="BI78" s="106">
        <v>3406.2601490138791</v>
      </c>
      <c r="BJ78" s="106">
        <v>6.2813589586071359</v>
      </c>
      <c r="BK78" s="106">
        <v>3467.3101451511388</v>
      </c>
      <c r="BL78" s="106">
        <v>4</v>
      </c>
      <c r="BM78" s="106">
        <v>2208</v>
      </c>
      <c r="BN78" s="106">
        <v>4.1474961213360242</v>
      </c>
      <c r="BO78" s="106">
        <v>2289.4178589774851</v>
      </c>
      <c r="BP78" s="106">
        <v>5.0581626693743216</v>
      </c>
      <c r="BQ78" s="106">
        <v>2792.1057934946257</v>
      </c>
      <c r="BR78" s="106">
        <v>4.0384353888511892</v>
      </c>
      <c r="BS78" s="106">
        <v>2229.2163346458565</v>
      </c>
      <c r="BT78" s="106">
        <v>4.0807627340183794</v>
      </c>
      <c r="BU78" s="106">
        <v>2252.5810291781454</v>
      </c>
      <c r="BV78" s="106">
        <v>4.0353875594530324</v>
      </c>
      <c r="BW78" s="106">
        <v>2227.5339328180739</v>
      </c>
      <c r="BX78" s="106">
        <v>3</v>
      </c>
      <c r="BY78" s="106">
        <v>1656</v>
      </c>
      <c r="BZ78" s="106">
        <v>5.0746579964328182</v>
      </c>
      <c r="CA78" s="106">
        <v>2801.2112140309155</v>
      </c>
      <c r="CB78" s="106">
        <v>4.0685766511119228</v>
      </c>
      <c r="CC78" s="106">
        <v>2245.8543114137815</v>
      </c>
      <c r="CD78" s="106">
        <v>6.1061703884406082</v>
      </c>
      <c r="CE78" s="106">
        <v>3370.6060544192155</v>
      </c>
      <c r="CF78" s="106">
        <v>25</v>
      </c>
      <c r="CG78" s="106">
        <v>13800</v>
      </c>
      <c r="CH78" s="106">
        <v>31</v>
      </c>
      <c r="CI78" s="106">
        <v>17112</v>
      </c>
      <c r="CJ78" s="106">
        <v>30.181841563786008</v>
      </c>
      <c r="CK78" s="106">
        <v>16660.376543209877</v>
      </c>
      <c r="CL78" s="106">
        <v>18.195367264160755</v>
      </c>
      <c r="CM78" s="106">
        <v>10043.842729816737</v>
      </c>
      <c r="CN78" s="106">
        <v>5.0654701446598951</v>
      </c>
      <c r="CO78" s="106">
        <v>2796.1395198522623</v>
      </c>
      <c r="CP78" s="106">
        <v>4.0671114554637278</v>
      </c>
      <c r="CQ78" s="106">
        <v>2245.0455234159776</v>
      </c>
      <c r="CR78" s="106">
        <v>4</v>
      </c>
      <c r="CS78" s="106">
        <v>2208</v>
      </c>
      <c r="CT78" s="106">
        <v>4.1116058603849472</v>
      </c>
      <c r="CU78" s="106">
        <v>2269.6064349324911</v>
      </c>
    </row>
    <row r="79" spans="2:99" x14ac:dyDescent="0.2">
      <c r="C79" s="105" t="s">
        <v>245</v>
      </c>
      <c r="D79" s="106">
        <v>22</v>
      </c>
      <c r="E79" s="106">
        <v>16658.399999999998</v>
      </c>
      <c r="F79" s="106">
        <v>16.33969815149187</v>
      </c>
      <c r="G79" s="106">
        <v>12372.419440309643</v>
      </c>
      <c r="H79" s="106">
        <v>13.421608824141519</v>
      </c>
      <c r="I79" s="106">
        <v>10162.842201639956</v>
      </c>
      <c r="J79" s="106">
        <v>16.079362525793471</v>
      </c>
      <c r="K79" s="106">
        <v>12175.293304530815</v>
      </c>
      <c r="L79" s="106">
        <v>14.08879868112373</v>
      </c>
      <c r="M79" s="106">
        <v>10668.038361346888</v>
      </c>
      <c r="N79" s="106">
        <v>20.083287264814015</v>
      </c>
      <c r="O79" s="106">
        <v>15207.065116917171</v>
      </c>
      <c r="P79" s="106">
        <v>22</v>
      </c>
      <c r="Q79" s="106">
        <v>16658.399999999998</v>
      </c>
      <c r="R79" s="106">
        <v>20.165441593481212</v>
      </c>
      <c r="S79" s="106">
        <v>15269.272374583972</v>
      </c>
      <c r="T79" s="106">
        <v>4.0457314049586781</v>
      </c>
      <c r="U79" s="106">
        <v>3063.4278198347106</v>
      </c>
      <c r="V79" s="106">
        <v>5.0417837271879389</v>
      </c>
      <c r="W79" s="106">
        <v>3817.6386382267069</v>
      </c>
      <c r="X79" s="106">
        <v>4.1194410649615207</v>
      </c>
      <c r="Y79" s="106">
        <v>3119.2407743888634</v>
      </c>
      <c r="Z79" s="106">
        <v>5.0329854874012909</v>
      </c>
      <c r="AA79" s="106">
        <v>3810.9766110602573</v>
      </c>
      <c r="AB79" s="106">
        <v>8.1160977150611284</v>
      </c>
      <c r="AC79" s="106">
        <v>6145.5091898442861</v>
      </c>
      <c r="AD79" s="106">
        <v>9</v>
      </c>
      <c r="AE79" s="106">
        <v>6814.7999999999993</v>
      </c>
      <c r="AF79" s="106">
        <v>11.12277318640955</v>
      </c>
      <c r="AG79" s="106">
        <v>8422.1638567493101</v>
      </c>
      <c r="AH79" s="106">
        <v>8.1763333285142181</v>
      </c>
      <c r="AI79" s="106">
        <v>6191.1195963509654</v>
      </c>
      <c r="AJ79" s="106">
        <v>4.0353420873507311</v>
      </c>
      <c r="AK79" s="106">
        <v>3055.5610285419734</v>
      </c>
      <c r="AL79" s="106">
        <v>6.0435671005936893</v>
      </c>
      <c r="AM79" s="106">
        <v>4576.1890085695413</v>
      </c>
      <c r="AN79" s="106">
        <v>4</v>
      </c>
      <c r="AO79" s="106">
        <v>3028.7999999999997</v>
      </c>
      <c r="AP79" s="106">
        <v>4.0759844361074347</v>
      </c>
      <c r="AQ79" s="106">
        <v>3086.3354150205491</v>
      </c>
      <c r="AR79" s="106">
        <v>46.181545662656241</v>
      </c>
      <c r="AS79" s="106">
        <v>34968.6663757633</v>
      </c>
      <c r="AT79" s="106">
        <v>36.147951097230099</v>
      </c>
      <c r="AU79" s="106">
        <v>27371.22857082263</v>
      </c>
      <c r="AV79" s="106">
        <v>43.154651794356539</v>
      </c>
      <c r="AW79" s="106">
        <v>32676.70233868677</v>
      </c>
      <c r="AX79" s="106">
        <v>29.16781584458986</v>
      </c>
      <c r="AY79" s="106">
        <v>22085.870157523441</v>
      </c>
      <c r="AZ79" s="106">
        <v>68.060697506374567</v>
      </c>
      <c r="BA79" s="106">
        <v>51535.560151826816</v>
      </c>
      <c r="BB79" s="106">
        <v>70.06956105856095</v>
      </c>
      <c r="BC79" s="106">
        <v>53056.671633542348</v>
      </c>
      <c r="BD79" s="106">
        <v>34</v>
      </c>
      <c r="BE79" s="106">
        <v>25744.799999999999</v>
      </c>
      <c r="BF79" s="106">
        <v>53.063051229123666</v>
      </c>
      <c r="BG79" s="106">
        <v>40179.342390692436</v>
      </c>
      <c r="BH79" s="106">
        <v>6.1447757487216945</v>
      </c>
      <c r="BI79" s="106">
        <v>4652.824196932067</v>
      </c>
      <c r="BJ79" s="106">
        <v>6.2579123787232085</v>
      </c>
      <c r="BK79" s="106">
        <v>4738.4912531692135</v>
      </c>
      <c r="BL79" s="106">
        <v>5</v>
      </c>
      <c r="BM79" s="106">
        <v>3785.9999999999995</v>
      </c>
      <c r="BN79" s="106">
        <v>4.1443579059884499</v>
      </c>
      <c r="BO79" s="106">
        <v>3138.107806414454</v>
      </c>
      <c r="BP79" s="106">
        <v>5.0581626693743216</v>
      </c>
      <c r="BQ79" s="106">
        <v>3830.0407732502358</v>
      </c>
      <c r="BR79" s="106">
        <v>3.034164790089946</v>
      </c>
      <c r="BS79" s="106">
        <v>2297.4695790561068</v>
      </c>
      <c r="BT79" s="106">
        <v>4.0807627340183794</v>
      </c>
      <c r="BU79" s="106">
        <v>3089.9535421987166</v>
      </c>
      <c r="BV79" s="106">
        <v>4.030964114521403</v>
      </c>
      <c r="BW79" s="106">
        <v>3052.2460275156059</v>
      </c>
      <c r="BX79" s="106">
        <v>3</v>
      </c>
      <c r="BY79" s="106">
        <v>2271.6</v>
      </c>
      <c r="BZ79" s="106">
        <v>6.0711028537455407</v>
      </c>
      <c r="CA79" s="106">
        <v>4597.0390808561233</v>
      </c>
      <c r="CB79" s="106">
        <v>5.0647668371612609</v>
      </c>
      <c r="CC79" s="106">
        <v>3835.0414490985063</v>
      </c>
      <c r="CD79" s="106">
        <v>6.1229341339838621</v>
      </c>
      <c r="CE79" s="106">
        <v>4636.2857262525804</v>
      </c>
      <c r="CF79" s="106">
        <v>24</v>
      </c>
      <c r="CG79" s="106">
        <v>18172.8</v>
      </c>
      <c r="CH79" s="106">
        <v>30</v>
      </c>
      <c r="CI79" s="106">
        <v>22715.999999999996</v>
      </c>
      <c r="CJ79" s="106">
        <v>26.157596021947874</v>
      </c>
      <c r="CK79" s="106">
        <v>19806.531707818929</v>
      </c>
      <c r="CL79" s="106">
        <v>18.170946356140661</v>
      </c>
      <c r="CM79" s="106">
        <v>13759.040580869707</v>
      </c>
      <c r="CN79" s="106">
        <v>4.0595183133271773</v>
      </c>
      <c r="CO79" s="106">
        <v>3073.8672668513382</v>
      </c>
      <c r="CP79" s="106">
        <v>4.0567866161616157</v>
      </c>
      <c r="CQ79" s="106">
        <v>3071.7988257575753</v>
      </c>
      <c r="CR79" s="106">
        <v>4</v>
      </c>
      <c r="CS79" s="106">
        <v>3028.7999999999997</v>
      </c>
      <c r="CT79" s="106">
        <v>5.1227664464234417</v>
      </c>
      <c r="CU79" s="106">
        <v>3878.9587532318296</v>
      </c>
    </row>
    <row r="80" spans="2:99" x14ac:dyDescent="0.2">
      <c r="C80" s="105" t="s">
        <v>246</v>
      </c>
      <c r="D80" s="106">
        <v>20</v>
      </c>
      <c r="E80" s="106">
        <v>16103.999999999998</v>
      </c>
      <c r="F80" s="106">
        <v>15.365828778529707</v>
      </c>
      <c r="G80" s="106">
        <v>12372.565332472119</v>
      </c>
      <c r="H80" s="106">
        <v>13.368907721123829</v>
      </c>
      <c r="I80" s="106">
        <v>10764.644497048906</v>
      </c>
      <c r="J80" s="106">
        <v>16.079362525793471</v>
      </c>
      <c r="K80" s="106">
        <v>12947.102705768901</v>
      </c>
      <c r="L80" s="106">
        <v>15.085627299655027</v>
      </c>
      <c r="M80" s="106">
        <v>12146.947101682226</v>
      </c>
      <c r="N80" s="106">
        <v>24.079501480049739</v>
      </c>
      <c r="O80" s="106">
        <v>19388.814591736049</v>
      </c>
      <c r="P80" s="106">
        <v>23</v>
      </c>
      <c r="Q80" s="106">
        <v>18519.599999999999</v>
      </c>
      <c r="R80" s="106">
        <v>20.151654794024445</v>
      </c>
      <c r="S80" s="106">
        <v>16226.112440148481</v>
      </c>
      <c r="T80" s="106">
        <v>4.0430413223140498</v>
      </c>
      <c r="U80" s="106">
        <v>3255.4568727272726</v>
      </c>
      <c r="V80" s="106">
        <v>5.0470066930864315</v>
      </c>
      <c r="W80" s="106">
        <v>4063.8497892731943</v>
      </c>
      <c r="X80" s="106">
        <v>5.1031536470122223</v>
      </c>
      <c r="Y80" s="106">
        <v>4109.0593165742412</v>
      </c>
      <c r="Z80" s="106">
        <v>5.0355228325860049</v>
      </c>
      <c r="AA80" s="106">
        <v>4054.6029847982509</v>
      </c>
      <c r="AB80" s="106">
        <v>8.1015855006784872</v>
      </c>
      <c r="AC80" s="106">
        <v>6523.3966451463175</v>
      </c>
      <c r="AD80" s="106">
        <v>10</v>
      </c>
      <c r="AE80" s="106">
        <v>8051.9999999999991</v>
      </c>
      <c r="AF80" s="106">
        <v>11.109131721252933</v>
      </c>
      <c r="AG80" s="106">
        <v>8945.07286195286</v>
      </c>
      <c r="AH80" s="106">
        <v>8.1469444404285163</v>
      </c>
      <c r="AI80" s="106">
        <v>6559.919663433041</v>
      </c>
      <c r="AJ80" s="106">
        <v>4.038876296085804</v>
      </c>
      <c r="AK80" s="106">
        <v>3252.1031936082891</v>
      </c>
      <c r="AL80" s="106">
        <v>6.0475277461022063</v>
      </c>
      <c r="AM80" s="106">
        <v>4869.4693411614962</v>
      </c>
      <c r="AN80" s="106">
        <v>4</v>
      </c>
      <c r="AO80" s="106">
        <v>3220.7999999999997</v>
      </c>
      <c r="AP80" s="106">
        <v>5.0675417209843863</v>
      </c>
      <c r="AQ80" s="106">
        <v>4080.3845937366273</v>
      </c>
      <c r="AR80" s="106">
        <v>38.20007073027422</v>
      </c>
      <c r="AS80" s="106">
        <v>30758.696952016799</v>
      </c>
      <c r="AT80" s="106">
        <v>36.143019393989093</v>
      </c>
      <c r="AU80" s="106">
        <v>29102.359216040015</v>
      </c>
      <c r="AV80" s="106">
        <v>37.13085921060938</v>
      </c>
      <c r="AW80" s="106">
        <v>29897.767836382671</v>
      </c>
      <c r="AX80" s="106">
        <v>26.169887645140353</v>
      </c>
      <c r="AY80" s="106">
        <v>21071.99353186701</v>
      </c>
      <c r="AZ80" s="106">
        <v>67.053953338999619</v>
      </c>
      <c r="BA80" s="106">
        <v>53991.843228562488</v>
      </c>
      <c r="BB80" s="106">
        <v>74.076517164417041</v>
      </c>
      <c r="BC80" s="106">
        <v>59646.411620788596</v>
      </c>
      <c r="BD80" s="106">
        <v>36</v>
      </c>
      <c r="BE80" s="106">
        <v>28987.199999999997</v>
      </c>
      <c r="BF80" s="106">
        <v>58.070932632764119</v>
      </c>
      <c r="BG80" s="106">
        <v>46758.714955901662</v>
      </c>
      <c r="BH80" s="106">
        <v>6.1559123447772093</v>
      </c>
      <c r="BI80" s="106">
        <v>4956.7406200146088</v>
      </c>
      <c r="BJ80" s="106">
        <v>6.2500968520952318</v>
      </c>
      <c r="BK80" s="106">
        <v>5032.5779853070799</v>
      </c>
      <c r="BL80" s="106">
        <v>4</v>
      </c>
      <c r="BM80" s="106">
        <v>3220.7999999999997</v>
      </c>
      <c r="BN80" s="106">
        <v>4.1443579059884499</v>
      </c>
      <c r="BO80" s="106">
        <v>3337.0369859018997</v>
      </c>
      <c r="BP80" s="106">
        <v>5.0581626693743216</v>
      </c>
      <c r="BQ80" s="106">
        <v>4072.8325813802035</v>
      </c>
      <c r="BR80" s="106">
        <v>3.0384353888511892</v>
      </c>
      <c r="BS80" s="106">
        <v>2446.5481751029774</v>
      </c>
      <c r="BT80" s="106">
        <v>4.0717890969052259</v>
      </c>
      <c r="BU80" s="106">
        <v>3278.6045808280878</v>
      </c>
      <c r="BV80" s="106">
        <v>4.0353875594530324</v>
      </c>
      <c r="BW80" s="106">
        <v>3249.2940628715814</v>
      </c>
      <c r="BX80" s="106">
        <v>3</v>
      </c>
      <c r="BY80" s="106">
        <v>2415.6</v>
      </c>
      <c r="BZ80" s="106">
        <v>5.0746579964328182</v>
      </c>
      <c r="CA80" s="106">
        <v>4086.114618727705</v>
      </c>
      <c r="CB80" s="106">
        <v>4.0571472092599361</v>
      </c>
      <c r="CC80" s="106">
        <v>3266.8149328961003</v>
      </c>
      <c r="CD80" s="106">
        <v>6.1061703884406082</v>
      </c>
      <c r="CE80" s="106">
        <v>4916.688396772377</v>
      </c>
      <c r="CF80" s="106">
        <v>21</v>
      </c>
      <c r="CG80" s="106">
        <v>16909.199999999997</v>
      </c>
      <c r="CH80" s="106">
        <v>28</v>
      </c>
      <c r="CI80" s="106">
        <v>22545.599999999999</v>
      </c>
      <c r="CJ80" s="106">
        <v>29.181841563786008</v>
      </c>
      <c r="CK80" s="106">
        <v>23497.218827160494</v>
      </c>
      <c r="CL80" s="106">
        <v>16.195367264160755</v>
      </c>
      <c r="CM80" s="106">
        <v>13040.509721102238</v>
      </c>
      <c r="CN80" s="106">
        <v>5.0595183133271773</v>
      </c>
      <c r="CO80" s="106">
        <v>4073.9241458910428</v>
      </c>
      <c r="CP80" s="106">
        <v>4.0619490358126722</v>
      </c>
      <c r="CQ80" s="106">
        <v>3270.6813636363636</v>
      </c>
      <c r="CR80" s="106">
        <v>4</v>
      </c>
      <c r="CS80" s="106">
        <v>3220.7999999999997</v>
      </c>
      <c r="CT80" s="106">
        <v>5.1227664464234417</v>
      </c>
      <c r="CU80" s="106">
        <v>4124.8515426601552</v>
      </c>
    </row>
    <row r="81" spans="2:99" x14ac:dyDescent="0.2">
      <c r="C81" s="105" t="s">
        <v>247</v>
      </c>
      <c r="D81" s="106">
        <v>20</v>
      </c>
      <c r="E81" s="106">
        <v>15072</v>
      </c>
      <c r="F81" s="106">
        <v>17.313567524454037</v>
      </c>
      <c r="G81" s="106">
        <v>13047.504486428563</v>
      </c>
      <c r="H81" s="106">
        <v>13.395258272632674</v>
      </c>
      <c r="I81" s="106">
        <v>10094.666634255984</v>
      </c>
      <c r="J81" s="106">
        <v>18.0753943995038</v>
      </c>
      <c r="K81" s="106">
        <v>13621.617219466065</v>
      </c>
      <c r="L81" s="106">
        <v>16.079284536717616</v>
      </c>
      <c r="M81" s="106">
        <v>12117.348826870395</v>
      </c>
      <c r="N81" s="106">
        <v>20.075715695285467</v>
      </c>
      <c r="O81" s="106">
        <v>15129.059347967128</v>
      </c>
      <c r="P81" s="106">
        <v>21</v>
      </c>
      <c r="Q81" s="106">
        <v>15825.6</v>
      </c>
      <c r="R81" s="106">
        <v>19.158548193752829</v>
      </c>
      <c r="S81" s="106">
        <v>14437.881918812132</v>
      </c>
      <c r="T81" s="106">
        <v>5.0430413223140498</v>
      </c>
      <c r="U81" s="106">
        <v>3800.4359404958682</v>
      </c>
      <c r="V81" s="106">
        <v>5.0443952101371847</v>
      </c>
      <c r="W81" s="106">
        <v>3801.4562303593825</v>
      </c>
      <c r="X81" s="106">
        <v>4.1031536470122223</v>
      </c>
      <c r="Y81" s="106">
        <v>3092.1365883884109</v>
      </c>
      <c r="Z81" s="106">
        <v>5.0329854874012909</v>
      </c>
      <c r="AA81" s="106">
        <v>3792.8578633056131</v>
      </c>
      <c r="AB81" s="106">
        <v>9.1160977150611284</v>
      </c>
      <c r="AC81" s="106">
        <v>6869.8912380700667</v>
      </c>
      <c r="AD81" s="106">
        <v>11</v>
      </c>
      <c r="AE81" s="106">
        <v>8289.6</v>
      </c>
      <c r="AF81" s="106">
        <v>10.109131721252933</v>
      </c>
      <c r="AG81" s="106">
        <v>7618.24166513621</v>
      </c>
      <c r="AH81" s="106">
        <v>8.1763333285142181</v>
      </c>
      <c r="AI81" s="106">
        <v>6161.6847963683149</v>
      </c>
      <c r="AJ81" s="106">
        <v>4.038876296085804</v>
      </c>
      <c r="AK81" s="106">
        <v>3043.6971767302621</v>
      </c>
      <c r="AL81" s="106">
        <v>5.0475277461022063</v>
      </c>
      <c r="AM81" s="106">
        <v>3803.8169094626228</v>
      </c>
      <c r="AN81" s="106">
        <v>4</v>
      </c>
      <c r="AO81" s="106">
        <v>3014.4</v>
      </c>
      <c r="AP81" s="106">
        <v>5.0759844361074347</v>
      </c>
      <c r="AQ81" s="106">
        <v>3825.2618710505631</v>
      </c>
      <c r="AR81" s="106">
        <v>39.187103182941634</v>
      </c>
      <c r="AS81" s="106">
        <v>29531.400958664817</v>
      </c>
      <c r="AT81" s="106">
        <v>32.147951097230099</v>
      </c>
      <c r="AU81" s="106">
        <v>24226.695946872602</v>
      </c>
      <c r="AV81" s="106">
        <v>39.133238468984089</v>
      </c>
      <c r="AW81" s="106">
        <v>29490.808510226412</v>
      </c>
      <c r="AX81" s="106">
        <v>25.180246647892812</v>
      </c>
      <c r="AY81" s="106">
        <v>18975.833873852025</v>
      </c>
      <c r="AZ81" s="106">
        <v>64.053953338999619</v>
      </c>
      <c r="BA81" s="106">
        <v>48271.059236270114</v>
      </c>
      <c r="BB81" s="106">
        <v>76.062604952704859</v>
      </c>
      <c r="BC81" s="106">
        <v>57320.779092358382</v>
      </c>
      <c r="BD81" s="106">
        <v>35</v>
      </c>
      <c r="BE81" s="106">
        <v>26376</v>
      </c>
      <c r="BF81" s="106">
        <v>53.07881403640458</v>
      </c>
      <c r="BG81" s="106">
        <v>40000.19425783449</v>
      </c>
      <c r="BH81" s="106">
        <v>6.1596245434623818</v>
      </c>
      <c r="BI81" s="106">
        <v>4641.893055953251</v>
      </c>
      <c r="BJ81" s="106">
        <v>6.2735434319791601</v>
      </c>
      <c r="BK81" s="106">
        <v>4727.7423303394953</v>
      </c>
      <c r="BL81" s="106">
        <v>4</v>
      </c>
      <c r="BM81" s="106">
        <v>3014.4</v>
      </c>
      <c r="BN81" s="106">
        <v>3.1663254134214744</v>
      </c>
      <c r="BO81" s="106">
        <v>2386.1428315544231</v>
      </c>
      <c r="BP81" s="106">
        <v>4.053315780259795</v>
      </c>
      <c r="BQ81" s="106">
        <v>3054.5787720037815</v>
      </c>
      <c r="BR81" s="106">
        <v>3.034164790089946</v>
      </c>
      <c r="BS81" s="106">
        <v>2286.5465858117832</v>
      </c>
      <c r="BT81" s="106">
        <v>4.0807627340183794</v>
      </c>
      <c r="BU81" s="106">
        <v>3075.2627963562509</v>
      </c>
      <c r="BV81" s="106">
        <v>4.0398110043846609</v>
      </c>
      <c r="BW81" s="106">
        <v>3044.4015729042803</v>
      </c>
      <c r="BX81" s="106">
        <v>3</v>
      </c>
      <c r="BY81" s="106">
        <v>2260.8000000000002</v>
      </c>
      <c r="BZ81" s="106">
        <v>5.0817682818073724</v>
      </c>
      <c r="CA81" s="106">
        <v>3829.6205771700361</v>
      </c>
      <c r="CB81" s="106">
        <v>4.0685766511119228</v>
      </c>
      <c r="CC81" s="106">
        <v>3066.0793642779449</v>
      </c>
      <c r="CD81" s="106">
        <v>6.1173462188027772</v>
      </c>
      <c r="CE81" s="106">
        <v>4610.032110489773</v>
      </c>
      <c r="CF81" s="106">
        <v>21</v>
      </c>
      <c r="CG81" s="106">
        <v>15825.6</v>
      </c>
      <c r="CH81" s="106">
        <v>30</v>
      </c>
      <c r="CI81" s="106">
        <v>22608</v>
      </c>
      <c r="CJ81" s="106">
        <v>25.181841563786008</v>
      </c>
      <c r="CK81" s="106">
        <v>18977.035802469138</v>
      </c>
      <c r="CL81" s="106">
        <v>18.170946356140661</v>
      </c>
      <c r="CM81" s="106">
        <v>13693.625173987602</v>
      </c>
      <c r="CN81" s="106">
        <v>4.0714219759926129</v>
      </c>
      <c r="CO81" s="106">
        <v>3068.2236011080331</v>
      </c>
      <c r="CP81" s="106">
        <v>4.0671114554637278</v>
      </c>
      <c r="CQ81" s="106">
        <v>3064.9751928374653</v>
      </c>
      <c r="CR81" s="106">
        <v>4</v>
      </c>
      <c r="CS81" s="106">
        <v>3014.4</v>
      </c>
      <c r="CT81" s="106">
        <v>4.1227664464234417</v>
      </c>
      <c r="CU81" s="106">
        <v>3106.9167940247057</v>
      </c>
    </row>
    <row r="82" spans="2:99" x14ac:dyDescent="0.2">
      <c r="C82" s="105" t="s">
        <v>248</v>
      </c>
      <c r="D82" s="106">
        <v>23</v>
      </c>
      <c r="E82" s="106">
        <v>11702.399999999998</v>
      </c>
      <c r="F82" s="106">
        <v>16.33969815149187</v>
      </c>
      <c r="G82" s="106">
        <v>8313.6384194790626</v>
      </c>
      <c r="H82" s="106">
        <v>12.368907721123829</v>
      </c>
      <c r="I82" s="106">
        <v>6293.3002485078032</v>
      </c>
      <c r="J82" s="106">
        <v>18.079362525793471</v>
      </c>
      <c r="K82" s="106">
        <v>9198.7796531237163</v>
      </c>
      <c r="L82" s="106">
        <v>15.08879868112373</v>
      </c>
      <c r="M82" s="106">
        <v>7677.1807689557527</v>
      </c>
      <c r="N82" s="106">
        <v>23.079501480049739</v>
      </c>
      <c r="O82" s="106">
        <v>11742.850353049305</v>
      </c>
      <c r="P82" s="106">
        <v>23</v>
      </c>
      <c r="Q82" s="106">
        <v>11702.399999999998</v>
      </c>
      <c r="R82" s="106">
        <v>21.144761394296061</v>
      </c>
      <c r="S82" s="106">
        <v>10758.454597417835</v>
      </c>
      <c r="T82" s="106">
        <v>4.0457314049586781</v>
      </c>
      <c r="U82" s="106">
        <v>2058.4681388429749</v>
      </c>
      <c r="V82" s="106">
        <v>6.0443952101371847</v>
      </c>
      <c r="W82" s="106">
        <v>3075.3882829177992</v>
      </c>
      <c r="X82" s="106">
        <v>5.1194410649615207</v>
      </c>
      <c r="Y82" s="106">
        <v>2604.7716138524211</v>
      </c>
      <c r="Z82" s="106">
        <v>6.0355228325860049</v>
      </c>
      <c r="AA82" s="106">
        <v>3070.8740172197586</v>
      </c>
      <c r="AB82" s="106">
        <v>8.1160977150611284</v>
      </c>
      <c r="AC82" s="106">
        <v>4129.4705174231012</v>
      </c>
      <c r="AD82" s="106">
        <v>10</v>
      </c>
      <c r="AE82" s="106">
        <v>5087.9999999999991</v>
      </c>
      <c r="AF82" s="106">
        <v>10.115952453831241</v>
      </c>
      <c r="AG82" s="106">
        <v>5146.9966085093347</v>
      </c>
      <c r="AH82" s="106">
        <v>9.1616388844713672</v>
      </c>
      <c r="AI82" s="106">
        <v>4661.4418644190309</v>
      </c>
      <c r="AJ82" s="106">
        <v>4.0424105048208778</v>
      </c>
      <c r="AK82" s="106">
        <v>2056.7784648528623</v>
      </c>
      <c r="AL82" s="106">
        <v>6.0514883916107234</v>
      </c>
      <c r="AM82" s="106">
        <v>3078.9972936515355</v>
      </c>
      <c r="AN82" s="106">
        <v>4</v>
      </c>
      <c r="AO82" s="106">
        <v>2035.1999999999996</v>
      </c>
      <c r="AP82" s="106">
        <v>5.0759844361074347</v>
      </c>
      <c r="AQ82" s="106">
        <v>2582.6608810914622</v>
      </c>
      <c r="AR82" s="106">
        <v>41.213038277606813</v>
      </c>
      <c r="AS82" s="106">
        <v>20969.193875646342</v>
      </c>
      <c r="AT82" s="106">
        <v>35.165212058573609</v>
      </c>
      <c r="AU82" s="106">
        <v>17892.05989540225</v>
      </c>
      <c r="AV82" s="106">
        <v>41.142755502482956</v>
      </c>
      <c r="AW82" s="106">
        <v>20933.433999663324</v>
      </c>
      <c r="AX82" s="106">
        <v>26.184390248993797</v>
      </c>
      <c r="AY82" s="106">
        <v>13322.61775868804</v>
      </c>
      <c r="AZ82" s="106">
        <v>61.060697506374567</v>
      </c>
      <c r="BA82" s="106">
        <v>31067.682891243374</v>
      </c>
      <c r="BB82" s="106">
        <v>75.06956105856095</v>
      </c>
      <c r="BC82" s="106">
        <v>38195.392666595806</v>
      </c>
      <c r="BD82" s="106">
        <v>38</v>
      </c>
      <c r="BE82" s="106">
        <v>19334.399999999998</v>
      </c>
      <c r="BF82" s="106">
        <v>63.07881403640458</v>
      </c>
      <c r="BG82" s="106">
        <v>32094.500581722645</v>
      </c>
      <c r="BH82" s="106">
        <v>6.1522001460920377</v>
      </c>
      <c r="BI82" s="106">
        <v>3130.2394343316282</v>
      </c>
      <c r="BJ82" s="106">
        <v>6.2657279053511843</v>
      </c>
      <c r="BK82" s="106">
        <v>3188.002358242682</v>
      </c>
      <c r="BL82" s="106">
        <v>4</v>
      </c>
      <c r="BM82" s="106">
        <v>2035.1999999999996</v>
      </c>
      <c r="BN82" s="106">
        <v>4.1694636287690496</v>
      </c>
      <c r="BO82" s="106">
        <v>2121.4230943176922</v>
      </c>
      <c r="BP82" s="106">
        <v>4.0630095584888481</v>
      </c>
      <c r="BQ82" s="106">
        <v>2067.2592633591257</v>
      </c>
      <c r="BR82" s="106">
        <v>3.0384353888511892</v>
      </c>
      <c r="BS82" s="106">
        <v>1545.9559258474849</v>
      </c>
      <c r="BT82" s="106">
        <v>4.0807627340183794</v>
      </c>
      <c r="BU82" s="106">
        <v>2076.2920790685512</v>
      </c>
      <c r="BV82" s="106">
        <v>4.0353875594530324</v>
      </c>
      <c r="BW82" s="106">
        <v>2053.2051902497024</v>
      </c>
      <c r="BX82" s="106">
        <v>3</v>
      </c>
      <c r="BY82" s="106">
        <v>1526.3999999999996</v>
      </c>
      <c r="BZ82" s="106">
        <v>5.0817682818073724</v>
      </c>
      <c r="CA82" s="106">
        <v>2585.6037017835906</v>
      </c>
      <c r="CB82" s="106">
        <v>4.0685766511119228</v>
      </c>
      <c r="CC82" s="106">
        <v>2070.0918000857459</v>
      </c>
      <c r="CD82" s="106">
        <v>7.1229341339838621</v>
      </c>
      <c r="CE82" s="106">
        <v>3624.1488873709882</v>
      </c>
      <c r="CF82" s="106">
        <v>24</v>
      </c>
      <c r="CG82" s="106">
        <v>12211.199999999997</v>
      </c>
      <c r="CH82" s="106">
        <v>35</v>
      </c>
      <c r="CI82" s="106">
        <v>17807.999999999996</v>
      </c>
      <c r="CJ82" s="106">
        <v>31.169718792866941</v>
      </c>
      <c r="CK82" s="106">
        <v>15859.152921810697</v>
      </c>
      <c r="CL82" s="106">
        <v>19.170946356140661</v>
      </c>
      <c r="CM82" s="106">
        <v>9754.1775060043656</v>
      </c>
      <c r="CN82" s="106">
        <v>5.0595183133271773</v>
      </c>
      <c r="CO82" s="106">
        <v>2574.2829178208672</v>
      </c>
      <c r="CP82" s="106">
        <v>4.0671114554637278</v>
      </c>
      <c r="CQ82" s="106">
        <v>2069.3463085399444</v>
      </c>
      <c r="CR82" s="106">
        <v>5</v>
      </c>
      <c r="CS82" s="106">
        <v>2543.9999999999995</v>
      </c>
      <c r="CT82" s="106">
        <v>5.1116058603849472</v>
      </c>
      <c r="CU82" s="106">
        <v>2600.7850617638605</v>
      </c>
    </row>
    <row r="83" spans="2:99" x14ac:dyDescent="0.2">
      <c r="C83" s="105" t="s">
        <v>249</v>
      </c>
      <c r="D83" s="106">
        <v>20</v>
      </c>
      <c r="E83" s="106">
        <v>17208</v>
      </c>
      <c r="F83" s="106">
        <v>16.313567524454037</v>
      </c>
      <c r="G83" s="106">
        <v>14036.193498040253</v>
      </c>
      <c r="H83" s="106">
        <v>12.395258272632674</v>
      </c>
      <c r="I83" s="106">
        <v>10664.880217773152</v>
      </c>
      <c r="J83" s="106">
        <v>16.091266904662493</v>
      </c>
      <c r="K83" s="106">
        <v>13844.92604477161</v>
      </c>
      <c r="L83" s="106">
        <v>16.082455918186323</v>
      </c>
      <c r="M83" s="106">
        <v>13837.345072007512</v>
      </c>
      <c r="N83" s="106">
        <v>21.083287264814015</v>
      </c>
      <c r="O83" s="106">
        <v>18140.060362645978</v>
      </c>
      <c r="P83" s="106">
        <v>23</v>
      </c>
      <c r="Q83" s="106">
        <v>19789.2</v>
      </c>
      <c r="R83" s="106">
        <v>18.151654794024445</v>
      </c>
      <c r="S83" s="106">
        <v>15617.683784778632</v>
      </c>
      <c r="T83" s="106">
        <v>4.0430413223140498</v>
      </c>
      <c r="U83" s="106">
        <v>3478.6327537190082</v>
      </c>
      <c r="V83" s="106">
        <v>5.0470066930864315</v>
      </c>
      <c r="W83" s="106">
        <v>4342.4445587315658</v>
      </c>
      <c r="X83" s="106">
        <v>4.1085827863286557</v>
      </c>
      <c r="Y83" s="106">
        <v>3535.0246293571754</v>
      </c>
      <c r="Z83" s="106">
        <v>5.0329854874012909</v>
      </c>
      <c r="AA83" s="106">
        <v>4330.3807133600703</v>
      </c>
      <c r="AB83" s="106">
        <v>8.1015855006784872</v>
      </c>
      <c r="AC83" s="106">
        <v>6970.6041647837701</v>
      </c>
      <c r="AD83" s="106">
        <v>10</v>
      </c>
      <c r="AE83" s="106">
        <v>8604</v>
      </c>
      <c r="AF83" s="106">
        <v>11.109131721252933</v>
      </c>
      <c r="AG83" s="106">
        <v>9558.2969329660227</v>
      </c>
      <c r="AH83" s="106">
        <v>9.1616388844713672</v>
      </c>
      <c r="AI83" s="106">
        <v>7882.6740961991645</v>
      </c>
      <c r="AJ83" s="106">
        <v>4.038876296085804</v>
      </c>
      <c r="AK83" s="106">
        <v>3475.0491651522257</v>
      </c>
      <c r="AL83" s="106">
        <v>5.0435671005936893</v>
      </c>
      <c r="AM83" s="106">
        <v>4339.4851333508104</v>
      </c>
      <c r="AN83" s="106">
        <v>4</v>
      </c>
      <c r="AO83" s="106">
        <v>3441.6</v>
      </c>
      <c r="AP83" s="106">
        <v>5.0844271512304831</v>
      </c>
      <c r="AQ83" s="106">
        <v>4374.6411209187072</v>
      </c>
      <c r="AR83" s="106">
        <v>44.20377574379782</v>
      </c>
      <c r="AS83" s="106">
        <v>38032.928649963644</v>
      </c>
      <c r="AT83" s="106">
        <v>36.150416948850598</v>
      </c>
      <c r="AU83" s="106">
        <v>31103.818742791053</v>
      </c>
      <c r="AV83" s="106">
        <v>40.147514019232389</v>
      </c>
      <c r="AW83" s="106">
        <v>34542.921062147543</v>
      </c>
      <c r="AX83" s="106">
        <v>24.163672243488875</v>
      </c>
      <c r="AY83" s="106">
        <v>20790.423598297828</v>
      </c>
      <c r="AZ83" s="106">
        <v>61.053953338999612</v>
      </c>
      <c r="BA83" s="106">
        <v>52530.821452875265</v>
      </c>
      <c r="BB83" s="106">
        <v>61.06956105856095</v>
      </c>
      <c r="BC83" s="106">
        <v>52544.250334785836</v>
      </c>
      <c r="BD83" s="106">
        <v>38</v>
      </c>
      <c r="BE83" s="106">
        <v>32695.200000000001</v>
      </c>
      <c r="BF83" s="106">
        <v>53.070932632764119</v>
      </c>
      <c r="BG83" s="106">
        <v>45662.230437230246</v>
      </c>
      <c r="BH83" s="106">
        <v>6.1596245434623818</v>
      </c>
      <c r="BI83" s="106">
        <v>5299.7409571950329</v>
      </c>
      <c r="BJ83" s="106">
        <v>6.2344657988392802</v>
      </c>
      <c r="BK83" s="106">
        <v>5364.1343733213162</v>
      </c>
      <c r="BL83" s="106">
        <v>4</v>
      </c>
      <c r="BM83" s="106">
        <v>3441.6</v>
      </c>
      <c r="BN83" s="106">
        <v>4.1506343366835994</v>
      </c>
      <c r="BO83" s="106">
        <v>3571.205783282569</v>
      </c>
      <c r="BP83" s="106">
        <v>5.053315780259795</v>
      </c>
      <c r="BQ83" s="106">
        <v>4347.8728973355273</v>
      </c>
      <c r="BR83" s="106">
        <v>3.0384353888511892</v>
      </c>
      <c r="BS83" s="106">
        <v>2614.2698085675634</v>
      </c>
      <c r="BT83" s="106">
        <v>4.0717890969052259</v>
      </c>
      <c r="BU83" s="106">
        <v>3503.3673389772562</v>
      </c>
      <c r="BV83" s="106">
        <v>4.0353875594530324</v>
      </c>
      <c r="BW83" s="106">
        <v>3472.0474561533888</v>
      </c>
      <c r="BX83" s="106">
        <v>3</v>
      </c>
      <c r="BY83" s="106">
        <v>2581.1999999999998</v>
      </c>
      <c r="BZ83" s="106">
        <v>5.0817682818073724</v>
      </c>
      <c r="CA83" s="106">
        <v>4372.3534296670632</v>
      </c>
      <c r="CB83" s="106">
        <v>4.0647668371612609</v>
      </c>
      <c r="CC83" s="106">
        <v>3497.3253866935488</v>
      </c>
      <c r="CD83" s="106">
        <v>5.1173462188027772</v>
      </c>
      <c r="CE83" s="106">
        <v>4402.9646866579096</v>
      </c>
      <c r="CF83" s="106">
        <v>22</v>
      </c>
      <c r="CG83" s="106">
        <v>18928.8</v>
      </c>
      <c r="CH83" s="106">
        <v>28</v>
      </c>
      <c r="CI83" s="106">
        <v>24091.200000000001</v>
      </c>
      <c r="CJ83" s="106">
        <v>26.169718792866941</v>
      </c>
      <c r="CK83" s="106">
        <v>22516.426049382717</v>
      </c>
      <c r="CL83" s="106">
        <v>17.18315681015071</v>
      </c>
      <c r="CM83" s="106">
        <v>14784.38811945367</v>
      </c>
      <c r="CN83" s="106">
        <v>5.0714219759926129</v>
      </c>
      <c r="CO83" s="106">
        <v>4363.4514681440442</v>
      </c>
      <c r="CP83" s="106">
        <v>4.0671114554637278</v>
      </c>
      <c r="CQ83" s="106">
        <v>3499.3426962809913</v>
      </c>
      <c r="CR83" s="106">
        <v>4</v>
      </c>
      <c r="CS83" s="106">
        <v>3441.6</v>
      </c>
      <c r="CT83" s="106">
        <v>5.1227664464234417</v>
      </c>
      <c r="CU83" s="106">
        <v>4407.6282505027293</v>
      </c>
    </row>
    <row r="84" spans="2:99" x14ac:dyDescent="0.2">
      <c r="C84" s="105" t="s">
        <v>250</v>
      </c>
      <c r="D84" s="106">
        <v>20</v>
      </c>
      <c r="E84" s="106">
        <v>15623.999999999998</v>
      </c>
      <c r="F84" s="106">
        <v>15.391959405567544</v>
      </c>
      <c r="G84" s="106">
        <v>12024.198687629365</v>
      </c>
      <c r="H84" s="106">
        <v>12.395258272632674</v>
      </c>
      <c r="I84" s="106">
        <v>9683.175762580644</v>
      </c>
      <c r="J84" s="106">
        <v>17.083330652083145</v>
      </c>
      <c r="K84" s="106">
        <v>13345.497905407352</v>
      </c>
      <c r="L84" s="106">
        <v>16.079284536717616</v>
      </c>
      <c r="M84" s="106">
        <v>12561.137080083799</v>
      </c>
      <c r="N84" s="106">
        <v>22.087073049578287</v>
      </c>
      <c r="O84" s="106">
        <v>17254.421466330557</v>
      </c>
      <c r="P84" s="106">
        <v>23</v>
      </c>
      <c r="Q84" s="106">
        <v>17967.599999999999</v>
      </c>
      <c r="R84" s="106">
        <v>18.158548193752829</v>
      </c>
      <c r="S84" s="106">
        <v>14185.457848959708</v>
      </c>
      <c r="T84" s="106">
        <v>4.0430413223140498</v>
      </c>
      <c r="U84" s="106">
        <v>3158.4238809917356</v>
      </c>
      <c r="V84" s="106">
        <v>5.0443952101371847</v>
      </c>
      <c r="W84" s="106">
        <v>3940.6815381591682</v>
      </c>
      <c r="X84" s="106">
        <v>5.1140119256450882</v>
      </c>
      <c r="Y84" s="106">
        <v>3995.0661163139425</v>
      </c>
      <c r="Z84" s="106">
        <v>5.0329854874012909</v>
      </c>
      <c r="AA84" s="106">
        <v>3931.7682627578884</v>
      </c>
      <c r="AB84" s="106">
        <v>8.1015855006784872</v>
      </c>
      <c r="AC84" s="106">
        <v>6328.9585931300335</v>
      </c>
      <c r="AD84" s="106">
        <v>10</v>
      </c>
      <c r="AE84" s="106">
        <v>7811.9999999999991</v>
      </c>
      <c r="AF84" s="106">
        <v>10.109131721252933</v>
      </c>
      <c r="AG84" s="106">
        <v>7897.2537006427901</v>
      </c>
      <c r="AH84" s="106">
        <v>8.1763333285142181</v>
      </c>
      <c r="AI84" s="106">
        <v>6387.3515962353067</v>
      </c>
      <c r="AJ84" s="106">
        <v>4.038876296085804</v>
      </c>
      <c r="AK84" s="106">
        <v>3155.1701625022297</v>
      </c>
      <c r="AL84" s="106">
        <v>5.0475277461022063</v>
      </c>
      <c r="AM84" s="106">
        <v>3943.1286752550432</v>
      </c>
      <c r="AN84" s="106">
        <v>4</v>
      </c>
      <c r="AO84" s="106">
        <v>3124.7999999999997</v>
      </c>
      <c r="AP84" s="106">
        <v>5.0759844361074347</v>
      </c>
      <c r="AQ84" s="106">
        <v>3965.3590414871278</v>
      </c>
      <c r="AR84" s="106">
        <v>46.192660703227027</v>
      </c>
      <c r="AS84" s="106">
        <v>36085.706541360953</v>
      </c>
      <c r="AT84" s="106">
        <v>34.155348652091604</v>
      </c>
      <c r="AU84" s="106">
        <v>26682.158367013959</v>
      </c>
      <c r="AV84" s="106">
        <v>39.149893277607106</v>
      </c>
      <c r="AW84" s="106">
        <v>30583.896628466668</v>
      </c>
      <c r="AX84" s="106">
        <v>25.165744044039368</v>
      </c>
      <c r="AY84" s="106">
        <v>19659.479247203551</v>
      </c>
      <c r="AZ84" s="106">
        <v>62.053953338999612</v>
      </c>
      <c r="BA84" s="106">
        <v>48476.548348426491</v>
      </c>
      <c r="BB84" s="106">
        <v>76.062604952704859</v>
      </c>
      <c r="BC84" s="106">
        <v>59420.106989053034</v>
      </c>
      <c r="BD84" s="106">
        <v>39</v>
      </c>
      <c r="BE84" s="106">
        <v>30466.799999999996</v>
      </c>
      <c r="BF84" s="106">
        <v>61.063051229123666</v>
      </c>
      <c r="BG84" s="106">
        <v>47702.455620191402</v>
      </c>
      <c r="BH84" s="106">
        <v>6.1670489408327249</v>
      </c>
      <c r="BI84" s="106">
        <v>4817.6986325785247</v>
      </c>
      <c r="BJ84" s="106">
        <v>6.2735434319791601</v>
      </c>
      <c r="BK84" s="106">
        <v>4900.8921290621192</v>
      </c>
      <c r="BL84" s="106">
        <v>5</v>
      </c>
      <c r="BM84" s="106">
        <v>3905.9999999999995</v>
      </c>
      <c r="BN84" s="106">
        <v>4.1663254134214744</v>
      </c>
      <c r="BO84" s="106">
        <v>3254.7334129648557</v>
      </c>
      <c r="BP84" s="106">
        <v>5.053315780259795</v>
      </c>
      <c r="BQ84" s="106">
        <v>3947.6502875389515</v>
      </c>
      <c r="BR84" s="106">
        <v>3.0384353888511892</v>
      </c>
      <c r="BS84" s="106">
        <v>2373.6257257705488</v>
      </c>
      <c r="BT84" s="106">
        <v>4.0807627340183794</v>
      </c>
      <c r="BU84" s="106">
        <v>3187.8918478151577</v>
      </c>
      <c r="BV84" s="106">
        <v>4.0353875594530324</v>
      </c>
      <c r="BW84" s="106">
        <v>3152.4447614447085</v>
      </c>
      <c r="BX84" s="106">
        <v>3</v>
      </c>
      <c r="BY84" s="106">
        <v>2343.6</v>
      </c>
      <c r="BZ84" s="106">
        <v>5.0746579964328182</v>
      </c>
      <c r="CA84" s="106">
        <v>3964.3228268133171</v>
      </c>
      <c r="CB84" s="106">
        <v>4.0647668371612609</v>
      </c>
      <c r="CC84" s="106">
        <v>3175.3958531903768</v>
      </c>
      <c r="CD84" s="106">
        <v>6.1173462188027772</v>
      </c>
      <c r="CE84" s="106">
        <v>4778.8708661287292</v>
      </c>
      <c r="CF84" s="106">
        <v>23</v>
      </c>
      <c r="CG84" s="106">
        <v>17967.599999999999</v>
      </c>
      <c r="CH84" s="106">
        <v>29</v>
      </c>
      <c r="CI84" s="106">
        <v>22654.799999999999</v>
      </c>
      <c r="CJ84" s="106">
        <v>27.181841563786008</v>
      </c>
      <c r="CK84" s="106">
        <v>21234.454629629628</v>
      </c>
      <c r="CL84" s="106">
        <v>18.170946356140661</v>
      </c>
      <c r="CM84" s="106">
        <v>14195.143293417083</v>
      </c>
      <c r="CN84" s="106">
        <v>5.0654701446598951</v>
      </c>
      <c r="CO84" s="106">
        <v>3957.1452770083097</v>
      </c>
      <c r="CP84" s="106">
        <v>4.0671114554637278</v>
      </c>
      <c r="CQ84" s="106">
        <v>3177.2274690082641</v>
      </c>
      <c r="CR84" s="106">
        <v>4</v>
      </c>
      <c r="CS84" s="106">
        <v>3124.7999999999997</v>
      </c>
      <c r="CT84" s="106">
        <v>5.1227664464234417</v>
      </c>
      <c r="CU84" s="106">
        <v>4001.9051479459922</v>
      </c>
    </row>
    <row r="85" spans="2:99" x14ac:dyDescent="0.2">
      <c r="C85" s="105" t="s">
        <v>251</v>
      </c>
      <c r="D85" s="106">
        <v>23</v>
      </c>
      <c r="E85" s="106">
        <v>3450</v>
      </c>
      <c r="F85" s="106">
        <v>18.391959405567544</v>
      </c>
      <c r="G85" s="106">
        <v>2758.7939108351316</v>
      </c>
      <c r="H85" s="106">
        <v>13.368907721123829</v>
      </c>
      <c r="I85" s="106">
        <v>2005.3361581685745</v>
      </c>
      <c r="J85" s="106">
        <v>17.079362525793471</v>
      </c>
      <c r="K85" s="106">
        <v>2561.9043788690205</v>
      </c>
      <c r="L85" s="106">
        <v>17.079284536717616</v>
      </c>
      <c r="M85" s="106">
        <v>2561.8926805076421</v>
      </c>
      <c r="N85" s="106">
        <v>25.090858834342562</v>
      </c>
      <c r="O85" s="106">
        <v>3763.6288251513843</v>
      </c>
      <c r="P85" s="106">
        <v>26</v>
      </c>
      <c r="Q85" s="106">
        <v>3900</v>
      </c>
      <c r="R85" s="106">
        <v>20.158548193752829</v>
      </c>
      <c r="S85" s="106">
        <v>3023.7822290629242</v>
      </c>
      <c r="T85" s="106">
        <v>5.0457314049586781</v>
      </c>
      <c r="U85" s="106">
        <v>756.85971074380177</v>
      </c>
      <c r="V85" s="106">
        <v>5.0470066930864315</v>
      </c>
      <c r="W85" s="106">
        <v>757.05100396296473</v>
      </c>
      <c r="X85" s="106">
        <v>5.1302993435943867</v>
      </c>
      <c r="Y85" s="106">
        <v>769.54490153915799</v>
      </c>
      <c r="Z85" s="106">
        <v>6.0355228325860049</v>
      </c>
      <c r="AA85" s="106">
        <v>905.32842488790072</v>
      </c>
      <c r="AB85" s="106">
        <v>9.1088416078698078</v>
      </c>
      <c r="AC85" s="106">
        <v>1366.3262411804712</v>
      </c>
      <c r="AD85" s="106">
        <v>10</v>
      </c>
      <c r="AE85" s="106">
        <v>1500</v>
      </c>
      <c r="AF85" s="106">
        <v>12.129593918987858</v>
      </c>
      <c r="AG85" s="106">
        <v>1819.4390878481788</v>
      </c>
      <c r="AH85" s="106">
        <v>8.1763333285142181</v>
      </c>
      <c r="AI85" s="106">
        <v>1226.4499992771327</v>
      </c>
      <c r="AJ85" s="106">
        <v>4.0424105048208778</v>
      </c>
      <c r="AK85" s="106">
        <v>606.36157572313164</v>
      </c>
      <c r="AL85" s="106">
        <v>6.0435671005936893</v>
      </c>
      <c r="AM85" s="106">
        <v>906.53506508905343</v>
      </c>
      <c r="AN85" s="106">
        <v>4</v>
      </c>
      <c r="AO85" s="106">
        <v>600</v>
      </c>
      <c r="AP85" s="106">
        <v>5.0844271512304831</v>
      </c>
      <c r="AQ85" s="106">
        <v>762.66407268457249</v>
      </c>
      <c r="AR85" s="106">
        <v>48.220448304654006</v>
      </c>
      <c r="AS85" s="106">
        <v>7233.067245698101</v>
      </c>
      <c r="AT85" s="106">
        <v>43.157814503712103</v>
      </c>
      <c r="AU85" s="106">
        <v>6473.6721755568151</v>
      </c>
      <c r="AV85" s="106">
        <v>47.171306602979548</v>
      </c>
      <c r="AW85" s="106">
        <v>7075.6959904469322</v>
      </c>
      <c r="AX85" s="106">
        <v>28.219610858352162</v>
      </c>
      <c r="AY85" s="106">
        <v>4232.9416287528247</v>
      </c>
      <c r="AZ85" s="106">
        <v>71.060697506374567</v>
      </c>
      <c r="BA85" s="106">
        <v>10659.104625956184</v>
      </c>
      <c r="BB85" s="106">
        <v>84.076517164417041</v>
      </c>
      <c r="BC85" s="106">
        <v>12611.477574662556</v>
      </c>
      <c r="BD85" s="106">
        <v>43</v>
      </c>
      <c r="BE85" s="106">
        <v>6450</v>
      </c>
      <c r="BF85" s="106">
        <v>63.07881403640458</v>
      </c>
      <c r="BG85" s="106">
        <v>9461.8221054606875</v>
      </c>
      <c r="BH85" s="106">
        <v>7.1559123447772093</v>
      </c>
      <c r="BI85" s="106">
        <v>1073.3868517165813</v>
      </c>
      <c r="BJ85" s="106">
        <v>6.2579123787232085</v>
      </c>
      <c r="BK85" s="106">
        <v>938.68685680848125</v>
      </c>
      <c r="BL85" s="106">
        <v>5</v>
      </c>
      <c r="BM85" s="106">
        <v>750</v>
      </c>
      <c r="BN85" s="106">
        <v>4.1663254134214744</v>
      </c>
      <c r="BO85" s="106">
        <v>624.94881201322119</v>
      </c>
      <c r="BP85" s="106">
        <v>5.0581626693743216</v>
      </c>
      <c r="BQ85" s="106">
        <v>758.72440040614822</v>
      </c>
      <c r="BR85" s="106">
        <v>3.0384353888511892</v>
      </c>
      <c r="BS85" s="106">
        <v>455.76530832767838</v>
      </c>
      <c r="BT85" s="106">
        <v>4.0897363711315329</v>
      </c>
      <c r="BU85" s="106">
        <v>613.46045566972998</v>
      </c>
      <c r="BV85" s="106">
        <v>5.0353875594530324</v>
      </c>
      <c r="BW85" s="106">
        <v>755.30813391795482</v>
      </c>
      <c r="BX85" s="106">
        <v>3</v>
      </c>
      <c r="BY85" s="106">
        <v>450</v>
      </c>
      <c r="BZ85" s="106">
        <v>5.0817682818073724</v>
      </c>
      <c r="CA85" s="106">
        <v>762.26524227110588</v>
      </c>
      <c r="CB85" s="106">
        <v>5.0685766511119228</v>
      </c>
      <c r="CC85" s="106">
        <v>760.28649766678836</v>
      </c>
      <c r="CD85" s="106">
        <v>6.1117583036216923</v>
      </c>
      <c r="CE85" s="106">
        <v>916.76374554325389</v>
      </c>
      <c r="CF85" s="106">
        <v>23</v>
      </c>
      <c r="CG85" s="106">
        <v>3450</v>
      </c>
      <c r="CH85" s="106">
        <v>31</v>
      </c>
      <c r="CI85" s="106">
        <v>4650</v>
      </c>
      <c r="CJ85" s="106">
        <v>28.169718792866941</v>
      </c>
      <c r="CK85" s="106">
        <v>4225.457818930041</v>
      </c>
      <c r="CL85" s="106">
        <v>20.170946356140661</v>
      </c>
      <c r="CM85" s="106">
        <v>3025.6419534210991</v>
      </c>
      <c r="CN85" s="106">
        <v>5.0714219759926129</v>
      </c>
      <c r="CO85" s="106">
        <v>760.71329639889188</v>
      </c>
      <c r="CP85" s="106">
        <v>4.0671114554637278</v>
      </c>
      <c r="CQ85" s="106">
        <v>610.06671831955919</v>
      </c>
      <c r="CR85" s="106">
        <v>5</v>
      </c>
      <c r="CS85" s="106">
        <v>750</v>
      </c>
      <c r="CT85" s="106">
        <v>4.1116058603849472</v>
      </c>
      <c r="CU85" s="106">
        <v>616.74087905774206</v>
      </c>
    </row>
    <row r="86" spans="2:99" x14ac:dyDescent="0.2">
      <c r="C86" s="105" t="s">
        <v>252</v>
      </c>
      <c r="D86" s="106">
        <v>19</v>
      </c>
      <c r="E86" s="106">
        <v>10260</v>
      </c>
      <c r="F86" s="106">
        <v>16.33969815149187</v>
      </c>
      <c r="G86" s="106">
        <v>8823.4370018056106</v>
      </c>
      <c r="H86" s="106">
        <v>12.421608824141519</v>
      </c>
      <c r="I86" s="106">
        <v>6707.6687650364202</v>
      </c>
      <c r="J86" s="106">
        <v>17.087298778372819</v>
      </c>
      <c r="K86" s="106">
        <v>9227.1413403213228</v>
      </c>
      <c r="L86" s="106">
        <v>15.091970062592436</v>
      </c>
      <c r="M86" s="106">
        <v>8149.6638337999157</v>
      </c>
      <c r="N86" s="106">
        <v>21.083287264814015</v>
      </c>
      <c r="O86" s="106">
        <v>11384.975122999567</v>
      </c>
      <c r="P86" s="106">
        <v>24</v>
      </c>
      <c r="Q86" s="106">
        <v>12960</v>
      </c>
      <c r="R86" s="106">
        <v>22.158548193752829</v>
      </c>
      <c r="S86" s="106">
        <v>11965.616024626528</v>
      </c>
      <c r="T86" s="106">
        <v>5.0430413223140498</v>
      </c>
      <c r="U86" s="106">
        <v>2723.2423140495871</v>
      </c>
      <c r="V86" s="106">
        <v>5.0470066930864315</v>
      </c>
      <c r="W86" s="106">
        <v>2725.3836142666728</v>
      </c>
      <c r="X86" s="106">
        <v>5.1085827863286557</v>
      </c>
      <c r="Y86" s="106">
        <v>2758.6347046174742</v>
      </c>
      <c r="Z86" s="106">
        <v>6.0405975229554345</v>
      </c>
      <c r="AA86" s="106">
        <v>3261.9226623959348</v>
      </c>
      <c r="AB86" s="106">
        <v>9.1088416078698078</v>
      </c>
      <c r="AC86" s="106">
        <v>4918.7744682496959</v>
      </c>
      <c r="AD86" s="106">
        <v>11</v>
      </c>
      <c r="AE86" s="106">
        <v>5940</v>
      </c>
      <c r="AF86" s="106">
        <v>11.102310988674626</v>
      </c>
      <c r="AG86" s="106">
        <v>5995.2479338842977</v>
      </c>
      <c r="AH86" s="106">
        <v>8.1616388844713672</v>
      </c>
      <c r="AI86" s="106">
        <v>4407.284997614538</v>
      </c>
      <c r="AJ86" s="106">
        <v>4.0353420873507311</v>
      </c>
      <c r="AK86" s="106">
        <v>2179.0847271693947</v>
      </c>
      <c r="AL86" s="106">
        <v>6.0475277461022063</v>
      </c>
      <c r="AM86" s="106">
        <v>3265.6649828951913</v>
      </c>
      <c r="AN86" s="106">
        <v>4</v>
      </c>
      <c r="AO86" s="106">
        <v>2160</v>
      </c>
      <c r="AP86" s="106">
        <v>5.0759844361074347</v>
      </c>
      <c r="AQ86" s="106">
        <v>2741.0315954980147</v>
      </c>
      <c r="AR86" s="106">
        <v>47.179693155894441</v>
      </c>
      <c r="AS86" s="106">
        <v>25477.034304182998</v>
      </c>
      <c r="AT86" s="106">
        <v>35.160280355332603</v>
      </c>
      <c r="AU86" s="106">
        <v>18986.551391879606</v>
      </c>
      <c r="AV86" s="106">
        <v>41.140376244108239</v>
      </c>
      <c r="AW86" s="106">
        <v>22215.80317181845</v>
      </c>
      <c r="AX86" s="106">
        <v>30.203036453948226</v>
      </c>
      <c r="AY86" s="106">
        <v>16309.639685132042</v>
      </c>
      <c r="AZ86" s="106">
        <v>69.053953338999619</v>
      </c>
      <c r="BA86" s="106">
        <v>37289.134803059795</v>
      </c>
      <c r="BB86" s="106">
        <v>79.076517164417041</v>
      </c>
      <c r="BC86" s="106">
        <v>42701.319268785199</v>
      </c>
      <c r="BD86" s="106">
        <v>35</v>
      </c>
      <c r="BE86" s="106">
        <v>18900</v>
      </c>
      <c r="BF86" s="106">
        <v>57.070932632764119</v>
      </c>
      <c r="BG86" s="106">
        <v>30818.303621692623</v>
      </c>
      <c r="BH86" s="106">
        <v>7.1707611395178965</v>
      </c>
      <c r="BI86" s="106">
        <v>3872.2110153396643</v>
      </c>
      <c r="BJ86" s="106">
        <v>7.2735434319791601</v>
      </c>
      <c r="BK86" s="106">
        <v>3927.7134532687464</v>
      </c>
      <c r="BL86" s="106">
        <v>4</v>
      </c>
      <c r="BM86" s="106">
        <v>2160</v>
      </c>
      <c r="BN86" s="106">
        <v>4.1663254134214744</v>
      </c>
      <c r="BO86" s="106">
        <v>2249.815723247596</v>
      </c>
      <c r="BP86" s="106">
        <v>4.0581626693743216</v>
      </c>
      <c r="BQ86" s="106">
        <v>2191.4078414621335</v>
      </c>
      <c r="BR86" s="106">
        <v>3.034164790089946</v>
      </c>
      <c r="BS86" s="106">
        <v>1638.4489866485708</v>
      </c>
      <c r="BT86" s="106">
        <v>4.0807627340183794</v>
      </c>
      <c r="BU86" s="106">
        <v>2203.6118763699251</v>
      </c>
      <c r="BV86" s="106">
        <v>4.0353875594530324</v>
      </c>
      <c r="BW86" s="106">
        <v>2179.1092821046377</v>
      </c>
      <c r="BX86" s="106">
        <v>3</v>
      </c>
      <c r="BY86" s="106">
        <v>1620</v>
      </c>
      <c r="BZ86" s="106">
        <v>5.085323424494649</v>
      </c>
      <c r="CA86" s="106">
        <v>2746.0746492271105</v>
      </c>
      <c r="CB86" s="106">
        <v>4.0647668371612609</v>
      </c>
      <c r="CC86" s="106">
        <v>2194.9740920670811</v>
      </c>
      <c r="CD86" s="106">
        <v>6.1061703884406082</v>
      </c>
      <c r="CE86" s="106">
        <v>3297.3320097579285</v>
      </c>
      <c r="CF86" s="106">
        <v>24</v>
      </c>
      <c r="CG86" s="106">
        <v>12960</v>
      </c>
      <c r="CH86" s="106">
        <v>29</v>
      </c>
      <c r="CI86" s="106">
        <v>15660</v>
      </c>
      <c r="CJ86" s="106">
        <v>26.181841563786008</v>
      </c>
      <c r="CK86" s="106">
        <v>14138.194444444445</v>
      </c>
      <c r="CL86" s="106">
        <v>17.158735902130612</v>
      </c>
      <c r="CM86" s="106">
        <v>9265.7173871505311</v>
      </c>
      <c r="CN86" s="106">
        <v>4.0654701446598951</v>
      </c>
      <c r="CO86" s="106">
        <v>2195.3538781163434</v>
      </c>
      <c r="CP86" s="106">
        <v>4.0671114554637278</v>
      </c>
      <c r="CQ86" s="106">
        <v>2196.240185950413</v>
      </c>
      <c r="CR86" s="106">
        <v>5</v>
      </c>
      <c r="CS86" s="106">
        <v>2700</v>
      </c>
      <c r="CT86" s="106">
        <v>4.1116058603849472</v>
      </c>
      <c r="CU86" s="106">
        <v>2220.2671646078716</v>
      </c>
    </row>
    <row r="87" spans="2:99" x14ac:dyDescent="0.2">
      <c r="B87" s="105" t="s">
        <v>131</v>
      </c>
      <c r="C87" s="105" t="s">
        <v>253</v>
      </c>
      <c r="D87" s="106">
        <v>5</v>
      </c>
      <c r="E87" s="106">
        <v>9774</v>
      </c>
      <c r="F87" s="106">
        <v>7.3658287785297079</v>
      </c>
      <c r="G87" s="106">
        <v>14398.722096269872</v>
      </c>
      <c r="H87" s="106">
        <v>5.4216088241415195</v>
      </c>
      <c r="I87" s="106">
        <v>10598.160929431842</v>
      </c>
      <c r="J87" s="106">
        <v>4.0515856417657563</v>
      </c>
      <c r="K87" s="106">
        <v>7920.0396125237003</v>
      </c>
      <c r="L87" s="106">
        <v>5.1553976919665283</v>
      </c>
      <c r="M87" s="106">
        <v>10077.771408256169</v>
      </c>
      <c r="N87" s="106">
        <v>7.1741460991565749</v>
      </c>
      <c r="O87" s="106">
        <v>14024.020794631273</v>
      </c>
      <c r="P87" s="106">
        <v>9</v>
      </c>
      <c r="Q87" s="106">
        <v>17593.2</v>
      </c>
      <c r="R87" s="106">
        <v>6.24816239022182</v>
      </c>
      <c r="S87" s="106">
        <v>12213.907840405613</v>
      </c>
      <c r="T87" s="106">
        <v>7.1022231404958678</v>
      </c>
      <c r="U87" s="106">
        <v>13883.425795041321</v>
      </c>
      <c r="V87" s="106">
        <v>10.174969357599494</v>
      </c>
      <c r="W87" s="106">
        <v>19890.03010023549</v>
      </c>
      <c r="X87" s="106">
        <v>4.2497404085559074</v>
      </c>
      <c r="Y87" s="106">
        <v>8307.3925506450869</v>
      </c>
      <c r="Z87" s="106">
        <v>6.1522407110828796</v>
      </c>
      <c r="AA87" s="106">
        <v>12026.400142024813</v>
      </c>
      <c r="AB87" s="106">
        <v>16.195914894165654</v>
      </c>
      <c r="AC87" s="106">
        <v>31659.774435115018</v>
      </c>
      <c r="AD87" s="106">
        <v>18</v>
      </c>
      <c r="AE87" s="106">
        <v>35186.400000000001</v>
      </c>
      <c r="AF87" s="106">
        <v>20.163697581879401</v>
      </c>
      <c r="AG87" s="106">
        <v>39415.996033057854</v>
      </c>
      <c r="AH87" s="106">
        <v>13.382055545114142</v>
      </c>
      <c r="AI87" s="106">
        <v>26159.242179589124</v>
      </c>
      <c r="AJ87" s="106">
        <v>2.2721340726006303</v>
      </c>
      <c r="AK87" s="106">
        <v>4441.5676851197122</v>
      </c>
      <c r="AL87" s="106">
        <v>3.2059535664428944</v>
      </c>
      <c r="AM87" s="106">
        <v>6266.9980316825695</v>
      </c>
      <c r="AN87" s="106">
        <v>2</v>
      </c>
      <c r="AO87" s="106">
        <v>3909.6</v>
      </c>
      <c r="AP87" s="106">
        <v>3.4390211863985112</v>
      </c>
      <c r="AQ87" s="106">
        <v>6722.5986151718098</v>
      </c>
      <c r="AR87" s="106">
        <v>40.029640108188772</v>
      </c>
      <c r="AS87" s="106">
        <v>78249.940483487415</v>
      </c>
      <c r="AT87" s="106">
        <v>42.022192664584516</v>
      </c>
      <c r="AU87" s="106">
        <v>82144.982220729813</v>
      </c>
      <c r="AV87" s="106">
        <v>45.045205909119602</v>
      </c>
      <c r="AW87" s="106">
        <v>88054.368511146997</v>
      </c>
      <c r="AX87" s="106">
        <v>37.029005207706888</v>
      </c>
      <c r="AY87" s="106">
        <v>72384.299380025419</v>
      </c>
      <c r="AZ87" s="106">
        <v>32.202325021248555</v>
      </c>
      <c r="BA87" s="106">
        <v>62949.104951536676</v>
      </c>
      <c r="BB87" s="106">
        <v>20.194770963970665</v>
      </c>
      <c r="BC87" s="106">
        <v>39476.738280369857</v>
      </c>
      <c r="BD87" s="106">
        <v>28</v>
      </c>
      <c r="BE87" s="106">
        <v>54734.400000000001</v>
      </c>
      <c r="BF87" s="106">
        <v>32.11822105460687</v>
      </c>
      <c r="BG87" s="106">
        <v>62784.698517545512</v>
      </c>
      <c r="BH87" s="106">
        <v>4.0705317750182619</v>
      </c>
      <c r="BI87" s="106">
        <v>7957.0755138056984</v>
      </c>
      <c r="BJ87" s="106">
        <v>5.1406794793035679</v>
      </c>
      <c r="BK87" s="106">
        <v>10049.000246142614</v>
      </c>
      <c r="BL87" s="106">
        <v>5</v>
      </c>
      <c r="BM87" s="106">
        <v>9774</v>
      </c>
      <c r="BN87" s="106">
        <v>5.0690407376466498</v>
      </c>
      <c r="BO87" s="106">
        <v>9908.9608339516708</v>
      </c>
      <c r="BP87" s="106">
        <v>15.169641119008437</v>
      </c>
      <c r="BQ87" s="106">
        <v>29653.614459437693</v>
      </c>
      <c r="BR87" s="106">
        <v>11.200718141778433</v>
      </c>
      <c r="BS87" s="106">
        <v>21895.163823548479</v>
      </c>
      <c r="BT87" s="106">
        <v>10.358945484526132</v>
      </c>
      <c r="BU87" s="106">
        <v>20249.666633151683</v>
      </c>
      <c r="BV87" s="106">
        <v>16.238866026307967</v>
      </c>
      <c r="BW87" s="106">
        <v>31743.735308226813</v>
      </c>
      <c r="BX87" s="106">
        <v>6</v>
      </c>
      <c r="BY87" s="106">
        <v>11728.8</v>
      </c>
      <c r="BZ87" s="106">
        <v>9.0497719976218782</v>
      </c>
      <c r="CA87" s="106">
        <v>17690.494300951246</v>
      </c>
      <c r="CB87" s="106">
        <v>7.0723864650625856</v>
      </c>
      <c r="CC87" s="106">
        <v>13825.101061904343</v>
      </c>
      <c r="CD87" s="106">
        <v>7.1117583036216923</v>
      </c>
      <c r="CE87" s="106">
        <v>13902.065131919684</v>
      </c>
      <c r="CF87" s="106">
        <v>7</v>
      </c>
      <c r="CG87" s="106">
        <v>13683.6</v>
      </c>
      <c r="CH87" s="106">
        <v>6</v>
      </c>
      <c r="CI87" s="106">
        <v>11728.8</v>
      </c>
      <c r="CJ87" s="106">
        <v>7.3394375857338821</v>
      </c>
      <c r="CK87" s="106">
        <v>14347.132592592592</v>
      </c>
      <c r="CL87" s="106">
        <v>10.293050896241132</v>
      </c>
      <c r="CM87" s="106">
        <v>20120.855891972165</v>
      </c>
      <c r="CN87" s="106">
        <v>24.047614650661743</v>
      </c>
      <c r="CO87" s="106">
        <v>47008.277119113576</v>
      </c>
      <c r="CP87" s="106">
        <v>24.06194903581267</v>
      </c>
      <c r="CQ87" s="106">
        <v>47036.297975206609</v>
      </c>
      <c r="CR87" s="106">
        <v>26</v>
      </c>
      <c r="CS87" s="106">
        <v>50824.799999999996</v>
      </c>
      <c r="CT87" s="106">
        <v>29.111605860384948</v>
      </c>
      <c r="CU87" s="106">
        <v>56907.367135880493</v>
      </c>
    </row>
    <row r="88" spans="2:99" x14ac:dyDescent="0.2">
      <c r="C88" s="105" t="s">
        <v>254</v>
      </c>
      <c r="D88" s="106">
        <v>6</v>
      </c>
      <c r="E88" s="106">
        <v>11354.4</v>
      </c>
      <c r="F88" s="106">
        <v>6.444220659643217</v>
      </c>
      <c r="G88" s="106">
        <v>12195.043176308824</v>
      </c>
      <c r="H88" s="106">
        <v>6.3952582726326748</v>
      </c>
      <c r="I88" s="106">
        <v>12102.386755130074</v>
      </c>
      <c r="J88" s="106">
        <v>4.0476175154760829</v>
      </c>
      <c r="K88" s="106">
        <v>7659.7113862869392</v>
      </c>
      <c r="L88" s="106">
        <v>5.1649118363726423</v>
      </c>
      <c r="M88" s="106">
        <v>9774.0791591515881</v>
      </c>
      <c r="N88" s="106">
        <v>7.1930750229779408</v>
      </c>
      <c r="O88" s="106">
        <v>13612.175173483454</v>
      </c>
      <c r="P88" s="106">
        <v>9</v>
      </c>
      <c r="Q88" s="106">
        <v>17031.599999999999</v>
      </c>
      <c r="R88" s="106">
        <v>6.220588791308284</v>
      </c>
      <c r="S88" s="106">
        <v>11771.842228671796</v>
      </c>
      <c r="T88" s="106">
        <v>7.118363636363636</v>
      </c>
      <c r="U88" s="106">
        <v>13470.791345454543</v>
      </c>
      <c r="V88" s="106">
        <v>9.1958612211934643</v>
      </c>
      <c r="W88" s="106">
        <v>17402.24777498651</v>
      </c>
      <c r="X88" s="106">
        <v>4.2443112692394749</v>
      </c>
      <c r="Y88" s="106">
        <v>8031.9346459087819</v>
      </c>
      <c r="Z88" s="106">
        <v>7.1420913303440203</v>
      </c>
      <c r="AA88" s="106">
        <v>13515.693633543024</v>
      </c>
      <c r="AB88" s="106">
        <v>16.188658786974333</v>
      </c>
      <c r="AC88" s="106">
        <v>30635.417888470227</v>
      </c>
      <c r="AD88" s="106">
        <v>17</v>
      </c>
      <c r="AE88" s="106">
        <v>32170.799999999999</v>
      </c>
      <c r="AF88" s="106">
        <v>20.163697581879401</v>
      </c>
      <c r="AG88" s="106">
        <v>38157.781303948577</v>
      </c>
      <c r="AH88" s="106">
        <v>15.367361101071289</v>
      </c>
      <c r="AI88" s="106">
        <v>29081.194147667306</v>
      </c>
      <c r="AJ88" s="106">
        <v>2.2968735337461421</v>
      </c>
      <c r="AK88" s="106">
        <v>4346.6034752611986</v>
      </c>
      <c r="AL88" s="106">
        <v>3.2257567939854805</v>
      </c>
      <c r="AM88" s="106">
        <v>6104.4221569381225</v>
      </c>
      <c r="AN88" s="106">
        <v>2</v>
      </c>
      <c r="AO88" s="106">
        <v>3784.7999999999997</v>
      </c>
      <c r="AP88" s="106">
        <v>3.455906616644608</v>
      </c>
      <c r="AQ88" s="106">
        <v>6539.9576813382555</v>
      </c>
      <c r="AR88" s="106">
        <v>36.031492614950572</v>
      </c>
      <c r="AS88" s="106">
        <v>68185.996624532461</v>
      </c>
      <c r="AT88" s="106">
        <v>44.024658516205015</v>
      </c>
      <c r="AU88" s="106">
        <v>83312.263776066364</v>
      </c>
      <c r="AV88" s="106">
        <v>41.042826650744885</v>
      </c>
      <c r="AW88" s="106">
        <v>77669.445153869616</v>
      </c>
      <c r="AX88" s="106">
        <v>37.026933407156399</v>
      </c>
      <c r="AY88" s="106">
        <v>70069.768779702761</v>
      </c>
      <c r="AZ88" s="106">
        <v>34.202325021248555</v>
      </c>
      <c r="BA88" s="106">
        <v>64724.479870210758</v>
      </c>
      <c r="BB88" s="106">
        <v>24.208683175682857</v>
      </c>
      <c r="BC88" s="106">
        <v>45812.512041662238</v>
      </c>
      <c r="BD88" s="106">
        <v>33</v>
      </c>
      <c r="BE88" s="106">
        <v>62449.2</v>
      </c>
      <c r="BF88" s="106">
        <v>34.133983861887785</v>
      </c>
      <c r="BG88" s="106">
        <v>64595.151060236436</v>
      </c>
      <c r="BH88" s="106">
        <v>5.0593951789627463</v>
      </c>
      <c r="BI88" s="106">
        <v>9574.3994366691004</v>
      </c>
      <c r="BJ88" s="106">
        <v>5.1172328994196397</v>
      </c>
      <c r="BK88" s="106">
        <v>9683.8515388617252</v>
      </c>
      <c r="BL88" s="106">
        <v>5</v>
      </c>
      <c r="BM88" s="106">
        <v>9462</v>
      </c>
      <c r="BN88" s="106">
        <v>5.0753171683418001</v>
      </c>
      <c r="BO88" s="106">
        <v>9604.5302093700211</v>
      </c>
      <c r="BP88" s="106">
        <v>15.169641119008437</v>
      </c>
      <c r="BQ88" s="106">
        <v>28707.028853611566</v>
      </c>
      <c r="BR88" s="106">
        <v>10.209259339300919</v>
      </c>
      <c r="BS88" s="106">
        <v>19320.00237369306</v>
      </c>
      <c r="BT88" s="106">
        <v>9.385866395865591</v>
      </c>
      <c r="BU88" s="106">
        <v>17761.813567536043</v>
      </c>
      <c r="BV88" s="106">
        <v>14.247712916171224</v>
      </c>
      <c r="BW88" s="106">
        <v>26962.371922562423</v>
      </c>
      <c r="BX88" s="106">
        <v>7</v>
      </c>
      <c r="BY88" s="106">
        <v>13246.8</v>
      </c>
      <c r="BZ88" s="106">
        <v>10.046216854934602</v>
      </c>
      <c r="CA88" s="106">
        <v>19011.46077627824</v>
      </c>
      <c r="CB88" s="106">
        <v>7.0647668371612609</v>
      </c>
      <c r="CC88" s="106">
        <v>13369.364762643969</v>
      </c>
      <c r="CD88" s="106">
        <v>8.1229341339838612</v>
      </c>
      <c r="CE88" s="106">
        <v>15371.840555151059</v>
      </c>
      <c r="CF88" s="106">
        <v>8</v>
      </c>
      <c r="CG88" s="106">
        <v>15139.199999999999</v>
      </c>
      <c r="CH88" s="106">
        <v>6</v>
      </c>
      <c r="CI88" s="106">
        <v>11354.4</v>
      </c>
      <c r="CJ88" s="106">
        <v>8.3151920438957472</v>
      </c>
      <c r="CK88" s="106">
        <v>15735.66942386831</v>
      </c>
      <c r="CL88" s="106">
        <v>11.280840442231085</v>
      </c>
      <c r="CM88" s="106">
        <v>21347.862452878104</v>
      </c>
      <c r="CN88" s="106">
        <v>24.041662819329023</v>
      </c>
      <c r="CO88" s="106">
        <v>45496.44271929824</v>
      </c>
      <c r="CP88" s="106">
        <v>25.06194903581267</v>
      </c>
      <c r="CQ88" s="106">
        <v>47427.232355371896</v>
      </c>
      <c r="CR88" s="106">
        <v>26</v>
      </c>
      <c r="CS88" s="106">
        <v>49202.399999999994</v>
      </c>
      <c r="CT88" s="106">
        <v>32.100445274346455</v>
      </c>
      <c r="CU88" s="106">
        <v>60746.882637173228</v>
      </c>
    </row>
    <row r="89" spans="2:99" x14ac:dyDescent="0.2">
      <c r="C89" s="105" t="s">
        <v>255</v>
      </c>
      <c r="D89" s="106">
        <v>5</v>
      </c>
      <c r="E89" s="106">
        <v>11988</v>
      </c>
      <c r="F89" s="106">
        <v>6.3658287785297079</v>
      </c>
      <c r="G89" s="106">
        <v>15262.711079402827</v>
      </c>
      <c r="H89" s="106">
        <v>6.4216088241415195</v>
      </c>
      <c r="I89" s="106">
        <v>15396.449316761706</v>
      </c>
      <c r="J89" s="106">
        <v>4.0476175154760829</v>
      </c>
      <c r="K89" s="106">
        <v>9704.5677551054559</v>
      </c>
      <c r="L89" s="106">
        <v>5.1427121660917097</v>
      </c>
      <c r="M89" s="106">
        <v>12330.166689421483</v>
      </c>
      <c r="N89" s="106">
        <v>7.1741460991565749</v>
      </c>
      <c r="O89" s="106">
        <v>17200.732687337804</v>
      </c>
      <c r="P89" s="106">
        <v>8</v>
      </c>
      <c r="Q89" s="106">
        <v>19180.8</v>
      </c>
      <c r="R89" s="106">
        <v>6.2068019918515169</v>
      </c>
      <c r="S89" s="106">
        <v>14881.428455663196</v>
      </c>
      <c r="T89" s="106">
        <v>7.0995330578512394</v>
      </c>
      <c r="U89" s="106">
        <v>17021.840459504132</v>
      </c>
      <c r="V89" s="106">
        <v>9.1723578746502472</v>
      </c>
      <c r="W89" s="106">
        <v>21991.64524026143</v>
      </c>
      <c r="X89" s="106">
        <v>5.2551695478723408</v>
      </c>
      <c r="Y89" s="106">
        <v>12599.794507978724</v>
      </c>
      <c r="Z89" s="106">
        <v>7.1370166399745916</v>
      </c>
      <c r="AA89" s="106">
        <v>17111.71109600308</v>
      </c>
      <c r="AB89" s="106">
        <v>16.174146572591692</v>
      </c>
      <c r="AC89" s="106">
        <v>38779.133822445838</v>
      </c>
      <c r="AD89" s="106">
        <v>17</v>
      </c>
      <c r="AE89" s="106">
        <v>40759.199999999997</v>
      </c>
      <c r="AF89" s="106">
        <v>18.170518314457709</v>
      </c>
      <c r="AG89" s="106">
        <v>43565.634710743805</v>
      </c>
      <c r="AH89" s="106">
        <v>13.396749989156993</v>
      </c>
      <c r="AI89" s="106">
        <v>32120.047774002804</v>
      </c>
      <c r="AJ89" s="106">
        <v>2.2297235677797529</v>
      </c>
      <c r="AK89" s="106">
        <v>5345.9852261087353</v>
      </c>
      <c r="AL89" s="106">
        <v>3.1940716299173428</v>
      </c>
      <c r="AM89" s="106">
        <v>7658.106139889821</v>
      </c>
      <c r="AN89" s="106">
        <v>2</v>
      </c>
      <c r="AO89" s="106">
        <v>4795.2</v>
      </c>
      <c r="AP89" s="106">
        <v>3.4305784712754632</v>
      </c>
      <c r="AQ89" s="106">
        <v>8225.1549427300506</v>
      </c>
      <c r="AR89" s="106">
        <v>39.025935094665179</v>
      </c>
      <c r="AS89" s="106">
        <v>93568.581982969234</v>
      </c>
      <c r="AT89" s="106">
        <v>38.022192664584516</v>
      </c>
      <c r="AU89" s="106">
        <v>91162.009132607825</v>
      </c>
      <c r="AV89" s="106">
        <v>41.038068133995452</v>
      </c>
      <c r="AW89" s="106">
        <v>98392.87215806749</v>
      </c>
      <c r="AX89" s="106">
        <v>35.026933407156399</v>
      </c>
      <c r="AY89" s="106">
        <v>83980.575536998178</v>
      </c>
      <c r="AZ89" s="106">
        <v>33.202325021248555</v>
      </c>
      <c r="BA89" s="106">
        <v>79605.894470945539</v>
      </c>
      <c r="BB89" s="106">
        <v>20.208683175682857</v>
      </c>
      <c r="BC89" s="106">
        <v>48452.338782017214</v>
      </c>
      <c r="BD89" s="106">
        <v>26</v>
      </c>
      <c r="BE89" s="106">
        <v>62337.599999999999</v>
      </c>
      <c r="BF89" s="106">
        <v>31.118221054606867</v>
      </c>
      <c r="BG89" s="106">
        <v>74609.046800525422</v>
      </c>
      <c r="BH89" s="106">
        <v>5.0631073776479179</v>
      </c>
      <c r="BI89" s="106">
        <v>12139.306248648647</v>
      </c>
      <c r="BJ89" s="106">
        <v>5.1172328994196397</v>
      </c>
      <c r="BK89" s="106">
        <v>12269.077599648528</v>
      </c>
      <c r="BL89" s="106">
        <v>5</v>
      </c>
      <c r="BM89" s="106">
        <v>11988</v>
      </c>
      <c r="BN89" s="106">
        <v>4.0690407376466498</v>
      </c>
      <c r="BO89" s="106">
        <v>9755.9320725816069</v>
      </c>
      <c r="BP89" s="106">
        <v>16.174488008122964</v>
      </c>
      <c r="BQ89" s="106">
        <v>38779.952448275617</v>
      </c>
      <c r="BR89" s="106">
        <v>9.2007181417784327</v>
      </c>
      <c r="BS89" s="106">
        <v>22059.64181672797</v>
      </c>
      <c r="BT89" s="106">
        <v>10.349971847412979</v>
      </c>
      <c r="BU89" s="106">
        <v>24815.092501357358</v>
      </c>
      <c r="BV89" s="106">
        <v>14.234442581376337</v>
      </c>
      <c r="BW89" s="106">
        <v>34128.499533107904</v>
      </c>
      <c r="BX89" s="106">
        <v>6</v>
      </c>
      <c r="BY89" s="106">
        <v>14385.599999999999</v>
      </c>
      <c r="BZ89" s="106">
        <v>10.046216854934602</v>
      </c>
      <c r="CA89" s="106">
        <v>24086.809531391202</v>
      </c>
      <c r="CB89" s="106">
        <v>8.060957023210598</v>
      </c>
      <c r="CC89" s="106">
        <v>19326.95055884973</v>
      </c>
      <c r="CD89" s="106">
        <v>7.1005824732595233</v>
      </c>
      <c r="CE89" s="106">
        <v>17024.356537887033</v>
      </c>
      <c r="CF89" s="106">
        <v>8</v>
      </c>
      <c r="CG89" s="106">
        <v>19180.8</v>
      </c>
      <c r="CH89" s="106">
        <v>6</v>
      </c>
      <c r="CI89" s="106">
        <v>14385.599999999999</v>
      </c>
      <c r="CJ89" s="106">
        <v>7.3394375857338821</v>
      </c>
      <c r="CK89" s="106">
        <v>17597.035555555554</v>
      </c>
      <c r="CL89" s="106">
        <v>8.2564195342109912</v>
      </c>
      <c r="CM89" s="106">
        <v>19795.591475224272</v>
      </c>
      <c r="CN89" s="106">
        <v>21.041662819329023</v>
      </c>
      <c r="CO89" s="106">
        <v>50449.490775623264</v>
      </c>
      <c r="CP89" s="106">
        <v>23.06194903581267</v>
      </c>
      <c r="CQ89" s="106">
        <v>55293.32900826446</v>
      </c>
      <c r="CR89" s="106">
        <v>24</v>
      </c>
      <c r="CS89" s="106">
        <v>57542.399999999994</v>
      </c>
      <c r="CT89" s="106">
        <v>29.100445274346452</v>
      </c>
      <c r="CU89" s="106">
        <v>69771.227589773043</v>
      </c>
    </row>
    <row r="90" spans="2:99" x14ac:dyDescent="0.2">
      <c r="C90" s="105" t="s">
        <v>256</v>
      </c>
      <c r="D90" s="106">
        <v>5</v>
      </c>
      <c r="E90" s="106">
        <v>10986</v>
      </c>
      <c r="F90" s="106">
        <v>6.41809003260538</v>
      </c>
      <c r="G90" s="106">
        <v>14101.82741964054</v>
      </c>
      <c r="H90" s="106">
        <v>5.3689077211238292</v>
      </c>
      <c r="I90" s="106">
        <v>11796.564044853276</v>
      </c>
      <c r="J90" s="106">
        <v>4.0515856417657563</v>
      </c>
      <c r="K90" s="106">
        <v>8902.1439720877188</v>
      </c>
      <c r="L90" s="106">
        <v>6.139540784623005</v>
      </c>
      <c r="M90" s="106">
        <v>13489.799011973666</v>
      </c>
      <c r="N90" s="106">
        <v>6.1817176686851214</v>
      </c>
      <c r="O90" s="106">
        <v>13582.470061634947</v>
      </c>
      <c r="P90" s="106">
        <v>9</v>
      </c>
      <c r="Q90" s="106">
        <v>19774.8</v>
      </c>
      <c r="R90" s="106">
        <v>6.220588791308284</v>
      </c>
      <c r="S90" s="106">
        <v>13667.87769226256</v>
      </c>
      <c r="T90" s="106">
        <v>7.0995330578512394</v>
      </c>
      <c r="U90" s="106">
        <v>15599.094034710743</v>
      </c>
      <c r="V90" s="106">
        <v>10.172357874650247</v>
      </c>
      <c r="W90" s="106">
        <v>22350.704722181523</v>
      </c>
      <c r="X90" s="106">
        <v>5.2660278265052058</v>
      </c>
      <c r="Y90" s="106">
        <v>11570.516340397236</v>
      </c>
      <c r="Z90" s="106">
        <v>7.14716602071345</v>
      </c>
      <c r="AA90" s="106">
        <v>15703.75318071159</v>
      </c>
      <c r="AB90" s="106">
        <v>15.181402679783012</v>
      </c>
      <c r="AC90" s="106">
        <v>33356.577968019235</v>
      </c>
      <c r="AD90" s="106">
        <v>17</v>
      </c>
      <c r="AE90" s="106">
        <v>37352.399999999994</v>
      </c>
      <c r="AF90" s="106">
        <v>18.156876849301092</v>
      </c>
      <c r="AG90" s="106">
        <v>39894.289813284355</v>
      </c>
      <c r="AH90" s="106">
        <v>14.337972212985585</v>
      </c>
      <c r="AI90" s="106">
        <v>31503.392546371924</v>
      </c>
      <c r="AJ90" s="106">
        <v>2.2721340726006303</v>
      </c>
      <c r="AK90" s="106">
        <v>4992.3329843181045</v>
      </c>
      <c r="AL90" s="106">
        <v>3.1940716299173428</v>
      </c>
      <c r="AM90" s="106">
        <v>7018.0141852543848</v>
      </c>
      <c r="AN90" s="106">
        <v>2</v>
      </c>
      <c r="AO90" s="106">
        <v>4394.3999999999996</v>
      </c>
      <c r="AP90" s="106">
        <v>3.4896774771368011</v>
      </c>
      <c r="AQ90" s="106">
        <v>7667.519352764979</v>
      </c>
      <c r="AR90" s="106">
        <v>34.029640108188772</v>
      </c>
      <c r="AS90" s="106">
        <v>74769.925245712366</v>
      </c>
      <c r="AT90" s="106">
        <v>37.024658516205015</v>
      </c>
      <c r="AU90" s="106">
        <v>81350.579691805659</v>
      </c>
      <c r="AV90" s="106">
        <v>37.040447392370169</v>
      </c>
      <c r="AW90" s="106">
        <v>81385.271010515731</v>
      </c>
      <c r="AX90" s="106">
        <v>33.031077008257384</v>
      </c>
      <c r="AY90" s="106">
        <v>72575.882402543124</v>
      </c>
      <c r="AZ90" s="106">
        <v>29.195580853873604</v>
      </c>
      <c r="BA90" s="106">
        <v>64148.53025213108</v>
      </c>
      <c r="BB90" s="106">
        <v>21.208683175682857</v>
      </c>
      <c r="BC90" s="106">
        <v>46599.718673610369</v>
      </c>
      <c r="BD90" s="106">
        <v>32</v>
      </c>
      <c r="BE90" s="106">
        <v>70310.399999999994</v>
      </c>
      <c r="BF90" s="106">
        <v>31.141865265528242</v>
      </c>
      <c r="BG90" s="106">
        <v>68424.906361418645</v>
      </c>
      <c r="BH90" s="106">
        <v>5.0631073776479179</v>
      </c>
      <c r="BI90" s="106">
        <v>11124.659530168004</v>
      </c>
      <c r="BJ90" s="106">
        <v>5.1172328994196397</v>
      </c>
      <c r="BK90" s="106">
        <v>11243.584126604832</v>
      </c>
      <c r="BL90" s="106">
        <v>5</v>
      </c>
      <c r="BM90" s="106">
        <v>10986</v>
      </c>
      <c r="BN90" s="106">
        <v>4.0659025222990746</v>
      </c>
      <c r="BO90" s="106">
        <v>8933.601021995526</v>
      </c>
      <c r="BP90" s="106">
        <v>17.174488008122964</v>
      </c>
      <c r="BQ90" s="106">
        <v>37735.785051447776</v>
      </c>
      <c r="BR90" s="106">
        <v>10.204988740539676</v>
      </c>
      <c r="BS90" s="106">
        <v>22422.401260713774</v>
      </c>
      <c r="BT90" s="106">
        <v>9.3679191216392859</v>
      </c>
      <c r="BU90" s="106">
        <v>20583.191894065836</v>
      </c>
      <c r="BV90" s="106">
        <v>15.207901911786564</v>
      </c>
      <c r="BW90" s="106">
        <v>33414.802080577436</v>
      </c>
      <c r="BX90" s="106">
        <v>6</v>
      </c>
      <c r="BY90" s="106">
        <v>13183.199999999999</v>
      </c>
      <c r="BZ90" s="106">
        <v>10.049771997621878</v>
      </c>
      <c r="CA90" s="106">
        <v>22081.359033174787</v>
      </c>
      <c r="CB90" s="106">
        <v>8.0723864650625856</v>
      </c>
      <c r="CC90" s="106">
        <v>17736.647541035512</v>
      </c>
      <c r="CD90" s="106">
        <v>7.1005824732595233</v>
      </c>
      <c r="CE90" s="106">
        <v>15601.399810245823</v>
      </c>
      <c r="CF90" s="106">
        <v>7</v>
      </c>
      <c r="CG90" s="106">
        <v>15380.399999999998</v>
      </c>
      <c r="CH90" s="106">
        <v>5</v>
      </c>
      <c r="CI90" s="106">
        <v>10986</v>
      </c>
      <c r="CJ90" s="106">
        <v>7.3151920438957472</v>
      </c>
      <c r="CK90" s="106">
        <v>16072.939958847734</v>
      </c>
      <c r="CL90" s="106">
        <v>9.2686299882210381</v>
      </c>
      <c r="CM90" s="106">
        <v>20365.033810119265</v>
      </c>
      <c r="CN90" s="106">
        <v>21.041662819329023</v>
      </c>
      <c r="CO90" s="106">
        <v>46232.741546629724</v>
      </c>
      <c r="CP90" s="106">
        <v>20.06194903581267</v>
      </c>
      <c r="CQ90" s="106">
        <v>44080.114421487597</v>
      </c>
      <c r="CR90" s="106">
        <v>24</v>
      </c>
      <c r="CS90" s="106">
        <v>52732.799999999996</v>
      </c>
      <c r="CT90" s="106">
        <v>31.100445274346452</v>
      </c>
      <c r="CU90" s="106">
        <v>68333.898356794016</v>
      </c>
    </row>
    <row r="91" spans="2:99" x14ac:dyDescent="0.2">
      <c r="C91" s="105" t="s">
        <v>257</v>
      </c>
      <c r="D91" s="106">
        <v>5</v>
      </c>
      <c r="E91" s="106">
        <v>11483.999999999998</v>
      </c>
      <c r="F91" s="106">
        <v>6.41809003260538</v>
      </c>
      <c r="G91" s="106">
        <v>14741.069186888035</v>
      </c>
      <c r="H91" s="106">
        <v>6.4216088241415195</v>
      </c>
      <c r="I91" s="106">
        <v>14749.151147288239</v>
      </c>
      <c r="J91" s="106">
        <v>4.0476175154760829</v>
      </c>
      <c r="K91" s="106">
        <v>9296.567909545467</v>
      </c>
      <c r="L91" s="106">
        <v>6.130026640216891</v>
      </c>
      <c r="M91" s="106">
        <v>14079.445187250154</v>
      </c>
      <c r="N91" s="106">
        <v>6.1892892382136679</v>
      </c>
      <c r="O91" s="106">
        <v>14215.559522329151</v>
      </c>
      <c r="P91" s="106">
        <v>9</v>
      </c>
      <c r="Q91" s="106">
        <v>20671.199999999997</v>
      </c>
      <c r="R91" s="106">
        <v>6.2136953915799005</v>
      </c>
      <c r="S91" s="106">
        <v>14271.615575380714</v>
      </c>
      <c r="T91" s="106">
        <v>6.1076033057851236</v>
      </c>
      <c r="U91" s="106">
        <v>14027.943272727271</v>
      </c>
      <c r="V91" s="106">
        <v>8.1723578746502472</v>
      </c>
      <c r="W91" s="106">
        <v>18770.271566496685</v>
      </c>
      <c r="X91" s="106">
        <v>4.2714569658216384</v>
      </c>
      <c r="Y91" s="106">
        <v>9810.6823590991371</v>
      </c>
      <c r="Z91" s="106">
        <v>7.1344792947898767</v>
      </c>
      <c r="AA91" s="106">
        <v>16386.472044273389</v>
      </c>
      <c r="AB91" s="106">
        <v>16.166890465400371</v>
      </c>
      <c r="AC91" s="106">
        <v>37132.114020931571</v>
      </c>
      <c r="AD91" s="106">
        <v>15</v>
      </c>
      <c r="AE91" s="106">
        <v>34451.999999999993</v>
      </c>
      <c r="AF91" s="106">
        <v>17.170518314457709</v>
      </c>
      <c r="AG91" s="106">
        <v>39437.246464646465</v>
      </c>
      <c r="AH91" s="106">
        <v>14.337972212985585</v>
      </c>
      <c r="AI91" s="106">
        <v>32931.454578785291</v>
      </c>
      <c r="AJ91" s="106">
        <v>2.2721340726006303</v>
      </c>
      <c r="AK91" s="106">
        <v>5218.6375379491274</v>
      </c>
      <c r="AL91" s="106">
        <v>3.1980322754258603</v>
      </c>
      <c r="AM91" s="106">
        <v>7345.2405301981153</v>
      </c>
      <c r="AN91" s="106">
        <v>2</v>
      </c>
      <c r="AO91" s="106">
        <v>4593.5999999999995</v>
      </c>
      <c r="AP91" s="106">
        <v>3.4136930410293664</v>
      </c>
      <c r="AQ91" s="106">
        <v>7840.5701766362481</v>
      </c>
      <c r="AR91" s="106">
        <v>36.027787601426972</v>
      </c>
      <c r="AS91" s="106">
        <v>82748.622562957462</v>
      </c>
      <c r="AT91" s="106">
        <v>42.022192664584516</v>
      </c>
      <c r="AU91" s="106">
        <v>96516.572112017704</v>
      </c>
      <c r="AV91" s="106">
        <v>40.038068133995452</v>
      </c>
      <c r="AW91" s="106">
        <v>91959.434890160745</v>
      </c>
      <c r="AX91" s="106">
        <v>31.03107700825738</v>
      </c>
      <c r="AY91" s="106">
        <v>71272.177672565536</v>
      </c>
      <c r="AZ91" s="106">
        <v>28.195580853873604</v>
      </c>
      <c r="BA91" s="106">
        <v>64759.610105176886</v>
      </c>
      <c r="BB91" s="106">
        <v>19.187814858114571</v>
      </c>
      <c r="BC91" s="106">
        <v>44070.573166117538</v>
      </c>
      <c r="BD91" s="106">
        <v>26</v>
      </c>
      <c r="BE91" s="106">
        <v>59716.799999999996</v>
      </c>
      <c r="BF91" s="106">
        <v>30.141865265528242</v>
      </c>
      <c r="BG91" s="106">
        <v>69229.836141865264</v>
      </c>
      <c r="BH91" s="106">
        <v>5.0593951789627463</v>
      </c>
      <c r="BI91" s="106">
        <v>11620.418847041634</v>
      </c>
      <c r="BJ91" s="106">
        <v>5.1250484260476163</v>
      </c>
      <c r="BK91" s="106">
        <v>11771.211224946164</v>
      </c>
      <c r="BL91" s="106">
        <v>5</v>
      </c>
      <c r="BM91" s="106">
        <v>11483.999999999998</v>
      </c>
      <c r="BN91" s="106">
        <v>5.0659025222990746</v>
      </c>
      <c r="BO91" s="106">
        <v>11635.364913216514</v>
      </c>
      <c r="BP91" s="106">
        <v>15.159947340779384</v>
      </c>
      <c r="BQ91" s="106">
        <v>34819.367052302085</v>
      </c>
      <c r="BR91" s="106">
        <v>9.1964475430171895</v>
      </c>
      <c r="BS91" s="106">
        <v>21122.40071680188</v>
      </c>
      <c r="BT91" s="106">
        <v>9.3140772989603651</v>
      </c>
      <c r="BU91" s="106">
        <v>21392.572740252162</v>
      </c>
      <c r="BV91" s="106">
        <v>13.221172246581451</v>
      </c>
      <c r="BW91" s="106">
        <v>30366.388415948273</v>
      </c>
      <c r="BX91" s="106">
        <v>6</v>
      </c>
      <c r="BY91" s="106">
        <v>13780.8</v>
      </c>
      <c r="BZ91" s="106">
        <v>9.0497719976218782</v>
      </c>
      <c r="CA91" s="106">
        <v>20785.516324137927</v>
      </c>
      <c r="CB91" s="106">
        <v>7.0685766511119228</v>
      </c>
      <c r="CC91" s="106">
        <v>16235.106852273862</v>
      </c>
      <c r="CD91" s="106">
        <v>8.1061703884406082</v>
      </c>
      <c r="CE91" s="106">
        <v>18618.252148170388</v>
      </c>
      <c r="CF91" s="106">
        <v>7</v>
      </c>
      <c r="CG91" s="106">
        <v>16077.599999999999</v>
      </c>
      <c r="CH91" s="106">
        <v>6</v>
      </c>
      <c r="CI91" s="106">
        <v>13780.8</v>
      </c>
      <c r="CJ91" s="106">
        <v>6.3030692729766802</v>
      </c>
      <c r="CK91" s="106">
        <v>14476.889506172838</v>
      </c>
      <c r="CL91" s="106">
        <v>10.268629988221038</v>
      </c>
      <c r="CM91" s="106">
        <v>23584.989356946076</v>
      </c>
      <c r="CN91" s="106">
        <v>22.041662819329023</v>
      </c>
      <c r="CO91" s="106">
        <v>50625.291163434893</v>
      </c>
      <c r="CP91" s="106">
        <v>22.067111455463728</v>
      </c>
      <c r="CQ91" s="106">
        <v>50683.741590909085</v>
      </c>
      <c r="CR91" s="106">
        <v>25</v>
      </c>
      <c r="CS91" s="106">
        <v>57419.999999999993</v>
      </c>
      <c r="CT91" s="106">
        <v>28.089284688307959</v>
      </c>
      <c r="CU91" s="106">
        <v>64515.469072105712</v>
      </c>
    </row>
    <row r="92" spans="2:99" x14ac:dyDescent="0.2">
      <c r="C92" s="105" t="s">
        <v>258</v>
      </c>
      <c r="D92" s="106">
        <v>5</v>
      </c>
      <c r="E92" s="106">
        <v>7104</v>
      </c>
      <c r="F92" s="106">
        <v>7.3919594055675439</v>
      </c>
      <c r="G92" s="106">
        <v>10502.495923430366</v>
      </c>
      <c r="H92" s="106">
        <v>6.4479593756503641</v>
      </c>
      <c r="I92" s="106">
        <v>9161.2606809240369</v>
      </c>
      <c r="J92" s="106">
        <v>4.0555537680554306</v>
      </c>
      <c r="K92" s="106">
        <v>5762.1307936531557</v>
      </c>
      <c r="L92" s="106">
        <v>6.1680832178413469</v>
      </c>
      <c r="M92" s="106">
        <v>8763.6126359089849</v>
      </c>
      <c r="N92" s="106">
        <v>7.1817176686851214</v>
      </c>
      <c r="O92" s="106">
        <v>10203.78446366782</v>
      </c>
      <c r="P92" s="106">
        <v>10</v>
      </c>
      <c r="Q92" s="106">
        <v>14208</v>
      </c>
      <c r="R92" s="106">
        <v>6.2412689904934355</v>
      </c>
      <c r="S92" s="106">
        <v>8867.5949816930734</v>
      </c>
      <c r="T92" s="106">
        <v>8.126433884297521</v>
      </c>
      <c r="U92" s="106">
        <v>11546.037262809918</v>
      </c>
      <c r="V92" s="106">
        <v>9.2063071529904477</v>
      </c>
      <c r="W92" s="106">
        <v>13080.321202968827</v>
      </c>
      <c r="X92" s="106">
        <v>5.3094609410366687</v>
      </c>
      <c r="Y92" s="106">
        <v>7543.6821050248982</v>
      </c>
      <c r="Z92" s="106">
        <v>8.1649274370064528</v>
      </c>
      <c r="AA92" s="106">
        <v>11600.728902498768</v>
      </c>
      <c r="AB92" s="106">
        <v>18.210427108548295</v>
      </c>
      <c r="AC92" s="106">
        <v>25873.374835825416</v>
      </c>
      <c r="AD92" s="106">
        <v>20</v>
      </c>
      <c r="AE92" s="106">
        <v>28416</v>
      </c>
      <c r="AF92" s="106">
        <v>21.170518314457709</v>
      </c>
      <c r="AG92" s="106">
        <v>30079.07242118151</v>
      </c>
      <c r="AH92" s="106">
        <v>15.440833321285547</v>
      </c>
      <c r="AI92" s="106">
        <v>21938.335982882505</v>
      </c>
      <c r="AJ92" s="106">
        <v>2.3216129948916544</v>
      </c>
      <c r="AK92" s="106">
        <v>3298.5477431420622</v>
      </c>
      <c r="AL92" s="106">
        <v>3.2336780850025151</v>
      </c>
      <c r="AM92" s="106">
        <v>4594.4098231715734</v>
      </c>
      <c r="AN92" s="106">
        <v>2</v>
      </c>
      <c r="AO92" s="106">
        <v>2841.6</v>
      </c>
      <c r="AP92" s="106">
        <v>4.5065629073828974</v>
      </c>
      <c r="AQ92" s="106">
        <v>6402.9245788096205</v>
      </c>
      <c r="AR92" s="106">
        <v>39.029640108188772</v>
      </c>
      <c r="AS92" s="106">
        <v>55453.312665714606</v>
      </c>
      <c r="AT92" s="106">
        <v>43.024658516205015</v>
      </c>
      <c r="AU92" s="106">
        <v>61129.434819824084</v>
      </c>
      <c r="AV92" s="106">
        <v>49.045205909119602</v>
      </c>
      <c r="AW92" s="106">
        <v>69683.428555677121</v>
      </c>
      <c r="AX92" s="106">
        <v>40.029005207706888</v>
      </c>
      <c r="AY92" s="106">
        <v>56873.210599109945</v>
      </c>
      <c r="AZ92" s="106">
        <v>32.215813355998463</v>
      </c>
      <c r="BA92" s="106">
        <v>45772.227616202617</v>
      </c>
      <c r="BB92" s="106">
        <v>22.208683175682857</v>
      </c>
      <c r="BC92" s="106">
        <v>31554.097056010203</v>
      </c>
      <c r="BD92" s="106">
        <v>36</v>
      </c>
      <c r="BE92" s="106">
        <v>51148.799999999996</v>
      </c>
      <c r="BF92" s="106">
        <v>38.141865265528239</v>
      </c>
      <c r="BG92" s="106">
        <v>54191.962169262522</v>
      </c>
      <c r="BH92" s="106">
        <v>5.0593951789627463</v>
      </c>
      <c r="BI92" s="106">
        <v>7188.3886702702694</v>
      </c>
      <c r="BJ92" s="106">
        <v>5.1328639526755921</v>
      </c>
      <c r="BK92" s="106">
        <v>7292.773103961481</v>
      </c>
      <c r="BL92" s="106">
        <v>5</v>
      </c>
      <c r="BM92" s="106">
        <v>7104</v>
      </c>
      <c r="BN92" s="106">
        <v>5.0753171683418001</v>
      </c>
      <c r="BO92" s="106">
        <v>7211.0106327800295</v>
      </c>
      <c r="BP92" s="106">
        <v>19.184181786352017</v>
      </c>
      <c r="BQ92" s="106">
        <v>27256.885482048943</v>
      </c>
      <c r="BR92" s="106">
        <v>12.217800536823406</v>
      </c>
      <c r="BS92" s="106">
        <v>17359.051002718694</v>
      </c>
      <c r="BT92" s="106">
        <v>11.394840032978745</v>
      </c>
      <c r="BU92" s="106">
        <v>16189.788718856202</v>
      </c>
      <c r="BV92" s="106">
        <v>18.247712916171224</v>
      </c>
      <c r="BW92" s="106">
        <v>25926.350511296074</v>
      </c>
      <c r="BX92" s="106">
        <v>6</v>
      </c>
      <c r="BY92" s="106">
        <v>8524.7999999999993</v>
      </c>
      <c r="BZ92" s="106">
        <v>11.049771997621878</v>
      </c>
      <c r="CA92" s="106">
        <v>15699.516054221163</v>
      </c>
      <c r="CB92" s="106">
        <v>8.0723864650625856</v>
      </c>
      <c r="CC92" s="106">
        <v>11469.246689560921</v>
      </c>
      <c r="CD92" s="106">
        <v>9.1173462188027781</v>
      </c>
      <c r="CE92" s="106">
        <v>12953.925507674987</v>
      </c>
      <c r="CF92" s="106">
        <v>7</v>
      </c>
      <c r="CG92" s="106">
        <v>9945.6</v>
      </c>
      <c r="CH92" s="106">
        <v>7</v>
      </c>
      <c r="CI92" s="106">
        <v>9945.6</v>
      </c>
      <c r="CJ92" s="106">
        <v>7.351560356652949</v>
      </c>
      <c r="CK92" s="106">
        <v>10445.096954732509</v>
      </c>
      <c r="CL92" s="106">
        <v>10.317471804261228</v>
      </c>
      <c r="CM92" s="106">
        <v>14659.063939494352</v>
      </c>
      <c r="CN92" s="106">
        <v>27.041662819329023</v>
      </c>
      <c r="CO92" s="106">
        <v>38420.794533702676</v>
      </c>
      <c r="CP92" s="106">
        <v>27.06194903581267</v>
      </c>
      <c r="CQ92" s="106">
        <v>38449.617190082638</v>
      </c>
      <c r="CR92" s="106">
        <v>28</v>
      </c>
      <c r="CS92" s="106">
        <v>39782.400000000001</v>
      </c>
      <c r="CT92" s="106">
        <v>32.111605860384948</v>
      </c>
      <c r="CU92" s="106">
        <v>45624.169606434931</v>
      </c>
    </row>
    <row r="93" spans="2:99" x14ac:dyDescent="0.2">
      <c r="C93" s="105" t="s">
        <v>259</v>
      </c>
      <c r="D93" s="106">
        <v>5</v>
      </c>
      <c r="E93" s="106">
        <v>8862</v>
      </c>
      <c r="F93" s="106">
        <v>7.41809003260538</v>
      </c>
      <c r="G93" s="106">
        <v>13147.822773789774</v>
      </c>
      <c r="H93" s="106">
        <v>6.3952582726326748</v>
      </c>
      <c r="I93" s="106">
        <v>11334.955762414153</v>
      </c>
      <c r="J93" s="106">
        <v>4.0515856417657563</v>
      </c>
      <c r="K93" s="106">
        <v>7181.0303914656261</v>
      </c>
      <c r="L93" s="106">
        <v>6.1617404549039376</v>
      </c>
      <c r="M93" s="106">
        <v>10921.068782271739</v>
      </c>
      <c r="N93" s="106">
        <v>7.1741460991565749</v>
      </c>
      <c r="O93" s="106">
        <v>12715.456546145113</v>
      </c>
      <c r="P93" s="106">
        <v>10</v>
      </c>
      <c r="Q93" s="106">
        <v>17724</v>
      </c>
      <c r="R93" s="106">
        <v>7.220588791308284</v>
      </c>
      <c r="S93" s="106">
        <v>12797.771573714801</v>
      </c>
      <c r="T93" s="106">
        <v>7.1210537190082643</v>
      </c>
      <c r="U93" s="106">
        <v>12621.355611570247</v>
      </c>
      <c r="V93" s="106">
        <v>9.1958612211934643</v>
      </c>
      <c r="W93" s="106">
        <v>16298.744428443295</v>
      </c>
      <c r="X93" s="106">
        <v>5.2551695478723408</v>
      </c>
      <c r="Y93" s="106">
        <v>9314.2625066489363</v>
      </c>
      <c r="Z93" s="106">
        <v>7.1522407110828796</v>
      </c>
      <c r="AA93" s="106">
        <v>12676.631436323294</v>
      </c>
      <c r="AB93" s="106">
        <v>17.203171001356974</v>
      </c>
      <c r="AC93" s="106">
        <v>30490.900282805098</v>
      </c>
      <c r="AD93" s="106">
        <v>16</v>
      </c>
      <c r="AE93" s="106">
        <v>28358.399999999998</v>
      </c>
      <c r="AF93" s="106">
        <v>18.163697581879401</v>
      </c>
      <c r="AG93" s="106">
        <v>32193.337594123048</v>
      </c>
      <c r="AH93" s="106">
        <v>15.367361101071289</v>
      </c>
      <c r="AI93" s="106">
        <v>27237.110815538752</v>
      </c>
      <c r="AJ93" s="106">
        <v>2.261531446395411</v>
      </c>
      <c r="AK93" s="106">
        <v>4008.338335591226</v>
      </c>
      <c r="AL93" s="106">
        <v>3.2336780850025151</v>
      </c>
      <c r="AM93" s="106">
        <v>5731.3710378584574</v>
      </c>
      <c r="AN93" s="106">
        <v>2</v>
      </c>
      <c r="AO93" s="106">
        <v>3544.7999999999997</v>
      </c>
      <c r="AP93" s="106">
        <v>3.5234483376289942</v>
      </c>
      <c r="AQ93" s="106">
        <v>6244.9598336136287</v>
      </c>
      <c r="AR93" s="106">
        <v>41.031492614950572</v>
      </c>
      <c r="AS93" s="106">
        <v>72724.217510738396</v>
      </c>
      <c r="AT93" s="106">
        <v>40.024658516205015</v>
      </c>
      <c r="AU93" s="106">
        <v>70939.704754121762</v>
      </c>
      <c r="AV93" s="106">
        <v>43.042826650744885</v>
      </c>
      <c r="AW93" s="106">
        <v>76289.105955780222</v>
      </c>
      <c r="AX93" s="106">
        <v>40.033148808807873</v>
      </c>
      <c r="AY93" s="106">
        <v>70954.752948731068</v>
      </c>
      <c r="AZ93" s="106">
        <v>34.215813355998463</v>
      </c>
      <c r="BA93" s="106">
        <v>60644.107592171669</v>
      </c>
      <c r="BB93" s="106">
        <v>20.229551493251144</v>
      </c>
      <c r="BC93" s="106">
        <v>35854.857066638324</v>
      </c>
      <c r="BD93" s="106">
        <v>33</v>
      </c>
      <c r="BE93" s="106">
        <v>58489.2</v>
      </c>
      <c r="BF93" s="106">
        <v>35.133983861887785</v>
      </c>
      <c r="BG93" s="106">
        <v>62271.472996809905</v>
      </c>
      <c r="BH93" s="106">
        <v>5.0593951789627463</v>
      </c>
      <c r="BI93" s="106">
        <v>8967.27201519357</v>
      </c>
      <c r="BJ93" s="106">
        <v>6.1250484260476163</v>
      </c>
      <c r="BK93" s="106">
        <v>10856.035830326795</v>
      </c>
      <c r="BL93" s="106">
        <v>5</v>
      </c>
      <c r="BM93" s="106">
        <v>8862</v>
      </c>
      <c r="BN93" s="106">
        <v>5.0753171683418001</v>
      </c>
      <c r="BO93" s="106">
        <v>8995.4921491690056</v>
      </c>
      <c r="BP93" s="106">
        <v>18.198722453695598</v>
      </c>
      <c r="BQ93" s="106">
        <v>32255.415676930075</v>
      </c>
      <c r="BR93" s="106">
        <v>11.204988740539676</v>
      </c>
      <c r="BS93" s="106">
        <v>19859.72204373252</v>
      </c>
      <c r="BT93" s="106">
        <v>11.349971847412979</v>
      </c>
      <c r="BU93" s="106">
        <v>20116.690102354762</v>
      </c>
      <c r="BV93" s="106">
        <v>17.238866026307967</v>
      </c>
      <c r="BW93" s="106">
        <v>30554.166145028237</v>
      </c>
      <c r="BX93" s="106">
        <v>6</v>
      </c>
      <c r="BY93" s="106">
        <v>10634.4</v>
      </c>
      <c r="BZ93" s="106">
        <v>10.046216854934602</v>
      </c>
      <c r="CA93" s="106">
        <v>17805.914753686087</v>
      </c>
      <c r="CB93" s="106">
        <v>8.06476683716126</v>
      </c>
      <c r="CC93" s="106">
        <v>14293.992742184617</v>
      </c>
      <c r="CD93" s="106">
        <v>8.1061703884406082</v>
      </c>
      <c r="CE93" s="106">
        <v>14367.376396472133</v>
      </c>
      <c r="CF93" s="106">
        <v>8</v>
      </c>
      <c r="CG93" s="106">
        <v>14179.199999999999</v>
      </c>
      <c r="CH93" s="106">
        <v>6</v>
      </c>
      <c r="CI93" s="106">
        <v>10634.4</v>
      </c>
      <c r="CJ93" s="106">
        <v>7.3273148148148151</v>
      </c>
      <c r="CK93" s="106">
        <v>12986.932777777778</v>
      </c>
      <c r="CL93" s="106">
        <v>9.293050896241132</v>
      </c>
      <c r="CM93" s="106">
        <v>16471.003408497781</v>
      </c>
      <c r="CN93" s="106">
        <v>23.047614650661743</v>
      </c>
      <c r="CO93" s="106">
        <v>40849.592206832873</v>
      </c>
      <c r="CP93" s="106">
        <v>26.06194903581267</v>
      </c>
      <c r="CQ93" s="106">
        <v>46192.198471074371</v>
      </c>
      <c r="CR93" s="106">
        <v>26</v>
      </c>
      <c r="CS93" s="106">
        <v>46082.399999999994</v>
      </c>
      <c r="CT93" s="106">
        <v>30.100445274346452</v>
      </c>
      <c r="CU93" s="106">
        <v>53350.029204251645</v>
      </c>
    </row>
    <row r="94" spans="2:99" x14ac:dyDescent="0.2">
      <c r="C94" s="105" t="s">
        <v>260</v>
      </c>
      <c r="D94" s="106">
        <v>6</v>
      </c>
      <c r="E94" s="106">
        <v>14371.199999999999</v>
      </c>
      <c r="F94" s="106">
        <v>6.3919594055675439</v>
      </c>
      <c r="G94" s="106">
        <v>15310.02116821538</v>
      </c>
      <c r="H94" s="106">
        <v>5.3952582726326748</v>
      </c>
      <c r="I94" s="106">
        <v>12922.722614609782</v>
      </c>
      <c r="J94" s="106">
        <v>4.0476175154760829</v>
      </c>
      <c r="K94" s="106">
        <v>9694.8534730683132</v>
      </c>
      <c r="L94" s="106">
        <v>5.139540784623005</v>
      </c>
      <c r="M94" s="106">
        <v>12310.22808732902</v>
      </c>
      <c r="N94" s="106">
        <v>6.1855034534493942</v>
      </c>
      <c r="O94" s="106">
        <v>14815.517871701988</v>
      </c>
      <c r="P94" s="106">
        <v>10</v>
      </c>
      <c r="Q94" s="106">
        <v>23952</v>
      </c>
      <c r="R94" s="106">
        <v>6.2068019918515169</v>
      </c>
      <c r="S94" s="106">
        <v>14866.532130882752</v>
      </c>
      <c r="T94" s="106">
        <v>7.0914628099173553</v>
      </c>
      <c r="U94" s="106">
        <v>16985.471722314047</v>
      </c>
      <c r="V94" s="106">
        <v>8.1775808405487407</v>
      </c>
      <c r="W94" s="106">
        <v>19586.941629282341</v>
      </c>
      <c r="X94" s="106">
        <v>5.2280238512901764</v>
      </c>
      <c r="Y94" s="106">
        <v>12522.16272861023</v>
      </c>
      <c r="Z94" s="106">
        <v>6.1294046044204471</v>
      </c>
      <c r="AA94" s="106">
        <v>14681.149908507854</v>
      </c>
      <c r="AB94" s="106">
        <v>13.159634358209052</v>
      </c>
      <c r="AC94" s="106">
        <v>31519.95621478232</v>
      </c>
      <c r="AD94" s="106">
        <v>17</v>
      </c>
      <c r="AE94" s="106">
        <v>40718.399999999994</v>
      </c>
      <c r="AF94" s="106">
        <v>18.150056116722784</v>
      </c>
      <c r="AG94" s="106">
        <v>43473.014410774405</v>
      </c>
      <c r="AH94" s="106">
        <v>13.382055545114142</v>
      </c>
      <c r="AI94" s="106">
        <v>32052.699441657391</v>
      </c>
      <c r="AJ94" s="106">
        <v>2.2685998638655573</v>
      </c>
      <c r="AK94" s="106">
        <v>5433.7503939307826</v>
      </c>
      <c r="AL94" s="106">
        <v>3.2059535664428944</v>
      </c>
      <c r="AM94" s="106">
        <v>7678.8999823440199</v>
      </c>
      <c r="AN94" s="106">
        <v>2</v>
      </c>
      <c r="AO94" s="106">
        <v>4790.3999999999996</v>
      </c>
      <c r="AP94" s="106">
        <v>3.4812347620137527</v>
      </c>
      <c r="AQ94" s="106">
        <v>8338.2535019753395</v>
      </c>
      <c r="AR94" s="106">
        <v>34.031492614950572</v>
      </c>
      <c r="AS94" s="106">
        <v>81512.231111329602</v>
      </c>
      <c r="AT94" s="106">
        <v>40.019726812964009</v>
      </c>
      <c r="AU94" s="106">
        <v>95855.249662411385</v>
      </c>
      <c r="AV94" s="106">
        <v>36.042826650744885</v>
      </c>
      <c r="AW94" s="106">
        <v>86329.778393864137</v>
      </c>
      <c r="AX94" s="106">
        <v>31.026933407156399</v>
      </c>
      <c r="AY94" s="106">
        <v>74315.710896820994</v>
      </c>
      <c r="AZ94" s="106">
        <v>28.175348351748749</v>
      </c>
      <c r="BA94" s="106">
        <v>67485.594372108593</v>
      </c>
      <c r="BB94" s="106">
        <v>22.208683175682857</v>
      </c>
      <c r="BC94" s="106">
        <v>53194.237942395579</v>
      </c>
      <c r="BD94" s="106">
        <v>26</v>
      </c>
      <c r="BE94" s="106">
        <v>62275.199999999997</v>
      </c>
      <c r="BF94" s="106">
        <v>29.126102458247328</v>
      </c>
      <c r="BG94" s="106">
        <v>69762.840607993989</v>
      </c>
      <c r="BH94" s="106">
        <v>4.0631073776479179</v>
      </c>
      <c r="BI94" s="106">
        <v>9731.9547909422927</v>
      </c>
      <c r="BJ94" s="106">
        <v>5.1328639526755921</v>
      </c>
      <c r="BK94" s="106">
        <v>12294.235739448577</v>
      </c>
      <c r="BL94" s="106">
        <v>4</v>
      </c>
      <c r="BM94" s="106">
        <v>9580.7999999999993</v>
      </c>
      <c r="BN94" s="106">
        <v>5.0659025222990746</v>
      </c>
      <c r="BO94" s="106">
        <v>12133.849721410743</v>
      </c>
      <c r="BP94" s="106">
        <v>17.184181786352017</v>
      </c>
      <c r="BQ94" s="106">
        <v>41159.552214670352</v>
      </c>
      <c r="BR94" s="106">
        <v>9.204988740539676</v>
      </c>
      <c r="BS94" s="106">
        <v>22047.789031340631</v>
      </c>
      <c r="BT94" s="106">
        <v>9.3589454845261315</v>
      </c>
      <c r="BU94" s="106">
        <v>22416.546224536989</v>
      </c>
      <c r="BV94" s="106">
        <v>13.22559569151308</v>
      </c>
      <c r="BW94" s="106">
        <v>31677.946800312126</v>
      </c>
      <c r="BX94" s="106">
        <v>6</v>
      </c>
      <c r="BY94" s="106">
        <v>14371.199999999999</v>
      </c>
      <c r="BZ94" s="106">
        <v>9.0497719976218782</v>
      </c>
      <c r="CA94" s="106">
        <v>21676.013888703921</v>
      </c>
      <c r="CB94" s="106">
        <v>7.0647668371612609</v>
      </c>
      <c r="CC94" s="106">
        <v>16921.52952836865</v>
      </c>
      <c r="CD94" s="106">
        <v>7.1173462188027772</v>
      </c>
      <c r="CE94" s="106">
        <v>17047.467663276409</v>
      </c>
      <c r="CF94" s="106">
        <v>7</v>
      </c>
      <c r="CG94" s="106">
        <v>16766.399999999998</v>
      </c>
      <c r="CH94" s="106">
        <v>6</v>
      </c>
      <c r="CI94" s="106">
        <v>14371.199999999999</v>
      </c>
      <c r="CJ94" s="106">
        <v>6.3394375857338821</v>
      </c>
      <c r="CK94" s="106">
        <v>15184.220905349794</v>
      </c>
      <c r="CL94" s="106">
        <v>10.293050896241132</v>
      </c>
      <c r="CM94" s="106">
        <v>24653.915506676756</v>
      </c>
      <c r="CN94" s="106">
        <v>22.041662819329023</v>
      </c>
      <c r="CO94" s="106">
        <v>52794.190784856874</v>
      </c>
      <c r="CP94" s="106">
        <v>20.067111455463728</v>
      </c>
      <c r="CQ94" s="106">
        <v>48064.745358126718</v>
      </c>
      <c r="CR94" s="106">
        <v>21</v>
      </c>
      <c r="CS94" s="106">
        <v>50299.199999999997</v>
      </c>
      <c r="CT94" s="106">
        <v>26.100445274346452</v>
      </c>
      <c r="CU94" s="106">
        <v>62515.78652111462</v>
      </c>
    </row>
    <row r="95" spans="2:99" x14ac:dyDescent="0.2">
      <c r="B95" s="105" t="s">
        <v>132</v>
      </c>
      <c r="C95" s="105" t="s">
        <v>261</v>
      </c>
      <c r="D95" s="106">
        <v>5</v>
      </c>
      <c r="E95" s="106">
        <v>8664</v>
      </c>
      <c r="F95" s="106">
        <v>6.8100494381729249</v>
      </c>
      <c r="G95" s="106">
        <v>11800.453666466045</v>
      </c>
      <c r="H95" s="106">
        <v>6.7114648907388137</v>
      </c>
      <c r="I95" s="106">
        <v>11629.626362672216</v>
      </c>
      <c r="J95" s="106">
        <v>4.1984063144836794</v>
      </c>
      <c r="K95" s="106">
        <v>7274.9984617373193</v>
      </c>
      <c r="L95" s="106">
        <v>2.1300266402168915</v>
      </c>
      <c r="M95" s="106">
        <v>3690.9101621678296</v>
      </c>
      <c r="N95" s="106">
        <v>3.1022161886353805</v>
      </c>
      <c r="O95" s="106">
        <v>5375.5202116673872</v>
      </c>
      <c r="P95" s="106">
        <v>3</v>
      </c>
      <c r="Q95" s="106">
        <v>5198.3999999999996</v>
      </c>
      <c r="R95" s="106">
        <v>3.344669986419194</v>
      </c>
      <c r="S95" s="106">
        <v>5795.6441524671791</v>
      </c>
      <c r="T95" s="106">
        <v>12.236727272727272</v>
      </c>
      <c r="U95" s="106">
        <v>21203.801018181817</v>
      </c>
      <c r="V95" s="106">
        <v>12.164523425802509</v>
      </c>
      <c r="W95" s="106">
        <v>21078.686192230587</v>
      </c>
      <c r="X95" s="106">
        <v>8.369181473517429</v>
      </c>
      <c r="Y95" s="106">
        <v>14502.117657311001</v>
      </c>
      <c r="Z95" s="106">
        <v>10.243585137732607</v>
      </c>
      <c r="AA95" s="106">
        <v>17750.084326663062</v>
      </c>
      <c r="AB95" s="106">
        <v>5.0580488575305642</v>
      </c>
      <c r="AC95" s="106">
        <v>8764.5870603289623</v>
      </c>
      <c r="AD95" s="106">
        <v>6</v>
      </c>
      <c r="AE95" s="106">
        <v>10396.799999999999</v>
      </c>
      <c r="AF95" s="106">
        <v>6.0682073257830833</v>
      </c>
      <c r="AG95" s="106">
        <v>10514.989654116927</v>
      </c>
      <c r="AH95" s="106">
        <v>7.1616388844713672</v>
      </c>
      <c r="AI95" s="106">
        <v>12409.687859011985</v>
      </c>
      <c r="AJ95" s="106">
        <v>43.098957844582046</v>
      </c>
      <c r="AK95" s="106">
        <v>74681.874153091761</v>
      </c>
      <c r="AL95" s="106">
        <v>47.110898074238484</v>
      </c>
      <c r="AM95" s="106">
        <v>81633.764183040446</v>
      </c>
      <c r="AN95" s="106">
        <v>44</v>
      </c>
      <c r="AO95" s="106">
        <v>76243.199999999997</v>
      </c>
      <c r="AP95" s="106">
        <v>31.219510593199256</v>
      </c>
      <c r="AQ95" s="106">
        <v>54097.167955895668</v>
      </c>
      <c r="AR95" s="106">
        <v>3.0629852299011442</v>
      </c>
      <c r="AS95" s="106">
        <v>5307.5408063727027</v>
      </c>
      <c r="AT95" s="106">
        <v>4.1282242842660839</v>
      </c>
      <c r="AU95" s="106">
        <v>7153.3870397762703</v>
      </c>
      <c r="AV95" s="106">
        <v>4.1189629187357966</v>
      </c>
      <c r="AW95" s="106">
        <v>7137.3389455853885</v>
      </c>
      <c r="AX95" s="106">
        <v>2.0828720220196839</v>
      </c>
      <c r="AY95" s="106">
        <v>3609.2006397557084</v>
      </c>
      <c r="AZ95" s="106">
        <v>10.14162751487399</v>
      </c>
      <c r="BA95" s="106">
        <v>17573.412157773651</v>
      </c>
      <c r="BB95" s="106">
        <v>10.083473270273142</v>
      </c>
      <c r="BC95" s="106">
        <v>17472.642482729301</v>
      </c>
      <c r="BD95" s="106">
        <v>7</v>
      </c>
      <c r="BE95" s="106">
        <v>12129.6</v>
      </c>
      <c r="BF95" s="106">
        <v>10.133983861887783</v>
      </c>
      <c r="BG95" s="106">
        <v>17560.167235879151</v>
      </c>
      <c r="BH95" s="106">
        <v>14.074243973703433</v>
      </c>
      <c r="BI95" s="106">
        <v>24387.849957633309</v>
      </c>
      <c r="BJ95" s="106">
        <v>10.211019218955352</v>
      </c>
      <c r="BK95" s="106">
        <v>17693.654102605833</v>
      </c>
      <c r="BL95" s="106">
        <v>11</v>
      </c>
      <c r="BM95" s="106">
        <v>19060.8</v>
      </c>
      <c r="BN95" s="106">
        <v>7.0721789529942249</v>
      </c>
      <c r="BO95" s="106">
        <v>12254.671689748393</v>
      </c>
      <c r="BP95" s="106">
        <v>5.1454066734358044</v>
      </c>
      <c r="BQ95" s="106">
        <v>8915.9606837295614</v>
      </c>
      <c r="BR95" s="106">
        <v>4.136659160359784</v>
      </c>
      <c r="BS95" s="106">
        <v>7168.0029930714336</v>
      </c>
      <c r="BT95" s="106">
        <v>4.3230509360735185</v>
      </c>
      <c r="BU95" s="106">
        <v>7490.9826620281929</v>
      </c>
      <c r="BV95" s="106">
        <v>5.1238564580856121</v>
      </c>
      <c r="BW95" s="106">
        <v>8878.6184705707492</v>
      </c>
      <c r="BX95" s="106">
        <v>9</v>
      </c>
      <c r="BY95" s="106">
        <v>15595.199999999999</v>
      </c>
      <c r="BZ95" s="106">
        <v>16.184867419738406</v>
      </c>
      <c r="CA95" s="106">
        <v>28045.138264922709</v>
      </c>
      <c r="CB95" s="106">
        <v>10.220969209138419</v>
      </c>
      <c r="CC95" s="106">
        <v>17710.895445595052</v>
      </c>
      <c r="CD95" s="106">
        <v>12.463796960030024</v>
      </c>
      <c r="CE95" s="106">
        <v>21597.267372340026</v>
      </c>
      <c r="CF95" s="106">
        <v>2</v>
      </c>
      <c r="CG95" s="106">
        <v>3465.6</v>
      </c>
      <c r="CH95" s="106">
        <v>2</v>
      </c>
      <c r="CI95" s="106">
        <v>3465.6</v>
      </c>
      <c r="CJ95" s="106">
        <v>2.1454732510288066</v>
      </c>
      <c r="CK95" s="106">
        <v>3717.676049382716</v>
      </c>
      <c r="CL95" s="106">
        <v>3.1587359021306134</v>
      </c>
      <c r="CM95" s="106">
        <v>5473.4575712119267</v>
      </c>
      <c r="CN95" s="106">
        <v>3.2440250846414282</v>
      </c>
      <c r="CO95" s="106">
        <v>5621.2466666666669</v>
      </c>
      <c r="CP95" s="106">
        <v>2.2219840449954087</v>
      </c>
      <c r="CQ95" s="106">
        <v>3850.2539531680441</v>
      </c>
      <c r="CR95" s="106">
        <v>3</v>
      </c>
      <c r="CS95" s="106">
        <v>5198.3999999999996</v>
      </c>
      <c r="CT95" s="106">
        <v>4.4129416834243038</v>
      </c>
      <c r="CU95" s="106">
        <v>7646.7453490376338</v>
      </c>
    </row>
    <row r="96" spans="2:99" x14ac:dyDescent="0.2">
      <c r="C96" s="105" t="s">
        <v>262</v>
      </c>
      <c r="D96" s="106">
        <v>6</v>
      </c>
      <c r="E96" s="106">
        <v>4939.2</v>
      </c>
      <c r="F96" s="106">
        <v>5.9407025733621062</v>
      </c>
      <c r="G96" s="106">
        <v>4890.3863583916855</v>
      </c>
      <c r="H96" s="106">
        <v>6.7378154422476584</v>
      </c>
      <c r="I96" s="106">
        <v>5546.5696720582719</v>
      </c>
      <c r="J96" s="106">
        <v>5.242055703670089</v>
      </c>
      <c r="K96" s="106">
        <v>4315.260255261217</v>
      </c>
      <c r="L96" s="106">
        <v>2.1522263104978241</v>
      </c>
      <c r="M96" s="106">
        <v>1771.7126988018088</v>
      </c>
      <c r="N96" s="106">
        <v>4.1211451124567473</v>
      </c>
      <c r="O96" s="106">
        <v>3392.5266565743941</v>
      </c>
      <c r="P96" s="106">
        <v>3</v>
      </c>
      <c r="Q96" s="106">
        <v>2469.6</v>
      </c>
      <c r="R96" s="106">
        <v>3.358456785875962</v>
      </c>
      <c r="S96" s="106">
        <v>2764.6816261330919</v>
      </c>
      <c r="T96" s="106">
        <v>13.274388429752067</v>
      </c>
      <c r="U96" s="106">
        <v>10927.476555371901</v>
      </c>
      <c r="V96" s="106">
        <v>13.221976050685925</v>
      </c>
      <c r="W96" s="106">
        <v>10884.330684924653</v>
      </c>
      <c r="X96" s="106">
        <v>9.412614588048891</v>
      </c>
      <c r="Y96" s="106">
        <v>7748.4643288818461</v>
      </c>
      <c r="Z96" s="106">
        <v>11.243585137732607</v>
      </c>
      <c r="AA96" s="106">
        <v>9255.7192853814813</v>
      </c>
      <c r="AB96" s="106">
        <v>6.0653049647218849</v>
      </c>
      <c r="AC96" s="106">
        <v>4992.9590469590548</v>
      </c>
      <c r="AD96" s="106">
        <v>7</v>
      </c>
      <c r="AE96" s="106">
        <v>5762.4</v>
      </c>
      <c r="AF96" s="106">
        <v>7.0818487909397003</v>
      </c>
      <c r="AG96" s="106">
        <v>5829.7779247015606</v>
      </c>
      <c r="AH96" s="106">
        <v>7.176333328514219</v>
      </c>
      <c r="AI96" s="106">
        <v>5907.5575960329043</v>
      </c>
      <c r="AJ96" s="106">
        <v>43.120163096992485</v>
      </c>
      <c r="AK96" s="106">
        <v>35496.518261444209</v>
      </c>
      <c r="AL96" s="106">
        <v>52.1386225927981</v>
      </c>
      <c r="AM96" s="106">
        <v>42920.514118391395</v>
      </c>
      <c r="AN96" s="106">
        <v>55</v>
      </c>
      <c r="AO96" s="106">
        <v>45275.999999999993</v>
      </c>
      <c r="AP96" s="106">
        <v>41.244838738568397</v>
      </c>
      <c r="AQ96" s="106">
        <v>33952.751249589499</v>
      </c>
      <c r="AR96" s="106">
        <v>4.072247763710136</v>
      </c>
      <c r="AS96" s="106">
        <v>3352.2743590861837</v>
      </c>
      <c r="AT96" s="106">
        <v>3.140553542368592</v>
      </c>
      <c r="AU96" s="106">
        <v>2585.3036760778245</v>
      </c>
      <c r="AV96" s="106">
        <v>4.123721435485229</v>
      </c>
      <c r="AW96" s="106">
        <v>3394.6474856914401</v>
      </c>
      <c r="AX96" s="106">
        <v>2.0911592242216521</v>
      </c>
      <c r="AY96" s="106">
        <v>1721.442273379264</v>
      </c>
      <c r="AZ96" s="106">
        <v>10.128139180124085</v>
      </c>
      <c r="BA96" s="106">
        <v>8337.4841730781463</v>
      </c>
      <c r="BB96" s="106">
        <v>12.097385481985333</v>
      </c>
      <c r="BC96" s="106">
        <v>9958.5677287703256</v>
      </c>
      <c r="BD96" s="106">
        <v>8</v>
      </c>
      <c r="BE96" s="106">
        <v>6585.5999999999995</v>
      </c>
      <c r="BF96" s="106">
        <v>11.133983861887783</v>
      </c>
      <c r="BG96" s="106">
        <v>9165.4955151060221</v>
      </c>
      <c r="BH96" s="106">
        <v>13.077956172388605</v>
      </c>
      <c r="BI96" s="106">
        <v>10765.773521110299</v>
      </c>
      <c r="BJ96" s="106">
        <v>11.250096852095233</v>
      </c>
      <c r="BK96" s="106">
        <v>9261.0797286447942</v>
      </c>
      <c r="BL96" s="106">
        <v>12</v>
      </c>
      <c r="BM96" s="106">
        <v>9878.4</v>
      </c>
      <c r="BN96" s="106">
        <v>8.0690407376466506</v>
      </c>
      <c r="BO96" s="106">
        <v>6642.4343352307224</v>
      </c>
      <c r="BP96" s="106">
        <v>5.1357128952067503</v>
      </c>
      <c r="BQ96" s="106">
        <v>4227.7188553341966</v>
      </c>
      <c r="BR96" s="106">
        <v>4.17082395044973</v>
      </c>
      <c r="BS96" s="106">
        <v>3433.4222760102175</v>
      </c>
      <c r="BT96" s="106">
        <v>4.3589454845261315</v>
      </c>
      <c r="BU96" s="106">
        <v>3588.2839228619114</v>
      </c>
      <c r="BV96" s="106">
        <v>5.1371267928804993</v>
      </c>
      <c r="BW96" s="106">
        <v>4228.8827758992265</v>
      </c>
      <c r="BX96" s="106">
        <v>9</v>
      </c>
      <c r="BY96" s="106">
        <v>7408.7999999999993</v>
      </c>
      <c r="BZ96" s="106">
        <v>18.248859988109395</v>
      </c>
      <c r="CA96" s="106">
        <v>15022.461542211653</v>
      </c>
      <c r="CB96" s="106">
        <v>12.247637906793056</v>
      </c>
      <c r="CC96" s="106">
        <v>10082.255524872042</v>
      </c>
      <c r="CD96" s="106">
        <v>14.575555263651717</v>
      </c>
      <c r="CE96" s="106">
        <v>11998.597093038092</v>
      </c>
      <c r="CF96" s="106">
        <v>3</v>
      </c>
      <c r="CG96" s="106">
        <v>2469.6</v>
      </c>
      <c r="CH96" s="106">
        <v>2</v>
      </c>
      <c r="CI96" s="106">
        <v>1646.3999999999999</v>
      </c>
      <c r="CJ96" s="106">
        <v>3.1575960219478736</v>
      </c>
      <c r="CK96" s="106">
        <v>2599.3330452674895</v>
      </c>
      <c r="CL96" s="106">
        <v>3.1709463561406608</v>
      </c>
      <c r="CM96" s="106">
        <v>2610.3230403749917</v>
      </c>
      <c r="CN96" s="106">
        <v>4.2321214219759922</v>
      </c>
      <c r="CO96" s="106">
        <v>3483.8823545706364</v>
      </c>
      <c r="CP96" s="106">
        <v>3.2581209825528008</v>
      </c>
      <c r="CQ96" s="106">
        <v>2682.0851928374655</v>
      </c>
      <c r="CR96" s="106">
        <v>4</v>
      </c>
      <c r="CS96" s="106">
        <v>3292.7999999999997</v>
      </c>
      <c r="CT96" s="106">
        <v>4.4910657856937659</v>
      </c>
      <c r="CU96" s="106">
        <v>3697.045354783108</v>
      </c>
    </row>
    <row r="97" spans="2:99" x14ac:dyDescent="0.2">
      <c r="C97" s="105" t="s">
        <v>263</v>
      </c>
      <c r="D97" s="106">
        <v>5</v>
      </c>
      <c r="E97" s="106">
        <v>9144</v>
      </c>
      <c r="F97" s="106">
        <v>5.8100494381729249</v>
      </c>
      <c r="G97" s="106">
        <v>10625.418412530646</v>
      </c>
      <c r="H97" s="106">
        <v>6.6587637877211243</v>
      </c>
      <c r="I97" s="106">
        <v>12177.547214984392</v>
      </c>
      <c r="J97" s="106">
        <v>4.1785656830353117</v>
      </c>
      <c r="K97" s="106">
        <v>7641.7609211349782</v>
      </c>
      <c r="L97" s="106">
        <v>2.1395407846230055</v>
      </c>
      <c r="M97" s="106">
        <v>3912.7921869185525</v>
      </c>
      <c r="N97" s="106">
        <v>3.1135735429282008</v>
      </c>
      <c r="O97" s="106">
        <v>5694.1032953070935</v>
      </c>
      <c r="P97" s="106">
        <v>3</v>
      </c>
      <c r="Q97" s="106">
        <v>5486.4</v>
      </c>
      <c r="R97" s="106">
        <v>3.351563386147578</v>
      </c>
      <c r="S97" s="106">
        <v>6129.3391205866901</v>
      </c>
      <c r="T97" s="106">
        <v>11.234037190082645</v>
      </c>
      <c r="U97" s="106">
        <v>20544.807213223143</v>
      </c>
      <c r="V97" s="106">
        <v>11.180192323497986</v>
      </c>
      <c r="W97" s="106">
        <v>20446.335721213116</v>
      </c>
      <c r="X97" s="106">
        <v>9.3746106128338607</v>
      </c>
      <c r="Y97" s="106">
        <v>17144.287888750565</v>
      </c>
      <c r="Z97" s="106">
        <v>9.2207490310701754</v>
      </c>
      <c r="AA97" s="106">
        <v>16862.905828021136</v>
      </c>
      <c r="AB97" s="106">
        <v>5.0580488575305642</v>
      </c>
      <c r="AC97" s="106">
        <v>9250.1597506518956</v>
      </c>
      <c r="AD97" s="106">
        <v>7</v>
      </c>
      <c r="AE97" s="106">
        <v>12801.6</v>
      </c>
      <c r="AF97" s="106">
        <v>6.0682073257830833</v>
      </c>
      <c r="AG97" s="106">
        <v>11097.537557392103</v>
      </c>
      <c r="AH97" s="106">
        <v>7.1616388844713672</v>
      </c>
      <c r="AI97" s="106">
        <v>13097.205191921235</v>
      </c>
      <c r="AJ97" s="106">
        <v>42.098957844582046</v>
      </c>
      <c r="AK97" s="106">
        <v>76990.57410617164</v>
      </c>
      <c r="AL97" s="106">
        <v>50.118819365255519</v>
      </c>
      <c r="AM97" s="106">
        <v>91657.296855179287</v>
      </c>
      <c r="AN97" s="106">
        <v>44</v>
      </c>
      <c r="AO97" s="106">
        <v>80467.199999999997</v>
      </c>
      <c r="AP97" s="106">
        <v>33.219510593199253</v>
      </c>
      <c r="AQ97" s="106">
        <v>60751.840972842794</v>
      </c>
      <c r="AR97" s="106">
        <v>3.0648377366629425</v>
      </c>
      <c r="AS97" s="106">
        <v>5604.9752528091894</v>
      </c>
      <c r="AT97" s="106">
        <v>3.1109633229225726</v>
      </c>
      <c r="AU97" s="106">
        <v>5689.3297249608004</v>
      </c>
      <c r="AV97" s="106">
        <v>4.1165836603610808</v>
      </c>
      <c r="AW97" s="106">
        <v>7528.4081980683441</v>
      </c>
      <c r="AX97" s="106">
        <v>2.0766566203682073</v>
      </c>
      <c r="AY97" s="106">
        <v>3797.7896273293773</v>
      </c>
      <c r="AZ97" s="106">
        <v>10.121395012749135</v>
      </c>
      <c r="BA97" s="106">
        <v>18510.007199315616</v>
      </c>
      <c r="BB97" s="106">
        <v>10.083473270273142</v>
      </c>
      <c r="BC97" s="106">
        <v>18440.655916675521</v>
      </c>
      <c r="BD97" s="106">
        <v>8</v>
      </c>
      <c r="BE97" s="106">
        <v>14630.4</v>
      </c>
      <c r="BF97" s="106">
        <v>10.133983861887783</v>
      </c>
      <c r="BG97" s="106">
        <v>18533.029686620379</v>
      </c>
      <c r="BH97" s="106">
        <v>12.081668371073777</v>
      </c>
      <c r="BI97" s="106">
        <v>22094.955117019723</v>
      </c>
      <c r="BJ97" s="106">
        <v>9.2579123787232085</v>
      </c>
      <c r="BK97" s="106">
        <v>16930.870158209003</v>
      </c>
      <c r="BL97" s="106">
        <v>10</v>
      </c>
      <c r="BM97" s="106">
        <v>18288</v>
      </c>
      <c r="BN97" s="106">
        <v>7.0721789529942249</v>
      </c>
      <c r="BO97" s="106">
        <v>12933.600869235839</v>
      </c>
      <c r="BP97" s="106">
        <v>5.1308660060922238</v>
      </c>
      <c r="BQ97" s="106">
        <v>9383.3277519414587</v>
      </c>
      <c r="BR97" s="106">
        <v>4.1622827529272435</v>
      </c>
      <c r="BS97" s="106">
        <v>7611.9826985533427</v>
      </c>
      <c r="BT97" s="106">
        <v>4.2781827505077521</v>
      </c>
      <c r="BU97" s="106">
        <v>7823.9406141285772</v>
      </c>
      <c r="BV97" s="106">
        <v>5.1238564580856121</v>
      </c>
      <c r="BW97" s="106">
        <v>9370.508690546967</v>
      </c>
      <c r="BX97" s="106">
        <v>9</v>
      </c>
      <c r="BY97" s="106">
        <v>16459.2</v>
      </c>
      <c r="BZ97" s="106">
        <v>15.199087990487515</v>
      </c>
      <c r="CA97" s="106">
        <v>27796.092117003565</v>
      </c>
      <c r="CB97" s="106">
        <v>10.220969209138419</v>
      </c>
      <c r="CC97" s="106">
        <v>18692.108489672341</v>
      </c>
      <c r="CD97" s="106">
        <v>13.430269468943516</v>
      </c>
      <c r="CE97" s="106">
        <v>24561.2768048039</v>
      </c>
      <c r="CF97" s="106">
        <v>2</v>
      </c>
      <c r="CG97" s="106">
        <v>3657.6</v>
      </c>
      <c r="CH97" s="106">
        <v>2</v>
      </c>
      <c r="CI97" s="106">
        <v>3657.6</v>
      </c>
      <c r="CJ97" s="106">
        <v>2.1454732510288066</v>
      </c>
      <c r="CK97" s="106">
        <v>3923.6414814814816</v>
      </c>
      <c r="CL97" s="106">
        <v>3.1709463561406608</v>
      </c>
      <c r="CM97" s="106">
        <v>5799.0266961100406</v>
      </c>
      <c r="CN97" s="106">
        <v>3.2321214219759926</v>
      </c>
      <c r="CO97" s="106">
        <v>5910.9036565096949</v>
      </c>
      <c r="CP97" s="106">
        <v>3.2219840449954087</v>
      </c>
      <c r="CQ97" s="106">
        <v>5892.3644214876031</v>
      </c>
      <c r="CR97" s="106">
        <v>3</v>
      </c>
      <c r="CS97" s="106">
        <v>5486.4</v>
      </c>
      <c r="CT97" s="106">
        <v>4.4129416834243038</v>
      </c>
      <c r="CU97" s="106">
        <v>8070.3877506463668</v>
      </c>
    </row>
    <row r="98" spans="2:99" x14ac:dyDescent="0.2">
      <c r="C98" s="105" t="s">
        <v>264</v>
      </c>
      <c r="D98" s="106">
        <v>5</v>
      </c>
      <c r="E98" s="106">
        <v>6318</v>
      </c>
      <c r="F98" s="106">
        <v>5.8884413192864331</v>
      </c>
      <c r="G98" s="106">
        <v>7440.6344510503368</v>
      </c>
      <c r="H98" s="106">
        <v>6.8168670967741933</v>
      </c>
      <c r="I98" s="106">
        <v>8613.7932634838708</v>
      </c>
      <c r="J98" s="106">
        <v>5.1865019356146584</v>
      </c>
      <c r="K98" s="106">
        <v>6553.6638458426823</v>
      </c>
      <c r="L98" s="106">
        <v>2.1363694031543008</v>
      </c>
      <c r="M98" s="106">
        <v>2699.5163778257743</v>
      </c>
      <c r="N98" s="106">
        <v>4.1022161886353805</v>
      </c>
      <c r="O98" s="106">
        <v>5183.5603759596661</v>
      </c>
      <c r="P98" s="106">
        <v>3</v>
      </c>
      <c r="Q98" s="106">
        <v>3790.7999999999997</v>
      </c>
      <c r="R98" s="106">
        <v>3.3308831869624265</v>
      </c>
      <c r="S98" s="106">
        <v>4208.9039950457218</v>
      </c>
      <c r="T98" s="106">
        <v>13.215206611570247</v>
      </c>
      <c r="U98" s="106">
        <v>16698.735074380162</v>
      </c>
      <c r="V98" s="106">
        <v>11.182803806447232</v>
      </c>
      <c r="W98" s="106">
        <v>14130.590889826723</v>
      </c>
      <c r="X98" s="106">
        <v>9.4397602846310544</v>
      </c>
      <c r="Y98" s="106">
        <v>11928.0810956598</v>
      </c>
      <c r="Z98" s="106">
        <v>10.215674340700746</v>
      </c>
      <c r="AA98" s="106">
        <v>12908.526096909462</v>
      </c>
      <c r="AB98" s="106">
        <v>5.0580488575305642</v>
      </c>
      <c r="AC98" s="106">
        <v>6391.3505363756203</v>
      </c>
      <c r="AD98" s="106">
        <v>7</v>
      </c>
      <c r="AE98" s="106">
        <v>8845.1999999999989</v>
      </c>
      <c r="AF98" s="106">
        <v>5.0818487909397003</v>
      </c>
      <c r="AG98" s="106">
        <v>6421.4241322314047</v>
      </c>
      <c r="AH98" s="106">
        <v>7.176333328514219</v>
      </c>
      <c r="AI98" s="106">
        <v>9068.0147939105664</v>
      </c>
      <c r="AJ98" s="106">
        <v>48.109560470787265</v>
      </c>
      <c r="AK98" s="106">
        <v>60791.240610886787</v>
      </c>
      <c r="AL98" s="106">
        <v>54.130701301781066</v>
      </c>
      <c r="AM98" s="106">
        <v>68399.554164930552</v>
      </c>
      <c r="AN98" s="106">
        <v>46</v>
      </c>
      <c r="AO98" s="106">
        <v>58125.599999999999</v>
      </c>
      <c r="AP98" s="106">
        <v>35.236396023445351</v>
      </c>
      <c r="AQ98" s="106">
        <v>44524.710015225544</v>
      </c>
      <c r="AR98" s="106">
        <v>3.0759527772337325</v>
      </c>
      <c r="AS98" s="106">
        <v>3886.7739293125442</v>
      </c>
      <c r="AT98" s="106">
        <v>3.1232925810250807</v>
      </c>
      <c r="AU98" s="106">
        <v>3946.5925053832916</v>
      </c>
      <c r="AV98" s="106">
        <v>4.123721435485229</v>
      </c>
      <c r="AW98" s="106">
        <v>5210.734405879135</v>
      </c>
      <c r="AX98" s="106">
        <v>2.0932310247721442</v>
      </c>
      <c r="AY98" s="106">
        <v>2645.006722902081</v>
      </c>
      <c r="AZ98" s="106">
        <v>10.128139180124085</v>
      </c>
      <c r="BA98" s="106">
        <v>12797.916668004793</v>
      </c>
      <c r="BB98" s="106">
        <v>12.076517164417048</v>
      </c>
      <c r="BC98" s="106">
        <v>15259.887088957381</v>
      </c>
      <c r="BD98" s="106">
        <v>9</v>
      </c>
      <c r="BE98" s="106">
        <v>11372.4</v>
      </c>
      <c r="BF98" s="106">
        <v>10.133983861887783</v>
      </c>
      <c r="BG98" s="106">
        <v>12805.302007881402</v>
      </c>
      <c r="BH98" s="106">
        <v>15.074243973703433</v>
      </c>
      <c r="BI98" s="106">
        <v>19047.814685171656</v>
      </c>
      <c r="BJ98" s="106">
        <v>9.2657279053511843</v>
      </c>
      <c r="BK98" s="106">
        <v>11708.173781201756</v>
      </c>
      <c r="BL98" s="106">
        <v>11</v>
      </c>
      <c r="BM98" s="106">
        <v>13899.599999999999</v>
      </c>
      <c r="BN98" s="106">
        <v>8.0721789529942249</v>
      </c>
      <c r="BO98" s="106">
        <v>10200.005325003502</v>
      </c>
      <c r="BP98" s="106">
        <v>5.1551004516648575</v>
      </c>
      <c r="BQ98" s="106">
        <v>6513.9849307237137</v>
      </c>
      <c r="BR98" s="106">
        <v>4.17082395044973</v>
      </c>
      <c r="BS98" s="106">
        <v>5270.2531437882781</v>
      </c>
      <c r="BT98" s="106">
        <v>4.3051036618472116</v>
      </c>
      <c r="BU98" s="106">
        <v>5439.9289871101364</v>
      </c>
      <c r="BV98" s="106">
        <v>5.1238564580856121</v>
      </c>
      <c r="BW98" s="106">
        <v>6474.5050204369791</v>
      </c>
      <c r="BX98" s="106">
        <v>8</v>
      </c>
      <c r="BY98" s="106">
        <v>10108.799999999999</v>
      </c>
      <c r="BZ98" s="106">
        <v>15.20619827586207</v>
      </c>
      <c r="CA98" s="106">
        <v>19214.55214137931</v>
      </c>
      <c r="CB98" s="106">
        <v>11.209539767286431</v>
      </c>
      <c r="CC98" s="106">
        <v>14164.374449943134</v>
      </c>
      <c r="CD98" s="106">
        <v>13.508500281478701</v>
      </c>
      <c r="CE98" s="106">
        <v>17069.340955676485</v>
      </c>
      <c r="CF98" s="106">
        <v>2</v>
      </c>
      <c r="CG98" s="106">
        <v>2527.1999999999998</v>
      </c>
      <c r="CH98" s="106">
        <v>2</v>
      </c>
      <c r="CI98" s="106">
        <v>2527.1999999999998</v>
      </c>
      <c r="CJ98" s="106">
        <v>3.1575960219478736</v>
      </c>
      <c r="CK98" s="106">
        <v>3989.9383333333326</v>
      </c>
      <c r="CL98" s="106">
        <v>3.1831568101507077</v>
      </c>
      <c r="CM98" s="106">
        <v>4022.2369453064339</v>
      </c>
      <c r="CN98" s="106">
        <v>3.2380732533087104</v>
      </c>
      <c r="CO98" s="106">
        <v>4091.6293628808862</v>
      </c>
      <c r="CP98" s="106">
        <v>3.2116592056932967</v>
      </c>
      <c r="CQ98" s="106">
        <v>4058.2525723140493</v>
      </c>
      <c r="CR98" s="106">
        <v>3</v>
      </c>
      <c r="CS98" s="106">
        <v>3790.7999999999997</v>
      </c>
      <c r="CT98" s="106">
        <v>4.468744613616777</v>
      </c>
      <c r="CU98" s="106">
        <v>5646.7056937661591</v>
      </c>
    </row>
    <row r="99" spans="2:99" x14ac:dyDescent="0.2">
      <c r="C99" s="105" t="s">
        <v>265</v>
      </c>
      <c r="D99" s="106">
        <v>4</v>
      </c>
      <c r="E99" s="106">
        <v>21926.399999999998</v>
      </c>
      <c r="F99" s="106">
        <v>4.5487431677945613</v>
      </c>
      <c r="G99" s="106">
        <v>24934.390548582665</v>
      </c>
      <c r="H99" s="106">
        <v>4.4743099271592088</v>
      </c>
      <c r="I99" s="106">
        <v>24526.377296715917</v>
      </c>
      <c r="J99" s="106">
        <v>3.1388844201385755</v>
      </c>
      <c r="K99" s="106">
        <v>17206.108837431613</v>
      </c>
      <c r="L99" s="106">
        <v>2.0919700625924351</v>
      </c>
      <c r="M99" s="106">
        <v>11467.343095106691</v>
      </c>
      <c r="N99" s="106">
        <v>2.0795014800497404</v>
      </c>
      <c r="O99" s="106">
        <v>11398.995313040656</v>
      </c>
      <c r="P99" s="106">
        <v>2</v>
      </c>
      <c r="Q99" s="106">
        <v>10963.199999999999</v>
      </c>
      <c r="R99" s="106">
        <v>2.2205887913082845</v>
      </c>
      <c r="S99" s="106">
        <v>12172.379518435491</v>
      </c>
      <c r="T99" s="106">
        <v>8.1425743801652892</v>
      </c>
      <c r="U99" s="106">
        <v>44634.335722314048</v>
      </c>
      <c r="V99" s="106">
        <v>7.1018478350206014</v>
      </c>
      <c r="W99" s="106">
        <v>38929.489092448923</v>
      </c>
      <c r="X99" s="106">
        <v>6.2225947119737439</v>
      </c>
      <c r="Y99" s="106">
        <v>34109.775173155271</v>
      </c>
      <c r="Z99" s="106">
        <v>7.1268672592357323</v>
      </c>
      <c r="AA99" s="106">
        <v>39066.635568226586</v>
      </c>
      <c r="AB99" s="106">
        <v>4.0435366431479229</v>
      </c>
      <c r="AC99" s="106">
        <v>22165.050463079653</v>
      </c>
      <c r="AD99" s="106">
        <v>5</v>
      </c>
      <c r="AE99" s="106">
        <v>27407.999999999996</v>
      </c>
      <c r="AF99" s="106">
        <v>4.0613865932047748</v>
      </c>
      <c r="AG99" s="106">
        <v>22262.89674931129</v>
      </c>
      <c r="AH99" s="106">
        <v>5.1469444404285154</v>
      </c>
      <c r="AI99" s="106">
        <v>28213.490644652946</v>
      </c>
      <c r="AJ99" s="106">
        <v>21.06714996596639</v>
      </c>
      <c r="AK99" s="106">
        <v>115481.68925344135</v>
      </c>
      <c r="AL99" s="106">
        <v>24.083173555678862</v>
      </c>
      <c r="AM99" s="106">
        <v>132014.32416280924</v>
      </c>
      <c r="AN99" s="106">
        <v>25</v>
      </c>
      <c r="AO99" s="106">
        <v>137040</v>
      </c>
      <c r="AP99" s="106">
        <v>19.185739732707063</v>
      </c>
      <c r="AQ99" s="106">
        <v>105168.55091880703</v>
      </c>
      <c r="AR99" s="106">
        <v>3.0444601622831606</v>
      </c>
      <c r="AS99" s="106">
        <v>16688.512825571372</v>
      </c>
      <c r="AT99" s="106">
        <v>3.07644140023555</v>
      </c>
      <c r="AU99" s="106">
        <v>16863.821179531191</v>
      </c>
      <c r="AV99" s="106">
        <v>3.0785155263656256</v>
      </c>
      <c r="AW99" s="106">
        <v>16875.190709325812</v>
      </c>
      <c r="AX99" s="106">
        <v>2.0538668143127943</v>
      </c>
      <c r="AY99" s="106">
        <v>11258.476329337012</v>
      </c>
      <c r="AZ99" s="106">
        <v>7.0876741758743744</v>
      </c>
      <c r="BA99" s="106">
        <v>38851.794762472964</v>
      </c>
      <c r="BB99" s="106">
        <v>8.0626049527048576</v>
      </c>
      <c r="BC99" s="106">
        <v>44195.975308746943</v>
      </c>
      <c r="BD99" s="106">
        <v>5</v>
      </c>
      <c r="BE99" s="106">
        <v>27407.999999999996</v>
      </c>
      <c r="BF99" s="106">
        <v>8.0945768436854948</v>
      </c>
      <c r="BG99" s="106">
        <v>44371.232426346403</v>
      </c>
      <c r="BH99" s="106">
        <v>8.051970781592404</v>
      </c>
      <c r="BI99" s="106">
        <v>44137.683036376919</v>
      </c>
      <c r="BJ99" s="106">
        <v>6.1641260591874962</v>
      </c>
      <c r="BK99" s="106">
        <v>33789.273406042179</v>
      </c>
      <c r="BL99" s="106">
        <v>7</v>
      </c>
      <c r="BM99" s="106">
        <v>38371.199999999997</v>
      </c>
      <c r="BN99" s="106">
        <v>4.0533496609087747</v>
      </c>
      <c r="BO99" s="106">
        <v>22218.841501237537</v>
      </c>
      <c r="BP99" s="106">
        <v>4.0872440040614828</v>
      </c>
      <c r="BQ99" s="106">
        <v>22404.636732663421</v>
      </c>
      <c r="BR99" s="106">
        <v>3.0939531727473515</v>
      </c>
      <c r="BS99" s="106">
        <v>16959.81371173188</v>
      </c>
      <c r="BT99" s="106">
        <v>3.1974200164893722</v>
      </c>
      <c r="BU99" s="106">
        <v>17526.97756238814</v>
      </c>
      <c r="BV99" s="106">
        <v>3.0796220087693222</v>
      </c>
      <c r="BW99" s="106">
        <v>16881.256003269915</v>
      </c>
      <c r="BX99" s="106">
        <v>5</v>
      </c>
      <c r="BY99" s="106">
        <v>27407.999999999996</v>
      </c>
      <c r="BZ99" s="106">
        <v>10.117319708680142</v>
      </c>
      <c r="CA99" s="106">
        <v>55459.09971510106</v>
      </c>
      <c r="CB99" s="106">
        <v>6.1181042324705341</v>
      </c>
      <c r="CC99" s="106">
        <v>33537.000160710479</v>
      </c>
      <c r="CD99" s="106">
        <v>8.2905715894164</v>
      </c>
      <c r="CE99" s="106">
        <v>45445.597224544937</v>
      </c>
      <c r="CF99" s="106">
        <v>2</v>
      </c>
      <c r="CG99" s="106">
        <v>10963.199999999999</v>
      </c>
      <c r="CH99" s="106">
        <v>2</v>
      </c>
      <c r="CI99" s="106">
        <v>10963.199999999999</v>
      </c>
      <c r="CJ99" s="106">
        <v>2.1212277091906722</v>
      </c>
      <c r="CK99" s="106">
        <v>11627.721810699588</v>
      </c>
      <c r="CL99" s="106">
        <v>2.1221045401004721</v>
      </c>
      <c r="CM99" s="106">
        <v>11632.528247014747</v>
      </c>
      <c r="CN99" s="106">
        <v>2.1606994459833793</v>
      </c>
      <c r="CO99" s="106">
        <v>11844.09008310249</v>
      </c>
      <c r="CP99" s="106">
        <v>2.1342229109274564</v>
      </c>
      <c r="CQ99" s="106">
        <v>11698.956308539944</v>
      </c>
      <c r="CR99" s="106">
        <v>2</v>
      </c>
      <c r="CS99" s="106">
        <v>10963.199999999999</v>
      </c>
      <c r="CT99" s="106">
        <v>3.3013358230393566</v>
      </c>
      <c r="CU99" s="106">
        <v>18096.602447572535</v>
      </c>
    </row>
    <row r="100" spans="2:99" x14ac:dyDescent="0.2">
      <c r="C100" s="105" t="s">
        <v>266</v>
      </c>
      <c r="D100" s="106">
        <v>5</v>
      </c>
      <c r="E100" s="106">
        <v>8111.9999999999991</v>
      </c>
      <c r="F100" s="106">
        <v>5.8361800652107609</v>
      </c>
      <c r="G100" s="106">
        <v>9468.6185377979382</v>
      </c>
      <c r="H100" s="106">
        <v>5.6587637877211243</v>
      </c>
      <c r="I100" s="106">
        <v>9180.7783691987515</v>
      </c>
      <c r="J100" s="106">
        <v>5.1904700619043327</v>
      </c>
      <c r="K100" s="106">
        <v>8421.0186284335887</v>
      </c>
      <c r="L100" s="106">
        <v>2.1522263104978241</v>
      </c>
      <c r="M100" s="106">
        <v>3491.7719661516694</v>
      </c>
      <c r="N100" s="106">
        <v>3.0984304038711072</v>
      </c>
      <c r="O100" s="106">
        <v>5026.8934872404843</v>
      </c>
      <c r="P100" s="106">
        <v>3</v>
      </c>
      <c r="Q100" s="106">
        <v>4867.2</v>
      </c>
      <c r="R100" s="106">
        <v>3.3239897872340425</v>
      </c>
      <c r="S100" s="106">
        <v>5392.8410308085104</v>
      </c>
      <c r="T100" s="106">
        <v>13.242107438016529</v>
      </c>
      <c r="U100" s="106">
        <v>21483.995107438015</v>
      </c>
      <c r="V100" s="106">
        <v>11.174969357599494</v>
      </c>
      <c r="W100" s="106">
        <v>18130.270285769417</v>
      </c>
      <c r="X100" s="106">
        <v>8.3474649162516972</v>
      </c>
      <c r="Y100" s="106">
        <v>13542.927080126752</v>
      </c>
      <c r="Z100" s="106">
        <v>11.238510447363177</v>
      </c>
      <c r="AA100" s="106">
        <v>18233.359349802016</v>
      </c>
      <c r="AB100" s="106">
        <v>5.0580488575305642</v>
      </c>
      <c r="AC100" s="106">
        <v>8206.1784664575862</v>
      </c>
      <c r="AD100" s="106">
        <v>7</v>
      </c>
      <c r="AE100" s="106">
        <v>11356.8</v>
      </c>
      <c r="AF100" s="106">
        <v>6.0750280583613918</v>
      </c>
      <c r="AG100" s="106">
        <v>9856.1255218855204</v>
      </c>
      <c r="AH100" s="106">
        <v>8.1469444404285163</v>
      </c>
      <c r="AI100" s="106">
        <v>13217.602660151224</v>
      </c>
      <c r="AJ100" s="106">
        <v>37.102492053317121</v>
      </c>
      <c r="AK100" s="106">
        <v>60195.083107301689</v>
      </c>
      <c r="AL100" s="106">
        <v>46.130701301781066</v>
      </c>
      <c r="AM100" s="106">
        <v>74842.449792009589</v>
      </c>
      <c r="AN100" s="106">
        <v>42</v>
      </c>
      <c r="AO100" s="106">
        <v>68140.799999999988</v>
      </c>
      <c r="AP100" s="106">
        <v>37.25328145369145</v>
      </c>
      <c r="AQ100" s="106">
        <v>60439.723830469004</v>
      </c>
      <c r="AR100" s="106">
        <v>3.0629852299011442</v>
      </c>
      <c r="AS100" s="106">
        <v>4969.3872369916162</v>
      </c>
      <c r="AT100" s="106">
        <v>3.1158950261635758</v>
      </c>
      <c r="AU100" s="106">
        <v>5055.2280904477848</v>
      </c>
      <c r="AV100" s="106">
        <v>4.1213421771105123</v>
      </c>
      <c r="AW100" s="106">
        <v>6686.465548144095</v>
      </c>
      <c r="AX100" s="106">
        <v>2.0932310247721442</v>
      </c>
      <c r="AY100" s="106">
        <v>3396.0580145903264</v>
      </c>
      <c r="AZ100" s="106">
        <v>9.1348833474990379</v>
      </c>
      <c r="BA100" s="106">
        <v>14820.434742982437</v>
      </c>
      <c r="BB100" s="106">
        <v>11.083473270273142</v>
      </c>
      <c r="BC100" s="106">
        <v>17981.827033691145</v>
      </c>
      <c r="BD100" s="106">
        <v>9</v>
      </c>
      <c r="BE100" s="106">
        <v>14601.599999999999</v>
      </c>
      <c r="BF100" s="106">
        <v>11.118221054606868</v>
      </c>
      <c r="BG100" s="106">
        <v>18038.20183899418</v>
      </c>
      <c r="BH100" s="106">
        <v>14.074243973703433</v>
      </c>
      <c r="BI100" s="106">
        <v>22834.053422936449</v>
      </c>
      <c r="BJ100" s="106">
        <v>9.2266502722113035</v>
      </c>
      <c r="BK100" s="106">
        <v>14969.317401635617</v>
      </c>
      <c r="BL100" s="106">
        <v>10</v>
      </c>
      <c r="BM100" s="106">
        <v>16223.999999999998</v>
      </c>
      <c r="BN100" s="106">
        <v>7.0753171683418001</v>
      </c>
      <c r="BO100" s="106">
        <v>11478.994573917735</v>
      </c>
      <c r="BP100" s="106">
        <v>5.1454066734358044</v>
      </c>
      <c r="BQ100" s="106">
        <v>8347.9077869822486</v>
      </c>
      <c r="BR100" s="106">
        <v>4.1452003578822705</v>
      </c>
      <c r="BS100" s="106">
        <v>6725.1730606281953</v>
      </c>
      <c r="BT100" s="106">
        <v>4.3230509360735185</v>
      </c>
      <c r="BU100" s="106">
        <v>7013.7178386856758</v>
      </c>
      <c r="BV100" s="106">
        <v>5.1282799030172415</v>
      </c>
      <c r="BW100" s="106">
        <v>8320.1213146551727</v>
      </c>
      <c r="BX100" s="106">
        <v>9</v>
      </c>
      <c r="BY100" s="106">
        <v>14601.599999999999</v>
      </c>
      <c r="BZ100" s="106">
        <v>15.20619827586207</v>
      </c>
      <c r="CA100" s="106">
        <v>24670.536082758619</v>
      </c>
      <c r="CB100" s="106">
        <v>9.2095397672864312</v>
      </c>
      <c r="CC100" s="106">
        <v>14941.557318445504</v>
      </c>
      <c r="CD100" s="106">
        <v>13.491736535935448</v>
      </c>
      <c r="CE100" s="106">
        <v>21888.993355901668</v>
      </c>
      <c r="CF100" s="106">
        <v>2</v>
      </c>
      <c r="CG100" s="106">
        <v>3244.7999999999997</v>
      </c>
      <c r="CH100" s="106">
        <v>2</v>
      </c>
      <c r="CI100" s="106">
        <v>3244.7999999999997</v>
      </c>
      <c r="CJ100" s="106">
        <v>2.1454732510288066</v>
      </c>
      <c r="CK100" s="106">
        <v>3480.8158024691356</v>
      </c>
      <c r="CL100" s="106">
        <v>3.1587359021306134</v>
      </c>
      <c r="CM100" s="106">
        <v>5124.733127616707</v>
      </c>
      <c r="CN100" s="106">
        <v>3.2261695906432748</v>
      </c>
      <c r="CO100" s="106">
        <v>5234.1375438596488</v>
      </c>
      <c r="CP100" s="106">
        <v>3.2271464646464647</v>
      </c>
      <c r="CQ100" s="106">
        <v>5235.7224242424236</v>
      </c>
      <c r="CR100" s="106">
        <v>3</v>
      </c>
      <c r="CS100" s="106">
        <v>4867.2</v>
      </c>
      <c r="CT100" s="106">
        <v>4.4017810973858085</v>
      </c>
      <c r="CU100" s="106">
        <v>7141.4496523987355</v>
      </c>
    </row>
    <row r="101" spans="2:99" x14ac:dyDescent="0.2">
      <c r="C101" s="105" t="s">
        <v>267</v>
      </c>
      <c r="D101" s="106">
        <v>5</v>
      </c>
      <c r="E101" s="106">
        <v>5951.9999999999991</v>
      </c>
      <c r="F101" s="106">
        <v>5.8884413192864331</v>
      </c>
      <c r="G101" s="106">
        <v>7009.6005464785694</v>
      </c>
      <c r="H101" s="106">
        <v>6.8432176482830389</v>
      </c>
      <c r="I101" s="106">
        <v>8146.1662885161286</v>
      </c>
      <c r="J101" s="106">
        <v>5.194438188194006</v>
      </c>
      <c r="K101" s="106">
        <v>6183.4592192261443</v>
      </c>
      <c r="L101" s="106">
        <v>2.1363694031543008</v>
      </c>
      <c r="M101" s="106">
        <v>2543.1341375148795</v>
      </c>
      <c r="N101" s="106">
        <v>3.1135735429282008</v>
      </c>
      <c r="O101" s="106">
        <v>3706.3979455017297</v>
      </c>
      <c r="P101" s="106">
        <v>3</v>
      </c>
      <c r="Q101" s="106">
        <v>3571.2</v>
      </c>
      <c r="R101" s="106">
        <v>3.344669986419194</v>
      </c>
      <c r="S101" s="106">
        <v>3981.4951518334083</v>
      </c>
      <c r="T101" s="106">
        <v>13.252867768595042</v>
      </c>
      <c r="U101" s="106">
        <v>15776.213791735536</v>
      </c>
      <c r="V101" s="106">
        <v>13.177580840548741</v>
      </c>
      <c r="W101" s="106">
        <v>15686.592232589219</v>
      </c>
      <c r="X101" s="106">
        <v>9.4017563094160259</v>
      </c>
      <c r="Y101" s="106">
        <v>11191.850710728835</v>
      </c>
      <c r="Z101" s="106">
        <v>9.2207490310701754</v>
      </c>
      <c r="AA101" s="106">
        <v>10976.379646585936</v>
      </c>
      <c r="AB101" s="106">
        <v>5.0580488575305642</v>
      </c>
      <c r="AC101" s="106">
        <v>6021.1013600043825</v>
      </c>
      <c r="AD101" s="106">
        <v>8</v>
      </c>
      <c r="AE101" s="106">
        <v>9523.1999999999989</v>
      </c>
      <c r="AF101" s="106">
        <v>6.0750280583613918</v>
      </c>
      <c r="AG101" s="106">
        <v>7231.7134006734004</v>
      </c>
      <c r="AH101" s="106">
        <v>7.1469444404285154</v>
      </c>
      <c r="AI101" s="106">
        <v>8507.7226618861041</v>
      </c>
      <c r="AJ101" s="106">
        <v>45.102492053317121</v>
      </c>
      <c r="AK101" s="106">
        <v>53690.006540268696</v>
      </c>
      <c r="AL101" s="106">
        <v>50.130701301781066</v>
      </c>
      <c r="AM101" s="106">
        <v>59675.586829640175</v>
      </c>
      <c r="AN101" s="106">
        <v>42</v>
      </c>
      <c r="AO101" s="106">
        <v>49996.799999999996</v>
      </c>
      <c r="AP101" s="106">
        <v>42.25328145369145</v>
      </c>
      <c r="AQ101" s="106">
        <v>50298.306242474297</v>
      </c>
      <c r="AR101" s="106">
        <v>3.0666902434247407</v>
      </c>
      <c r="AS101" s="106">
        <v>3650.5880657728108</v>
      </c>
      <c r="AT101" s="106">
        <v>4.1356218391275883</v>
      </c>
      <c r="AU101" s="106">
        <v>4923.0442372974803</v>
      </c>
      <c r="AV101" s="106">
        <v>4.1213421771105123</v>
      </c>
      <c r="AW101" s="106">
        <v>4906.0457276323532</v>
      </c>
      <c r="AX101" s="106">
        <v>2.0828720220196839</v>
      </c>
      <c r="AY101" s="106">
        <v>2479.4508550122314</v>
      </c>
      <c r="AZ101" s="106">
        <v>10.121395012749135</v>
      </c>
      <c r="BA101" s="106">
        <v>12048.508623176569</v>
      </c>
      <c r="BB101" s="106">
        <v>11.083473270273142</v>
      </c>
      <c r="BC101" s="106">
        <v>13193.766580933147</v>
      </c>
      <c r="BD101" s="106">
        <v>8</v>
      </c>
      <c r="BE101" s="106">
        <v>9523.1999999999989</v>
      </c>
      <c r="BF101" s="106">
        <v>12.133983861887783</v>
      </c>
      <c r="BG101" s="106">
        <v>14444.294389191215</v>
      </c>
      <c r="BH101" s="106">
        <v>15.077956172388605</v>
      </c>
      <c r="BI101" s="106">
        <v>17948.799027611392</v>
      </c>
      <c r="BJ101" s="106">
        <v>10.226650272211304</v>
      </c>
      <c r="BK101" s="106">
        <v>12173.804484040335</v>
      </c>
      <c r="BL101" s="106">
        <v>10</v>
      </c>
      <c r="BM101" s="106">
        <v>11903.999999999998</v>
      </c>
      <c r="BN101" s="106">
        <v>8.0690407376466506</v>
      </c>
      <c r="BO101" s="106">
        <v>9605.3860940945724</v>
      </c>
      <c r="BP101" s="106">
        <v>5.1551004516648575</v>
      </c>
      <c r="BQ101" s="106">
        <v>6136.6315776618458</v>
      </c>
      <c r="BR101" s="106">
        <v>4.1750945492109732</v>
      </c>
      <c r="BS101" s="106">
        <v>4970.032551380742</v>
      </c>
      <c r="BT101" s="106">
        <v>5.332024573186672</v>
      </c>
      <c r="BU101" s="106">
        <v>6347.2420519214138</v>
      </c>
      <c r="BV101" s="106">
        <v>5.1459736827437572</v>
      </c>
      <c r="BW101" s="106">
        <v>6125.7670719381676</v>
      </c>
      <c r="BX101" s="106">
        <v>10</v>
      </c>
      <c r="BY101" s="106">
        <v>11903.999999999998</v>
      </c>
      <c r="BZ101" s="106">
        <v>15.223973989298454</v>
      </c>
      <c r="CA101" s="106">
        <v>18122.618636860876</v>
      </c>
      <c r="CB101" s="106">
        <v>10.228588837039744</v>
      </c>
      <c r="CC101" s="106">
        <v>12176.112151612111</v>
      </c>
      <c r="CD101" s="106">
        <v>12.491736535935448</v>
      </c>
      <c r="CE101" s="106">
        <v>14870.163172377555</v>
      </c>
      <c r="CF101" s="106">
        <v>2</v>
      </c>
      <c r="CG101" s="106">
        <v>2380.7999999999997</v>
      </c>
      <c r="CH101" s="106">
        <v>2</v>
      </c>
      <c r="CI101" s="106">
        <v>2380.7999999999997</v>
      </c>
      <c r="CJ101" s="106">
        <v>3.1454732510288066</v>
      </c>
      <c r="CK101" s="106">
        <v>3744.3713580246908</v>
      </c>
      <c r="CL101" s="106">
        <v>3.1831568101507077</v>
      </c>
      <c r="CM101" s="106">
        <v>3789.2298668034018</v>
      </c>
      <c r="CN101" s="106">
        <v>4.2321214219759922</v>
      </c>
      <c r="CO101" s="106">
        <v>5037.9173407202206</v>
      </c>
      <c r="CP101" s="106">
        <v>3.2271464646464647</v>
      </c>
      <c r="CQ101" s="106">
        <v>3841.595151515151</v>
      </c>
      <c r="CR101" s="106">
        <v>3</v>
      </c>
      <c r="CS101" s="106">
        <v>3571.2</v>
      </c>
      <c r="CT101" s="106">
        <v>4.4799051996552715</v>
      </c>
      <c r="CU101" s="106">
        <v>5332.8791496696349</v>
      </c>
    </row>
    <row r="102" spans="2:99" x14ac:dyDescent="0.2">
      <c r="C102" s="105" t="s">
        <v>268</v>
      </c>
      <c r="D102" s="106">
        <v>6</v>
      </c>
      <c r="E102" s="106">
        <v>11635.199999999999</v>
      </c>
      <c r="F102" s="106">
        <v>5.7577881840972518</v>
      </c>
      <c r="G102" s="106">
        <v>11165.50284660139</v>
      </c>
      <c r="H102" s="106">
        <v>6.764165993756504</v>
      </c>
      <c r="I102" s="106">
        <v>13117.070695092611</v>
      </c>
      <c r="J102" s="106">
        <v>4.1904700619043327</v>
      </c>
      <c r="K102" s="106">
        <v>8126.1595440448809</v>
      </c>
      <c r="L102" s="106">
        <v>2.1395407846230055</v>
      </c>
      <c r="M102" s="106">
        <v>4148.9974895409314</v>
      </c>
      <c r="N102" s="106">
        <v>3.1060019733996538</v>
      </c>
      <c r="O102" s="106">
        <v>6023.1590268166083</v>
      </c>
      <c r="P102" s="106">
        <v>3</v>
      </c>
      <c r="Q102" s="106">
        <v>5817.5999999999995</v>
      </c>
      <c r="R102" s="106">
        <v>2.344669986419194</v>
      </c>
      <c r="S102" s="106">
        <v>4546.7840376641007</v>
      </c>
      <c r="T102" s="106">
        <v>12.204446280991736</v>
      </c>
      <c r="U102" s="106">
        <v>23666.862228099173</v>
      </c>
      <c r="V102" s="106">
        <v>12.180192323497986</v>
      </c>
      <c r="W102" s="106">
        <v>23619.82895372729</v>
      </c>
      <c r="X102" s="106">
        <v>8.4071854487324575</v>
      </c>
      <c r="Y102" s="106">
        <v>16303.214022181981</v>
      </c>
      <c r="Z102" s="106">
        <v>8.1979129244077438</v>
      </c>
      <c r="AA102" s="106">
        <v>15897.392743011495</v>
      </c>
      <c r="AB102" s="106">
        <v>5.0580488575305642</v>
      </c>
      <c r="AC102" s="106">
        <v>9808.5683445232698</v>
      </c>
      <c r="AD102" s="106">
        <v>7</v>
      </c>
      <c r="AE102" s="106">
        <v>13574.399999999998</v>
      </c>
      <c r="AF102" s="106">
        <v>5.0750280583613918</v>
      </c>
      <c r="AG102" s="106">
        <v>9841.4944107744104</v>
      </c>
      <c r="AH102" s="106">
        <v>6.1469444404285154</v>
      </c>
      <c r="AI102" s="106">
        <v>11920.154658878975</v>
      </c>
      <c r="AJ102" s="106">
        <v>41.102492053317121</v>
      </c>
      <c r="AK102" s="106">
        <v>79705.952589792549</v>
      </c>
      <c r="AL102" s="106">
        <v>42.130701301781066</v>
      </c>
      <c r="AM102" s="106">
        <v>81699.855964413829</v>
      </c>
      <c r="AN102" s="106">
        <v>40</v>
      </c>
      <c r="AO102" s="106">
        <v>77568</v>
      </c>
      <c r="AP102" s="106">
        <v>33.244838738568397</v>
      </c>
      <c r="AQ102" s="106">
        <v>64468.391281831828</v>
      </c>
      <c r="AR102" s="106">
        <v>3.0611327231393459</v>
      </c>
      <c r="AS102" s="106">
        <v>5936.1485767118193</v>
      </c>
      <c r="AT102" s="106">
        <v>3.1183608777840774</v>
      </c>
      <c r="AU102" s="106">
        <v>6047.125414198882</v>
      </c>
      <c r="AV102" s="106">
        <v>4.1142044019863651</v>
      </c>
      <c r="AW102" s="106">
        <v>7978.2651763319582</v>
      </c>
      <c r="AX102" s="106">
        <v>2.0828720220196839</v>
      </c>
      <c r="AY102" s="106">
        <v>4039.1054251005708</v>
      </c>
      <c r="AZ102" s="106">
        <v>9.1213950127491348</v>
      </c>
      <c r="BA102" s="106">
        <v>17688.209208723121</v>
      </c>
      <c r="BB102" s="106">
        <v>11.076517164417048</v>
      </c>
      <c r="BC102" s="106">
        <v>21479.582085237536</v>
      </c>
      <c r="BD102" s="106">
        <v>8</v>
      </c>
      <c r="BE102" s="106">
        <v>15513.599999999999</v>
      </c>
      <c r="BF102" s="106">
        <v>11.110339650966409</v>
      </c>
      <c r="BG102" s="106">
        <v>21545.170651154058</v>
      </c>
      <c r="BH102" s="106">
        <v>14.077956172388605</v>
      </c>
      <c r="BI102" s="106">
        <v>27299.972609495981</v>
      </c>
      <c r="BJ102" s="106">
        <v>9.2422813254672569</v>
      </c>
      <c r="BK102" s="106">
        <v>17922.631946346104</v>
      </c>
      <c r="BL102" s="106">
        <v>11</v>
      </c>
      <c r="BM102" s="106">
        <v>21331.199999999997</v>
      </c>
      <c r="BN102" s="106">
        <v>7.0659025222990746</v>
      </c>
      <c r="BO102" s="106">
        <v>13702.198171242364</v>
      </c>
      <c r="BP102" s="106">
        <v>5.1357128952067503</v>
      </c>
      <c r="BQ102" s="106">
        <v>9959.17444638493</v>
      </c>
      <c r="BR102" s="106">
        <v>3.1409297591210272</v>
      </c>
      <c r="BS102" s="106">
        <v>6090.890988887495</v>
      </c>
      <c r="BT102" s="106">
        <v>4.296130024734059</v>
      </c>
      <c r="BU102" s="106">
        <v>8331.0553439642863</v>
      </c>
      <c r="BV102" s="106">
        <v>5.1327033479488708</v>
      </c>
      <c r="BW102" s="106">
        <v>9953.3383323424496</v>
      </c>
      <c r="BX102" s="106">
        <v>8</v>
      </c>
      <c r="BY102" s="106">
        <v>15513.599999999999</v>
      </c>
      <c r="BZ102" s="106">
        <v>15.20619827586207</v>
      </c>
      <c r="CA102" s="106">
        <v>29487.859696551724</v>
      </c>
      <c r="CB102" s="106">
        <v>9.2057299533357693</v>
      </c>
      <c r="CC102" s="106">
        <v>17851.751525508724</v>
      </c>
      <c r="CD102" s="106">
        <v>11.435857384124601</v>
      </c>
      <c r="CE102" s="106">
        <v>22176.414639294424</v>
      </c>
      <c r="CF102" s="106">
        <v>2</v>
      </c>
      <c r="CG102" s="106">
        <v>3878.3999999999996</v>
      </c>
      <c r="CH102" s="106">
        <v>2</v>
      </c>
      <c r="CI102" s="106">
        <v>3878.3999999999996</v>
      </c>
      <c r="CJ102" s="106">
        <v>2.1333504801097392</v>
      </c>
      <c r="CK102" s="106">
        <v>4136.9932510288054</v>
      </c>
      <c r="CL102" s="106">
        <v>3.1831568101507077</v>
      </c>
      <c r="CM102" s="106">
        <v>6172.7776862442515</v>
      </c>
      <c r="CN102" s="106">
        <v>3.202362265312404</v>
      </c>
      <c r="CO102" s="106">
        <v>6210.0209048938132</v>
      </c>
      <c r="CP102" s="106">
        <v>3.2168216253443527</v>
      </c>
      <c r="CQ102" s="106">
        <v>6238.0604958677677</v>
      </c>
      <c r="CR102" s="106">
        <v>4</v>
      </c>
      <c r="CS102" s="106">
        <v>7756.7999999999993</v>
      </c>
      <c r="CT102" s="106">
        <v>4.4464234415397872</v>
      </c>
      <c r="CU102" s="106">
        <v>8622.5043378339542</v>
      </c>
    </row>
    <row r="103" spans="2:99" x14ac:dyDescent="0.2">
      <c r="C103" s="105" t="s">
        <v>269</v>
      </c>
      <c r="D103" s="106">
        <v>6</v>
      </c>
      <c r="E103" s="106">
        <v>12168</v>
      </c>
      <c r="F103" s="106">
        <v>5.7577881840972518</v>
      </c>
      <c r="G103" s="106">
        <v>11676.794437349226</v>
      </c>
      <c r="H103" s="106">
        <v>5.764165993756504</v>
      </c>
      <c r="I103" s="106">
        <v>11689.72863533819</v>
      </c>
      <c r="J103" s="106">
        <v>5.194438188194006</v>
      </c>
      <c r="K103" s="106">
        <v>10534.320645657444</v>
      </c>
      <c r="L103" s="106">
        <v>2.1458835475604148</v>
      </c>
      <c r="M103" s="106">
        <v>4351.851834452521</v>
      </c>
      <c r="N103" s="106">
        <v>3.1097877581639275</v>
      </c>
      <c r="O103" s="106">
        <v>6306.6495735564449</v>
      </c>
      <c r="P103" s="106">
        <v>3</v>
      </c>
      <c r="Q103" s="106">
        <v>6084</v>
      </c>
      <c r="R103" s="106">
        <v>2.3170963875056585</v>
      </c>
      <c r="S103" s="106">
        <v>4699.0714738614752</v>
      </c>
      <c r="T103" s="106">
        <v>12.220586776859504</v>
      </c>
      <c r="U103" s="106">
        <v>24783.349983471075</v>
      </c>
      <c r="V103" s="106">
        <v>12.172357874650247</v>
      </c>
      <c r="W103" s="106">
        <v>24685.5417697907</v>
      </c>
      <c r="X103" s="106">
        <v>9.3528940555681306</v>
      </c>
      <c r="Y103" s="106">
        <v>18967.669144692169</v>
      </c>
      <c r="Z103" s="106">
        <v>9.2029876147771716</v>
      </c>
      <c r="AA103" s="106">
        <v>18663.658882768104</v>
      </c>
      <c r="AB103" s="106">
        <v>5.0580488575305642</v>
      </c>
      <c r="AC103" s="106">
        <v>10257.723083071984</v>
      </c>
      <c r="AD103" s="106">
        <v>7</v>
      </c>
      <c r="AE103" s="106">
        <v>14196</v>
      </c>
      <c r="AF103" s="106">
        <v>6.0750280583613918</v>
      </c>
      <c r="AG103" s="106">
        <v>12320.156902356903</v>
      </c>
      <c r="AH103" s="106">
        <v>7.1469444404285154</v>
      </c>
      <c r="AI103" s="106">
        <v>14494.003325189029</v>
      </c>
      <c r="AJ103" s="106">
        <v>35.106026262052197</v>
      </c>
      <c r="AK103" s="106">
        <v>71195.021259441855</v>
      </c>
      <c r="AL103" s="106">
        <v>44.130701301781066</v>
      </c>
      <c r="AM103" s="106">
        <v>89497.062240012005</v>
      </c>
      <c r="AN103" s="106">
        <v>42</v>
      </c>
      <c r="AO103" s="106">
        <v>85176</v>
      </c>
      <c r="AP103" s="106">
        <v>33.244838738568397</v>
      </c>
      <c r="AQ103" s="106">
        <v>67420.532961816716</v>
      </c>
      <c r="AR103" s="106">
        <v>3.0629852299011442</v>
      </c>
      <c r="AS103" s="106">
        <v>6211.7340462395205</v>
      </c>
      <c r="AT103" s="106">
        <v>4.1208267294045786</v>
      </c>
      <c r="AU103" s="106">
        <v>8357.036607232485</v>
      </c>
      <c r="AV103" s="106">
        <v>4.0999288517380688</v>
      </c>
      <c r="AW103" s="106">
        <v>8314.6557113248036</v>
      </c>
      <c r="AX103" s="106">
        <v>2.0787284209186994</v>
      </c>
      <c r="AY103" s="106">
        <v>4215.6612376231224</v>
      </c>
      <c r="AZ103" s="106">
        <v>9.1146508453741824</v>
      </c>
      <c r="BA103" s="106">
        <v>18484.511914418843</v>
      </c>
      <c r="BB103" s="106">
        <v>10.076517164417048</v>
      </c>
      <c r="BC103" s="106">
        <v>20435.176809437773</v>
      </c>
      <c r="BD103" s="106">
        <v>7</v>
      </c>
      <c r="BE103" s="106">
        <v>14196</v>
      </c>
      <c r="BF103" s="106">
        <v>9.1261024582473258</v>
      </c>
      <c r="BG103" s="106">
        <v>18507.735785325578</v>
      </c>
      <c r="BH103" s="106">
        <v>12.081668371073777</v>
      </c>
      <c r="BI103" s="106">
        <v>24501.623456537618</v>
      </c>
      <c r="BJ103" s="106">
        <v>9.2344657988392793</v>
      </c>
      <c r="BK103" s="106">
        <v>18727.496640046058</v>
      </c>
      <c r="BL103" s="106">
        <v>11</v>
      </c>
      <c r="BM103" s="106">
        <v>22308</v>
      </c>
      <c r="BN103" s="106">
        <v>7.0721789529942249</v>
      </c>
      <c r="BO103" s="106">
        <v>14342.378916672289</v>
      </c>
      <c r="BP103" s="106">
        <v>5.1308660060922238</v>
      </c>
      <c r="BQ103" s="106">
        <v>10405.39626035503</v>
      </c>
      <c r="BR103" s="106">
        <v>4.1580121541660002</v>
      </c>
      <c r="BS103" s="106">
        <v>8432.4486486486476</v>
      </c>
      <c r="BT103" s="106">
        <v>4.2692091133945986</v>
      </c>
      <c r="BU103" s="106">
        <v>8657.9560819642466</v>
      </c>
      <c r="BV103" s="106">
        <v>5.1282799030172415</v>
      </c>
      <c r="BW103" s="106">
        <v>10400.151643318966</v>
      </c>
      <c r="BX103" s="106">
        <v>9</v>
      </c>
      <c r="BY103" s="106">
        <v>18252</v>
      </c>
      <c r="BZ103" s="106">
        <v>14.174201991676576</v>
      </c>
      <c r="CA103" s="106">
        <v>28745.281639120094</v>
      </c>
      <c r="CB103" s="106">
        <v>9.1943005114837817</v>
      </c>
      <c r="CC103" s="106">
        <v>18646.04143728911</v>
      </c>
      <c r="CD103" s="106">
        <v>12.435857384124601</v>
      </c>
      <c r="CE103" s="106">
        <v>25219.918775004691</v>
      </c>
      <c r="CF103" s="106">
        <v>2</v>
      </c>
      <c r="CG103" s="106">
        <v>4056</v>
      </c>
      <c r="CH103" s="106">
        <v>2</v>
      </c>
      <c r="CI103" s="106">
        <v>4056</v>
      </c>
      <c r="CJ103" s="106">
        <v>2.1333504801097392</v>
      </c>
      <c r="CK103" s="106">
        <v>4326.4347736625514</v>
      </c>
      <c r="CL103" s="106">
        <v>3.1587359021306134</v>
      </c>
      <c r="CM103" s="106">
        <v>6405.9164095208844</v>
      </c>
      <c r="CN103" s="106">
        <v>3.2142659279778392</v>
      </c>
      <c r="CO103" s="106">
        <v>6518.5313019390578</v>
      </c>
      <c r="CP103" s="106">
        <v>3.2116592056932967</v>
      </c>
      <c r="CQ103" s="106">
        <v>6513.2448691460058</v>
      </c>
      <c r="CR103" s="106">
        <v>3</v>
      </c>
      <c r="CS103" s="106">
        <v>6084</v>
      </c>
      <c r="CT103" s="106">
        <v>4.4464234415397872</v>
      </c>
      <c r="CU103" s="106">
        <v>9017.346739442688</v>
      </c>
    </row>
    <row r="104" spans="2:99" x14ac:dyDescent="0.2">
      <c r="C104" s="105" t="s">
        <v>270</v>
      </c>
      <c r="D104" s="106">
        <v>5</v>
      </c>
      <c r="E104" s="106">
        <v>10362</v>
      </c>
      <c r="F104" s="106">
        <v>5.7577881840972518</v>
      </c>
      <c r="G104" s="106">
        <v>11932.440232723146</v>
      </c>
      <c r="H104" s="106">
        <v>5.7114648907388137</v>
      </c>
      <c r="I104" s="106">
        <v>11836.439839567118</v>
      </c>
      <c r="J104" s="106">
        <v>5.1745975567456384</v>
      </c>
      <c r="K104" s="106">
        <v>10723.835976599661</v>
      </c>
      <c r="L104" s="106">
        <v>2.1236838772794822</v>
      </c>
      <c r="M104" s="106">
        <v>4401.1224672739991</v>
      </c>
      <c r="N104" s="106">
        <v>3.1097877581639275</v>
      </c>
      <c r="O104" s="106">
        <v>6444.7241500189239</v>
      </c>
      <c r="P104" s="106">
        <v>3</v>
      </c>
      <c r="Q104" s="106">
        <v>6217.2000000000007</v>
      </c>
      <c r="R104" s="106">
        <v>3.296416188320507</v>
      </c>
      <c r="S104" s="106">
        <v>6831.4929086754191</v>
      </c>
      <c r="T104" s="106">
        <v>12.212516528925621</v>
      </c>
      <c r="U104" s="106">
        <v>25309.219254545456</v>
      </c>
      <c r="V104" s="106">
        <v>12.167134908751756</v>
      </c>
      <c r="W104" s="106">
        <v>25215.170384897141</v>
      </c>
      <c r="X104" s="106">
        <v>9.3800397521502941</v>
      </c>
      <c r="Y104" s="106">
        <v>19439.194382356269</v>
      </c>
      <c r="Z104" s="106">
        <v>10.205524959961886</v>
      </c>
      <c r="AA104" s="106">
        <v>21149.929927025016</v>
      </c>
      <c r="AB104" s="106">
        <v>5.0507927503392436</v>
      </c>
      <c r="AC104" s="106">
        <v>10467.262895803049</v>
      </c>
      <c r="AD104" s="106">
        <v>6</v>
      </c>
      <c r="AE104" s="106">
        <v>12434.400000000001</v>
      </c>
      <c r="AF104" s="106">
        <v>6.0682073257830833</v>
      </c>
      <c r="AG104" s="106">
        <v>12575.752861952862</v>
      </c>
      <c r="AH104" s="106">
        <v>6.1469444404285154</v>
      </c>
      <c r="AI104" s="106">
        <v>12738.927658344055</v>
      </c>
      <c r="AJ104" s="106">
        <v>38.106026262052197</v>
      </c>
      <c r="AK104" s="106">
        <v>78970.928825476978</v>
      </c>
      <c r="AL104" s="106">
        <v>42.110898074238484</v>
      </c>
      <c r="AM104" s="106">
        <v>87270.62516905184</v>
      </c>
      <c r="AN104" s="106">
        <v>43</v>
      </c>
      <c r="AO104" s="106">
        <v>89113.2</v>
      </c>
      <c r="AP104" s="106">
        <v>35.244838738568397</v>
      </c>
      <c r="AQ104" s="106">
        <v>73041.403801809152</v>
      </c>
      <c r="AR104" s="106">
        <v>3.068542750186539</v>
      </c>
      <c r="AS104" s="106">
        <v>6359.2479954865839</v>
      </c>
      <c r="AT104" s="106">
        <v>3.1035657680610678</v>
      </c>
      <c r="AU104" s="106">
        <v>6431.8296977297568</v>
      </c>
      <c r="AV104" s="106">
        <v>4.1070666268622169</v>
      </c>
      <c r="AW104" s="106">
        <v>8511.4848775092578</v>
      </c>
      <c r="AX104" s="106">
        <v>2.0745848198177153</v>
      </c>
      <c r="AY104" s="106">
        <v>4299.3695805902335</v>
      </c>
      <c r="AZ104" s="106">
        <v>9.1416275148739903</v>
      </c>
      <c r="BA104" s="106">
        <v>18945.108861824858</v>
      </c>
      <c r="BB104" s="106">
        <v>9.0765171644170479</v>
      </c>
      <c r="BC104" s="106">
        <v>18810.174171537892</v>
      </c>
      <c r="BD104" s="106">
        <v>7</v>
      </c>
      <c r="BE104" s="106">
        <v>14506.800000000001</v>
      </c>
      <c r="BF104" s="106">
        <v>10.118221054606868</v>
      </c>
      <c r="BG104" s="106">
        <v>20969.001313567274</v>
      </c>
      <c r="BH104" s="106">
        <v>13.070531775018262</v>
      </c>
      <c r="BI104" s="106">
        <v>27087.370050547848</v>
      </c>
      <c r="BJ104" s="106">
        <v>9.2266502722113035</v>
      </c>
      <c r="BK104" s="106">
        <v>19121.310024130707</v>
      </c>
      <c r="BL104" s="106">
        <v>9</v>
      </c>
      <c r="BM104" s="106">
        <v>18651.600000000002</v>
      </c>
      <c r="BN104" s="106">
        <v>7.0659025222990746</v>
      </c>
      <c r="BO104" s="106">
        <v>14643.376387212602</v>
      </c>
      <c r="BP104" s="106">
        <v>5.1405597843212769</v>
      </c>
      <c r="BQ104" s="106">
        <v>10653.296097027414</v>
      </c>
      <c r="BR104" s="106">
        <v>4.1452003578822705</v>
      </c>
      <c r="BS104" s="106">
        <v>8590.5132216752172</v>
      </c>
      <c r="BT104" s="106">
        <v>4.2871563876209056</v>
      </c>
      <c r="BU104" s="106">
        <v>8884.7028977055652</v>
      </c>
      <c r="BV104" s="106">
        <v>5.1105861232907257</v>
      </c>
      <c r="BW104" s="106">
        <v>10591.178681907701</v>
      </c>
      <c r="BX104" s="106">
        <v>8</v>
      </c>
      <c r="BY104" s="106">
        <v>16579.2</v>
      </c>
      <c r="BZ104" s="106">
        <v>15.188422562425684</v>
      </c>
      <c r="CA104" s="106">
        <v>31476.486918370989</v>
      </c>
      <c r="CB104" s="106">
        <v>10.201920139385107</v>
      </c>
      <c r="CC104" s="106">
        <v>21142.459296861696</v>
      </c>
      <c r="CD104" s="106">
        <v>11.407917808219178</v>
      </c>
      <c r="CE104" s="106">
        <v>23641.768865753427</v>
      </c>
      <c r="CF104" s="106">
        <v>2</v>
      </c>
      <c r="CG104" s="106">
        <v>4144.8</v>
      </c>
      <c r="CH104" s="106">
        <v>2</v>
      </c>
      <c r="CI104" s="106">
        <v>4144.8</v>
      </c>
      <c r="CJ104" s="106">
        <v>2.1454732510288066</v>
      </c>
      <c r="CK104" s="106">
        <v>4446.2787654320991</v>
      </c>
      <c r="CL104" s="106">
        <v>3.1587359021306134</v>
      </c>
      <c r="CM104" s="106">
        <v>6546.1642835754838</v>
      </c>
      <c r="CN104" s="106">
        <v>3.2142659279778392</v>
      </c>
      <c r="CO104" s="106">
        <v>6661.2447091412741</v>
      </c>
      <c r="CP104" s="106">
        <v>2.2168216253443527</v>
      </c>
      <c r="CQ104" s="106">
        <v>4594.1411363636371</v>
      </c>
      <c r="CR104" s="106">
        <v>3</v>
      </c>
      <c r="CS104" s="106">
        <v>6217.2000000000007</v>
      </c>
      <c r="CT104" s="106">
        <v>4.3794599253088196</v>
      </c>
      <c r="CU104" s="106">
        <v>9075.9927492099978</v>
      </c>
    </row>
    <row r="105" spans="2:99" x14ac:dyDescent="0.2">
      <c r="C105" s="105" t="s">
        <v>271</v>
      </c>
      <c r="D105" s="106">
        <v>5</v>
      </c>
      <c r="E105" s="106">
        <v>9990</v>
      </c>
      <c r="F105" s="106">
        <v>5.8100494381729249</v>
      </c>
      <c r="G105" s="106">
        <v>11608.478777469503</v>
      </c>
      <c r="H105" s="106">
        <v>6.685114339229969</v>
      </c>
      <c r="I105" s="106">
        <v>13356.858449781477</v>
      </c>
      <c r="J105" s="106">
        <v>4.194438188194006</v>
      </c>
      <c r="K105" s="106">
        <v>8380.4875000116244</v>
      </c>
      <c r="L105" s="106">
        <v>2.1395407846230055</v>
      </c>
      <c r="M105" s="106">
        <v>4274.8024876767649</v>
      </c>
      <c r="N105" s="106">
        <v>3.1135735429282008</v>
      </c>
      <c r="O105" s="106">
        <v>6220.9199387705448</v>
      </c>
      <c r="P105" s="106">
        <v>3</v>
      </c>
      <c r="Q105" s="106">
        <v>5994</v>
      </c>
      <c r="R105" s="106">
        <v>3.303309588048891</v>
      </c>
      <c r="S105" s="106">
        <v>6600.0125569216843</v>
      </c>
      <c r="T105" s="106">
        <v>11.22596694214876</v>
      </c>
      <c r="U105" s="106">
        <v>22429.481950413225</v>
      </c>
      <c r="V105" s="106">
        <v>11.177580840548741</v>
      </c>
      <c r="W105" s="106">
        <v>22332.806519416383</v>
      </c>
      <c r="X105" s="106">
        <v>8.3908980307831591</v>
      </c>
      <c r="Y105" s="106">
        <v>16765.014265504753</v>
      </c>
      <c r="Z105" s="106">
        <v>9.2182116858854606</v>
      </c>
      <c r="AA105" s="106">
        <v>18417.98694839915</v>
      </c>
      <c r="AB105" s="106">
        <v>5.0580488575305642</v>
      </c>
      <c r="AC105" s="106">
        <v>10105.981617346068</v>
      </c>
      <c r="AD105" s="106">
        <v>6</v>
      </c>
      <c r="AE105" s="106">
        <v>11988</v>
      </c>
      <c r="AF105" s="106">
        <v>6.0682073257830833</v>
      </c>
      <c r="AG105" s="106">
        <v>12124.278236914601</v>
      </c>
      <c r="AH105" s="106">
        <v>6.1616388844713672</v>
      </c>
      <c r="AI105" s="106">
        <v>12310.954491173792</v>
      </c>
      <c r="AJ105" s="106">
        <v>35.095423635846977</v>
      </c>
      <c r="AK105" s="106">
        <v>70120.656424422254</v>
      </c>
      <c r="AL105" s="106">
        <v>43.130701301781066</v>
      </c>
      <c r="AM105" s="106">
        <v>86175.141200958577</v>
      </c>
      <c r="AN105" s="106">
        <v>44</v>
      </c>
      <c r="AO105" s="106">
        <v>87912</v>
      </c>
      <c r="AP105" s="106">
        <v>36.244838738568397</v>
      </c>
      <c r="AQ105" s="106">
        <v>72417.18779965966</v>
      </c>
      <c r="AR105" s="106">
        <v>3.0592802163775472</v>
      </c>
      <c r="AS105" s="106">
        <v>6112.4418723223389</v>
      </c>
      <c r="AT105" s="106">
        <v>3.1060316196815694</v>
      </c>
      <c r="AU105" s="106">
        <v>6205.851176123776</v>
      </c>
      <c r="AV105" s="106">
        <v>4.1142044019863651</v>
      </c>
      <c r="AW105" s="106">
        <v>8220.180395168758</v>
      </c>
      <c r="AX105" s="106">
        <v>2.0766566203682073</v>
      </c>
      <c r="AY105" s="106">
        <v>4149.1599274956779</v>
      </c>
      <c r="AZ105" s="106">
        <v>10.114650845374182</v>
      </c>
      <c r="BA105" s="106">
        <v>20209.072389057616</v>
      </c>
      <c r="BB105" s="106">
        <v>11.083473270273142</v>
      </c>
      <c r="BC105" s="106">
        <v>22144.779594005737</v>
      </c>
      <c r="BD105" s="106">
        <v>7</v>
      </c>
      <c r="BE105" s="106">
        <v>13986</v>
      </c>
      <c r="BF105" s="106">
        <v>10.118221054606868</v>
      </c>
      <c r="BG105" s="106">
        <v>20216.205667104525</v>
      </c>
      <c r="BH105" s="106">
        <v>13.077956172388605</v>
      </c>
      <c r="BI105" s="106">
        <v>26129.756432432434</v>
      </c>
      <c r="BJ105" s="106">
        <v>9.2266502722113035</v>
      </c>
      <c r="BK105" s="106">
        <v>18434.847243878183</v>
      </c>
      <c r="BL105" s="106">
        <v>11</v>
      </c>
      <c r="BM105" s="106">
        <v>21978</v>
      </c>
      <c r="BN105" s="106">
        <v>7.0690407376466498</v>
      </c>
      <c r="BO105" s="106">
        <v>14123.943393818006</v>
      </c>
      <c r="BP105" s="106">
        <v>5.1211722278631697</v>
      </c>
      <c r="BQ105" s="106">
        <v>10232.102111270613</v>
      </c>
      <c r="BR105" s="106">
        <v>4.136659160359784</v>
      </c>
      <c r="BS105" s="106">
        <v>8265.0450023988487</v>
      </c>
      <c r="BT105" s="106">
        <v>4.3140772989603651</v>
      </c>
      <c r="BU105" s="106">
        <v>8619.5264433228094</v>
      </c>
      <c r="BV105" s="106">
        <v>4.1238564580856121</v>
      </c>
      <c r="BW105" s="106">
        <v>8239.465203255053</v>
      </c>
      <c r="BX105" s="106">
        <v>8</v>
      </c>
      <c r="BY105" s="106">
        <v>15984</v>
      </c>
      <c r="BZ105" s="106">
        <v>14.174201991676576</v>
      </c>
      <c r="CA105" s="106">
        <v>28320.055579369797</v>
      </c>
      <c r="CB105" s="106">
        <v>10.186680883582458</v>
      </c>
      <c r="CC105" s="106">
        <v>20352.988405397751</v>
      </c>
      <c r="CD105" s="106">
        <v>11.424681553762433</v>
      </c>
      <c r="CE105" s="106">
        <v>22826.513744417342</v>
      </c>
      <c r="CF105" s="106">
        <v>2</v>
      </c>
      <c r="CG105" s="106">
        <v>3996</v>
      </c>
      <c r="CH105" s="106">
        <v>2</v>
      </c>
      <c r="CI105" s="106">
        <v>3996</v>
      </c>
      <c r="CJ105" s="106">
        <v>2.1454732510288066</v>
      </c>
      <c r="CK105" s="106">
        <v>4286.655555555556</v>
      </c>
      <c r="CL105" s="106">
        <v>3.1587359021306134</v>
      </c>
      <c r="CM105" s="106">
        <v>6311.1543324569657</v>
      </c>
      <c r="CN105" s="106">
        <v>3.2142659279778392</v>
      </c>
      <c r="CO105" s="106">
        <v>6422.1033240997231</v>
      </c>
      <c r="CP105" s="106">
        <v>2.1961719467401286</v>
      </c>
      <c r="CQ105" s="106">
        <v>4387.9515495867772</v>
      </c>
      <c r="CR105" s="106">
        <v>3</v>
      </c>
      <c r="CS105" s="106">
        <v>5994</v>
      </c>
      <c r="CT105" s="106">
        <v>4.390620511347314</v>
      </c>
      <c r="CU105" s="106">
        <v>8772.4597816719343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117</v>
      </c>
      <c r="E109" s="106">
        <f>SUM(L$6:L$19)+SUM(N$6:N$19)+SUM(P$6:P$19)+SUM(R$6:R$19)</f>
        <v>166</v>
      </c>
      <c r="F109" s="106">
        <f>SUM(T$6:T$19)+SUM(V$6:V$19)+SUM(X$6:X$19)+SUM(Z$6:Z$19)</f>
        <v>328</v>
      </c>
      <c r="G109" s="106">
        <f>SUM(AB$6:AB$19)+SUM(AD$6:AD$19)+SUM(AF$6:AF$19)+SUM(AH$6:AH$19)</f>
        <v>1466</v>
      </c>
      <c r="H109" s="106">
        <f>SUM(AJ$6:AJ$19)+SUM(AL$6:AL$19)+SUM(AN$6:AN$19)+SUM(AP$6:AP$19)</f>
        <v>206</v>
      </c>
      <c r="I109" s="106">
        <f>SUM(AR$6:AR$19)+SUM(AT$6:AT$19)+SUM(AV$6:AV$19)+SUM(AX$6:AX$19)</f>
        <v>547</v>
      </c>
      <c r="J109" s="106">
        <f>SUM(AZ$6:AZ$19)+SUM(BB$6:BB$19)+SUM(BD$6:BD$19)+SUM(BF$6:BF$19)</f>
        <v>275</v>
      </c>
      <c r="K109" s="106">
        <f>SUM(BH$6:BH$19)+SUM(BJ$6:BJ$19)+SUM(BL$6:BL$19)+SUM(BN$6:BN$19)</f>
        <v>375</v>
      </c>
      <c r="L109" s="106">
        <f>SUM(BP$6:BP$19)+SUM(BR$6:BR$19)+SUM(BT$6:BT$19)+SUM(BV$6:BV$19)</f>
        <v>2168</v>
      </c>
      <c r="M109" s="106">
        <f>SUM(BX$6:BX$19)+SUM(BZ$6:BZ$19)+SUM(CB$6:CB$19)+SUM(CD$6:CD$19)</f>
        <v>187</v>
      </c>
      <c r="N109" s="106">
        <f>SUM(CF$6:CF$19)+SUM(CH$6:CH$19)+SUM(CJ$6:CJ$19)+SUM(CL$6:CL$19)</f>
        <v>2006</v>
      </c>
      <c r="O109" s="106">
        <f>SUM(CN$6:CN$19)+SUM(CP$6:CP$19)+SUM(CR$6:CR$19)+SUM(CT$6:CT$19)</f>
        <v>522</v>
      </c>
    </row>
    <row r="110" spans="2:99" x14ac:dyDescent="0.2">
      <c r="C110" s="105" t="s">
        <v>127</v>
      </c>
      <c r="D110" s="106">
        <f>SUM(D$20:D$36)+SUM(F$20:F$36)+SUM(H$20:H$36)+SUM(J$20:J$36)</f>
        <v>205</v>
      </c>
      <c r="E110" s="106">
        <f>SUM(L$20:L$36)+SUM(N$20:N$36)+SUM(P$20:P$36)+SUM(R$20:R$36)</f>
        <v>1461</v>
      </c>
      <c r="F110" s="106">
        <f>SUM(T$20:T$36)+SUM(V$20:V$36)+SUM(X$20:X$36)+SUM(Z$20:Z$36)</f>
        <v>237</v>
      </c>
      <c r="G110" s="106">
        <f>SUM(AB$20:AB$36)+SUM(AD$20:AD$36)+SUM(AF$20:AF$36)+SUM(AH$20:AH$36)</f>
        <v>196</v>
      </c>
      <c r="H110" s="106">
        <f>SUM(AJ$20:AJ$36)+SUM(AL$20:AL$36)+SUM(AN$20:AN$36)+SUM(AP$20:AP$36)</f>
        <v>713</v>
      </c>
      <c r="I110" s="106">
        <f>SUM(AR$20:AR$36)+SUM(AT$20:AT$36)+SUM(AV$20:AV$36)+SUM(AX$20:AX$36)</f>
        <v>1952</v>
      </c>
      <c r="J110" s="106">
        <f>SUM(AZ$20:AZ$36)+SUM(BB$20:BB$36)+SUM(BD$20:BD$36)+SUM(BF$20:BF$36)</f>
        <v>206</v>
      </c>
      <c r="K110" s="106">
        <f>SUM(BH$20:BH$36)+SUM(BJ$20:BJ$36)+SUM(BL$20:BL$36)+SUM(BN$20:BN$36)</f>
        <v>780</v>
      </c>
      <c r="L110" s="106">
        <f>SUM(BP$20:BP$36)+SUM(BR$20:BR$36)+SUM(BT$20:BT$36)+SUM(BV$20:BV$36)</f>
        <v>221</v>
      </c>
      <c r="M110" s="106">
        <f>SUM(BX$20:BX$36)+SUM(BZ$20:BZ$36)+SUM(CB$20:CB$36)+SUM(CD$20:CD$36)</f>
        <v>1247</v>
      </c>
      <c r="N110" s="106">
        <f>SUM(CF$20:CF$36)+SUM(CH$20:CH$36)+SUM(CJ$20:CJ$36)+SUM(CL$20:CL$36)</f>
        <v>2216</v>
      </c>
      <c r="O110" s="106">
        <f>SUM(CN$20:CN$36)+SUM(CP$20:CP$36)+SUM(CR$20:CR$36)+SUM(CT$20:CT$36)</f>
        <v>1523</v>
      </c>
    </row>
    <row r="111" spans="2:99" x14ac:dyDescent="0.2">
      <c r="C111" s="105" t="s">
        <v>128</v>
      </c>
      <c r="D111" s="106">
        <f>SUM(D$37:D$48)+SUM(F$37:F$48)+SUM(H$37:H$48)+SUM(J$37:J$48)</f>
        <v>638</v>
      </c>
      <c r="E111" s="106">
        <f>SUM(L$37:L$48)+SUM(N$37:N$48)+SUM(P$37:P$48)+SUM(R$37:R$48)</f>
        <v>3591</v>
      </c>
      <c r="F111" s="106">
        <f>SUM(T$37:T$48)+SUM(V$37:V$48)+SUM(X$37:X$48)+SUM(Z$37:Z$48)</f>
        <v>232</v>
      </c>
      <c r="G111" s="106">
        <f>SUM(AB$37:AB$48)+SUM(AD$37:AD$48)+SUM(AF$37:AF$48)+SUM(AH$37:AH$48)</f>
        <v>3138</v>
      </c>
      <c r="H111" s="106">
        <f>SUM(AJ$37:AJ$48)+SUM(AL$37:AL$48)+SUM(AN$37:AN$48)+SUM(AP$37:AP$48)</f>
        <v>2572</v>
      </c>
      <c r="I111" s="106">
        <f>SUM(AR$37:AR$48)+SUM(AT$37:AT$48)+SUM(AV$37:AV$48)+SUM(AX$37:AX$48)</f>
        <v>991</v>
      </c>
      <c r="J111" s="106">
        <f>SUM(AZ$37:AZ$48)+SUM(BB$37:BB$48)+SUM(BD$37:BD$48)+SUM(BF$37:BF$48)</f>
        <v>334</v>
      </c>
      <c r="K111" s="106">
        <f>SUM(BH$37:BH$48)+SUM(BJ$37:BJ$48)+SUM(BL$37:BL$48)+SUM(BN$37:BN$48)</f>
        <v>2622</v>
      </c>
      <c r="L111" s="106">
        <f>SUM(BP$37:BP$48)+SUM(BR$37:BR$48)+SUM(BT$37:BT$48)+SUM(BV$37:BV$48)</f>
        <v>1641</v>
      </c>
      <c r="M111" s="106">
        <f>SUM(BX$37:BX$48)+SUM(BZ$37:BZ$48)+SUM(CB$37:CB$48)+SUM(CD$37:CD$48)</f>
        <v>431</v>
      </c>
      <c r="N111" s="106">
        <f>SUM(CF$37:CF$48)+SUM(CH$37:CH$48)+SUM(CJ$37:CJ$48)+SUM(CL$37:CL$48)</f>
        <v>249</v>
      </c>
      <c r="O111" s="106">
        <f>SUM(CN$37:CN$48)+SUM(CP$37:CP$48)+SUM(CR$37:CR$48)+SUM(CT$37:CT$48)</f>
        <v>328</v>
      </c>
    </row>
    <row r="112" spans="2:99" x14ac:dyDescent="0.2">
      <c r="C112" s="105" t="s">
        <v>129</v>
      </c>
      <c r="D112" s="106">
        <f>SUM(D$49:D$70)+SUM(F$49:F$70)+SUM(H$49:H$70)+SUM(J$49:J$70)</f>
        <v>568.32935448204285</v>
      </c>
      <c r="E112" s="106">
        <f>SUM(L$49:L$70)+SUM(N$49:N$70)+SUM(P$49:P$70)+SUM(R$49:R$70)</f>
        <v>2830.484606677152</v>
      </c>
      <c r="F112" s="106">
        <f>SUM(T$49:T$70)+SUM(V$49:V$70)+SUM(X$49:X$70)+SUM(Z$49:Z$70)</f>
        <v>371.344800325135</v>
      </c>
      <c r="G112" s="106">
        <f>SUM(AB$49:AB$70)+SUM(AD$49:AD$70)+SUM(AF$49:AF$70)+SUM(AH$49:AH$70)</f>
        <v>640.62056198726441</v>
      </c>
      <c r="H112" s="106">
        <f>SUM(AJ$49:AJ$70)+SUM(AL$49:AL$70)+SUM(AN$49:AN$70)+SUM(AP$49:AP$70)</f>
        <v>643.00840545249082</v>
      </c>
      <c r="I112" s="106">
        <f>SUM(AR$49:AR$70)+SUM(AT$49:AT$70)+SUM(AV$49:AV$70)+SUM(AX$49:AX$70)</f>
        <v>332.62205672279106</v>
      </c>
      <c r="J112" s="106">
        <f>SUM(AZ$49:AZ$70)+SUM(BB$49:BB$70)+SUM(BD$49:BD$70)+SUM(BF$49:BF$70)</f>
        <v>484.00518919115001</v>
      </c>
      <c r="K112" s="106">
        <f>SUM(BH$49:BH$70)+SUM(BJ$49:BJ$70)+SUM(BL$49:BL$70)+SUM(BN$49:BN$70)</f>
        <v>418.82033396205759</v>
      </c>
      <c r="L112" s="106">
        <f>SUM(BP$49:BP$70)+SUM(BR$49:BR$70)+SUM(BT$49:BT$70)+SUM(BV$49:BV$70)</f>
        <v>255.39011879197511</v>
      </c>
      <c r="M112" s="106">
        <f>SUM(BX$49:BX$70)+SUM(BZ$49:BZ$70)+SUM(CB$49:CB$70)+SUM(CD$49:CD$70)</f>
        <v>5427.0920922836913</v>
      </c>
      <c r="N112" s="106">
        <f>SUM(CF$49:CF$70)+SUM(CH$49:CH$70)+SUM(CJ$49:CJ$70)+SUM(CL$49:CL$70)</f>
        <v>1970.8372023236936</v>
      </c>
      <c r="O112" s="106">
        <f>SUM(CN$49:CN$70)+SUM(CP$49:CP$70)+SUM(CR$49:CR$70)+SUM(CT$49:CT$70)</f>
        <v>293.00050189824185</v>
      </c>
    </row>
    <row r="113" spans="2:15" x14ac:dyDescent="0.2">
      <c r="C113" s="105" t="s">
        <v>130</v>
      </c>
      <c r="D113" s="106">
        <f>SUM(D$71:D$86)+SUM(F$71:F$86)+SUM(H$71:H$86)+SUM(J$71:J$86)</f>
        <v>1081.1649308682149</v>
      </c>
      <c r="E113" s="106">
        <f>SUM(L$71:L$86)+SUM(N$71:N$86)+SUM(P$71:P$86)+SUM(R$71:R$86)</f>
        <v>1310.2386903632635</v>
      </c>
      <c r="F113" s="106">
        <f>SUM(T$71:T$86)+SUM(V$71:V$86)+SUM(X$71:X$86)+SUM(Z$71:Z$86)</f>
        <v>317.88506785439949</v>
      </c>
      <c r="G113" s="106">
        <f>SUM(AB$71:AB$86)+SUM(AD$71:AD$86)+SUM(AF$71:AF$86)+SUM(AH$71:AH$86)</f>
        <v>607.25839400237783</v>
      </c>
      <c r="H113" s="106">
        <f>SUM(AJ$71:AJ$86)+SUM(AL$71:AL$86)+SUM(AN$71:AN$86)+SUM(AP$71:AP$86)</f>
        <v>305.58581229209557</v>
      </c>
      <c r="I113" s="106">
        <f>SUM(AR$71:AR$86)+SUM(AT$71:AT$86)+SUM(AV$71:AV$86)+SUM(AX$71:AX$86)</f>
        <v>2432.8918444669957</v>
      </c>
      <c r="J113" s="106">
        <f>SUM(AZ$71:AZ$86)+SUM(BB$71:BB$86)+SUM(BD$71:BD$86)+SUM(BF$71:BF$86)</f>
        <v>3805.2125286406585</v>
      </c>
      <c r="K113" s="106">
        <f>SUM(BH$71:BH$86)+SUM(BJ$71:BJ$86)+SUM(BL$71:BL$86)+SUM(BN$71:BN$86)</f>
        <v>343.31472960299197</v>
      </c>
      <c r="L113" s="106">
        <f>SUM(BP$71:BP$86)+SUM(BR$71:BR$86)+SUM(BT$71:BT$86)+SUM(BV$71:BV$86)</f>
        <v>260.36411417227771</v>
      </c>
      <c r="M113" s="106">
        <f>SUM(BX$71:BX$86)+SUM(BZ$71:BZ$86)+SUM(CB$71:CB$86)+SUM(CD$71:CD$86)</f>
        <v>303.16725189383999</v>
      </c>
      <c r="N113" s="106">
        <f>SUM(CF$71:CF$86)+SUM(CH$71:CH$86)+SUM(CJ$71:CJ$86)+SUM(CL$71:CL$86)</f>
        <v>1620.5847820120503</v>
      </c>
      <c r="O113" s="106">
        <f>SUM(CN$71:CN$86)+SUM(CP$71:CP$86)+SUM(CR$71:CR$86)+SUM(CT$71:CT$86)</f>
        <v>289.00916247101111</v>
      </c>
    </row>
    <row r="114" spans="2:15" x14ac:dyDescent="0.2">
      <c r="C114" s="105" t="s">
        <v>131</v>
      </c>
      <c r="D114" s="106">
        <f>SUM(D$87:D$94)+SUM(F$87:F$94)+SUM(H$87:H$94)+SUM(J$87:J$94)</f>
        <v>176.88231626800768</v>
      </c>
      <c r="E114" s="106">
        <f>SUM(L$87:L$94)+SUM(N$87:N$94)+SUM(P$87:P$94)+SUM(R$87:R$94)</f>
        <v>224.43419205604306</v>
      </c>
      <c r="F114" s="106">
        <f>SUM(T$87:T$94)+SUM(V$87:V$94)+SUM(X$87:X$94)+SUM(Z$87:Z$94)</f>
        <v>225.57278713665494</v>
      </c>
      <c r="G114" s="106">
        <f>SUM(AB$87:AB$94)+SUM(AD$87:AD$94)+SUM(AF$87:AF$94)+SUM(AH$87:AH$94)</f>
        <v>531.80218755084911</v>
      </c>
      <c r="H114" s="106">
        <f>SUM(AJ$87:AJ$94)+SUM(AL$87:AL$94)+SUM(AN$87:AN$94)+SUM(AP$87:AP$94)</f>
        <v>88.626062056127651</v>
      </c>
      <c r="I114" s="106">
        <f>SUM(AR$87:AR$94)+SUM(AT$87:AT$94)+SUM(AV$87:AV$94)+SUM(AX$87:AX$94)</f>
        <v>1241.9916486300883</v>
      </c>
      <c r="J114" s="106">
        <f>SUM(AZ$87:AZ$94)+SUM(BB$87:BB$94)+SUM(BD$87:BD$94)+SUM(BF$87:BF$94)</f>
        <v>922.31677311681062</v>
      </c>
      <c r="K114" s="106">
        <f>SUM(BH$87:BH$94)+SUM(BJ$87:BJ$94)+SUM(BL$87:BL$94)+SUM(BN$87:BN$94)</f>
        <v>158.06737810603784</v>
      </c>
      <c r="L114" s="106">
        <f>SUM(BP$87:BP$94)+SUM(BR$87:BR$94)+SUM(BT$87:BT$94)+SUM(BV$87:BV$94)</f>
        <v>418.79800937529723</v>
      </c>
      <c r="M114" s="106">
        <f>SUM(BX$87:BX$94)+SUM(BZ$87:BZ$94)+SUM(CB$87:CB$94)+SUM(CD$87:CD$94)</f>
        <v>249.81139473251861</v>
      </c>
      <c r="N114" s="106">
        <f>SUM(CF$87:CF$94)+SUM(CH$87:CH$94)+SUM(CJ$87:CJ$94)+SUM(CL$87:CL$94)</f>
        <v>243.90178573530631</v>
      </c>
      <c r="O114" s="106">
        <f>SUM(CN$87:CN$94)+SUM(CP$87:CP$94)+SUM(CR$87:CR$94)+SUM(CT$87:CT$94)</f>
        <v>809.66584612391125</v>
      </c>
    </row>
    <row r="115" spans="2:15" x14ac:dyDescent="0.2">
      <c r="C115" s="105" t="s">
        <v>132</v>
      </c>
      <c r="D115" s="106">
        <f>SUM(D$95:D$105)+SUM(F$95:F$105)+SUM(H$95:H$105)+SUM(J$95:J$105)</f>
        <v>240.71540141195641</v>
      </c>
      <c r="E115" s="106">
        <f>SUM(L$95:L$105)+SUM(N$95:N$105)+SUM(P$95:P$105)+SUM(R$95:R$105)</f>
        <v>124.19349946164388</v>
      </c>
      <c r="F115" s="106">
        <f>SUM(T$95:T$105)+SUM(V$95:V$105)+SUM(X$95:X$105)+SUM(Z$95:Z$105)</f>
        <v>460.79594296073014</v>
      </c>
      <c r="G115" s="106">
        <f>SUM(AB$95:AB$105)+SUM(AD$95:AD$105)+SUM(AF$95:AF$105)+SUM(AH$95:AH$105)</f>
        <v>267.14130088312925</v>
      </c>
      <c r="H115" s="106">
        <f>SUM(AJ$95:AJ$105)+SUM(AL$95:AL$105)+SUM(AN$95:AN$105)+SUM(AP$95:AP$105)</f>
        <v>1769.0482745584845</v>
      </c>
      <c r="I115" s="106">
        <f>SUM(AR$95:AR$105)+SUM(AT$95:AT$105)+SUM(AV$95:AV$105)+SUM(AX$95:AX$105)</f>
        <v>139.10820130259953</v>
      </c>
      <c r="J115" s="106">
        <f>SUM(AZ$95:AZ$105)+SUM(BB$95:BB$105)+SUM(BD$95:BD$105)+SUM(BF$95:BF$105)</f>
        <v>416.59460451224817</v>
      </c>
      <c r="K115" s="106">
        <f>SUM(BH$95:BH$105)+SUM(BJ$95:BJ$105)+SUM(BL$95:BL$105)+SUM(BN$95:BN$105)</f>
        <v>437.10893643565271</v>
      </c>
      <c r="L115" s="106">
        <f>SUM(BP$95:BP$105)+SUM(BR$95:BR$105)+SUM(BT$95:BT$105)+SUM(BV$95:BV$105)</f>
        <v>199.76113617202557</v>
      </c>
      <c r="M115" s="106">
        <f>SUM(BX$95:BX$105)+SUM(BZ$95:BZ$105)+SUM(CB$95:CB$105)+SUM(CD$95:CD$105)</f>
        <v>499.32999165224112</v>
      </c>
      <c r="N115" s="106">
        <f>SUM(CF$95:CF$105)+SUM(CH$95:CH$105)+SUM(CJ$95:CJ$105)+SUM(CL$95:CL$105)</f>
        <v>105.38310741296573</v>
      </c>
      <c r="O115" s="106">
        <f>SUM(CN$95:CN$105)+SUM(CP$95:CP$105)+SUM(CR$95:CR$105)+SUM(CT$95:CT$105)</f>
        <v>149.38587341730542</v>
      </c>
    </row>
    <row r="116" spans="2:15" x14ac:dyDescent="0.2">
      <c r="C116" s="105" t="s">
        <v>278</v>
      </c>
      <c r="D116" s="106">
        <f t="shared" ref="D116:O116" si="0">SUM(D$109:D$115)</f>
        <v>3027.0920030302223</v>
      </c>
      <c r="E116" s="106">
        <f t="shared" si="0"/>
        <v>9707.3509885581025</v>
      </c>
      <c r="F116" s="106">
        <f t="shared" si="0"/>
        <v>2172.5985982769198</v>
      </c>
      <c r="G116" s="106">
        <f t="shared" si="0"/>
        <v>6846.8224444236212</v>
      </c>
      <c r="H116" s="106">
        <f t="shared" si="0"/>
        <v>6297.2685543591979</v>
      </c>
      <c r="I116" s="106">
        <f t="shared" si="0"/>
        <v>7636.6137511224742</v>
      </c>
      <c r="J116" s="106">
        <f t="shared" si="0"/>
        <v>6443.1290954608676</v>
      </c>
      <c r="K116" s="106">
        <f t="shared" si="0"/>
        <v>5134.3113781067404</v>
      </c>
      <c r="L116" s="106">
        <f t="shared" si="0"/>
        <v>5164.313378511576</v>
      </c>
      <c r="M116" s="106">
        <f t="shared" si="0"/>
        <v>8344.4007305622908</v>
      </c>
      <c r="N116" s="106">
        <f t="shared" si="0"/>
        <v>8411.7068774840154</v>
      </c>
      <c r="O116" s="106">
        <f t="shared" si="0"/>
        <v>3914.0613839104699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789990.90259001905</v>
      </c>
      <c r="E120" s="106">
        <f>E109*pricing!E33*2000</f>
        <v>1137227.7193441368</v>
      </c>
      <c r="F120" s="106">
        <f>F109*pricing!F33*2000</f>
        <v>1707838.063344643</v>
      </c>
      <c r="G120" s="106">
        <f>G109*pricing!G33*2000</f>
        <v>4206869.2826809539</v>
      </c>
      <c r="H120" s="106">
        <f>H109*pricing!H33*2000</f>
        <v>1329728.187417218</v>
      </c>
      <c r="I120" s="106">
        <f>I109*pricing!I33*2000</f>
        <v>2234381.8799305139</v>
      </c>
      <c r="J120" s="106">
        <f>J109*pricing!J33*2000</f>
        <v>1596962.7602818322</v>
      </c>
      <c r="K120" s="106">
        <f>K109*pricing!K33*2000</f>
        <v>1927742.7969440995</v>
      </c>
      <c r="L120" s="106">
        <f>L109*pricing!L33*2000</f>
        <v>5934679.5217944821</v>
      </c>
      <c r="M120" s="106">
        <f>M109*pricing!M33*2000</f>
        <v>1218433.9436530673</v>
      </c>
      <c r="N120" s="106">
        <f>N109*pricing!N33*2000</f>
        <v>5795425.4968327964</v>
      </c>
      <c r="O120" s="106">
        <f>O109*pricing!O33*2000</f>
        <v>2486127.1744728833</v>
      </c>
    </row>
    <row r="121" spans="2:15" x14ac:dyDescent="0.2">
      <c r="C121" s="105" t="s">
        <v>127</v>
      </c>
      <c r="D121" s="106">
        <f>D110*pricing!D34*2000</f>
        <v>1278681.5269183386</v>
      </c>
      <c r="E121" s="106">
        <f>E110*pricing!E34*2000</f>
        <v>4518707.6783744646</v>
      </c>
      <c r="F121" s="106">
        <f>F110*pricing!F34*2000</f>
        <v>1427469.4912239125</v>
      </c>
      <c r="G121" s="106">
        <f>G110*pricing!G34*2000</f>
        <v>1234340.4172767946</v>
      </c>
      <c r="H121" s="106">
        <f>H110*pricing!H34*2000</f>
        <v>2755543.9176487839</v>
      </c>
      <c r="I121" s="106">
        <f>I110*pricing!I34*2000</f>
        <v>5181726.4540264597</v>
      </c>
      <c r="J121" s="106">
        <f>J110*pricing!J34*2000</f>
        <v>1358584.1653748071</v>
      </c>
      <c r="K121" s="106">
        <f>K110*pricing!K34*2000</f>
        <v>2925831.1398435822</v>
      </c>
      <c r="L121" s="106">
        <f>L110*pricing!L34*2000</f>
        <v>1475280.0972364352</v>
      </c>
      <c r="M121" s="106">
        <f>M110*pricing!M34*2000</f>
        <v>3860099.7309044786</v>
      </c>
      <c r="N121" s="106">
        <f>N110*pricing!N34*2000</f>
        <v>6372369.6391324718</v>
      </c>
      <c r="O121" s="106">
        <f>O110*pricing!O34*2000</f>
        <v>4649375.1950319055</v>
      </c>
    </row>
    <row r="122" spans="2:15" x14ac:dyDescent="0.2">
      <c r="C122" s="105" t="s">
        <v>128</v>
      </c>
      <c r="D122" s="106">
        <f>D111*pricing!D35*2000</f>
        <v>2914134.8151720781</v>
      </c>
      <c r="E122" s="106">
        <f>E111*pricing!E35*2000</f>
        <v>7793317.80491463</v>
      </c>
      <c r="F122" s="106">
        <f>F111*pricing!F35*2000</f>
        <v>1529107.2047795185</v>
      </c>
      <c r="G122" s="106">
        <f>G111*pricing!G35*2000</f>
        <v>6971757.9728137404</v>
      </c>
      <c r="H122" s="106">
        <f>H111*pricing!H35*2000</f>
        <v>6179523.348624696</v>
      </c>
      <c r="I122" s="106">
        <f>I111*pricing!I35*2000</f>
        <v>3507816.5739968815</v>
      </c>
      <c r="J122" s="106">
        <f>J111*pricing!J35*2000</f>
        <v>2034125.6084241937</v>
      </c>
      <c r="K122" s="106">
        <f>K111*pricing!K35*2000</f>
        <v>6469650.1026110919</v>
      </c>
      <c r="L122" s="106">
        <f>L111*pricing!L35*2000</f>
        <v>5136075.0312177027</v>
      </c>
      <c r="M122" s="106">
        <f>M111*pricing!M35*2000</f>
        <v>2221216.2325512674</v>
      </c>
      <c r="N122" s="106">
        <f>N111*pricing!N35*2000</f>
        <v>1618135.640121985</v>
      </c>
      <c r="O122" s="106">
        <f>O111*pricing!O35*2000</f>
        <v>1974386.3921931791</v>
      </c>
    </row>
    <row r="123" spans="2:15" x14ac:dyDescent="0.2">
      <c r="C123" s="105" t="s">
        <v>129</v>
      </c>
      <c r="D123" s="106">
        <f>D112*pricing!D36*2000</f>
        <v>2984121.9713345561</v>
      </c>
      <c r="E123" s="106">
        <f>E112*pricing!E36*2000</f>
        <v>7626069.9401359027</v>
      </c>
      <c r="F123" s="106">
        <f>F112*pricing!F36*2000</f>
        <v>2323738.5254064323</v>
      </c>
      <c r="G123" s="106">
        <f>G112*pricing!G36*2000</f>
        <v>2998136.0754524861</v>
      </c>
      <c r="H123" s="106">
        <f>H112*pricing!H36*2000</f>
        <v>3168133.2968046013</v>
      </c>
      <c r="I123" s="106">
        <f>I112*pricing!I36*2000</f>
        <v>2028313.1089472405</v>
      </c>
      <c r="J123" s="106">
        <f>J112*pricing!J36*2000</f>
        <v>2364195.6563268704</v>
      </c>
      <c r="K123" s="106">
        <f>K112*pricing!K36*2000</f>
        <v>2460201.6311724256</v>
      </c>
      <c r="L123" s="106">
        <f>L112*pricing!L36*2000</f>
        <v>1713371.0157404759</v>
      </c>
      <c r="M123" s="106">
        <f>M112*pricing!M36*2000</f>
        <v>11000969.605107993</v>
      </c>
      <c r="N123" s="106">
        <f>N112*pricing!N36*2000</f>
        <v>5980143.48211719</v>
      </c>
      <c r="O123" s="106">
        <f>O112*pricing!O36*2000</f>
        <v>1936665.3614637207</v>
      </c>
    </row>
    <row r="124" spans="2:15" x14ac:dyDescent="0.2">
      <c r="C124" s="105" t="s">
        <v>130</v>
      </c>
      <c r="D124" s="106">
        <f>D113*pricing!D37*2000</f>
        <v>3560477.3399201455</v>
      </c>
      <c r="E124" s="106">
        <f>E113*pricing!E37*2000</f>
        <v>4223061.1384100439</v>
      </c>
      <c r="F124" s="106">
        <f>F113*pricing!F37*2000</f>
        <v>1569965.7751317541</v>
      </c>
      <c r="G124" s="106">
        <f>G113*pricing!G37*2000</f>
        <v>2580026.9054390388</v>
      </c>
      <c r="H124" s="106">
        <f>H113*pricing!H37*2000</f>
        <v>1683471.9299687634</v>
      </c>
      <c r="I124" s="106">
        <f>I113*pricing!I37*2000</f>
        <v>5965584.4740816634</v>
      </c>
      <c r="J124" s="106">
        <f>J113*pricing!J37*2000</f>
        <v>7837841.4451661147</v>
      </c>
      <c r="K124" s="106">
        <f>K113*pricing!K37*2000</f>
        <v>1836522.0396571422</v>
      </c>
      <c r="L124" s="106">
        <f>L113*pricing!L37*2000</f>
        <v>1490851.0155567038</v>
      </c>
      <c r="M124" s="106">
        <f>M113*pricing!M37*2000</f>
        <v>1671005.3560757833</v>
      </c>
      <c r="N124" s="106">
        <f>N113*pricing!N37*2000</f>
        <v>4624070.5917627364</v>
      </c>
      <c r="O124" s="106">
        <f>O113*pricing!O37*2000</f>
        <v>1779086.0769589315</v>
      </c>
    </row>
    <row r="125" spans="2:15" x14ac:dyDescent="0.2">
      <c r="C125" s="105" t="s">
        <v>131</v>
      </c>
      <c r="D125" s="106">
        <f>D114*pricing!D38*2000</f>
        <v>910047.69407115655</v>
      </c>
      <c r="E125" s="106">
        <f>E114*pricing!E38*2000</f>
        <v>995083.07860574126</v>
      </c>
      <c r="F125" s="106">
        <f>F114*pricing!F38*2000</f>
        <v>1011483.535462969</v>
      </c>
      <c r="G125" s="106">
        <f>G114*pricing!G38*2000</f>
        <v>1668396.8232676666</v>
      </c>
      <c r="H125" s="106">
        <f>H114*pricing!H38*2000</f>
        <v>600882.45695212367</v>
      </c>
      <c r="I125" s="106">
        <f>I114*pricing!I38*2000</f>
        <v>2958609.0800417084</v>
      </c>
      <c r="J125" s="106">
        <f>J114*pricing!J38*2000</f>
        <v>2283346.0627446985</v>
      </c>
      <c r="K125" s="106">
        <f>K114*pricing!K38*2000</f>
        <v>938812.96442414448</v>
      </c>
      <c r="L125" s="106">
        <f>L114*pricing!L38*2000</f>
        <v>1462892.1006261385</v>
      </c>
      <c r="M125" s="106">
        <f>M114*pricing!M38*2000</f>
        <v>1128448.7717269361</v>
      </c>
      <c r="N125" s="106">
        <f>N114*pricing!N38*2000</f>
        <v>1070821.3445490189</v>
      </c>
      <c r="O125" s="106">
        <f>O114*pricing!O38*2000</f>
        <v>2336356.2727248212</v>
      </c>
    </row>
    <row r="126" spans="2:15" x14ac:dyDescent="0.2">
      <c r="C126" s="105" t="s">
        <v>132</v>
      </c>
      <c r="D126" s="106">
        <f>D115*pricing!D39*2000</f>
        <v>1378465.7273135206</v>
      </c>
      <c r="E126" s="106">
        <f>E115*pricing!E39*2000</f>
        <v>866755.35650502634</v>
      </c>
      <c r="F126" s="106">
        <f>F115*pricing!F39*2000</f>
        <v>2048758.3972394483</v>
      </c>
      <c r="G126" s="106">
        <f>G115*pricing!G39*2000</f>
        <v>1441842.3187302283</v>
      </c>
      <c r="H126" s="106">
        <f>H115*pricing!H39*2000</f>
        <v>4478239.8109197384</v>
      </c>
      <c r="I126" s="106">
        <f>I115*pricing!I39*2000</f>
        <v>967124.33034043387</v>
      </c>
      <c r="J126" s="106">
        <f>J115*pricing!J39*2000</f>
        <v>1948265.0985741487</v>
      </c>
      <c r="K126" s="106">
        <f>K115*pricing!K39*2000</f>
        <v>1875178.4638261583</v>
      </c>
      <c r="L126" s="106">
        <f>L115*pricing!L39*2000</f>
        <v>1214371.1287209105</v>
      </c>
      <c r="M126" s="106">
        <f>M115*pricing!M39*2000</f>
        <v>2003347.1856659066</v>
      </c>
      <c r="N126" s="106">
        <f>N115*pricing!N39*2000</f>
        <v>734607.32162764284</v>
      </c>
      <c r="O126" s="106">
        <f>O115*pricing!O39*2000</f>
        <v>983714.88280128839</v>
      </c>
    </row>
    <row r="127" spans="2:15" x14ac:dyDescent="0.2">
      <c r="C127" s="105" t="s">
        <v>278</v>
      </c>
      <c r="D127" s="106">
        <f>SUM(D$120:D$126)</f>
        <v>13815919.977319814</v>
      </c>
      <c r="E127" s="106">
        <f t="shared" ref="E127:O127" si="1">SUM(E$120:E$126)</f>
        <v>27160222.716289945</v>
      </c>
      <c r="F127" s="106">
        <f t="shared" si="1"/>
        <v>11618360.992588678</v>
      </c>
      <c r="G127" s="106">
        <f t="shared" si="1"/>
        <v>21101369.795660906</v>
      </c>
      <c r="H127" s="106">
        <f t="shared" si="1"/>
        <v>20195522.948335923</v>
      </c>
      <c r="I127" s="106">
        <f t="shared" si="1"/>
        <v>22843555.901364896</v>
      </c>
      <c r="J127" s="106">
        <f t="shared" si="1"/>
        <v>19423320.796892669</v>
      </c>
      <c r="K127" s="106">
        <f t="shared" si="1"/>
        <v>18433939.138478644</v>
      </c>
      <c r="L127" s="106">
        <f t="shared" si="1"/>
        <v>18427519.910892848</v>
      </c>
      <c r="M127" s="106">
        <f t="shared" si="1"/>
        <v>23103520.82568543</v>
      </c>
      <c r="N127" s="106">
        <f t="shared" si="1"/>
        <v>26195573.516143844</v>
      </c>
      <c r="O127" s="106">
        <f t="shared" si="1"/>
        <v>16145711.355646731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59451.599999999991</v>
      </c>
      <c r="E131" s="112">
        <f>SUM(M$6:M$19)+SUM(O$6:O$19)+SUM(Q$6:Q$19)+SUM(S$6:S$19)</f>
        <v>83581.200000000012</v>
      </c>
      <c r="F131" s="112">
        <f>SUM(U$6:U$19)+SUM(W$6:W$19)+SUM(Y$6:Y$19)+SUM(AA$6:AA$19)</f>
        <v>165049.19999999998</v>
      </c>
      <c r="G131" s="112">
        <f>SUM(AC$6:AC$19)+SUM(AE$6:AE$19)+SUM(AG$6:AG$19)+SUM(AI$6:AI$19)</f>
        <v>733376.39999999991</v>
      </c>
      <c r="H131" s="112">
        <f>SUM(AK$6:AK$19)+SUM(AM$6:AM$19)+SUM(AO$6:AO$19)+SUM(AQ$6:AQ$19)</f>
        <v>103958.39999999999</v>
      </c>
      <c r="I131" s="112">
        <f>SUM(AS$6:AS$19)+SUM(AU$6:AU$19)+SUM(AW$6:AW$19)+SUM(AY$6:AY$19)</f>
        <v>275194.79999999993</v>
      </c>
      <c r="J131" s="112">
        <f>SUM(BA$6:BA$19)+SUM(BC$6:BC$19)+SUM(BE$6:BE$19)+SUM(BG$6:BG$19)</f>
        <v>137835.6</v>
      </c>
      <c r="K131" s="112">
        <f>SUM(BI$6:BI$19)+SUM(BK$6:BK$19)+SUM(BM$6:BM$19)+SUM(BO$6:BO$19)</f>
        <v>188808</v>
      </c>
      <c r="L131" s="112">
        <f>SUM(BQ$6:BQ$19)+SUM(BS$6:BS$19)+SUM(BU$6:BU$19)+SUM(BW$6:BW$19)</f>
        <v>1086214.7999999998</v>
      </c>
      <c r="M131" s="112">
        <f>SUM(BY$6:BY$19)+SUM(CA$6:CA$19)+SUM(CC$6:CC$19)+SUM(CE$6:CE$19)</f>
        <v>94638</v>
      </c>
      <c r="N131" s="112">
        <f>SUM(CG$6:CG$19)+SUM(CI$6:CI$19)+SUM(CK$6:CK$19)+SUM(CM$6:CM$19)</f>
        <v>1012729.2</v>
      </c>
      <c r="O131" s="112">
        <f>SUM(CO$6:CO$19)+SUM(CQ$6:CQ$19)+SUM(CS$6:CS$19)+SUM(CU$6:CU$19)</f>
        <v>262300.79999999999</v>
      </c>
    </row>
    <row r="132" spans="2:15" x14ac:dyDescent="0.2">
      <c r="C132" s="111" t="s">
        <v>127</v>
      </c>
      <c r="D132" s="112">
        <f>SUM(E$20:E$36)+SUM(G$20:G$36)+SUM(I$20:I$36)+SUM(K$20:K$36)</f>
        <v>87432</v>
      </c>
      <c r="E132" s="112">
        <f>SUM(M$20:M$36)+SUM(O$20:O$36)+SUM(Q$20:Q$36)+SUM(S$20:S$36)</f>
        <v>618872.4</v>
      </c>
      <c r="F132" s="112">
        <f>SUM(U$20:U$36)+SUM(W$20:W$36)+SUM(Y$20:Y$36)+SUM(AA$20:AA$36)</f>
        <v>101514</v>
      </c>
      <c r="G132" s="112">
        <f>SUM(AC$20:AC$36)+SUM(AE$20:AE$36)+SUM(AG$20:AG$36)+SUM(AI$20:AI$36)</f>
        <v>83770.8</v>
      </c>
      <c r="H132" s="112">
        <f>SUM(AK$20:AK$36)+SUM(AM$20:AM$36)+SUM(AO$20:AO$36)+SUM(AQ$20:AQ$36)</f>
        <v>304676.40000000002</v>
      </c>
      <c r="I132" s="112">
        <f>SUM(AS$20:AS$36)+SUM(AU$20:AU$36)+SUM(AW$20:AW$36)+SUM(AY$20:AY$36)</f>
        <v>829885.2</v>
      </c>
      <c r="J132" s="112">
        <f>SUM(BA$20:BA$36)+SUM(BC$20:BC$36)+SUM(BE$20:BE$36)+SUM(BG$20:BG$36)</f>
        <v>87521.999999999985</v>
      </c>
      <c r="K132" s="112">
        <f>SUM(BI$20:BI$36)+SUM(BK$20:BK$36)+SUM(BM$20:BM$36)+SUM(BO$20:BO$36)</f>
        <v>330613.19999999995</v>
      </c>
      <c r="L132" s="112">
        <f>SUM(BQ$20:BQ$36)+SUM(BS$20:BS$36)+SUM(BU$20:BU$36)+SUM(BW$20:BW$36)</f>
        <v>94203.6</v>
      </c>
      <c r="M132" s="112">
        <f>SUM(BY$20:BY$36)+SUM(CA$20:CA$36)+SUM(CC$20:CC$36)+SUM(CE$20:CE$36)</f>
        <v>529006.80000000005</v>
      </c>
      <c r="N132" s="112">
        <f>SUM(CG$20:CG$36)+SUM(CI$20:CI$36)+SUM(CK$20:CK$36)+SUM(CM$20:CM$36)</f>
        <v>936229.2</v>
      </c>
      <c r="O132" s="112">
        <f>SUM(CO$20:CO$36)+SUM(CQ$20:CQ$36)+SUM(CS$20:CS$36)+SUM(CU$20:CU$36)</f>
        <v>643215.60000000009</v>
      </c>
    </row>
    <row r="133" spans="2:15" x14ac:dyDescent="0.2">
      <c r="C133" s="111" t="s">
        <v>128</v>
      </c>
      <c r="D133" s="112">
        <f>SUM(E$37:E$48)+SUM(G$37:G$48)+SUM(I$37:I$48)+SUM(K$37:K$48)</f>
        <v>666464.4</v>
      </c>
      <c r="E133" s="112">
        <f>SUM(M$37:M$48)+SUM(O$37:O$48)+SUM(Q$37:Q$48)+SUM(S$37:S$48)</f>
        <v>3728186.3999999994</v>
      </c>
      <c r="F133" s="112">
        <f>SUM(U$37:U$48)+SUM(W$37:W$48)+SUM(Y$37:Y$48)+SUM(AA$37:AA$48)</f>
        <v>243148.80000000002</v>
      </c>
      <c r="G133" s="112">
        <f>SUM(AC$37:AC$48)+SUM(AE$37:AE$48)+SUM(AG$37:AG$48)+SUM(AI$37:AI$48)</f>
        <v>3248114.4</v>
      </c>
      <c r="H133" s="112">
        <f>SUM(AK$37:AK$48)+SUM(AM$37:AM$48)+SUM(AO$37:AO$48)+SUM(AQ$37:AQ$48)</f>
        <v>2668522.8000000003</v>
      </c>
      <c r="I133" s="112">
        <f>SUM(AS$37:AS$48)+SUM(AU$37:AU$48)+SUM(AW$37:AW$48)+SUM(AY$37:AY$48)</f>
        <v>1035918</v>
      </c>
      <c r="J133" s="112">
        <f>SUM(BA$37:BA$48)+SUM(BC$37:BC$48)+SUM(BE$37:BE$48)+SUM(BG$37:BG$48)</f>
        <v>350102.39999999997</v>
      </c>
      <c r="K133" s="112">
        <f>SUM(BI$37:BI$48)+SUM(BK$37:BK$48)+SUM(BM$37:BM$48)+SUM(BO$37:BO$48)</f>
        <v>2735553.6</v>
      </c>
      <c r="L133" s="112">
        <f>SUM(BQ$37:BQ$48)+SUM(BS$37:BS$48)+SUM(BU$37:BU$48)+SUM(BW$37:BW$48)</f>
        <v>1717884</v>
      </c>
      <c r="M133" s="112">
        <f>SUM(BY$37:BY$48)+SUM(CA$37:CA$48)+SUM(CC$37:CC$48)+SUM(CE$37:CE$48)</f>
        <v>451647.60000000003</v>
      </c>
      <c r="N133" s="112">
        <f>SUM(CG$37:CG$48)+SUM(CI$37:CI$48)+SUM(CK$37:CK$48)+SUM(CM$37:CM$48)</f>
        <v>260726.39999999999</v>
      </c>
      <c r="O133" s="112">
        <f>SUM(CO$37:CO$48)+SUM(CQ$37:CQ$48)+SUM(CS$37:CS$48)+SUM(CU$37:CU$48)</f>
        <v>344436</v>
      </c>
    </row>
    <row r="134" spans="2:15" x14ac:dyDescent="0.2">
      <c r="C134" s="111" t="s">
        <v>129</v>
      </c>
      <c r="D134" s="112">
        <f>SUM(E$49:E$70)+SUM(G$49:G$70)+SUM(I$49:I$70)+SUM(K$49:K$70)</f>
        <v>481899.99308866065</v>
      </c>
      <c r="E134" s="112">
        <f>SUM(M$49:M$70)+SUM(O$49:O$70)+SUM(Q$49:Q$70)+SUM(S$49:S$70)</f>
        <v>2360056.7711821534</v>
      </c>
      <c r="F134" s="112">
        <f>SUM(U$49:U$70)+SUM(W$49:W$70)+SUM(Y$49:Y$70)+SUM(AA$49:AA$70)</f>
        <v>315246.66030300857</v>
      </c>
      <c r="G134" s="112">
        <f>SUM(AC$49:AC$70)+SUM(AE$49:AE$70)+SUM(AG$49:AG$70)+SUM(AI$49:AI$70)</f>
        <v>540908.2119753611</v>
      </c>
      <c r="H134" s="112">
        <f>SUM(AK$49:AK$70)+SUM(AM$49:AM$70)+SUM(AO$49:AO$70)+SUM(AQ$49:AQ$70)</f>
        <v>543200.38984855195</v>
      </c>
      <c r="I134" s="112">
        <f>SUM(AS$49:AS$70)+SUM(AU$49:AU$70)+SUM(AW$49:AW$70)+SUM(AY$49:AY$70)</f>
        <v>283271.75249309908</v>
      </c>
      <c r="J134" s="112">
        <f>SUM(BA$49:BA$70)+SUM(BC$49:BC$70)+SUM(BE$49:BE$70)+SUM(BG$49:BG$70)</f>
        <v>409519.30181595206</v>
      </c>
      <c r="K134" s="112">
        <f>SUM(BI$49:BI$70)+SUM(BK$49:BK$70)+SUM(BM$49:BM$70)+SUM(BO$49:BO$70)</f>
        <v>352536.23843125027</v>
      </c>
      <c r="L134" s="112">
        <f>SUM(BQ$49:BQ$70)+SUM(BS$49:BS$70)+SUM(BU$49:BU$70)+SUM(BW$49:BW$70)</f>
        <v>218896.0191524117</v>
      </c>
      <c r="M134" s="112">
        <f>SUM(BY$49:BY$70)+SUM(CA$49:CA$70)+SUM(CC$49:CC$70)+SUM(CE$49:CE$70)</f>
        <v>4473975.8252601214</v>
      </c>
      <c r="N134" s="112">
        <f>SUM(CG$49:CG$70)+SUM(CI$49:CI$70)+SUM(CK$49:CK$70)+SUM(CM$49:CM$70)</f>
        <v>1649005.9265228123</v>
      </c>
      <c r="O134" s="112">
        <f>SUM(CO$49:CO$70)+SUM(CQ$49:CQ$70)+SUM(CS$49:CS$70)+SUM(CU$49:CU$70)</f>
        <v>249016.29970176867</v>
      </c>
    </row>
    <row r="135" spans="2:15" x14ac:dyDescent="0.2">
      <c r="C135" s="111" t="s">
        <v>130</v>
      </c>
      <c r="D135" s="112">
        <f>SUM(E$71:E$86)+SUM(G$71:G$86)+SUM(I$71:I$86)+SUM(K$71:K$86)</f>
        <v>597932.14792496176</v>
      </c>
      <c r="E135" s="112">
        <f>SUM(M$71:M$86)+SUM(O$71:O$86)+SUM(Q$71:Q$86)+SUM(S$71:S$86)</f>
        <v>727317.1073666187</v>
      </c>
      <c r="F135" s="112">
        <f>SUM(U$71:U$86)+SUM(W$71:W$86)+SUM(Y$71:Y$86)+SUM(AA$71:AA$86)</f>
        <v>175704.19044048458</v>
      </c>
      <c r="G135" s="112">
        <f>SUM(AC$71:AC$86)+SUM(AE$71:AE$86)+SUM(AG$71:AG$86)+SUM(AI$71:AI$86)</f>
        <v>337526.44588823459</v>
      </c>
      <c r="H135" s="112">
        <f>SUM(AK$71:AK$86)+SUM(AM$71:AM$86)+SUM(AO$71:AO$86)+SUM(AQ$71:AQ$86)</f>
        <v>170028.65126594563</v>
      </c>
      <c r="I135" s="112">
        <f>SUM(AS$71:AS$86)+SUM(AU$71:AU$86)+SUM(AW$71:AW$86)+SUM(AY$71:AY$86)</f>
        <v>1338983.325805461</v>
      </c>
      <c r="J135" s="112">
        <f>SUM(BA$71:BA$86)+SUM(BC$71:BC$86)+SUM(BE$71:BE$86)+SUM(BG$71:BG$86)</f>
        <v>2103017.8531510993</v>
      </c>
      <c r="K135" s="112">
        <f>SUM(BI$71:BI$86)+SUM(BK$71:BK$86)+SUM(BM$71:BM$86)+SUM(BO$71:BO$86)</f>
        <v>190605.72960751492</v>
      </c>
      <c r="L135" s="112">
        <f>SUM(BQ$71:BQ$86)+SUM(BS$71:BS$86)+SUM(BU$71:BU$86)+SUM(BW$71:BW$86)</f>
        <v>144496.57472637895</v>
      </c>
      <c r="M135" s="112">
        <f>SUM(BY$71:BY$86)+SUM(CA$71:CA$86)+SUM(CC$71:CC$86)+SUM(CE$71:CE$86)</f>
        <v>169328.86568807109</v>
      </c>
      <c r="N135" s="112">
        <f>SUM(CG$71:CG$86)+SUM(CI$71:CI$86)+SUM(CK$71:CK$86)+SUM(CM$71:CM$86)</f>
        <v>895667.23019770265</v>
      </c>
      <c r="O135" s="112">
        <f>SUM(CO$71:CO$86)+SUM(CQ$71:CQ$86)+SUM(CS$71:CS$86)+SUM(CU$71:CU$86)</f>
        <v>161049.16145487753</v>
      </c>
    </row>
    <row r="136" spans="2:15" x14ac:dyDescent="0.2">
      <c r="C136" s="111" t="s">
        <v>131</v>
      </c>
      <c r="D136" s="112">
        <f>SUM(E$87:E$94)+SUM(G$87:G$94)+SUM(I$87:I$94)+SUM(K$87:K$94)</f>
        <v>359766.00936909509</v>
      </c>
      <c r="E136" s="112">
        <f>SUM(M$87:M$94)+SUM(O$87:O$94)+SUM(Q$87:Q$94)+SUM(S$87:S$94)</f>
        <v>455590.05856116884</v>
      </c>
      <c r="F136" s="112">
        <f>SUM(U$87:U$94)+SUM(W$87:W$94)+SUM(Y$87:Y$94)+SUM(AA$87:AA$94)</f>
        <v>457929.83425718709</v>
      </c>
      <c r="G136" s="112">
        <f>SUM(AC$87:AC$94)+SUM(AE$87:AE$94)+SUM(AG$87:AG$94)+SUM(AI$87:AI$94)</f>
        <v>1076100.6996866497</v>
      </c>
      <c r="H136" s="112">
        <f>SUM(AK$87:AK$94)+SUM(AM$87:AM$94)+SUM(AO$87:AO$94)+SUM(AQ$87:AQ$94)</f>
        <v>180119.56395179796</v>
      </c>
      <c r="I136" s="112">
        <f>SUM(AS$87:AS$94)+SUM(AU$87:AU$94)+SUM(AW$87:AW$94)+SUM(AY$87:AY$94)</f>
        <v>2511813.7072026054</v>
      </c>
      <c r="J136" s="112">
        <f>SUM(BA$87:BA$94)+SUM(BC$87:BC$94)+SUM(BE$87:BE$94)+SUM(BG$87:BG$94)</f>
        <v>1862436.1368949628</v>
      </c>
      <c r="K136" s="112">
        <f>SUM(BI$87:BI$94)+SUM(BK$87:BK$94)+SUM(BM$87:BM$94)+SUM(BO$87:BO$94)</f>
        <v>321182.78601715504</v>
      </c>
      <c r="L136" s="112">
        <f>SUM(BQ$87:BQ$94)+SUM(BS$87:BS$94)+SUM(BU$87:BU$94)+SUM(BW$87:BW$94)</f>
        <v>844753.39640717139</v>
      </c>
      <c r="M136" s="112">
        <f>SUM(BY$87:BY$94)+SUM(CA$87:CA$94)+SUM(CC$87:CC$94)+SUM(CE$87:CE$94)</f>
        <v>506757.30815016374</v>
      </c>
      <c r="N136" s="112">
        <f>SUM(CG$87:CG$94)+SUM(CI$87:CI$94)+SUM(CK$87:CK$94)+SUM(CM$87:CM$94)</f>
        <v>495383.8335167059</v>
      </c>
      <c r="O136" s="112">
        <f>SUM(CO$87:CO$94)+SUM(CQ$87:CQ$94)+SUM(CS$87:CS$94)+SUM(CU$87:CU$94)</f>
        <v>1634755.3273435431</v>
      </c>
    </row>
    <row r="137" spans="2:15" x14ac:dyDescent="0.2">
      <c r="C137" s="111" t="s">
        <v>132</v>
      </c>
      <c r="D137" s="112">
        <f>SUM(E$95:E$105)+SUM(G$95:G$105)+SUM(I$95:I$105)+SUM(K$95:K$105)</f>
        <v>456945.5487382313</v>
      </c>
      <c r="E137" s="112">
        <f>SUM(M$95:M$105)+SUM(O$95:O$105)+SUM(Q$95:Q$105)+SUM(S$95:S$105)</f>
        <v>235109.65045031812</v>
      </c>
      <c r="F137" s="112">
        <f>SUM(U$95:U$105)+SUM(W$95:W$105)+SUM(Y$95:Y$105)+SUM(AA$95:AA$105)</f>
        <v>863423.09497815045</v>
      </c>
      <c r="G137" s="112">
        <f>SUM(AC$95:AC$105)+SUM(AE$95:AE$105)+SUM(AG$95:AG$105)+SUM(AI$95:AI$105)</f>
        <v>506679.19151806535</v>
      </c>
      <c r="H137" s="112">
        <f>SUM(AK$95:AK$105)+SUM(AM$95:AM$105)+SUM(AO$95:AO$105)+SUM(AQ$95:AQ$105)</f>
        <v>3214745.0868425984</v>
      </c>
      <c r="I137" s="112">
        <f>SUM(AS$95:AS$105)+SUM(AU$95:AU$105)+SUM(AW$95:AW$105)+SUM(AY$95:AY$105)</f>
        <v>271712.31212921318</v>
      </c>
      <c r="J137" s="112">
        <f>SUM(BA$95:BA$105)+SUM(BC$95:BC$105)+SUM(BE$95:BE$105)+SUM(BG$95:BG$105)</f>
        <v>788248.53201872145</v>
      </c>
      <c r="K137" s="112">
        <f>SUM(BI$95:BI$105)+SUM(BK$95:BK$105)+SUM(BM$95:BM$105)+SUM(BO$95:BO$105)</f>
        <v>811008.74149106769</v>
      </c>
      <c r="L137" s="112">
        <f>SUM(BQ$95:BQ$105)+SUM(BS$95:BS$105)+SUM(BU$95:BU$105)+SUM(BW$95:BW$105)</f>
        <v>379885.82314507104</v>
      </c>
      <c r="M137" s="112">
        <f>SUM(BY$95:BY$105)+SUM(CA$95:CA$105)+SUM(CC$95:CC$105)+SUM(CE$95:CE$105)</f>
        <v>926767.97854271089</v>
      </c>
      <c r="N137" s="112">
        <f>SUM(CG$95:CG$105)+SUM(CI$95:CI$105)+SUM(CK$95:CK$105)+SUM(CM$95:CM$105)</f>
        <v>202912.20843257327</v>
      </c>
      <c r="O137" s="112">
        <f>SUM(CO$95:CO$105)+SUM(CQ$95:CQ$105)+SUM(CS$95:CS$105)+SUM(CU$95:CU$105)</f>
        <v>280370.45432948571</v>
      </c>
    </row>
    <row r="138" spans="2:15" x14ac:dyDescent="0.2">
      <c r="C138" s="111" t="s">
        <v>278</v>
      </c>
      <c r="D138" s="106">
        <f t="shared" ref="D138:O138" si="2">SUM(D$131:D$137)</f>
        <v>2709891.699120949</v>
      </c>
      <c r="E138" s="106">
        <f t="shared" si="2"/>
        <v>8208713.5875602588</v>
      </c>
      <c r="F138" s="106">
        <f t="shared" si="2"/>
        <v>2322015.7799788304</v>
      </c>
      <c r="G138" s="106">
        <f t="shared" si="2"/>
        <v>6526476.1490683099</v>
      </c>
      <c r="H138" s="106">
        <f t="shared" si="2"/>
        <v>7185251.2919088937</v>
      </c>
      <c r="I138" s="106">
        <f t="shared" si="2"/>
        <v>6546779.0976303788</v>
      </c>
      <c r="J138" s="106">
        <f t="shared" si="2"/>
        <v>5738681.8238807358</v>
      </c>
      <c r="K138" s="106">
        <f t="shared" si="2"/>
        <v>4930308.295546988</v>
      </c>
      <c r="L138" s="106">
        <f t="shared" si="2"/>
        <v>4486334.2134310333</v>
      </c>
      <c r="M138" s="106">
        <f t="shared" si="2"/>
        <v>7152122.3776410669</v>
      </c>
      <c r="N138" s="106">
        <f t="shared" si="2"/>
        <v>5452653.9986697938</v>
      </c>
      <c r="O138" s="106">
        <f t="shared" si="2"/>
        <v>3575143.6428296748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167</v>
      </c>
      <c r="B1" s="105" t="s">
        <v>168</v>
      </c>
      <c r="C1" s="105" t="s">
        <v>169</v>
      </c>
      <c r="D1" s="105" t="s">
        <v>170</v>
      </c>
      <c r="E1" s="105" t="s">
        <v>171</v>
      </c>
    </row>
    <row r="2" spans="1:5" x14ac:dyDescent="0.2">
      <c r="A2" s="105" t="s">
        <v>126</v>
      </c>
      <c r="B2" s="105" t="s">
        <v>172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173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174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175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176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177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178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179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180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181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182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183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184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185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186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187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188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189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190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191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192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193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194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195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196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197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198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199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200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201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202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203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204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205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206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207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208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209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210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211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212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213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214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215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216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217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218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219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220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221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222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223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224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225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226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227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228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229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230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231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232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233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234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235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236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237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238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239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240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241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242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243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244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245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246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247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248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249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250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251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252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253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254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255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256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257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258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259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260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261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262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263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264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265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266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267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268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269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270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271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2016-10-10T15:21:03Z</dcterms:modified>
</cp:coreProperties>
</file>