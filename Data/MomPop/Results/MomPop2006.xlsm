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20" l="1"/>
  <c r="S15" i="20"/>
  <c r="S14" i="20"/>
  <c r="S7" i="20"/>
  <c r="H40" i="20"/>
  <c r="H39" i="20"/>
  <c r="H38" i="20"/>
  <c r="S36" i="20" s="1"/>
  <c r="H35" i="20"/>
  <c r="S42" i="20" s="1"/>
  <c r="H34" i="20"/>
  <c r="S39" i="20" s="1"/>
  <c r="H33" i="20"/>
  <c r="H30" i="20"/>
  <c r="H29" i="20"/>
  <c r="S37" i="20" s="1"/>
  <c r="H28" i="20"/>
  <c r="S40" i="20" s="1"/>
  <c r="H27" i="20"/>
  <c r="H24" i="20"/>
  <c r="H23" i="20"/>
  <c r="H15" i="20"/>
  <c r="H14" i="20"/>
  <c r="H13" i="20"/>
  <c r="H10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H7" i="20" s="1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59" i="14"/>
  <c r="AZ14" i="14"/>
  <c r="AY181" i="14"/>
  <c r="AY179" i="14"/>
  <c r="AY260" i="14" s="1"/>
  <c r="AY177" i="14"/>
  <c r="AY175" i="14"/>
  <c r="AX259" i="14"/>
  <c r="AY14" i="14"/>
  <c r="AX181" i="14"/>
  <c r="AX179" i="14"/>
  <c r="AX177" i="14"/>
  <c r="AX175" i="14"/>
  <c r="AX14" i="14"/>
  <c r="AW259" i="14" s="1"/>
  <c r="AW181" i="14"/>
  <c r="AW179" i="14"/>
  <c r="AW177" i="14"/>
  <c r="AW175" i="14"/>
  <c r="AW260" i="14" s="1"/>
  <c r="AW14" i="14"/>
  <c r="AV259" i="14" s="1"/>
  <c r="AV181" i="14"/>
  <c r="AV179" i="14"/>
  <c r="AV177" i="14"/>
  <c r="AV175" i="14"/>
  <c r="AU259" i="14"/>
  <c r="AV14" i="14"/>
  <c r="AU181" i="14"/>
  <c r="AU179" i="14"/>
  <c r="AU260" i="14" s="1"/>
  <c r="AU177" i="14"/>
  <c r="AU175" i="14"/>
  <c r="AU14" i="14"/>
  <c r="AT259" i="14" s="1"/>
  <c r="AT181" i="14"/>
  <c r="AT179" i="14"/>
  <c r="AT177" i="14"/>
  <c r="AT175" i="14"/>
  <c r="AT260" i="14" s="1"/>
  <c r="AT14" i="14"/>
  <c r="AS259" i="14" s="1"/>
  <c r="AS181" i="14"/>
  <c r="AS179" i="14"/>
  <c r="AS177" i="14"/>
  <c r="AS175" i="14"/>
  <c r="AS260" i="14" s="1"/>
  <c r="AS14" i="14"/>
  <c r="AR259" i="14" s="1"/>
  <c r="AR181" i="14"/>
  <c r="AR179" i="14"/>
  <c r="AR260" i="14" s="1"/>
  <c r="AR177" i="14"/>
  <c r="AR175" i="14"/>
  <c r="AQ259" i="14"/>
  <c r="AR14" i="14"/>
  <c r="AQ181" i="14"/>
  <c r="AQ179" i="14"/>
  <c r="AQ177" i="14"/>
  <c r="AQ260" i="14" s="1"/>
  <c r="AQ175" i="14"/>
  <c r="AQ14" i="14"/>
  <c r="AP259" i="14" s="1"/>
  <c r="AP181" i="14"/>
  <c r="AP179" i="14"/>
  <c r="AP177" i="14"/>
  <c r="AP175" i="14"/>
  <c r="AP260" i="14" s="1"/>
  <c r="AP14" i="14"/>
  <c r="AO259" i="14" s="1"/>
  <c r="AO181" i="14"/>
  <c r="AO179" i="14"/>
  <c r="AO177" i="14"/>
  <c r="AO175" i="14"/>
  <c r="AO260" i="14" s="1"/>
  <c r="AO14" i="14"/>
  <c r="AN259" i="14" s="1"/>
  <c r="AN181" i="14"/>
  <c r="AN179" i="14"/>
  <c r="AN260" i="14" s="1"/>
  <c r="AN177" i="14"/>
  <c r="AN175" i="14"/>
  <c r="AM259" i="14"/>
  <c r="AN14" i="14"/>
  <c r="AM181" i="14"/>
  <c r="AM179" i="14"/>
  <c r="AM177" i="14"/>
  <c r="AM260" i="14" s="1"/>
  <c r="AM175" i="14"/>
  <c r="AL259" i="14"/>
  <c r="AM14" i="14"/>
  <c r="AL181" i="14"/>
  <c r="AL179" i="14"/>
  <c r="AL177" i="14"/>
  <c r="AL175" i="14"/>
  <c r="AL14" i="14"/>
  <c r="AK259" i="14" s="1"/>
  <c r="AK181" i="14"/>
  <c r="AK179" i="14"/>
  <c r="AK177" i="14"/>
  <c r="AK175" i="14"/>
  <c r="AK260" i="14" s="1"/>
  <c r="AK14" i="14"/>
  <c r="AJ259" i="14" s="1"/>
  <c r="AJ181" i="14"/>
  <c r="AJ179" i="14"/>
  <c r="AJ177" i="14"/>
  <c r="AJ175" i="14"/>
  <c r="AI259" i="14"/>
  <c r="AJ14" i="14"/>
  <c r="AI181" i="14"/>
  <c r="AI179" i="14"/>
  <c r="AI260" i="14" s="1"/>
  <c r="AI177" i="14"/>
  <c r="AI175" i="14"/>
  <c r="AH259" i="14"/>
  <c r="AI14" i="14"/>
  <c r="AH181" i="14"/>
  <c r="AH179" i="14"/>
  <c r="AH177" i="14"/>
  <c r="AH175" i="14"/>
  <c r="AH14" i="14"/>
  <c r="AG259" i="14" s="1"/>
  <c r="AG181" i="14"/>
  <c r="AG179" i="14"/>
  <c r="AG177" i="14"/>
  <c r="AG175" i="14"/>
  <c r="AG260" i="14" s="1"/>
  <c r="AG14" i="14"/>
  <c r="AF259" i="14" s="1"/>
  <c r="AF181" i="14"/>
  <c r="AF179" i="14"/>
  <c r="AF177" i="14"/>
  <c r="AF175" i="14"/>
  <c r="AE259" i="14"/>
  <c r="AF14" i="14"/>
  <c r="AE181" i="14"/>
  <c r="AE179" i="14"/>
  <c r="AE260" i="14" s="1"/>
  <c r="AE177" i="14"/>
  <c r="AE175" i="14"/>
  <c r="AE14" i="14"/>
  <c r="AD259" i="14" s="1"/>
  <c r="AD181" i="14"/>
  <c r="AD179" i="14"/>
  <c r="AD177" i="14"/>
  <c r="AD175" i="14"/>
  <c r="AD260" i="14" s="1"/>
  <c r="AD14" i="14"/>
  <c r="AC259" i="14" s="1"/>
  <c r="AC181" i="14"/>
  <c r="AC179" i="14"/>
  <c r="AC177" i="14"/>
  <c r="AC175" i="14"/>
  <c r="AC260" i="14" s="1"/>
  <c r="AC14" i="14"/>
  <c r="AB259" i="14" s="1"/>
  <c r="AB181" i="14"/>
  <c r="AB179" i="14"/>
  <c r="AB260" i="14" s="1"/>
  <c r="AB177" i="14"/>
  <c r="AB175" i="14"/>
  <c r="AA259" i="14"/>
  <c r="AB14" i="14"/>
  <c r="AA181" i="14"/>
  <c r="AA179" i="14"/>
  <c r="AA177" i="14"/>
  <c r="AA260" i="14" s="1"/>
  <c r="AA175" i="14"/>
  <c r="AA14" i="14"/>
  <c r="Z259" i="14" s="1"/>
  <c r="Z181" i="14"/>
  <c r="Z179" i="14"/>
  <c r="Z177" i="14"/>
  <c r="Z175" i="14"/>
  <c r="Z260" i="14" s="1"/>
  <c r="Z14" i="14"/>
  <c r="Y259" i="14" s="1"/>
  <c r="Y181" i="14"/>
  <c r="Y179" i="14"/>
  <c r="Y177" i="14"/>
  <c r="Y175" i="14"/>
  <c r="Y260" i="14" s="1"/>
  <c r="Y14" i="14"/>
  <c r="X259" i="14" s="1"/>
  <c r="X181" i="14"/>
  <c r="X179" i="14"/>
  <c r="X260" i="14" s="1"/>
  <c r="X177" i="14"/>
  <c r="X175" i="14"/>
  <c r="W259" i="14"/>
  <c r="X14" i="14"/>
  <c r="W181" i="14"/>
  <c r="W179" i="14"/>
  <c r="W177" i="14"/>
  <c r="W260" i="14" s="1"/>
  <c r="W175" i="14"/>
  <c r="V259" i="14"/>
  <c r="W14" i="14"/>
  <c r="V181" i="14"/>
  <c r="V179" i="14"/>
  <c r="V177" i="14"/>
  <c r="V175" i="14"/>
  <c r="V14" i="14"/>
  <c r="U259" i="14" s="1"/>
  <c r="U181" i="14"/>
  <c r="U179" i="14"/>
  <c r="U177" i="14"/>
  <c r="U175" i="14"/>
  <c r="U260" i="14" s="1"/>
  <c r="U14" i="14"/>
  <c r="T259" i="14" s="1"/>
  <c r="T181" i="14"/>
  <c r="T179" i="14"/>
  <c r="T177" i="14"/>
  <c r="T175" i="14"/>
  <c r="S259" i="14"/>
  <c r="T14" i="14"/>
  <c r="S181" i="14"/>
  <c r="S179" i="14"/>
  <c r="S260" i="14" s="1"/>
  <c r="S177" i="14"/>
  <c r="S175" i="14"/>
  <c r="R259" i="14"/>
  <c r="S14" i="14"/>
  <c r="R181" i="14"/>
  <c r="R179" i="14"/>
  <c r="R177" i="14"/>
  <c r="R175" i="14"/>
  <c r="R14" i="14"/>
  <c r="Q259" i="14" s="1"/>
  <c r="Q181" i="14"/>
  <c r="Q179" i="14"/>
  <c r="Q177" i="14"/>
  <c r="Q175" i="14"/>
  <c r="Q260" i="14" s="1"/>
  <c r="Q14" i="14"/>
  <c r="P259" i="14" s="1"/>
  <c r="P181" i="14"/>
  <c r="P179" i="14"/>
  <c r="P177" i="14"/>
  <c r="P175" i="14"/>
  <c r="O259" i="14"/>
  <c r="P14" i="14"/>
  <c r="O181" i="14"/>
  <c r="O179" i="14"/>
  <c r="O260" i="14" s="1"/>
  <c r="O177" i="14"/>
  <c r="O175" i="14"/>
  <c r="N259" i="14"/>
  <c r="O14" i="14"/>
  <c r="N181" i="14"/>
  <c r="N179" i="14"/>
  <c r="N177" i="14"/>
  <c r="N175" i="14"/>
  <c r="N14" i="14"/>
  <c r="M259" i="14" s="1"/>
  <c r="M181" i="14"/>
  <c r="M179" i="14"/>
  <c r="M177" i="14"/>
  <c r="M175" i="14"/>
  <c r="M260" i="14" s="1"/>
  <c r="M14" i="14"/>
  <c r="L259" i="14" s="1"/>
  <c r="L181" i="14"/>
  <c r="L179" i="14"/>
  <c r="L177" i="14"/>
  <c r="L175" i="14"/>
  <c r="K259" i="14"/>
  <c r="L14" i="14"/>
  <c r="K181" i="14"/>
  <c r="K179" i="14"/>
  <c r="K260" i="14" s="1"/>
  <c r="K177" i="14"/>
  <c r="K175" i="14"/>
  <c r="K14" i="14"/>
  <c r="J259" i="14" s="1"/>
  <c r="J181" i="14"/>
  <c r="J179" i="14"/>
  <c r="J177" i="14"/>
  <c r="J175" i="14"/>
  <c r="J260" i="14" s="1"/>
  <c r="J14" i="14"/>
  <c r="I259" i="14" s="1"/>
  <c r="I181" i="14"/>
  <c r="I179" i="14"/>
  <c r="I177" i="14"/>
  <c r="I175" i="14"/>
  <c r="I260" i="14" s="1"/>
  <c r="I14" i="14"/>
  <c r="H259" i="14" s="1"/>
  <c r="H181" i="14"/>
  <c r="H179" i="14"/>
  <c r="H260" i="14" s="1"/>
  <c r="H177" i="14"/>
  <c r="H175" i="14"/>
  <c r="G259" i="14"/>
  <c r="H14" i="14"/>
  <c r="G181" i="14"/>
  <c r="G179" i="14"/>
  <c r="G177" i="14"/>
  <c r="G260" i="14" s="1"/>
  <c r="G175" i="14"/>
  <c r="F259" i="14"/>
  <c r="G14" i="14"/>
  <c r="F181" i="14"/>
  <c r="F179" i="14"/>
  <c r="F177" i="14"/>
  <c r="F175" i="14"/>
  <c r="F14" i="14"/>
  <c r="E259" i="14" s="1"/>
  <c r="E181" i="14"/>
  <c r="E179" i="14"/>
  <c r="E177" i="14"/>
  <c r="E175" i="14"/>
  <c r="E260" i="14" s="1"/>
  <c r="E14" i="14"/>
  <c r="D259" i="14" s="1"/>
  <c r="D181" i="14"/>
  <c r="D179" i="14"/>
  <c r="D177" i="14"/>
  <c r="D175" i="14"/>
  <c r="D260" i="14" s="1"/>
  <c r="AY259" i="15"/>
  <c r="AZ14" i="15"/>
  <c r="AY181" i="15"/>
  <c r="AY179" i="15"/>
  <c r="AY260" i="15" s="1"/>
  <c r="AY177" i="15"/>
  <c r="AY175" i="15"/>
  <c r="AX259" i="15"/>
  <c r="AY14" i="15"/>
  <c r="AX181" i="15"/>
  <c r="AX179" i="15"/>
  <c r="AX260" i="15" s="1"/>
  <c r="AX177" i="15"/>
  <c r="AX175" i="15"/>
  <c r="AX14" i="15"/>
  <c r="AW259" i="15" s="1"/>
  <c r="AW181" i="15"/>
  <c r="AW179" i="15"/>
  <c r="AW177" i="15"/>
  <c r="AW175" i="15"/>
  <c r="AV260" i="15"/>
  <c r="AW14" i="15"/>
  <c r="AV259" i="15" s="1"/>
  <c r="AV181" i="15"/>
  <c r="AV179" i="15"/>
  <c r="AV177" i="15"/>
  <c r="AV175" i="15"/>
  <c r="AU259" i="15"/>
  <c r="AV14" i="15"/>
  <c r="AU181" i="15"/>
  <c r="AU179" i="15"/>
  <c r="AU177" i="15"/>
  <c r="AU175" i="15"/>
  <c r="AT260" i="15"/>
  <c r="AU14" i="15"/>
  <c r="AT259" i="15" s="1"/>
  <c r="AT181" i="15"/>
  <c r="AT179" i="15"/>
  <c r="AT177" i="15"/>
  <c r="AT175" i="15"/>
  <c r="AT14" i="15"/>
  <c r="AS259" i="15" s="1"/>
  <c r="AS181" i="15"/>
  <c r="AS179" i="15"/>
  <c r="AS177" i="15"/>
  <c r="AS175" i="15"/>
  <c r="AS260" i="15" s="1"/>
  <c r="AS14" i="15"/>
  <c r="AR259" i="15" s="1"/>
  <c r="AR181" i="15"/>
  <c r="AR179" i="15"/>
  <c r="AR177" i="15"/>
  <c r="AR175" i="15"/>
  <c r="AR260" i="15" s="1"/>
  <c r="AQ259" i="15"/>
  <c r="AR14" i="15"/>
  <c r="AQ181" i="15"/>
  <c r="AQ179" i="15"/>
  <c r="AQ177" i="15"/>
  <c r="AQ175" i="15"/>
  <c r="AP259" i="15"/>
  <c r="AQ14" i="15"/>
  <c r="AP181" i="15"/>
  <c r="AP179" i="15"/>
  <c r="AP260" i="15" s="1"/>
  <c r="AP177" i="15"/>
  <c r="AP175" i="15"/>
  <c r="AP14" i="15"/>
  <c r="AO259" i="15" s="1"/>
  <c r="AO181" i="15"/>
  <c r="AO179" i="15"/>
  <c r="AO177" i="15"/>
  <c r="AO175" i="15"/>
  <c r="AO260" i="15" s="1"/>
  <c r="AO14" i="15"/>
  <c r="AN259" i="15" s="1"/>
  <c r="AN181" i="15"/>
  <c r="AN179" i="15"/>
  <c r="AN260" i="15" s="1"/>
  <c r="AN177" i="15"/>
  <c r="AN175" i="15"/>
  <c r="AM259" i="15"/>
  <c r="AN14" i="15"/>
  <c r="AM181" i="15"/>
  <c r="AM179" i="15"/>
  <c r="AM177" i="15"/>
  <c r="AM175" i="15"/>
  <c r="AM14" i="15"/>
  <c r="AL259" i="15" s="1"/>
  <c r="AL181" i="15"/>
  <c r="AL179" i="15"/>
  <c r="AL260" i="15" s="1"/>
  <c r="AL177" i="15"/>
  <c r="AL175" i="15"/>
  <c r="AL14" i="15"/>
  <c r="AK259" i="15" s="1"/>
  <c r="AK181" i="15"/>
  <c r="AK179" i="15"/>
  <c r="AK177" i="15"/>
  <c r="AK175" i="15"/>
  <c r="AK260" i="15" s="1"/>
  <c r="AK14" i="15"/>
  <c r="AJ259" i="15" s="1"/>
  <c r="AJ181" i="15"/>
  <c r="AJ179" i="15"/>
  <c r="AJ177" i="15"/>
  <c r="AJ175" i="15"/>
  <c r="AJ260" i="15" s="1"/>
  <c r="AI259" i="15"/>
  <c r="AJ14" i="15"/>
  <c r="AI181" i="15"/>
  <c r="AI179" i="15"/>
  <c r="AI260" i="15" s="1"/>
  <c r="AI177" i="15"/>
  <c r="AI175" i="15"/>
  <c r="AH259" i="15"/>
  <c r="AI14" i="15"/>
  <c r="AH181" i="15"/>
  <c r="AH179" i="15"/>
  <c r="AH260" i="15" s="1"/>
  <c r="AH177" i="15"/>
  <c r="AH175" i="15"/>
  <c r="AH14" i="15"/>
  <c r="AG259" i="15" s="1"/>
  <c r="AG181" i="15"/>
  <c r="AG179" i="15"/>
  <c r="AG177" i="15"/>
  <c r="AG175" i="15"/>
  <c r="AF260" i="15"/>
  <c r="AG14" i="15"/>
  <c r="AF259" i="15" s="1"/>
  <c r="AF181" i="15"/>
  <c r="AF179" i="15"/>
  <c r="AF177" i="15"/>
  <c r="AF175" i="15"/>
  <c r="AE259" i="15"/>
  <c r="AF14" i="15"/>
  <c r="AE181" i="15"/>
  <c r="AE179" i="15"/>
  <c r="AE177" i="15"/>
  <c r="AE175" i="15"/>
  <c r="AD260" i="15"/>
  <c r="AE14" i="15"/>
  <c r="AD259" i="15" s="1"/>
  <c r="AD181" i="15"/>
  <c r="AD179" i="15"/>
  <c r="AD177" i="15"/>
  <c r="AD175" i="15"/>
  <c r="AD14" i="15"/>
  <c r="AC259" i="15" s="1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B260" i="15" s="1"/>
  <c r="AA259" i="15"/>
  <c r="AB14" i="15"/>
  <c r="AA181" i="15"/>
  <c r="AA179" i="15"/>
  <c r="AA177" i="15"/>
  <c r="AA175" i="15"/>
  <c r="Z259" i="15"/>
  <c r="AA14" i="15"/>
  <c r="Z181" i="15"/>
  <c r="Z179" i="15"/>
  <c r="Z260" i="15" s="1"/>
  <c r="Z177" i="15"/>
  <c r="Z175" i="15"/>
  <c r="Z14" i="15"/>
  <c r="Y259" i="15" s="1"/>
  <c r="Y181" i="15"/>
  <c r="Y179" i="15"/>
  <c r="Y177" i="15"/>
  <c r="Y175" i="15"/>
  <c r="Y260" i="15" s="1"/>
  <c r="Y14" i="15"/>
  <c r="X259" i="15" s="1"/>
  <c r="X181" i="15"/>
  <c r="X179" i="15"/>
  <c r="X260" i="15" s="1"/>
  <c r="X177" i="15"/>
  <c r="X175" i="15"/>
  <c r="W259" i="15"/>
  <c r="X14" i="15"/>
  <c r="W181" i="15"/>
  <c r="W179" i="15"/>
  <c r="W177" i="15"/>
  <c r="W175" i="15"/>
  <c r="W14" i="15"/>
  <c r="V259" i="15" s="1"/>
  <c r="V181" i="15"/>
  <c r="V179" i="15"/>
  <c r="V260" i="15" s="1"/>
  <c r="V177" i="15"/>
  <c r="V175" i="15"/>
  <c r="V14" i="15"/>
  <c r="U259" i="15" s="1"/>
  <c r="U181" i="15"/>
  <c r="U179" i="15"/>
  <c r="U177" i="15"/>
  <c r="U175" i="15"/>
  <c r="U260" i="15" s="1"/>
  <c r="U14" i="15"/>
  <c r="T259" i="15" s="1"/>
  <c r="T181" i="15"/>
  <c r="T179" i="15"/>
  <c r="T177" i="15"/>
  <c r="T175" i="15"/>
  <c r="T260" i="15" s="1"/>
  <c r="S259" i="15"/>
  <c r="T14" i="15"/>
  <c r="S181" i="15"/>
  <c r="S179" i="15"/>
  <c r="S260" i="15" s="1"/>
  <c r="S177" i="15"/>
  <c r="S175" i="15"/>
  <c r="R259" i="15"/>
  <c r="S14" i="15"/>
  <c r="R181" i="15"/>
  <c r="R179" i="15"/>
  <c r="R260" i="15" s="1"/>
  <c r="R177" i="15"/>
  <c r="R175" i="15"/>
  <c r="R14" i="15"/>
  <c r="Q259" i="15" s="1"/>
  <c r="Q181" i="15"/>
  <c r="Q179" i="15"/>
  <c r="Q177" i="15"/>
  <c r="Q175" i="15"/>
  <c r="P260" i="15"/>
  <c r="Q14" i="15"/>
  <c r="P259" i="15" s="1"/>
  <c r="P181" i="15"/>
  <c r="P179" i="15"/>
  <c r="P177" i="15"/>
  <c r="P175" i="15"/>
  <c r="O259" i="15"/>
  <c r="P14" i="15"/>
  <c r="O181" i="15"/>
  <c r="O179" i="15"/>
  <c r="O177" i="15"/>
  <c r="O175" i="15"/>
  <c r="N260" i="15"/>
  <c r="O14" i="15"/>
  <c r="N259" i="15" s="1"/>
  <c r="N181" i="15"/>
  <c r="N179" i="15"/>
  <c r="N177" i="15"/>
  <c r="N175" i="15"/>
  <c r="N14" i="15"/>
  <c r="M259" i="15" s="1"/>
  <c r="M181" i="15"/>
  <c r="M179" i="15"/>
  <c r="M177" i="15"/>
  <c r="M175" i="15"/>
  <c r="M260" i="15" s="1"/>
  <c r="M14" i="15"/>
  <c r="L259" i="15" s="1"/>
  <c r="L181" i="15"/>
  <c r="L179" i="15"/>
  <c r="L177" i="15"/>
  <c r="L175" i="15"/>
  <c r="L260" i="15" s="1"/>
  <c r="K259" i="15"/>
  <c r="L14" i="15"/>
  <c r="K181" i="15"/>
  <c r="K179" i="15"/>
  <c r="K177" i="15"/>
  <c r="K175" i="15"/>
  <c r="J259" i="15"/>
  <c r="K14" i="15"/>
  <c r="J181" i="15"/>
  <c r="J179" i="15"/>
  <c r="J260" i="15" s="1"/>
  <c r="J177" i="15"/>
  <c r="J175" i="15"/>
  <c r="J14" i="15"/>
  <c r="I259" i="15" s="1"/>
  <c r="I181" i="15"/>
  <c r="I179" i="15"/>
  <c r="I177" i="15"/>
  <c r="I175" i="15"/>
  <c r="H260" i="15"/>
  <c r="I14" i="15"/>
  <c r="H259" i="15" s="1"/>
  <c r="H181" i="15"/>
  <c r="H179" i="15"/>
  <c r="H177" i="15"/>
  <c r="H175" i="15"/>
  <c r="G259" i="15"/>
  <c r="H14" i="15"/>
  <c r="G181" i="15"/>
  <c r="G179" i="15"/>
  <c r="G177" i="15"/>
  <c r="G175" i="15"/>
  <c r="F260" i="15"/>
  <c r="G14" i="15"/>
  <c r="F259" i="15" s="1"/>
  <c r="F181" i="15"/>
  <c r="F179" i="15"/>
  <c r="F177" i="15"/>
  <c r="F175" i="15"/>
  <c r="F14" i="15"/>
  <c r="E259" i="15" s="1"/>
  <c r="E181" i="15"/>
  <c r="E179" i="15"/>
  <c r="E177" i="15"/>
  <c r="E175" i="15"/>
  <c r="E260" i="15" s="1"/>
  <c r="E14" i="15"/>
  <c r="D181" i="15"/>
  <c r="D179" i="15"/>
  <c r="D177" i="15"/>
  <c r="D175" i="15"/>
  <c r="D260" i="15" s="1"/>
  <c r="AY14" i="16"/>
  <c r="AY15" i="16"/>
  <c r="AY16" i="16"/>
  <c r="AY10" i="16"/>
  <c r="AY13" i="16" s="1"/>
  <c r="AY17" i="16"/>
  <c r="AY29" i="16"/>
  <c r="AX14" i="16"/>
  <c r="AX15" i="16"/>
  <c r="AX16" i="16"/>
  <c r="AX17" i="16"/>
  <c r="AX29" i="16"/>
  <c r="AW14" i="16"/>
  <c r="AW15" i="16"/>
  <c r="AW16" i="16"/>
  <c r="AW10" i="16"/>
  <c r="AW13" i="16" s="1"/>
  <c r="AW17" i="16"/>
  <c r="AW29" i="16"/>
  <c r="AV14" i="16"/>
  <c r="AV10" i="16" s="1"/>
  <c r="AV13" i="16" s="1"/>
  <c r="AV15" i="16"/>
  <c r="AV16" i="16"/>
  <c r="AV17" i="16"/>
  <c r="AV29" i="16"/>
  <c r="AU14" i="16"/>
  <c r="AU15" i="16"/>
  <c r="AU10" i="16" s="1"/>
  <c r="AU13" i="16" s="1"/>
  <c r="AU16" i="16"/>
  <c r="AU17" i="16"/>
  <c r="AU29" i="16"/>
  <c r="AT14" i="16"/>
  <c r="AT10" i="16" s="1"/>
  <c r="AT15" i="16"/>
  <c r="AT16" i="16"/>
  <c r="AT13" i="16"/>
  <c r="AT17" i="16"/>
  <c r="AT29" i="16"/>
  <c r="AS14" i="16"/>
  <c r="AS15" i="16"/>
  <c r="AS10" i="16" s="1"/>
  <c r="AS13" i="16" s="1"/>
  <c r="AS16" i="16"/>
  <c r="AS17" i="16"/>
  <c r="AS29" i="16"/>
  <c r="AR14" i="16"/>
  <c r="AR15" i="16"/>
  <c r="AR16" i="16"/>
  <c r="AR10" i="16"/>
  <c r="AR13" i="16" s="1"/>
  <c r="AR17" i="16"/>
  <c r="AR29" i="16"/>
  <c r="AQ14" i="16"/>
  <c r="AQ15" i="16"/>
  <c r="AQ16" i="16"/>
  <c r="AQ10" i="16"/>
  <c r="AQ13" i="16" s="1"/>
  <c r="AQ17" i="16"/>
  <c r="AQ29" i="16"/>
  <c r="AP15" i="16"/>
  <c r="AP21" i="16"/>
  <c r="AP22" i="16"/>
  <c r="AP24" i="16"/>
  <c r="AP29" i="16"/>
  <c r="AP34" i="16"/>
  <c r="AP40" i="16" s="1"/>
  <c r="AP45" i="16"/>
  <c r="AP51" i="16"/>
  <c r="AO14" i="16"/>
  <c r="AO15" i="16"/>
  <c r="AO10" i="16" s="1"/>
  <c r="AO13" i="16" s="1"/>
  <c r="AP14" i="16" s="1"/>
  <c r="AO16" i="16"/>
  <c r="AP17" i="16" s="1"/>
  <c r="AO17" i="16"/>
  <c r="AO29" i="16"/>
  <c r="AN14" i="16"/>
  <c r="AN15" i="16"/>
  <c r="AN16" i="16"/>
  <c r="AN10" i="16"/>
  <c r="AN13" i="16" s="1"/>
  <c r="AN17" i="16"/>
  <c r="AN29" i="16"/>
  <c r="AM14" i="16"/>
  <c r="AM15" i="16"/>
  <c r="AM16" i="16"/>
  <c r="AM17" i="16"/>
  <c r="AM29" i="16"/>
  <c r="AL14" i="16"/>
  <c r="AL15" i="16"/>
  <c r="AL10" i="16" s="1"/>
  <c r="AL13" i="16" s="1"/>
  <c r="AL16" i="16"/>
  <c r="AL17" i="16"/>
  <c r="AL29" i="16"/>
  <c r="AK14" i="16"/>
  <c r="AK15" i="16"/>
  <c r="AK16" i="16"/>
  <c r="AK10" i="16"/>
  <c r="AK13" i="16" s="1"/>
  <c r="AK17" i="16"/>
  <c r="AK29" i="16"/>
  <c r="AJ14" i="16"/>
  <c r="AJ10" i="16" s="1"/>
  <c r="AJ15" i="16"/>
  <c r="AJ16" i="16"/>
  <c r="AJ13" i="16"/>
  <c r="AJ17" i="16"/>
  <c r="AJ29" i="16"/>
  <c r="AI14" i="16"/>
  <c r="AI15" i="16"/>
  <c r="AI16" i="16"/>
  <c r="AI17" i="16"/>
  <c r="AI29" i="16"/>
  <c r="AH14" i="16"/>
  <c r="AH15" i="16"/>
  <c r="AH10" i="16" s="1"/>
  <c r="AH13" i="16" s="1"/>
  <c r="AH16" i="16"/>
  <c r="AH17" i="16"/>
  <c r="AH29" i="16"/>
  <c r="AG14" i="16"/>
  <c r="AG15" i="16"/>
  <c r="AG16" i="16"/>
  <c r="AG10" i="16" s="1"/>
  <c r="AG13" i="16" s="1"/>
  <c r="AG17" i="16"/>
  <c r="AG29" i="16"/>
  <c r="AF14" i="16"/>
  <c r="AF10" i="16" s="1"/>
  <c r="AF15" i="16"/>
  <c r="AF16" i="16"/>
  <c r="AF13" i="16"/>
  <c r="AF17" i="16"/>
  <c r="AF29" i="16"/>
  <c r="AE14" i="16"/>
  <c r="AE15" i="16"/>
  <c r="AE16" i="16"/>
  <c r="AE17" i="16"/>
  <c r="AE29" i="16"/>
  <c r="AD14" i="16"/>
  <c r="AD15" i="16"/>
  <c r="AD10" i="16" s="1"/>
  <c r="AD13" i="16" s="1"/>
  <c r="AD16" i="16"/>
  <c r="AD17" i="16"/>
  <c r="AD29" i="16"/>
  <c r="AC14" i="16"/>
  <c r="AC15" i="16"/>
  <c r="AC16" i="16"/>
  <c r="AC10" i="16"/>
  <c r="AC13" i="16" s="1"/>
  <c r="AC17" i="16"/>
  <c r="AC29" i="16"/>
  <c r="AB14" i="16"/>
  <c r="AB10" i="16" s="1"/>
  <c r="AB13" i="16" s="1"/>
  <c r="AB15" i="16"/>
  <c r="AB16" i="16"/>
  <c r="AB17" i="16"/>
  <c r="AB29" i="16"/>
  <c r="AA15" i="16"/>
  <c r="AA17" i="16"/>
  <c r="AA21" i="16"/>
  <c r="AA22" i="16"/>
  <c r="AA23" i="16"/>
  <c r="AA24" i="16"/>
  <c r="AA29" i="16"/>
  <c r="AA33" i="16"/>
  <c r="AA34" i="16"/>
  <c r="AA40" i="16"/>
  <c r="AA44" i="16"/>
  <c r="AA45" i="16"/>
  <c r="AA46" i="16"/>
  <c r="AA50" i="16"/>
  <c r="AA51" i="16"/>
  <c r="Z14" i="16"/>
  <c r="Z15" i="16"/>
  <c r="Z16" i="16"/>
  <c r="Z17" i="16"/>
  <c r="Z29" i="16"/>
  <c r="Y14" i="16"/>
  <c r="Y15" i="16"/>
  <c r="Y16" i="16"/>
  <c r="Y10" i="16" s="1"/>
  <c r="Y13" i="16" s="1"/>
  <c r="Y17" i="16"/>
  <c r="Y29" i="16"/>
  <c r="X14" i="16"/>
  <c r="X10" i="16" s="1"/>
  <c r="X13" i="16" s="1"/>
  <c r="X15" i="16"/>
  <c r="X16" i="16"/>
  <c r="X17" i="16"/>
  <c r="X29" i="16"/>
  <c r="W14" i="16"/>
  <c r="W15" i="16"/>
  <c r="W16" i="16"/>
  <c r="W17" i="16"/>
  <c r="W29" i="16"/>
  <c r="V14" i="16"/>
  <c r="V15" i="16"/>
  <c r="V16" i="16"/>
  <c r="V17" i="16"/>
  <c r="V29" i="16"/>
  <c r="U14" i="16"/>
  <c r="U15" i="16"/>
  <c r="U16" i="16"/>
  <c r="U10" i="16" s="1"/>
  <c r="U13" i="16" s="1"/>
  <c r="U17" i="16"/>
  <c r="U29" i="16"/>
  <c r="T14" i="16"/>
  <c r="T10" i="16" s="1"/>
  <c r="T13" i="16" s="1"/>
  <c r="T15" i="16"/>
  <c r="T16" i="16"/>
  <c r="T17" i="16"/>
  <c r="T29" i="16"/>
  <c r="S14" i="16"/>
  <c r="S15" i="16"/>
  <c r="S16" i="16"/>
  <c r="S17" i="16"/>
  <c r="S29" i="16"/>
  <c r="R14" i="16"/>
  <c r="R10" i="16" s="1"/>
  <c r="R13" i="16" s="1"/>
  <c r="R15" i="16"/>
  <c r="R16" i="16"/>
  <c r="R17" i="16"/>
  <c r="R29" i="16"/>
  <c r="Q14" i="16"/>
  <c r="Q15" i="16"/>
  <c r="Q16" i="16"/>
  <c r="Q10" i="16" s="1"/>
  <c r="Q13" i="16" s="1"/>
  <c r="Q17" i="16"/>
  <c r="Q29" i="16"/>
  <c r="P14" i="16"/>
  <c r="P15" i="16"/>
  <c r="P16" i="16"/>
  <c r="P10" i="16"/>
  <c r="P13" i="16" s="1"/>
  <c r="P17" i="16"/>
  <c r="P29" i="16"/>
  <c r="O14" i="16"/>
  <c r="O10" i="16" s="1"/>
  <c r="O13" i="16" s="1"/>
  <c r="O15" i="16"/>
  <c r="O16" i="16"/>
  <c r="O17" i="16"/>
  <c r="O29" i="16"/>
  <c r="N14" i="16"/>
  <c r="N15" i="16"/>
  <c r="N10" i="16" s="1"/>
  <c r="N13" i="16" s="1"/>
  <c r="N16" i="16"/>
  <c r="N17" i="16"/>
  <c r="N29" i="16"/>
  <c r="M14" i="16"/>
  <c r="M10" i="16" s="1"/>
  <c r="M13" i="16" s="1"/>
  <c r="M15" i="16"/>
  <c r="M16" i="16"/>
  <c r="M17" i="16"/>
  <c r="M29" i="16"/>
  <c r="L14" i="16"/>
  <c r="L15" i="16"/>
  <c r="L16" i="16"/>
  <c r="L17" i="16"/>
  <c r="L29" i="16"/>
  <c r="K15" i="16"/>
  <c r="K21" i="16"/>
  <c r="K33" i="16" s="1"/>
  <c r="K35" i="16" s="1"/>
  <c r="K22" i="16"/>
  <c r="K23" i="16"/>
  <c r="K24" i="16"/>
  <c r="K29" i="16"/>
  <c r="K34" i="16"/>
  <c r="K39" i="16"/>
  <c r="K40" i="16"/>
  <c r="K45" i="16"/>
  <c r="K51" i="16"/>
  <c r="J14" i="16"/>
  <c r="J15" i="16"/>
  <c r="J16" i="16"/>
  <c r="K17" i="16" s="1"/>
  <c r="J17" i="16"/>
  <c r="J29" i="16"/>
  <c r="I14" i="16"/>
  <c r="I15" i="16"/>
  <c r="I16" i="16"/>
  <c r="I10" i="16"/>
  <c r="I13" i="16" s="1"/>
  <c r="I17" i="16"/>
  <c r="I29" i="16"/>
  <c r="H14" i="16"/>
  <c r="H15" i="16"/>
  <c r="H16" i="16"/>
  <c r="H17" i="16"/>
  <c r="H29" i="16"/>
  <c r="G14" i="16"/>
  <c r="G15" i="16"/>
  <c r="G16" i="16"/>
  <c r="G17" i="16"/>
  <c r="G29" i="16"/>
  <c r="F14" i="16"/>
  <c r="F15" i="16"/>
  <c r="F16" i="16"/>
  <c r="F10" i="16"/>
  <c r="F13" i="16" s="1"/>
  <c r="F17" i="16"/>
  <c r="F29" i="16"/>
  <c r="E14" i="16"/>
  <c r="E15" i="16"/>
  <c r="E16" i="16"/>
  <c r="E17" i="16"/>
  <c r="E27" i="16"/>
  <c r="E30" i="16" s="1"/>
  <c r="E29" i="16"/>
  <c r="F27" i="16" s="1"/>
  <c r="D14" i="16"/>
  <c r="D15" i="16"/>
  <c r="D16" i="16"/>
  <c r="D10" i="16"/>
  <c r="D17" i="16"/>
  <c r="D27" i="16"/>
  <c r="D29" i="16"/>
  <c r="D30" i="16"/>
  <c r="AY15" i="17"/>
  <c r="AY21" i="17"/>
  <c r="AY22" i="17"/>
  <c r="AY23" i="17"/>
  <c r="AY24" i="17"/>
  <c r="AY29" i="17"/>
  <c r="AY33" i="17"/>
  <c r="AY34" i="17"/>
  <c r="AY40" i="17"/>
  <c r="AY44" i="17"/>
  <c r="AY46" i="17" s="1"/>
  <c r="AY45" i="17"/>
  <c r="AY51" i="17"/>
  <c r="AX14" i="17"/>
  <c r="AX15" i="17"/>
  <c r="AY16" i="17" s="1"/>
  <c r="AX16" i="17"/>
  <c r="AY17" i="17" s="1"/>
  <c r="AX10" i="17"/>
  <c r="AX13" i="17" s="1"/>
  <c r="AY14" i="17" s="1"/>
  <c r="AX17" i="17"/>
  <c r="AX29" i="17"/>
  <c r="AW14" i="17"/>
  <c r="AW10" i="17" s="1"/>
  <c r="AW13" i="17" s="1"/>
  <c r="AX21" i="17" s="1"/>
  <c r="AW15" i="17"/>
  <c r="AW16" i="17"/>
  <c r="AW17" i="17"/>
  <c r="AW29" i="17"/>
  <c r="AV14" i="17"/>
  <c r="AV15" i="17"/>
  <c r="AV16" i="17"/>
  <c r="AV17" i="17"/>
  <c r="AV29" i="17"/>
  <c r="AU14" i="17"/>
  <c r="AU10" i="17" s="1"/>
  <c r="AU15" i="17"/>
  <c r="AU16" i="17"/>
  <c r="AU13" i="17"/>
  <c r="AU17" i="17"/>
  <c r="AU29" i="17"/>
  <c r="AT14" i="17"/>
  <c r="AT15" i="17"/>
  <c r="AT10" i="17" s="1"/>
  <c r="AT13" i="17" s="1"/>
  <c r="AT16" i="17"/>
  <c r="AT17" i="17"/>
  <c r="AT29" i="17"/>
  <c r="AS14" i="17"/>
  <c r="AS15" i="17"/>
  <c r="AS16" i="17"/>
  <c r="AS10" i="17"/>
  <c r="AS13" i="17" s="1"/>
  <c r="AS17" i="17"/>
  <c r="AS29" i="17"/>
  <c r="AR14" i="17"/>
  <c r="AR10" i="17" s="1"/>
  <c r="AR13" i="17" s="1"/>
  <c r="AR15" i="17"/>
  <c r="AR16" i="17"/>
  <c r="AR17" i="17"/>
  <c r="AR29" i="17"/>
  <c r="AQ14" i="17"/>
  <c r="AQ15" i="17"/>
  <c r="AQ16" i="17"/>
  <c r="AQ17" i="17"/>
  <c r="AQ29" i="17"/>
  <c r="AP14" i="17"/>
  <c r="AP15" i="17"/>
  <c r="AP16" i="17"/>
  <c r="AP10" i="17"/>
  <c r="AP13" i="17" s="1"/>
  <c r="AP17" i="17"/>
  <c r="AP29" i="17"/>
  <c r="AO14" i="17"/>
  <c r="AO15" i="17"/>
  <c r="AO16" i="17"/>
  <c r="AO17" i="17"/>
  <c r="AO29" i="17"/>
  <c r="AN14" i="17"/>
  <c r="AN10" i="17" s="1"/>
  <c r="AN13" i="17" s="1"/>
  <c r="AN15" i="17"/>
  <c r="AN16" i="17"/>
  <c r="AN17" i="17"/>
  <c r="AN21" i="17"/>
  <c r="AN29" i="17"/>
  <c r="AM14" i="17"/>
  <c r="AM15" i="17"/>
  <c r="AM16" i="17"/>
  <c r="AM10" i="17" s="1"/>
  <c r="AM13" i="17" s="1"/>
  <c r="AM17" i="17"/>
  <c r="AM29" i="17"/>
  <c r="AL14" i="17"/>
  <c r="AL10" i="17" s="1"/>
  <c r="AL13" i="17" s="1"/>
  <c r="AL15" i="17"/>
  <c r="AL16" i="17"/>
  <c r="AL17" i="17"/>
  <c r="AL29" i="17"/>
  <c r="AK14" i="17"/>
  <c r="AK15" i="17"/>
  <c r="AK16" i="17"/>
  <c r="AK17" i="17"/>
  <c r="AK29" i="17"/>
  <c r="AJ14" i="17"/>
  <c r="AJ10" i="17" s="1"/>
  <c r="AJ13" i="17" s="1"/>
  <c r="AJ15" i="17"/>
  <c r="AJ16" i="17"/>
  <c r="AJ17" i="17"/>
  <c r="AJ29" i="17"/>
  <c r="AI14" i="17"/>
  <c r="AI15" i="17"/>
  <c r="AI16" i="17"/>
  <c r="AI10" i="17" s="1"/>
  <c r="AI13" i="17" s="1"/>
  <c r="AI17" i="17"/>
  <c r="AI29" i="17"/>
  <c r="AH14" i="17"/>
  <c r="AH10" i="17" s="1"/>
  <c r="AH13" i="17" s="1"/>
  <c r="AH15" i="17"/>
  <c r="AH16" i="17"/>
  <c r="AH17" i="17"/>
  <c r="AH29" i="17"/>
  <c r="AG14" i="17"/>
  <c r="AG15" i="17"/>
  <c r="AG16" i="17"/>
  <c r="AG17" i="17"/>
  <c r="AG29" i="17"/>
  <c r="AF14" i="17"/>
  <c r="AF10" i="17" s="1"/>
  <c r="AF13" i="17" s="1"/>
  <c r="AF15" i="17"/>
  <c r="AF16" i="17"/>
  <c r="AF17" i="17"/>
  <c r="AF29" i="17"/>
  <c r="AE14" i="17"/>
  <c r="AE15" i="17"/>
  <c r="AE16" i="17"/>
  <c r="AE10" i="17" s="1"/>
  <c r="AE13" i="17" s="1"/>
  <c r="AF21" i="17" s="1"/>
  <c r="AE17" i="17"/>
  <c r="AE29" i="17"/>
  <c r="AD14" i="17"/>
  <c r="AD10" i="17" s="1"/>
  <c r="AD13" i="17" s="1"/>
  <c r="AD15" i="17"/>
  <c r="AD16" i="17"/>
  <c r="AD17" i="17"/>
  <c r="AD29" i="17"/>
  <c r="AC14" i="17"/>
  <c r="AC15" i="17"/>
  <c r="AC16" i="17"/>
  <c r="AC17" i="17"/>
  <c r="AC29" i="17"/>
  <c r="AB14" i="17"/>
  <c r="AB10" i="17" s="1"/>
  <c r="AB13" i="17" s="1"/>
  <c r="AB15" i="17"/>
  <c r="AB16" i="17"/>
  <c r="AB17" i="17"/>
  <c r="AB21" i="17"/>
  <c r="AB23" i="17" s="1"/>
  <c r="AB29" i="17"/>
  <c r="AA14" i="17"/>
  <c r="AA15" i="17"/>
  <c r="AA16" i="17"/>
  <c r="AA10" i="17" s="1"/>
  <c r="AA13" i="17" s="1"/>
  <c r="AA17" i="17"/>
  <c r="AA29" i="17"/>
  <c r="Z14" i="17"/>
  <c r="Z10" i="17" s="1"/>
  <c r="Z13" i="17" s="1"/>
  <c r="Z15" i="17"/>
  <c r="Z16" i="17"/>
  <c r="Z17" i="17"/>
  <c r="Z29" i="17"/>
  <c r="Y14" i="17"/>
  <c r="Y15" i="17"/>
  <c r="Y16" i="17"/>
  <c r="Y17" i="17"/>
  <c r="Y29" i="17"/>
  <c r="X14" i="17"/>
  <c r="X10" i="17" s="1"/>
  <c r="X13" i="17" s="1"/>
  <c r="X15" i="17"/>
  <c r="X16" i="17"/>
  <c r="X17" i="17"/>
  <c r="X21" i="17"/>
  <c r="X23" i="17" s="1"/>
  <c r="X29" i="17"/>
  <c r="W14" i="17"/>
  <c r="W15" i="17"/>
  <c r="W16" i="17"/>
  <c r="W10" i="17" s="1"/>
  <c r="W13" i="17" s="1"/>
  <c r="W17" i="17"/>
  <c r="W29" i="17"/>
  <c r="V14" i="17"/>
  <c r="V10" i="17" s="1"/>
  <c r="V13" i="17" s="1"/>
  <c r="V15" i="17"/>
  <c r="V16" i="17"/>
  <c r="V17" i="17"/>
  <c r="V29" i="17"/>
  <c r="U14" i="17"/>
  <c r="U15" i="17"/>
  <c r="U16" i="17"/>
  <c r="U17" i="17"/>
  <c r="U29" i="17"/>
  <c r="T15" i="17"/>
  <c r="T16" i="17"/>
  <c r="T17" i="17"/>
  <c r="T21" i="17"/>
  <c r="T23" i="17" s="1"/>
  <c r="T22" i="17"/>
  <c r="T24" i="17"/>
  <c r="T29" i="17"/>
  <c r="T33" i="17"/>
  <c r="T34" i="17"/>
  <c r="T40" i="17"/>
  <c r="T44" i="17"/>
  <c r="T45" i="17"/>
  <c r="T51" i="17"/>
  <c r="S14" i="17"/>
  <c r="S15" i="17"/>
  <c r="S16" i="17"/>
  <c r="S10" i="17"/>
  <c r="S13" i="17" s="1"/>
  <c r="T14" i="17" s="1"/>
  <c r="S17" i="17"/>
  <c r="S29" i="17"/>
  <c r="R14" i="17"/>
  <c r="R15" i="17"/>
  <c r="R16" i="17"/>
  <c r="R10" i="17"/>
  <c r="R13" i="17" s="1"/>
  <c r="R17" i="17"/>
  <c r="R29" i="17"/>
  <c r="Q14" i="17"/>
  <c r="Q15" i="17"/>
  <c r="Q21" i="17"/>
  <c r="Q22" i="17"/>
  <c r="Q34" i="17" s="1"/>
  <c r="Q40" i="17" s="1"/>
  <c r="Q23" i="17"/>
  <c r="Q24" i="17"/>
  <c r="Q29" i="17"/>
  <c r="Q33" i="17"/>
  <c r="Q39" i="17"/>
  <c r="Q44" i="17"/>
  <c r="Q45" i="17"/>
  <c r="Q51" i="17" s="1"/>
  <c r="Q46" i="17"/>
  <c r="Q50" i="17"/>
  <c r="P14" i="17"/>
  <c r="P10" i="17" s="1"/>
  <c r="P13" i="17" s="1"/>
  <c r="P15" i="17"/>
  <c r="Q16" i="17" s="1"/>
  <c r="P16" i="17"/>
  <c r="Q17" i="17" s="1"/>
  <c r="P17" i="17"/>
  <c r="P21" i="17"/>
  <c r="P23" i="17" s="1"/>
  <c r="P29" i="17"/>
  <c r="P33" i="17"/>
  <c r="O14" i="17"/>
  <c r="O15" i="17"/>
  <c r="O16" i="17"/>
  <c r="O10" i="17" s="1"/>
  <c r="O13" i="17" s="1"/>
  <c r="O17" i="17"/>
  <c r="O29" i="17"/>
  <c r="N14" i="17"/>
  <c r="N15" i="17"/>
  <c r="N16" i="17"/>
  <c r="N10" i="17"/>
  <c r="N13" i="17" s="1"/>
  <c r="N17" i="17"/>
  <c r="N29" i="17"/>
  <c r="M14" i="17"/>
  <c r="M15" i="17"/>
  <c r="M16" i="17"/>
  <c r="M17" i="17"/>
  <c r="M29" i="17"/>
  <c r="L14" i="17"/>
  <c r="L10" i="17" s="1"/>
  <c r="L13" i="17" s="1"/>
  <c r="L15" i="17"/>
  <c r="L16" i="17"/>
  <c r="L17" i="17"/>
  <c r="L29" i="17"/>
  <c r="K14" i="17"/>
  <c r="K15" i="17"/>
  <c r="K16" i="17"/>
  <c r="K10" i="17" s="1"/>
  <c r="K13" i="17" s="1"/>
  <c r="K17" i="17"/>
  <c r="K29" i="17"/>
  <c r="J14" i="17"/>
  <c r="J10" i="17" s="1"/>
  <c r="J13" i="17" s="1"/>
  <c r="J15" i="17"/>
  <c r="J16" i="17"/>
  <c r="J17" i="17"/>
  <c r="J29" i="17"/>
  <c r="I14" i="17"/>
  <c r="I15" i="17"/>
  <c r="I16" i="17"/>
  <c r="I17" i="17"/>
  <c r="I29" i="17"/>
  <c r="H14" i="17"/>
  <c r="H10" i="17" s="1"/>
  <c r="H13" i="17" s="1"/>
  <c r="H15" i="17"/>
  <c r="H16" i="17"/>
  <c r="H17" i="17"/>
  <c r="H21" i="17"/>
  <c r="H23" i="17" s="1"/>
  <c r="H29" i="17"/>
  <c r="G14" i="17"/>
  <c r="G15" i="17"/>
  <c r="G16" i="17"/>
  <c r="G10" i="17" s="1"/>
  <c r="G13" i="17" s="1"/>
  <c r="G17" i="17"/>
  <c r="G29" i="17"/>
  <c r="F14" i="17"/>
  <c r="F10" i="17" s="1"/>
  <c r="F13" i="17" s="1"/>
  <c r="F15" i="17"/>
  <c r="F16" i="17"/>
  <c r="F17" i="17"/>
  <c r="F29" i="17"/>
  <c r="E14" i="17"/>
  <c r="E15" i="17"/>
  <c r="E16" i="17"/>
  <c r="E17" i="17"/>
  <c r="E29" i="17"/>
  <c r="D14" i="17"/>
  <c r="D10" i="17" s="1"/>
  <c r="D15" i="17"/>
  <c r="D16" i="17"/>
  <c r="D17" i="17"/>
  <c r="D21" i="17"/>
  <c r="D33" i="17" s="1"/>
  <c r="D27" i="17"/>
  <c r="D29" i="17"/>
  <c r="D44" i="17"/>
  <c r="D50" i="17"/>
  <c r="AY14" i="18"/>
  <c r="AY15" i="18"/>
  <c r="AY16" i="18"/>
  <c r="AY10" i="18" s="1"/>
  <c r="AY13" i="18" s="1"/>
  <c r="AY17" i="18"/>
  <c r="AY29" i="18"/>
  <c r="AX14" i="18"/>
  <c r="AX10" i="18" s="1"/>
  <c r="AX13" i="18" s="1"/>
  <c r="AX15" i="18"/>
  <c r="AX16" i="18"/>
  <c r="AX17" i="18"/>
  <c r="AX29" i="18"/>
  <c r="AW14" i="18"/>
  <c r="AW15" i="18"/>
  <c r="AW16" i="18"/>
  <c r="AW17" i="18"/>
  <c r="AW29" i="18"/>
  <c r="AV14" i="18"/>
  <c r="AV10" i="18" s="1"/>
  <c r="AV13" i="18" s="1"/>
  <c r="AV15" i="18"/>
  <c r="AV16" i="18"/>
  <c r="AV17" i="18"/>
  <c r="AV21" i="18"/>
  <c r="AV23" i="18" s="1"/>
  <c r="AV29" i="18"/>
  <c r="AU14" i="18"/>
  <c r="AU15" i="18"/>
  <c r="AU16" i="18"/>
  <c r="AU10" i="18" s="1"/>
  <c r="AU13" i="18" s="1"/>
  <c r="AV22" i="18" s="1"/>
  <c r="AU17" i="18"/>
  <c r="AU29" i="18"/>
  <c r="AT21" i="18"/>
  <c r="AT33" i="18" s="1"/>
  <c r="AT39" i="18" s="1"/>
  <c r="AT22" i="18"/>
  <c r="AT23" i="18"/>
  <c r="AT29" i="18"/>
  <c r="AT44" i="18"/>
  <c r="AT50" i="18" s="1"/>
  <c r="AS14" i="18"/>
  <c r="AS15" i="18"/>
  <c r="AT16" i="18" s="1"/>
  <c r="AS16" i="18"/>
  <c r="AT17" i="18" s="1"/>
  <c r="AS17" i="18"/>
  <c r="AS29" i="18"/>
  <c r="AR14" i="18"/>
  <c r="AR15" i="18"/>
  <c r="AR16" i="18"/>
  <c r="AR17" i="18"/>
  <c r="AR29" i="18"/>
  <c r="AQ14" i="18"/>
  <c r="AQ15" i="18"/>
  <c r="AQ16" i="18"/>
  <c r="AQ10" i="18"/>
  <c r="AQ13" i="18" s="1"/>
  <c r="AQ17" i="18"/>
  <c r="AQ29" i="18"/>
  <c r="AP14" i="18"/>
  <c r="AP10" i="18" s="1"/>
  <c r="AP13" i="18" s="1"/>
  <c r="AP15" i="18"/>
  <c r="AP16" i="18"/>
  <c r="AP17" i="18"/>
  <c r="AP21" i="18"/>
  <c r="AP29" i="18"/>
  <c r="AO14" i="18"/>
  <c r="AO15" i="18"/>
  <c r="AO16" i="18"/>
  <c r="AO10" i="18"/>
  <c r="AO13" i="18" s="1"/>
  <c r="AP22" i="18" s="1"/>
  <c r="AO17" i="18"/>
  <c r="AO29" i="18"/>
  <c r="AN14" i="18"/>
  <c r="AN15" i="18"/>
  <c r="AN16" i="18"/>
  <c r="AN17" i="18"/>
  <c r="AN29" i="18"/>
  <c r="AM14" i="18"/>
  <c r="AM15" i="18"/>
  <c r="AM16" i="18"/>
  <c r="AM17" i="18"/>
  <c r="AM29" i="18"/>
  <c r="AL14" i="18"/>
  <c r="AL15" i="18"/>
  <c r="AL16" i="18"/>
  <c r="AL17" i="18"/>
  <c r="AL29" i="18"/>
  <c r="AK14" i="18"/>
  <c r="AK10" i="18" s="1"/>
  <c r="AK13" i="18" s="1"/>
  <c r="AK15" i="18"/>
  <c r="AK16" i="18"/>
  <c r="AK17" i="18"/>
  <c r="AK29" i="18"/>
  <c r="AJ14" i="18"/>
  <c r="AJ15" i="18"/>
  <c r="AJ16" i="18"/>
  <c r="AJ10" i="18" s="1"/>
  <c r="AJ13" i="18" s="1"/>
  <c r="AJ17" i="18"/>
  <c r="AJ29" i="18"/>
  <c r="AI14" i="18"/>
  <c r="AI10" i="18" s="1"/>
  <c r="AI13" i="18" s="1"/>
  <c r="AI15" i="18"/>
  <c r="AI16" i="18"/>
  <c r="AI17" i="18"/>
  <c r="AI29" i="18"/>
  <c r="AH14" i="18"/>
  <c r="AH15" i="18"/>
  <c r="AH16" i="18"/>
  <c r="AH17" i="18"/>
  <c r="AH29" i="18"/>
  <c r="AG14" i="18"/>
  <c r="AG10" i="18" s="1"/>
  <c r="AG13" i="18" s="1"/>
  <c r="AG15" i="18"/>
  <c r="AG16" i="18"/>
  <c r="AG17" i="18"/>
  <c r="AG29" i="18"/>
  <c r="AF14" i="18"/>
  <c r="AF15" i="18"/>
  <c r="AF16" i="18"/>
  <c r="AF10" i="18" s="1"/>
  <c r="AF13" i="18" s="1"/>
  <c r="AF17" i="18"/>
  <c r="AF29" i="18"/>
  <c r="AE14" i="18"/>
  <c r="AE10" i="18" s="1"/>
  <c r="AE13" i="18" s="1"/>
  <c r="AE15" i="18"/>
  <c r="AE16" i="18"/>
  <c r="AE17" i="18"/>
  <c r="AE29" i="18"/>
  <c r="AD14" i="18"/>
  <c r="AD15" i="18"/>
  <c r="AD16" i="18"/>
  <c r="AD17" i="18"/>
  <c r="AD29" i="18"/>
  <c r="AC14" i="18"/>
  <c r="AC10" i="18" s="1"/>
  <c r="AC13" i="18" s="1"/>
  <c r="AC15" i="18"/>
  <c r="AC16" i="18"/>
  <c r="AC17" i="18"/>
  <c r="AC29" i="18"/>
  <c r="AB14" i="18"/>
  <c r="AB15" i="18"/>
  <c r="AB16" i="18"/>
  <c r="AB10" i="18" s="1"/>
  <c r="AB13" i="18" s="1"/>
  <c r="AB17" i="18"/>
  <c r="AB29" i="18"/>
  <c r="AA14" i="18"/>
  <c r="AA10" i="18" s="1"/>
  <c r="AA13" i="18" s="1"/>
  <c r="AA15" i="18"/>
  <c r="AA16" i="18"/>
  <c r="AA17" i="18"/>
  <c r="AA29" i="18"/>
  <c r="Z14" i="18"/>
  <c r="Z15" i="18"/>
  <c r="Z16" i="18"/>
  <c r="Z17" i="18"/>
  <c r="Z29" i="18"/>
  <c r="Y14" i="18"/>
  <c r="Y10" i="18" s="1"/>
  <c r="Y13" i="18" s="1"/>
  <c r="Y15" i="18"/>
  <c r="Y16" i="18"/>
  <c r="Y17" i="18"/>
  <c r="Y29" i="18"/>
  <c r="X14" i="18"/>
  <c r="X15" i="18"/>
  <c r="X16" i="18"/>
  <c r="X10" i="18" s="1"/>
  <c r="X13" i="18" s="1"/>
  <c r="X17" i="18"/>
  <c r="X29" i="18"/>
  <c r="W14" i="18"/>
  <c r="W10" i="18" s="1"/>
  <c r="W13" i="18" s="1"/>
  <c r="W15" i="18"/>
  <c r="W16" i="18"/>
  <c r="W17" i="18"/>
  <c r="W29" i="18"/>
  <c r="V14" i="18"/>
  <c r="V15" i="18"/>
  <c r="V16" i="18"/>
  <c r="V17" i="18"/>
  <c r="V29" i="18"/>
  <c r="U14" i="18"/>
  <c r="U10" i="18" s="1"/>
  <c r="U13" i="18" s="1"/>
  <c r="U15" i="18"/>
  <c r="U16" i="18"/>
  <c r="U17" i="18"/>
  <c r="U29" i="18"/>
  <c r="T14" i="18"/>
  <c r="T15" i="18"/>
  <c r="T16" i="18"/>
  <c r="T10" i="18" s="1"/>
  <c r="T13" i="18" s="1"/>
  <c r="T17" i="18"/>
  <c r="T29" i="18"/>
  <c r="S14" i="18"/>
  <c r="S10" i="18" s="1"/>
  <c r="S13" i="18" s="1"/>
  <c r="S15" i="18"/>
  <c r="S16" i="18"/>
  <c r="S17" i="18"/>
  <c r="S29" i="18"/>
  <c r="R14" i="18"/>
  <c r="R15" i="18"/>
  <c r="R16" i="18"/>
  <c r="R17" i="18"/>
  <c r="R29" i="18"/>
  <c r="Q14" i="18"/>
  <c r="Q10" i="18" s="1"/>
  <c r="Q13" i="18" s="1"/>
  <c r="Q15" i="18"/>
  <c r="Q16" i="18"/>
  <c r="Q17" i="18"/>
  <c r="Q29" i="18"/>
  <c r="P14" i="18"/>
  <c r="P15" i="18"/>
  <c r="P16" i="18"/>
  <c r="P10" i="18" s="1"/>
  <c r="P13" i="18" s="1"/>
  <c r="P17" i="18"/>
  <c r="P29" i="18"/>
  <c r="O14" i="18"/>
  <c r="O10" i="18" s="1"/>
  <c r="O13" i="18" s="1"/>
  <c r="O15" i="18"/>
  <c r="O16" i="18"/>
  <c r="O17" i="18"/>
  <c r="O29" i="18"/>
  <c r="N14" i="18"/>
  <c r="N15" i="18"/>
  <c r="N16" i="18"/>
  <c r="N17" i="18"/>
  <c r="N29" i="18"/>
  <c r="M14" i="18"/>
  <c r="M10" i="18" s="1"/>
  <c r="M13" i="18" s="1"/>
  <c r="M15" i="18"/>
  <c r="M16" i="18"/>
  <c r="M17" i="18"/>
  <c r="M29" i="18"/>
  <c r="L14" i="18"/>
  <c r="L15" i="18"/>
  <c r="L16" i="18"/>
  <c r="L10" i="18" s="1"/>
  <c r="L13" i="18" s="1"/>
  <c r="L17" i="18"/>
  <c r="L29" i="18"/>
  <c r="K14" i="18"/>
  <c r="K10" i="18" s="1"/>
  <c r="K13" i="18" s="1"/>
  <c r="K15" i="18"/>
  <c r="K16" i="18"/>
  <c r="K17" i="18"/>
  <c r="K29" i="18"/>
  <c r="J14" i="18"/>
  <c r="J15" i="18"/>
  <c r="J16" i="18"/>
  <c r="J17" i="18"/>
  <c r="J29" i="18"/>
  <c r="I14" i="18"/>
  <c r="I10" i="18" s="1"/>
  <c r="I13" i="18" s="1"/>
  <c r="I15" i="18"/>
  <c r="I16" i="18"/>
  <c r="I17" i="18"/>
  <c r="I29" i="18"/>
  <c r="H14" i="18"/>
  <c r="H15" i="18"/>
  <c r="H16" i="18"/>
  <c r="H10" i="18" s="1"/>
  <c r="H13" i="18" s="1"/>
  <c r="H17" i="18"/>
  <c r="H29" i="18"/>
  <c r="G14" i="18"/>
  <c r="G10" i="18" s="1"/>
  <c r="G13" i="18" s="1"/>
  <c r="G15" i="18"/>
  <c r="G16" i="18"/>
  <c r="G17" i="18"/>
  <c r="G29" i="18"/>
  <c r="F14" i="18"/>
  <c r="F15" i="18"/>
  <c r="F16" i="18"/>
  <c r="F17" i="18"/>
  <c r="F29" i="18"/>
  <c r="E14" i="18"/>
  <c r="E10" i="18" s="1"/>
  <c r="E13" i="18" s="1"/>
  <c r="E15" i="18"/>
  <c r="E16" i="18"/>
  <c r="E17" i="18"/>
  <c r="E29" i="18"/>
  <c r="D14" i="18"/>
  <c r="D15" i="18"/>
  <c r="D16" i="18"/>
  <c r="D10" i="18" s="1"/>
  <c r="D17" i="18"/>
  <c r="D21" i="18"/>
  <c r="D22" i="18"/>
  <c r="D45" i="18" s="1"/>
  <c r="D51" i="18" s="1"/>
  <c r="D27" i="18"/>
  <c r="D30" i="18" s="1"/>
  <c r="D29" i="18"/>
  <c r="E27" i="18" s="1"/>
  <c r="B21" i="16"/>
  <c r="V21" i="16" s="1"/>
  <c r="B21" i="17"/>
  <c r="B21" i="18"/>
  <c r="B22" i="18" s="1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H21" i="18" l="1"/>
  <c r="H22" i="18"/>
  <c r="X21" i="18"/>
  <c r="X22" i="18"/>
  <c r="K21" i="17"/>
  <c r="O21" i="17"/>
  <c r="AA21" i="17"/>
  <c r="AF23" i="17"/>
  <c r="AF44" i="17"/>
  <c r="AF33" i="17"/>
  <c r="L21" i="18"/>
  <c r="L22" i="18"/>
  <c r="P21" i="18"/>
  <c r="P22" i="18"/>
  <c r="T21" i="18"/>
  <c r="T22" i="18"/>
  <c r="AB21" i="18"/>
  <c r="AB22" i="18"/>
  <c r="AF21" i="18"/>
  <c r="AF22" i="18"/>
  <c r="AJ21" i="18"/>
  <c r="AJ22" i="18"/>
  <c r="V23" i="16"/>
  <c r="V33" i="16"/>
  <c r="V44" i="16"/>
  <c r="D39" i="17"/>
  <c r="W21" i="17"/>
  <c r="F30" i="16"/>
  <c r="G27" i="16"/>
  <c r="F27" i="18"/>
  <c r="E30" i="18"/>
  <c r="D13" i="18"/>
  <c r="I22" i="18"/>
  <c r="I21" i="18"/>
  <c r="M22" i="18"/>
  <c r="M21" i="18"/>
  <c r="Q22" i="18"/>
  <c r="Q21" i="18"/>
  <c r="U22" i="18"/>
  <c r="U21" i="18"/>
  <c r="Y22" i="18"/>
  <c r="Y21" i="18"/>
  <c r="AC22" i="18"/>
  <c r="AC21" i="18"/>
  <c r="AG22" i="18"/>
  <c r="AG21" i="18"/>
  <c r="AK22" i="18"/>
  <c r="AK21" i="18"/>
  <c r="AY21" i="18"/>
  <c r="AY22" i="18"/>
  <c r="G21" i="17"/>
  <c r="AE21" i="17"/>
  <c r="AI21" i="17"/>
  <c r="AM21" i="17"/>
  <c r="AS21" i="17"/>
  <c r="R21" i="18"/>
  <c r="R22" i="18"/>
  <c r="AL21" i="18"/>
  <c r="AL22" i="18"/>
  <c r="AP33" i="18"/>
  <c r="AP44" i="18"/>
  <c r="AP23" i="18"/>
  <c r="I21" i="17"/>
  <c r="P39" i="17"/>
  <c r="T46" i="17"/>
  <c r="T50" i="17"/>
  <c r="AC21" i="17"/>
  <c r="AN23" i="17"/>
  <c r="AN44" i="17"/>
  <c r="J22" i="16"/>
  <c r="J21" i="16"/>
  <c r="AA35" i="16"/>
  <c r="AA39" i="16"/>
  <c r="D34" i="18"/>
  <c r="D40" i="18" s="1"/>
  <c r="AR22" i="18"/>
  <c r="AR21" i="18"/>
  <c r="Q10" i="17"/>
  <c r="Q13" i="17" s="1"/>
  <c r="AB44" i="17"/>
  <c r="Y21" i="16"/>
  <c r="Y22" i="16"/>
  <c r="AD10" i="18"/>
  <c r="AD13" i="18" s="1"/>
  <c r="AP24" i="18"/>
  <c r="AP34" i="18"/>
  <c r="AP40" i="18" s="1"/>
  <c r="AP45" i="18"/>
  <c r="AP51" i="18" s="1"/>
  <c r="X44" i="17"/>
  <c r="AB33" i="17"/>
  <c r="AG21" i="17"/>
  <c r="AN33" i="17"/>
  <c r="AY10" i="17"/>
  <c r="AY13" i="17" s="1"/>
  <c r="O21" i="16"/>
  <c r="P21" i="16"/>
  <c r="P22" i="16"/>
  <c r="D21" i="16"/>
  <c r="R21" i="16"/>
  <c r="AL21" i="16"/>
  <c r="D24" i="18"/>
  <c r="F21" i="18"/>
  <c r="F22" i="18"/>
  <c r="J21" i="18"/>
  <c r="J22" i="18"/>
  <c r="N21" i="18"/>
  <c r="N22" i="18"/>
  <c r="V21" i="18"/>
  <c r="V22" i="18"/>
  <c r="Z21" i="18"/>
  <c r="Z22" i="18"/>
  <c r="AD21" i="18"/>
  <c r="AD22" i="18"/>
  <c r="AH21" i="18"/>
  <c r="AH22" i="18"/>
  <c r="AQ21" i="18"/>
  <c r="AQ22" i="18"/>
  <c r="AT24" i="18"/>
  <c r="AT34" i="18"/>
  <c r="S21" i="17"/>
  <c r="AO21" i="17"/>
  <c r="D13" i="16"/>
  <c r="N21" i="16"/>
  <c r="Z21" i="16"/>
  <c r="B22" i="16"/>
  <c r="D23" i="18"/>
  <c r="D33" i="18"/>
  <c r="AM10" i="18"/>
  <c r="AM13" i="18" s="1"/>
  <c r="AN10" i="18"/>
  <c r="AN13" i="18" s="1"/>
  <c r="AW21" i="18"/>
  <c r="AW22" i="18"/>
  <c r="D23" i="17"/>
  <c r="D13" i="17"/>
  <c r="H44" i="17"/>
  <c r="Y21" i="17"/>
  <c r="AV21" i="17"/>
  <c r="AX23" i="17"/>
  <c r="AX44" i="17"/>
  <c r="AX33" i="17"/>
  <c r="AR21" i="16"/>
  <c r="AR22" i="16"/>
  <c r="F10" i="18"/>
  <c r="F13" i="18" s="1"/>
  <c r="J10" i="18"/>
  <c r="J13" i="18" s="1"/>
  <c r="N10" i="18"/>
  <c r="N13" i="18" s="1"/>
  <c r="R10" i="18"/>
  <c r="R13" i="18" s="1"/>
  <c r="V10" i="18"/>
  <c r="V13" i="18" s="1"/>
  <c r="Z10" i="18"/>
  <c r="Z13" i="18" s="1"/>
  <c r="AH10" i="18"/>
  <c r="AH13" i="18" s="1"/>
  <c r="AL10" i="18"/>
  <c r="AL13" i="18" s="1"/>
  <c r="AT45" i="18"/>
  <c r="AV45" i="18"/>
  <c r="AV51" i="18" s="1"/>
  <c r="AV24" i="18"/>
  <c r="AV34" i="18"/>
  <c r="AV40" i="18" s="1"/>
  <c r="AV44" i="18"/>
  <c r="AZ17" i="17"/>
  <c r="H33" i="17"/>
  <c r="D44" i="18"/>
  <c r="AV33" i="18"/>
  <c r="L21" i="17"/>
  <c r="M21" i="17"/>
  <c r="P44" i="17"/>
  <c r="T35" i="17"/>
  <c r="T39" i="17"/>
  <c r="X33" i="17"/>
  <c r="AJ21" i="17"/>
  <c r="AK21" i="17"/>
  <c r="AQ21" i="17"/>
  <c r="AY35" i="17"/>
  <c r="AY39" i="17"/>
  <c r="N22" i="16"/>
  <c r="Q21" i="16"/>
  <c r="AG21" i="16"/>
  <c r="AG22" i="16"/>
  <c r="AH21" i="16"/>
  <c r="AV10" i="17"/>
  <c r="AV13" i="17" s="1"/>
  <c r="J10" i="16"/>
  <c r="J13" i="16" s="1"/>
  <c r="K14" i="16" s="1"/>
  <c r="L10" i="16"/>
  <c r="L13" i="16" s="1"/>
  <c r="AC21" i="16"/>
  <c r="AC22" i="16"/>
  <c r="AU21" i="16"/>
  <c r="AZ17" i="18"/>
  <c r="AW10" i="18"/>
  <c r="AW13" i="18" s="1"/>
  <c r="E27" i="17"/>
  <c r="D30" i="17"/>
  <c r="E10" i="17"/>
  <c r="E13" i="17" s="1"/>
  <c r="I10" i="17"/>
  <c r="I13" i="17" s="1"/>
  <c r="M10" i="17"/>
  <c r="M13" i="17" s="1"/>
  <c r="T10" i="17"/>
  <c r="T13" i="17" s="1"/>
  <c r="U10" i="17"/>
  <c r="U13" i="17" s="1"/>
  <c r="Y10" i="17"/>
  <c r="Y13" i="17" s="1"/>
  <c r="AC10" i="17"/>
  <c r="AC13" i="17" s="1"/>
  <c r="AG10" i="17"/>
  <c r="AG13" i="17" s="1"/>
  <c r="AK10" i="17"/>
  <c r="AK13" i="17" s="1"/>
  <c r="AO10" i="17"/>
  <c r="AO13" i="17" s="1"/>
  <c r="AU21" i="17"/>
  <c r="E10" i="16"/>
  <c r="E13" i="16" s="1"/>
  <c r="H10" i="16"/>
  <c r="H13" i="16" s="1"/>
  <c r="Z22" i="16"/>
  <c r="AP23" i="16"/>
  <c r="AP33" i="16"/>
  <c r="AP44" i="16"/>
  <c r="K16" i="16"/>
  <c r="U21" i="16"/>
  <c r="AD22" i="16"/>
  <c r="AD21" i="16"/>
  <c r="AH22" i="16"/>
  <c r="T43" i="20"/>
  <c r="AR10" i="18"/>
  <c r="AR13" i="18" s="1"/>
  <c r="AT15" i="18"/>
  <c r="AS10" i="18"/>
  <c r="AS13" i="18" s="1"/>
  <c r="AT14" i="18" s="1"/>
  <c r="Q35" i="17"/>
  <c r="AT21" i="17"/>
  <c r="AY50" i="17"/>
  <c r="G22" i="16"/>
  <c r="G21" i="16"/>
  <c r="AE21" i="16"/>
  <c r="AE22" i="16"/>
  <c r="AI21" i="16"/>
  <c r="AI22" i="16"/>
  <c r="AK21" i="16"/>
  <c r="AS22" i="16"/>
  <c r="AS21" i="16"/>
  <c r="AV22" i="16"/>
  <c r="AV21" i="16"/>
  <c r="AQ10" i="17"/>
  <c r="AQ13" i="17" s="1"/>
  <c r="AZ17" i="16"/>
  <c r="S21" i="16"/>
  <c r="S22" i="16"/>
  <c r="V22" i="16"/>
  <c r="AL22" i="16"/>
  <c r="D259" i="15"/>
  <c r="AZ259" i="15" s="1"/>
  <c r="BA14" i="15"/>
  <c r="I260" i="15"/>
  <c r="G10" i="16"/>
  <c r="G13" i="16" s="1"/>
  <c r="K44" i="16"/>
  <c r="R22" i="16"/>
  <c r="AM21" i="16"/>
  <c r="AM22" i="16"/>
  <c r="AO22" i="16"/>
  <c r="AO21" i="16"/>
  <c r="AX22" i="16"/>
  <c r="AX21" i="16"/>
  <c r="AZ259" i="14"/>
  <c r="S10" i="16"/>
  <c r="S13" i="16" s="1"/>
  <c r="W10" i="16"/>
  <c r="W13" i="16" s="1"/>
  <c r="AP16" i="16"/>
  <c r="AP10" i="16" s="1"/>
  <c r="AP13" i="16" s="1"/>
  <c r="AT22" i="16"/>
  <c r="AT21" i="16"/>
  <c r="AW21" i="16"/>
  <c r="AW22" i="16"/>
  <c r="BA14" i="14"/>
  <c r="V10" i="16"/>
  <c r="V13" i="16" s="1"/>
  <c r="AA16" i="16"/>
  <c r="Z10" i="16"/>
  <c r="Z13" i="16" s="1"/>
  <c r="AA14" i="16" s="1"/>
  <c r="AA10" i="16" s="1"/>
  <c r="AA13" i="16" s="1"/>
  <c r="AE10" i="16"/>
  <c r="AE13" i="16" s="1"/>
  <c r="AI10" i="16"/>
  <c r="AI13" i="16" s="1"/>
  <c r="AM10" i="16"/>
  <c r="AM13" i="16" s="1"/>
  <c r="K260" i="15"/>
  <c r="Q260" i="15"/>
  <c r="AA260" i="15"/>
  <c r="AG260" i="15"/>
  <c r="AQ260" i="15"/>
  <c r="AW260" i="15"/>
  <c r="L260" i="14"/>
  <c r="N260" i="14"/>
  <c r="AZ260" i="14" s="1"/>
  <c r="G260" i="15"/>
  <c r="AZ260" i="15" s="1"/>
  <c r="O260" i="15"/>
  <c r="W260" i="15"/>
  <c r="AE260" i="15"/>
  <c r="AM260" i="15"/>
  <c r="AU260" i="15"/>
  <c r="F260" i="14"/>
  <c r="T260" i="14"/>
  <c r="V260" i="14"/>
  <c r="AJ260" i="14"/>
  <c r="AL260" i="14"/>
  <c r="P260" i="14"/>
  <c r="R260" i="14"/>
  <c r="AF260" i="14"/>
  <c r="AH260" i="14"/>
  <c r="AV260" i="14"/>
  <c r="AX260" i="14"/>
  <c r="S31" i="20"/>
  <c r="T32" i="20" s="1"/>
  <c r="S8" i="20"/>
  <c r="H8" i="20"/>
  <c r="S9" i="20"/>
  <c r="T11" i="20" s="1"/>
  <c r="T45" i="20" s="1"/>
  <c r="H9" i="20"/>
  <c r="S10" i="20"/>
  <c r="AX10" i="16"/>
  <c r="AX13" i="16" s="1"/>
  <c r="T19" i="20"/>
  <c r="B22" i="17"/>
  <c r="I29" i="7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AQ21" i="16" l="1"/>
  <c r="AQ22" i="16"/>
  <c r="D22" i="17"/>
  <c r="AX22" i="17"/>
  <c r="AF21" i="16"/>
  <c r="AF22" i="16"/>
  <c r="T21" i="16"/>
  <c r="T22" i="16"/>
  <c r="AS24" i="16"/>
  <c r="AS34" i="16"/>
  <c r="AS40" i="16" s="1"/>
  <c r="AS45" i="16"/>
  <c r="AS51" i="16" s="1"/>
  <c r="Z45" i="16"/>
  <c r="Z51" i="16" s="1"/>
  <c r="Z24" i="16"/>
  <c r="Z34" i="16"/>
  <c r="Z40" i="16" s="1"/>
  <c r="U21" i="17"/>
  <c r="U22" i="17"/>
  <c r="AU44" i="16"/>
  <c r="AU33" i="16"/>
  <c r="AU23" i="16"/>
  <c r="N24" i="16"/>
  <c r="N34" i="16"/>
  <c r="N40" i="16" s="1"/>
  <c r="N45" i="16"/>
  <c r="N51" i="16" s="1"/>
  <c r="P22" i="17"/>
  <c r="AV35" i="18"/>
  <c r="AV39" i="18"/>
  <c r="AA21" i="18"/>
  <c r="AA22" i="18"/>
  <c r="AX39" i="17"/>
  <c r="N23" i="16"/>
  <c r="N33" i="16"/>
  <c r="N44" i="16"/>
  <c r="L22" i="17"/>
  <c r="V44" i="18"/>
  <c r="V33" i="18"/>
  <c r="V23" i="18"/>
  <c r="P24" i="16"/>
  <c r="P34" i="16"/>
  <c r="P40" i="16" s="1"/>
  <c r="P45" i="16"/>
  <c r="P51" i="16" s="1"/>
  <c r="AG44" i="17"/>
  <c r="AG33" i="17"/>
  <c r="AG23" i="17"/>
  <c r="R21" i="17"/>
  <c r="R22" i="17"/>
  <c r="J23" i="16"/>
  <c r="J33" i="16"/>
  <c r="J44" i="16"/>
  <c r="AI23" i="17"/>
  <c r="AI33" i="17"/>
  <c r="AI44" i="17"/>
  <c r="AC45" i="18"/>
  <c r="AC51" i="18" s="1"/>
  <c r="AC24" i="18"/>
  <c r="AC34" i="18"/>
  <c r="AC40" i="18" s="1"/>
  <c r="M45" i="18"/>
  <c r="M51" i="18" s="1"/>
  <c r="M24" i="18"/>
  <c r="M34" i="18"/>
  <c r="M40" i="18" s="1"/>
  <c r="AJ24" i="18"/>
  <c r="AJ45" i="18"/>
  <c r="AJ51" i="18" s="1"/>
  <c r="AJ34" i="18"/>
  <c r="AJ40" i="18" s="1"/>
  <c r="K23" i="17"/>
  <c r="K33" i="17"/>
  <c r="K44" i="17"/>
  <c r="R45" i="16"/>
  <c r="R51" i="16" s="1"/>
  <c r="R24" i="16"/>
  <c r="R34" i="16"/>
  <c r="R40" i="16" s="1"/>
  <c r="AV33" i="16"/>
  <c r="AV44" i="16"/>
  <c r="AV23" i="16"/>
  <c r="AS21" i="18"/>
  <c r="AS22" i="18"/>
  <c r="AP50" i="16"/>
  <c r="AP46" i="16"/>
  <c r="AD21" i="17"/>
  <c r="AD22" i="17"/>
  <c r="F27" i="17"/>
  <c r="E30" i="17"/>
  <c r="AC24" i="16"/>
  <c r="AC45" i="16"/>
  <c r="AC51" i="16" s="1"/>
  <c r="AC34" i="16"/>
  <c r="AC40" i="16" s="1"/>
  <c r="M22" i="17"/>
  <c r="W21" i="18"/>
  <c r="W22" i="18"/>
  <c r="AJ22" i="17"/>
  <c r="AF22" i="17"/>
  <c r="Z34" i="18"/>
  <c r="Z40" i="18" s="1"/>
  <c r="Z45" i="18"/>
  <c r="Z51" i="18" s="1"/>
  <c r="Z24" i="18"/>
  <c r="AL23" i="16"/>
  <c r="AL44" i="16"/>
  <c r="AL33" i="16"/>
  <c r="AB39" i="17"/>
  <c r="Y23" i="16"/>
  <c r="Y33" i="16"/>
  <c r="Y44" i="16"/>
  <c r="J24" i="16"/>
  <c r="J34" i="16"/>
  <c r="J40" i="16" s="1"/>
  <c r="J45" i="16"/>
  <c r="J51" i="16" s="1"/>
  <c r="AM22" i="17"/>
  <c r="AG23" i="18"/>
  <c r="AG44" i="18"/>
  <c r="AG33" i="18"/>
  <c r="I23" i="18"/>
  <c r="I44" i="18"/>
  <c r="I33" i="18"/>
  <c r="V46" i="16"/>
  <c r="V50" i="16"/>
  <c r="AJ23" i="18"/>
  <c r="AJ33" i="18"/>
  <c r="AJ44" i="18"/>
  <c r="AB23" i="18"/>
  <c r="AB33" i="18"/>
  <c r="AB44" i="18"/>
  <c r="P23" i="18"/>
  <c r="P33" i="18"/>
  <c r="P44" i="18"/>
  <c r="AF50" i="17"/>
  <c r="X24" i="18"/>
  <c r="X45" i="18"/>
  <c r="X51" i="18" s="1"/>
  <c r="X34" i="18"/>
  <c r="X40" i="18" s="1"/>
  <c r="AO24" i="16"/>
  <c r="AO34" i="16"/>
  <c r="AO40" i="16" s="1"/>
  <c r="AO45" i="16"/>
  <c r="AO51" i="16" s="1"/>
  <c r="S44" i="16"/>
  <c r="S23" i="16"/>
  <c r="S33" i="16"/>
  <c r="AP21" i="17"/>
  <c r="AP22" i="17"/>
  <c r="AX21" i="18"/>
  <c r="AX22" i="18"/>
  <c r="AC23" i="16"/>
  <c r="AC33" i="16"/>
  <c r="AC44" i="16"/>
  <c r="AG23" i="16"/>
  <c r="AG33" i="16"/>
  <c r="AG44" i="16"/>
  <c r="AK44" i="17"/>
  <c r="AK33" i="17"/>
  <c r="AK23" i="17"/>
  <c r="M44" i="17"/>
  <c r="M33" i="17"/>
  <c r="M23" i="17"/>
  <c r="D46" i="18"/>
  <c r="D50" i="18"/>
  <c r="AM21" i="18"/>
  <c r="AM22" i="18"/>
  <c r="S21" i="18"/>
  <c r="S22" i="18"/>
  <c r="AR24" i="16"/>
  <c r="AR34" i="16"/>
  <c r="AR40" i="16" s="1"/>
  <c r="AR45" i="16"/>
  <c r="AR51" i="16" s="1"/>
  <c r="AB22" i="17"/>
  <c r="E21" i="17"/>
  <c r="E22" i="17"/>
  <c r="AN22" i="18"/>
  <c r="AN21" i="18"/>
  <c r="AK22" i="16"/>
  <c r="D22" i="16"/>
  <c r="AU22" i="16"/>
  <c r="S23" i="17"/>
  <c r="S33" i="17"/>
  <c r="S44" i="17"/>
  <c r="AH44" i="18"/>
  <c r="AH33" i="18"/>
  <c r="AH23" i="18"/>
  <c r="Z44" i="18"/>
  <c r="Z33" i="18"/>
  <c r="Z23" i="18"/>
  <c r="N44" i="18"/>
  <c r="N33" i="18"/>
  <c r="N23" i="18"/>
  <c r="F44" i="18"/>
  <c r="F23" i="18"/>
  <c r="F33" i="18"/>
  <c r="R23" i="16"/>
  <c r="R44" i="16"/>
  <c r="R33" i="16"/>
  <c r="O23" i="16"/>
  <c r="O33" i="16"/>
  <c r="O44" i="16"/>
  <c r="AN22" i="17"/>
  <c r="X50" i="17"/>
  <c r="Q22" i="16"/>
  <c r="AR44" i="18"/>
  <c r="AR23" i="18"/>
  <c r="AR33" i="18"/>
  <c r="AN50" i="17"/>
  <c r="I22" i="17"/>
  <c r="AP35" i="18"/>
  <c r="AP39" i="18"/>
  <c r="R44" i="18"/>
  <c r="R33" i="18"/>
  <c r="R23" i="18"/>
  <c r="AM23" i="17"/>
  <c r="AM33" i="17"/>
  <c r="AM44" i="17"/>
  <c r="AE23" i="17"/>
  <c r="AE33" i="17"/>
  <c r="AE44" i="17"/>
  <c r="AY23" i="18"/>
  <c r="AY33" i="18"/>
  <c r="AY44" i="18"/>
  <c r="AG45" i="18"/>
  <c r="AG51" i="18" s="1"/>
  <c r="AG24" i="18"/>
  <c r="AG34" i="18"/>
  <c r="AG40" i="18" s="1"/>
  <c r="Y45" i="18"/>
  <c r="Y51" i="18" s="1"/>
  <c r="Y24" i="18"/>
  <c r="Y34" i="18"/>
  <c r="Y40" i="18" s="1"/>
  <c r="Q45" i="18"/>
  <c r="Q51" i="18" s="1"/>
  <c r="Q24" i="18"/>
  <c r="Q34" i="18"/>
  <c r="Q40" i="18" s="1"/>
  <c r="I45" i="18"/>
  <c r="I51" i="18" s="1"/>
  <c r="I24" i="18"/>
  <c r="I34" i="18"/>
  <c r="I40" i="18" s="1"/>
  <c r="G27" i="18"/>
  <c r="F30" i="18"/>
  <c r="W22" i="17"/>
  <c r="V39" i="16"/>
  <c r="AF24" i="18"/>
  <c r="AF45" i="18"/>
  <c r="AF51" i="18" s="1"/>
  <c r="AF34" i="18"/>
  <c r="AF40" i="18" s="1"/>
  <c r="T24" i="18"/>
  <c r="T45" i="18"/>
  <c r="T51" i="18" s="1"/>
  <c r="T34" i="18"/>
  <c r="T40" i="18" s="1"/>
  <c r="L24" i="18"/>
  <c r="L45" i="18"/>
  <c r="L51" i="18" s="1"/>
  <c r="L34" i="18"/>
  <c r="L40" i="18" s="1"/>
  <c r="O23" i="17"/>
  <c r="O33" i="17"/>
  <c r="O44" i="17"/>
  <c r="X23" i="18"/>
  <c r="X33" i="18"/>
  <c r="X44" i="18"/>
  <c r="AT45" i="16"/>
  <c r="AT51" i="16" s="1"/>
  <c r="AT24" i="16"/>
  <c r="AT34" i="16"/>
  <c r="AT40" i="16" s="1"/>
  <c r="AX45" i="16"/>
  <c r="AX51" i="16" s="1"/>
  <c r="AX34" i="16"/>
  <c r="AX40" i="16" s="1"/>
  <c r="AX24" i="16"/>
  <c r="AM44" i="16"/>
  <c r="AM23" i="16"/>
  <c r="AM33" i="16"/>
  <c r="V45" i="16"/>
  <c r="V51" i="16" s="1"/>
  <c r="V24" i="16"/>
  <c r="V34" i="16"/>
  <c r="V40" i="16" s="1"/>
  <c r="AR21" i="17"/>
  <c r="AR22" i="17"/>
  <c r="AE34" i="16"/>
  <c r="AE40" i="16" s="1"/>
  <c r="AE45" i="16"/>
  <c r="AE51" i="16" s="1"/>
  <c r="AE24" i="16"/>
  <c r="AH45" i="16"/>
  <c r="AH51" i="16" s="1"/>
  <c r="AH24" i="16"/>
  <c r="AH34" i="16"/>
  <c r="AH40" i="16" s="1"/>
  <c r="AU23" i="17"/>
  <c r="AU33" i="17"/>
  <c r="AU44" i="17"/>
  <c r="AH21" i="17"/>
  <c r="AH22" i="17"/>
  <c r="M21" i="16"/>
  <c r="M22" i="16"/>
  <c r="AH23" i="16"/>
  <c r="AH44" i="16"/>
  <c r="AH33" i="16"/>
  <c r="AQ22" i="17"/>
  <c r="X39" i="17"/>
  <c r="K21" i="18"/>
  <c r="K22" i="18"/>
  <c r="AV44" i="17"/>
  <c r="AV23" i="17"/>
  <c r="AV33" i="17"/>
  <c r="Y44" i="17"/>
  <c r="Y23" i="17"/>
  <c r="Y33" i="17"/>
  <c r="AW44" i="18"/>
  <c r="AW23" i="18"/>
  <c r="AW33" i="18"/>
  <c r="AO44" i="17"/>
  <c r="AO23" i="17"/>
  <c r="AO33" i="17"/>
  <c r="AQ23" i="18"/>
  <c r="AQ33" i="18"/>
  <c r="AQ44" i="18"/>
  <c r="AD44" i="18"/>
  <c r="AD23" i="18"/>
  <c r="AD33" i="18"/>
  <c r="J44" i="18"/>
  <c r="J23" i="18"/>
  <c r="J33" i="18"/>
  <c r="Y24" i="16"/>
  <c r="Y45" i="16"/>
  <c r="Y51" i="16" s="1"/>
  <c r="Y34" i="16"/>
  <c r="Y40" i="16" s="1"/>
  <c r="AC22" i="17"/>
  <c r="AL44" i="18"/>
  <c r="AL23" i="18"/>
  <c r="AL33" i="18"/>
  <c r="AS33" i="17"/>
  <c r="AS23" i="17"/>
  <c r="AS44" i="17"/>
  <c r="G23" i="17"/>
  <c r="G33" i="17"/>
  <c r="G44" i="17"/>
  <c r="AK45" i="18"/>
  <c r="AK51" i="18" s="1"/>
  <c r="AK24" i="18"/>
  <c r="AK34" i="18"/>
  <c r="AK40" i="18" s="1"/>
  <c r="U45" i="18"/>
  <c r="U51" i="18" s="1"/>
  <c r="U24" i="18"/>
  <c r="U34" i="18"/>
  <c r="U40" i="18" s="1"/>
  <c r="AB24" i="18"/>
  <c r="AB45" i="18"/>
  <c r="AB51" i="18" s="1"/>
  <c r="AB34" i="18"/>
  <c r="AB40" i="18" s="1"/>
  <c r="P24" i="18"/>
  <c r="P45" i="18"/>
  <c r="P51" i="18" s="1"/>
  <c r="P34" i="18"/>
  <c r="P40" i="18" s="1"/>
  <c r="AF39" i="17"/>
  <c r="AA23" i="17"/>
  <c r="AA33" i="17"/>
  <c r="AA44" i="17"/>
  <c r="H23" i="18"/>
  <c r="H33" i="18"/>
  <c r="H44" i="18"/>
  <c r="AB21" i="16"/>
  <c r="AB22" i="16"/>
  <c r="AW45" i="16"/>
  <c r="AW51" i="16" s="1"/>
  <c r="AW24" i="16"/>
  <c r="AW34" i="16"/>
  <c r="AW40" i="16" s="1"/>
  <c r="AO23" i="16"/>
  <c r="AO33" i="16"/>
  <c r="AO44" i="16"/>
  <c r="S34" i="16"/>
  <c r="S40" i="16" s="1"/>
  <c r="S45" i="16"/>
  <c r="S51" i="16" s="1"/>
  <c r="S24" i="16"/>
  <c r="AK23" i="16"/>
  <c r="AK33" i="16"/>
  <c r="AK44" i="16"/>
  <c r="AE44" i="16"/>
  <c r="AE23" i="16"/>
  <c r="AE33" i="16"/>
  <c r="AT23" i="17"/>
  <c r="AT33" i="17"/>
  <c r="AT44" i="17"/>
  <c r="AD23" i="16"/>
  <c r="AD44" i="16"/>
  <c r="AD33" i="16"/>
  <c r="I21" i="16"/>
  <c r="I22" i="16"/>
  <c r="AU22" i="17"/>
  <c r="N21" i="17"/>
  <c r="N22" i="17"/>
  <c r="K10" i="16"/>
  <c r="K13" i="16" s="1"/>
  <c r="AG24" i="16"/>
  <c r="AG45" i="16"/>
  <c r="AG51" i="16" s="1"/>
  <c r="AG34" i="16"/>
  <c r="AG40" i="16" s="1"/>
  <c r="AK22" i="17"/>
  <c r="AV46" i="18"/>
  <c r="AV50" i="18"/>
  <c r="AT51" i="18"/>
  <c r="AT46" i="18"/>
  <c r="G21" i="18"/>
  <c r="G22" i="18"/>
  <c r="AX50" i="17"/>
  <c r="H50" i="17"/>
  <c r="AO21" i="18"/>
  <c r="AO22" i="18"/>
  <c r="E22" i="16"/>
  <c r="E21" i="16"/>
  <c r="AT40" i="18"/>
  <c r="AT35" i="18"/>
  <c r="AH34" i="18"/>
  <c r="AH40" i="18" s="1"/>
  <c r="AH45" i="18"/>
  <c r="AH51" i="18" s="1"/>
  <c r="AH24" i="18"/>
  <c r="N34" i="18"/>
  <c r="N40" i="18" s="1"/>
  <c r="N45" i="18"/>
  <c r="N51" i="18" s="1"/>
  <c r="N24" i="18"/>
  <c r="F34" i="18"/>
  <c r="F40" i="18" s="1"/>
  <c r="F45" i="18"/>
  <c r="F51" i="18" s="1"/>
  <c r="F24" i="18"/>
  <c r="P33" i="16"/>
  <c r="P44" i="16"/>
  <c r="P23" i="16"/>
  <c r="AN39" i="17"/>
  <c r="H22" i="17"/>
  <c r="AC44" i="17"/>
  <c r="AC33" i="17"/>
  <c r="AC23" i="17"/>
  <c r="AP50" i="18"/>
  <c r="AP46" i="18"/>
  <c r="R34" i="18"/>
  <c r="R40" i="18" s="1"/>
  <c r="R45" i="18"/>
  <c r="R51" i="18" s="1"/>
  <c r="R24" i="18"/>
  <c r="AE22" i="17"/>
  <c r="AY24" i="18"/>
  <c r="AY45" i="18"/>
  <c r="AY51" i="18" s="1"/>
  <c r="AY34" i="18"/>
  <c r="AY40" i="18" s="1"/>
  <c r="Y23" i="18"/>
  <c r="Y44" i="18"/>
  <c r="Y33" i="18"/>
  <c r="Q23" i="18"/>
  <c r="Q44" i="18"/>
  <c r="Q33" i="18"/>
  <c r="W23" i="17"/>
  <c r="W33" i="17"/>
  <c r="W44" i="17"/>
  <c r="O22" i="17"/>
  <c r="AY21" i="16"/>
  <c r="AY22" i="16"/>
  <c r="AN21" i="16"/>
  <c r="AN22" i="16"/>
  <c r="AW23" i="16"/>
  <c r="AW33" i="16"/>
  <c r="AW44" i="16"/>
  <c r="K46" i="16"/>
  <c r="K50" i="16"/>
  <c r="AV24" i="16"/>
  <c r="AV45" i="16"/>
  <c r="AV51" i="16" s="1"/>
  <c r="AV34" i="16"/>
  <c r="AV40" i="16" s="1"/>
  <c r="AI34" i="16"/>
  <c r="AI40" i="16" s="1"/>
  <c r="AI45" i="16"/>
  <c r="AI51" i="16" s="1"/>
  <c r="AI24" i="16"/>
  <c r="G23" i="16"/>
  <c r="G33" i="16"/>
  <c r="G44" i="16"/>
  <c r="AD45" i="16"/>
  <c r="AD51" i="16" s="1"/>
  <c r="AD34" i="16"/>
  <c r="AD40" i="16" s="1"/>
  <c r="AD24" i="16"/>
  <c r="AP35" i="16"/>
  <c r="AP39" i="16"/>
  <c r="F21" i="16"/>
  <c r="F22" i="16"/>
  <c r="Z21" i="17"/>
  <c r="Z22" i="17"/>
  <c r="J21" i="17"/>
  <c r="J22" i="17"/>
  <c r="AW21" i="17"/>
  <c r="AW22" i="17"/>
  <c r="AJ21" i="16"/>
  <c r="AJ22" i="16"/>
  <c r="W21" i="16"/>
  <c r="W22" i="16"/>
  <c r="AT23" i="16"/>
  <c r="AT33" i="16"/>
  <c r="AT44" i="16"/>
  <c r="X21" i="16"/>
  <c r="X22" i="16"/>
  <c r="AX44" i="16"/>
  <c r="AX23" i="16"/>
  <c r="AX33" i="16"/>
  <c r="AM34" i="16"/>
  <c r="AM40" i="16" s="1"/>
  <c r="AM45" i="16"/>
  <c r="AM51" i="16" s="1"/>
  <c r="AM24" i="16"/>
  <c r="H21" i="16"/>
  <c r="H22" i="16"/>
  <c r="AL45" i="16"/>
  <c r="AL51" i="16" s="1"/>
  <c r="AL24" i="16"/>
  <c r="AL34" i="16"/>
  <c r="AL40" i="16" s="1"/>
  <c r="AS23" i="16"/>
  <c r="AS33" i="16"/>
  <c r="AS44" i="16"/>
  <c r="AI44" i="16"/>
  <c r="AI23" i="16"/>
  <c r="AI33" i="16"/>
  <c r="G45" i="16"/>
  <c r="G51" i="16" s="1"/>
  <c r="G34" i="16"/>
  <c r="G40" i="16" s="1"/>
  <c r="G24" i="16"/>
  <c r="AT10" i="18"/>
  <c r="AT13" i="18" s="1"/>
  <c r="U23" i="16"/>
  <c r="U33" i="16"/>
  <c r="U44" i="16"/>
  <c r="AL21" i="17"/>
  <c r="AL22" i="17"/>
  <c r="V21" i="17"/>
  <c r="V22" i="17"/>
  <c r="F21" i="17"/>
  <c r="F22" i="17"/>
  <c r="U22" i="16"/>
  <c r="AT22" i="17"/>
  <c r="Q23" i="16"/>
  <c r="Q33" i="16"/>
  <c r="Q44" i="16"/>
  <c r="AQ33" i="17"/>
  <c r="AQ44" i="17"/>
  <c r="AQ23" i="17"/>
  <c r="AJ23" i="17"/>
  <c r="AJ44" i="17"/>
  <c r="AJ33" i="17"/>
  <c r="P50" i="17"/>
  <c r="L23" i="17"/>
  <c r="L33" i="17"/>
  <c r="L44" i="17"/>
  <c r="H39" i="17"/>
  <c r="AI21" i="18"/>
  <c r="AI22" i="18"/>
  <c r="O21" i="18"/>
  <c r="O22" i="18"/>
  <c r="AR33" i="16"/>
  <c r="AR23" i="16"/>
  <c r="AR44" i="16"/>
  <c r="AV22" i="17"/>
  <c r="Y22" i="17"/>
  <c r="AZ10" i="17"/>
  <c r="AW34" i="18"/>
  <c r="AW40" i="18" s="1"/>
  <c r="AW45" i="18"/>
  <c r="AW51" i="18" s="1"/>
  <c r="AW24" i="18"/>
  <c r="D39" i="18"/>
  <c r="D35" i="18"/>
  <c r="Z23" i="16"/>
  <c r="Z33" i="16"/>
  <c r="Z44" i="16"/>
  <c r="AO22" i="17"/>
  <c r="S22" i="17"/>
  <c r="AQ24" i="18"/>
  <c r="AQ45" i="18"/>
  <c r="AQ51" i="18" s="1"/>
  <c r="AQ34" i="18"/>
  <c r="AQ40" i="18" s="1"/>
  <c r="AD34" i="18"/>
  <c r="AD40" i="18" s="1"/>
  <c r="AD45" i="18"/>
  <c r="AD51" i="18" s="1"/>
  <c r="AD24" i="18"/>
  <c r="V34" i="18"/>
  <c r="V40" i="18" s="1"/>
  <c r="V45" i="18"/>
  <c r="V51" i="18" s="1"/>
  <c r="V24" i="18"/>
  <c r="J34" i="18"/>
  <c r="J40" i="18" s="1"/>
  <c r="J45" i="18"/>
  <c r="J51" i="18" s="1"/>
  <c r="J24" i="18"/>
  <c r="D44" i="16"/>
  <c r="D33" i="16"/>
  <c r="D23" i="16"/>
  <c r="O22" i="16"/>
  <c r="AG22" i="17"/>
  <c r="X22" i="17"/>
  <c r="AE21" i="18"/>
  <c r="AE22" i="18"/>
  <c r="AB50" i="17"/>
  <c r="AR45" i="18"/>
  <c r="AR51" i="18" s="1"/>
  <c r="AR34" i="18"/>
  <c r="AR40" i="18" s="1"/>
  <c r="AR24" i="18"/>
  <c r="I44" i="17"/>
  <c r="I33" i="17"/>
  <c r="I23" i="17"/>
  <c r="AL34" i="18"/>
  <c r="AL40" i="18" s="1"/>
  <c r="AL45" i="18"/>
  <c r="AL51" i="18" s="1"/>
  <c r="AL24" i="18"/>
  <c r="AS22" i="17"/>
  <c r="AI22" i="17"/>
  <c r="G22" i="17"/>
  <c r="AK23" i="18"/>
  <c r="AK33" i="18"/>
  <c r="AK44" i="18"/>
  <c r="AC23" i="18"/>
  <c r="AC44" i="18"/>
  <c r="AC33" i="18"/>
  <c r="U23" i="18"/>
  <c r="U44" i="18"/>
  <c r="U33" i="18"/>
  <c r="M23" i="18"/>
  <c r="M44" i="18"/>
  <c r="M33" i="18"/>
  <c r="E22" i="18"/>
  <c r="E21" i="18"/>
  <c r="H27" i="16"/>
  <c r="G30" i="16"/>
  <c r="AF23" i="18"/>
  <c r="AF33" i="18"/>
  <c r="AF44" i="18"/>
  <c r="T23" i="18"/>
  <c r="T33" i="18"/>
  <c r="T44" i="18"/>
  <c r="L23" i="18"/>
  <c r="L33" i="18"/>
  <c r="L44" i="18"/>
  <c r="AA22" i="17"/>
  <c r="K22" i="17"/>
  <c r="H24" i="18"/>
  <c r="H45" i="18"/>
  <c r="H51" i="18" s="1"/>
  <c r="H34" i="18"/>
  <c r="H40" i="18" s="1"/>
  <c r="G12" i="5"/>
  <c r="G9" i="5"/>
  <c r="D16" i="5"/>
  <c r="AF46" i="18" l="1"/>
  <c r="AF50" i="18"/>
  <c r="D46" i="16"/>
  <c r="D50" i="16"/>
  <c r="U24" i="16"/>
  <c r="U45" i="16"/>
  <c r="U51" i="16" s="1"/>
  <c r="U34" i="16"/>
  <c r="U40" i="16" s="1"/>
  <c r="H44" i="16"/>
  <c r="H23" i="16"/>
  <c r="H33" i="16"/>
  <c r="W34" i="16"/>
  <c r="W40" i="16" s="1"/>
  <c r="W45" i="16"/>
  <c r="W51" i="16" s="1"/>
  <c r="W24" i="16"/>
  <c r="Z24" i="17"/>
  <c r="Z34" i="17"/>
  <c r="Z40" i="17" s="1"/>
  <c r="Z45" i="17"/>
  <c r="Z51" i="17" s="1"/>
  <c r="AN23" i="16"/>
  <c r="AN33" i="16"/>
  <c r="AN44" i="16"/>
  <c r="AE24" i="17"/>
  <c r="AE45" i="17"/>
  <c r="AE51" i="17" s="1"/>
  <c r="AE34" i="17"/>
  <c r="AE40" i="17" s="1"/>
  <c r="AO34" i="18"/>
  <c r="AO40" i="18" s="1"/>
  <c r="AO24" i="18"/>
  <c r="AO45" i="18"/>
  <c r="AO51" i="18" s="1"/>
  <c r="AK34" i="17"/>
  <c r="AK40" i="17" s="1"/>
  <c r="AK45" i="17"/>
  <c r="AK51" i="17" s="1"/>
  <c r="AK24" i="17"/>
  <c r="I24" i="16"/>
  <c r="I45" i="16"/>
  <c r="I51" i="16" s="1"/>
  <c r="I34" i="16"/>
  <c r="I40" i="16" s="1"/>
  <c r="AK39" i="16"/>
  <c r="AA50" i="17"/>
  <c r="AL35" i="18"/>
  <c r="AL39" i="18"/>
  <c r="AO39" i="17"/>
  <c r="H27" i="18"/>
  <c r="G30" i="18"/>
  <c r="AE46" i="17"/>
  <c r="AE50" i="17"/>
  <c r="R46" i="18"/>
  <c r="R50" i="18"/>
  <c r="AR46" i="18"/>
  <c r="AR50" i="18"/>
  <c r="D34" i="16"/>
  <c r="D40" i="16" s="1"/>
  <c r="D24" i="16"/>
  <c r="D45" i="16"/>
  <c r="D51" i="16" s="1"/>
  <c r="S35" i="16"/>
  <c r="S39" i="16"/>
  <c r="Y46" i="16"/>
  <c r="Y50" i="16"/>
  <c r="AJ45" i="17"/>
  <c r="AJ51" i="17" s="1"/>
  <c r="AJ24" i="17"/>
  <c r="AJ34" i="17"/>
  <c r="AJ40" i="17" s="1"/>
  <c r="AX24" i="17"/>
  <c r="AX45" i="17"/>
  <c r="AX34" i="17"/>
  <c r="E23" i="18"/>
  <c r="E33" i="18"/>
  <c r="E44" i="18"/>
  <c r="AK35" i="18"/>
  <c r="AK39" i="18"/>
  <c r="O45" i="16"/>
  <c r="O51" i="16" s="1"/>
  <c r="O24" i="16"/>
  <c r="O34" i="16"/>
  <c r="O40" i="16" s="1"/>
  <c r="AI24" i="18"/>
  <c r="AI34" i="18"/>
  <c r="AI40" i="18" s="1"/>
  <c r="AI45" i="18"/>
  <c r="AI51" i="18" s="1"/>
  <c r="AL24" i="17"/>
  <c r="AL34" i="17"/>
  <c r="AL40" i="17" s="1"/>
  <c r="AL45" i="17"/>
  <c r="AL51" i="17" s="1"/>
  <c r="AS46" i="16"/>
  <c r="AS50" i="16"/>
  <c r="AW33" i="17"/>
  <c r="AW44" i="17"/>
  <c r="AW23" i="17"/>
  <c r="G46" i="16"/>
  <c r="G50" i="16"/>
  <c r="AY34" i="16"/>
  <c r="AY40" i="16" s="1"/>
  <c r="AY45" i="16"/>
  <c r="AY51" i="16" s="1"/>
  <c r="AY24" i="16"/>
  <c r="P50" i="16"/>
  <c r="P46" i="16"/>
  <c r="AO44" i="18"/>
  <c r="AO23" i="18"/>
  <c r="AO33" i="18"/>
  <c r="I33" i="16"/>
  <c r="I44" i="16"/>
  <c r="I23" i="16"/>
  <c r="AO46" i="16"/>
  <c r="AO50" i="16"/>
  <c r="AA39" i="17"/>
  <c r="J46" i="18"/>
  <c r="J50" i="18"/>
  <c r="M24" i="16"/>
  <c r="M45" i="16"/>
  <c r="M51" i="16" s="1"/>
  <c r="M34" i="16"/>
  <c r="M40" i="16" s="1"/>
  <c r="V35" i="16"/>
  <c r="AY46" i="18"/>
  <c r="AY50" i="18"/>
  <c r="F46" i="18"/>
  <c r="F50" i="18"/>
  <c r="AK24" i="16"/>
  <c r="AK45" i="16"/>
  <c r="AK51" i="16" s="1"/>
  <c r="AK34" i="16"/>
  <c r="AK40" i="16" s="1"/>
  <c r="M35" i="17"/>
  <c r="M39" i="17"/>
  <c r="AC46" i="16"/>
  <c r="AC50" i="16"/>
  <c r="AG35" i="18"/>
  <c r="AG39" i="18"/>
  <c r="AD24" i="17"/>
  <c r="AD34" i="17"/>
  <c r="AD40" i="17" s="1"/>
  <c r="AD45" i="17"/>
  <c r="AD51" i="17" s="1"/>
  <c r="AV35" i="16"/>
  <c r="AV39" i="16"/>
  <c r="AI46" i="17"/>
  <c r="AI50" i="17"/>
  <c r="J39" i="16"/>
  <c r="J35" i="16"/>
  <c r="V46" i="18"/>
  <c r="V50" i="18"/>
  <c r="AA24" i="18"/>
  <c r="AA34" i="18"/>
  <c r="AA40" i="18" s="1"/>
  <c r="AA45" i="18"/>
  <c r="AA51" i="18" s="1"/>
  <c r="P45" i="17"/>
  <c r="P24" i="17"/>
  <c r="P34" i="17"/>
  <c r="U44" i="17"/>
  <c r="U33" i="17"/>
  <c r="U23" i="17"/>
  <c r="T33" i="16"/>
  <c r="T44" i="16"/>
  <c r="T23" i="16"/>
  <c r="T39" i="18"/>
  <c r="T35" i="18"/>
  <c r="AC46" i="18"/>
  <c r="AC50" i="18"/>
  <c r="AE33" i="18"/>
  <c r="AE44" i="18"/>
  <c r="AE23" i="18"/>
  <c r="AI33" i="18"/>
  <c r="AI44" i="18"/>
  <c r="AI23" i="18"/>
  <c r="AU22" i="18"/>
  <c r="AU21" i="18"/>
  <c r="J24" i="17"/>
  <c r="J34" i="17"/>
  <c r="J40" i="17" s="1"/>
  <c r="J45" i="17"/>
  <c r="J51" i="17" s="1"/>
  <c r="G35" i="16"/>
  <c r="G39" i="16"/>
  <c r="Y35" i="18"/>
  <c r="Y39" i="18"/>
  <c r="E33" i="16"/>
  <c r="E44" i="16"/>
  <c r="E23" i="16"/>
  <c r="AD35" i="18"/>
  <c r="AD39" i="18"/>
  <c r="AQ39" i="18"/>
  <c r="AQ35" i="18"/>
  <c r="AO50" i="17"/>
  <c r="AO46" i="17"/>
  <c r="AW46" i="18"/>
  <c r="AW50" i="18"/>
  <c r="K33" i="18"/>
  <c r="K44" i="18"/>
  <c r="K23" i="18"/>
  <c r="AH35" i="16"/>
  <c r="AH39" i="16"/>
  <c r="M33" i="16"/>
  <c r="M23" i="16"/>
  <c r="M44" i="16"/>
  <c r="AU50" i="17"/>
  <c r="AU46" i="17"/>
  <c r="AM46" i="16"/>
  <c r="AM50" i="16"/>
  <c r="X39" i="18"/>
  <c r="X35" i="18"/>
  <c r="W24" i="17"/>
  <c r="W45" i="17"/>
  <c r="W51" i="17" s="1"/>
  <c r="W34" i="17"/>
  <c r="W40" i="17" s="1"/>
  <c r="AY39" i="18"/>
  <c r="AY35" i="18"/>
  <c r="AR35" i="18"/>
  <c r="AR39" i="18"/>
  <c r="O35" i="16"/>
  <c r="O39" i="16"/>
  <c r="Z35" i="18"/>
  <c r="Z39" i="18"/>
  <c r="AH46" i="18"/>
  <c r="AH50" i="18"/>
  <c r="AZ10" i="16"/>
  <c r="AN23" i="18"/>
  <c r="AN33" i="18"/>
  <c r="AN44" i="18"/>
  <c r="AB45" i="17"/>
  <c r="AB24" i="17"/>
  <c r="AB34" i="17"/>
  <c r="S24" i="18"/>
  <c r="S34" i="18"/>
  <c r="S40" i="18" s="1"/>
  <c r="S45" i="18"/>
  <c r="S51" i="18" s="1"/>
  <c r="M50" i="17"/>
  <c r="AG46" i="16"/>
  <c r="AG50" i="16"/>
  <c r="AC39" i="16"/>
  <c r="AC35" i="16"/>
  <c r="AP24" i="17"/>
  <c r="AP34" i="17"/>
  <c r="AP40" i="17" s="1"/>
  <c r="AP45" i="17"/>
  <c r="AP51" i="17" s="1"/>
  <c r="S46" i="16"/>
  <c r="S50" i="16"/>
  <c r="AB46" i="18"/>
  <c r="AB50" i="18"/>
  <c r="AJ39" i="18"/>
  <c r="AJ35" i="18"/>
  <c r="I35" i="18"/>
  <c r="I39" i="18"/>
  <c r="AG46" i="18"/>
  <c r="AG50" i="18"/>
  <c r="AL46" i="16"/>
  <c r="AL50" i="16"/>
  <c r="W33" i="18"/>
  <c r="W44" i="18"/>
  <c r="W23" i="18"/>
  <c r="AD33" i="17"/>
  <c r="AD44" i="17"/>
  <c r="AD23" i="17"/>
  <c r="AS44" i="18"/>
  <c r="AS23" i="18"/>
  <c r="AS33" i="18"/>
  <c r="K39" i="17"/>
  <c r="K35" i="17"/>
  <c r="AI39" i="17"/>
  <c r="AG39" i="17"/>
  <c r="L45" i="17"/>
  <c r="L51" i="17" s="1"/>
  <c r="L24" i="17"/>
  <c r="L34" i="17"/>
  <c r="L40" i="17" s="1"/>
  <c r="AA33" i="18"/>
  <c r="AA44" i="18"/>
  <c r="AA23" i="18"/>
  <c r="AU39" i="16"/>
  <c r="AF24" i="16"/>
  <c r="AF34" i="16"/>
  <c r="AF40" i="16" s="1"/>
  <c r="AF45" i="16"/>
  <c r="AF51" i="16" s="1"/>
  <c r="K24" i="17"/>
  <c r="K45" i="17"/>
  <c r="K51" i="17" s="1"/>
  <c r="K34" i="17"/>
  <c r="K40" i="17" s="1"/>
  <c r="I27" i="16"/>
  <c r="H30" i="16"/>
  <c r="M46" i="18"/>
  <c r="M50" i="18"/>
  <c r="AK46" i="18"/>
  <c r="AK50" i="18"/>
  <c r="AI24" i="17"/>
  <c r="AI45" i="17"/>
  <c r="AI51" i="17" s="1"/>
  <c r="AI34" i="17"/>
  <c r="AI40" i="17" s="1"/>
  <c r="AG34" i="17"/>
  <c r="AG40" i="17" s="1"/>
  <c r="AG45" i="17"/>
  <c r="AG51" i="17" s="1"/>
  <c r="AG24" i="17"/>
  <c r="AO34" i="17"/>
  <c r="AO40" i="17" s="1"/>
  <c r="AO45" i="17"/>
  <c r="AO51" i="17" s="1"/>
  <c r="AO24" i="17"/>
  <c r="AR50" i="16"/>
  <c r="AR46" i="16"/>
  <c r="O33" i="18"/>
  <c r="O44" i="18"/>
  <c r="O23" i="18"/>
  <c r="Q50" i="16"/>
  <c r="V33" i="17"/>
  <c r="V44" i="17"/>
  <c r="V23" i="17"/>
  <c r="U39" i="16"/>
  <c r="U35" i="16"/>
  <c r="AI46" i="16"/>
  <c r="AI50" i="16"/>
  <c r="AX35" i="16"/>
  <c r="AX39" i="16"/>
  <c r="X33" i="16"/>
  <c r="X44" i="16"/>
  <c r="X23" i="16"/>
  <c r="AW24" i="17"/>
  <c r="AW45" i="17"/>
  <c r="AW51" i="17" s="1"/>
  <c r="AW34" i="17"/>
  <c r="AW40" i="17" s="1"/>
  <c r="AW46" i="16"/>
  <c r="AW50" i="16"/>
  <c r="W50" i="17"/>
  <c r="Q46" i="18"/>
  <c r="Q50" i="18"/>
  <c r="AC50" i="17"/>
  <c r="L21" i="16"/>
  <c r="AZ21" i="16" s="1"/>
  <c r="L22" i="16"/>
  <c r="AZ22" i="16" s="1"/>
  <c r="AE35" i="16"/>
  <c r="AE39" i="16"/>
  <c r="AB33" i="16"/>
  <c r="AB44" i="16"/>
  <c r="AB23" i="16"/>
  <c r="AD46" i="18"/>
  <c r="AD50" i="18"/>
  <c r="AW35" i="18"/>
  <c r="AW39" i="18"/>
  <c r="AV46" i="17"/>
  <c r="AV50" i="17"/>
  <c r="AH24" i="17"/>
  <c r="AH34" i="17"/>
  <c r="AH40" i="17" s="1"/>
  <c r="AH45" i="17"/>
  <c r="AH51" i="17" s="1"/>
  <c r="AR44" i="17"/>
  <c r="AR33" i="17"/>
  <c r="AR23" i="17"/>
  <c r="AM35" i="16"/>
  <c r="AM39" i="16"/>
  <c r="O46" i="17"/>
  <c r="O50" i="17"/>
  <c r="AM39" i="17"/>
  <c r="AN45" i="17"/>
  <c r="AN24" i="17"/>
  <c r="AN34" i="17"/>
  <c r="R35" i="16"/>
  <c r="R39" i="16"/>
  <c r="N46" i="18"/>
  <c r="N50" i="18"/>
  <c r="S39" i="17"/>
  <c r="S35" i="17"/>
  <c r="E34" i="17"/>
  <c r="E40" i="17" s="1"/>
  <c r="E45" i="17"/>
  <c r="E51" i="17" s="1"/>
  <c r="E24" i="17"/>
  <c r="AM24" i="18"/>
  <c r="AM34" i="18"/>
  <c r="AM40" i="18" s="1"/>
  <c r="AM45" i="18"/>
  <c r="AM51" i="18" s="1"/>
  <c r="AK35" i="17"/>
  <c r="AK39" i="17"/>
  <c r="AX24" i="18"/>
  <c r="AX34" i="18"/>
  <c r="AX40" i="18" s="1"/>
  <c r="AX45" i="18"/>
  <c r="AX51" i="18" s="1"/>
  <c r="P39" i="18"/>
  <c r="P35" i="18"/>
  <c r="AM24" i="17"/>
  <c r="AM34" i="17"/>
  <c r="AM40" i="17" s="1"/>
  <c r="AM45" i="17"/>
  <c r="AM51" i="17" s="1"/>
  <c r="G27" i="17"/>
  <c r="F30" i="17"/>
  <c r="AV50" i="16"/>
  <c r="AV46" i="16"/>
  <c r="J46" i="16"/>
  <c r="J50" i="16"/>
  <c r="R33" i="17"/>
  <c r="R44" i="17"/>
  <c r="R23" i="17"/>
  <c r="V35" i="18"/>
  <c r="V39" i="18"/>
  <c r="N39" i="16"/>
  <c r="N35" i="16"/>
  <c r="U34" i="17"/>
  <c r="U40" i="17" s="1"/>
  <c r="U45" i="17"/>
  <c r="U51" i="17" s="1"/>
  <c r="U24" i="17"/>
  <c r="T24" i="16"/>
  <c r="T34" i="16"/>
  <c r="T40" i="16" s="1"/>
  <c r="T45" i="16"/>
  <c r="T51" i="16" s="1"/>
  <c r="AQ44" i="16"/>
  <c r="AQ33" i="16"/>
  <c r="AQ23" i="16"/>
  <c r="AA24" i="17"/>
  <c r="AA45" i="17"/>
  <c r="AA51" i="17" s="1"/>
  <c r="AA34" i="17"/>
  <c r="AA40" i="17" s="1"/>
  <c r="T46" i="18"/>
  <c r="T50" i="18"/>
  <c r="AF39" i="18"/>
  <c r="AF35" i="18"/>
  <c r="AC35" i="18"/>
  <c r="AC39" i="18"/>
  <c r="AS24" i="17"/>
  <c r="AS34" i="17"/>
  <c r="AS40" i="17" s="1"/>
  <c r="AS45" i="17"/>
  <c r="AS51" i="17" s="1"/>
  <c r="AE24" i="18"/>
  <c r="AE34" i="18"/>
  <c r="AE40" i="18" s="1"/>
  <c r="AE45" i="18"/>
  <c r="AE51" i="18" s="1"/>
  <c r="Z46" i="16"/>
  <c r="Z50" i="16"/>
  <c r="L50" i="17"/>
  <c r="Q39" i="16"/>
  <c r="Q35" i="16"/>
  <c r="F24" i="17"/>
  <c r="F34" i="17"/>
  <c r="F40" i="17" s="1"/>
  <c r="F45" i="17"/>
  <c r="F51" i="17" s="1"/>
  <c r="AT50" i="16"/>
  <c r="AT46" i="16"/>
  <c r="W44" i="16"/>
  <c r="W23" i="16"/>
  <c r="W33" i="16"/>
  <c r="Z33" i="17"/>
  <c r="Z44" i="17"/>
  <c r="Z23" i="17"/>
  <c r="AW39" i="16"/>
  <c r="AW35" i="16"/>
  <c r="W39" i="17"/>
  <c r="W35" i="17"/>
  <c r="H45" i="17"/>
  <c r="H24" i="17"/>
  <c r="H34" i="17"/>
  <c r="N24" i="17"/>
  <c r="N34" i="17"/>
  <c r="N40" i="17" s="1"/>
  <c r="N45" i="17"/>
  <c r="N51" i="17" s="1"/>
  <c r="AT50" i="17"/>
  <c r="H46" i="18"/>
  <c r="H50" i="18"/>
  <c r="AS50" i="17"/>
  <c r="AS46" i="17"/>
  <c r="AQ46" i="18"/>
  <c r="AQ50" i="18"/>
  <c r="Y50" i="17"/>
  <c r="K24" i="18"/>
  <c r="K34" i="18"/>
  <c r="K40" i="18" s="1"/>
  <c r="K45" i="18"/>
  <c r="K51" i="18" s="1"/>
  <c r="AQ45" i="17"/>
  <c r="AQ51" i="17" s="1"/>
  <c r="AQ24" i="17"/>
  <c r="AQ34" i="17"/>
  <c r="AQ40" i="17" s="1"/>
  <c r="AH33" i="17"/>
  <c r="AH44" i="17"/>
  <c r="AH23" i="17"/>
  <c r="X46" i="18"/>
  <c r="X50" i="18"/>
  <c r="O39" i="17"/>
  <c r="O35" i="17"/>
  <c r="AE39" i="17"/>
  <c r="AE35" i="17"/>
  <c r="Q24" i="16"/>
  <c r="Q45" i="16"/>
  <c r="Q51" i="16" s="1"/>
  <c r="Q34" i="16"/>
  <c r="Q40" i="16" s="1"/>
  <c r="O50" i="16"/>
  <c r="R46" i="16"/>
  <c r="R50" i="16"/>
  <c r="AH35" i="18"/>
  <c r="AH39" i="18"/>
  <c r="E44" i="17"/>
  <c r="E23" i="17"/>
  <c r="E33" i="17"/>
  <c r="AZ21" i="17"/>
  <c r="AM23" i="18"/>
  <c r="AM33" i="18"/>
  <c r="AM44" i="18"/>
  <c r="AK50" i="17"/>
  <c r="AK46" i="17"/>
  <c r="AX33" i="18"/>
  <c r="AX44" i="18"/>
  <c r="AX23" i="18"/>
  <c r="AJ46" i="18"/>
  <c r="AJ50" i="18"/>
  <c r="Y39" i="16"/>
  <c r="Y35" i="16"/>
  <c r="AL35" i="16"/>
  <c r="AL39" i="16"/>
  <c r="W24" i="18"/>
  <c r="W34" i="18"/>
  <c r="W40" i="18" s="1"/>
  <c r="W45" i="18"/>
  <c r="W51" i="18" s="1"/>
  <c r="AS34" i="18"/>
  <c r="AS40" i="18" s="1"/>
  <c r="AS45" i="18"/>
  <c r="AS51" i="18" s="1"/>
  <c r="AS24" i="18"/>
  <c r="K46" i="17"/>
  <c r="K50" i="17"/>
  <c r="AZ22" i="17"/>
  <c r="D45" i="17"/>
  <c r="D24" i="17"/>
  <c r="D34" i="17"/>
  <c r="L46" i="18"/>
  <c r="L50" i="18"/>
  <c r="E45" i="18"/>
  <c r="E51" i="18" s="1"/>
  <c r="E24" i="18"/>
  <c r="E34" i="18"/>
  <c r="E40" i="18" s="1"/>
  <c r="AZ22" i="18"/>
  <c r="U35" i="18"/>
  <c r="U39" i="18"/>
  <c r="I35" i="17"/>
  <c r="I39" i="17"/>
  <c r="Z35" i="16"/>
  <c r="Z39" i="16"/>
  <c r="Y34" i="17"/>
  <c r="Y40" i="17" s="1"/>
  <c r="Y45" i="17"/>
  <c r="Y51" i="17" s="1"/>
  <c r="Y24" i="17"/>
  <c r="AR35" i="16"/>
  <c r="AR39" i="16"/>
  <c r="L35" i="17"/>
  <c r="L39" i="17"/>
  <c r="AJ35" i="17"/>
  <c r="AJ39" i="17"/>
  <c r="AQ46" i="17"/>
  <c r="AQ50" i="17"/>
  <c r="F33" i="17"/>
  <c r="F44" i="17"/>
  <c r="F23" i="17"/>
  <c r="AL33" i="17"/>
  <c r="AL44" i="17"/>
  <c r="AL23" i="17"/>
  <c r="AI35" i="16"/>
  <c r="AI39" i="16"/>
  <c r="AS39" i="16"/>
  <c r="AS35" i="16"/>
  <c r="AX46" i="16"/>
  <c r="AX50" i="16"/>
  <c r="AT35" i="16"/>
  <c r="AT39" i="16"/>
  <c r="AJ24" i="16"/>
  <c r="AJ34" i="16"/>
  <c r="AJ40" i="16" s="1"/>
  <c r="AJ45" i="16"/>
  <c r="AJ51" i="16" s="1"/>
  <c r="F24" i="16"/>
  <c r="F34" i="16"/>
  <c r="F40" i="16" s="1"/>
  <c r="F45" i="16"/>
  <c r="F51" i="16" s="1"/>
  <c r="AY44" i="16"/>
  <c r="AY33" i="16"/>
  <c r="AY23" i="16"/>
  <c r="P35" i="16"/>
  <c r="P39" i="16"/>
  <c r="G24" i="18"/>
  <c r="G34" i="18"/>
  <c r="G40" i="18" s="1"/>
  <c r="G45" i="18"/>
  <c r="G51" i="18" s="1"/>
  <c r="N33" i="17"/>
  <c r="N44" i="17"/>
  <c r="N23" i="17"/>
  <c r="AD35" i="16"/>
  <c r="AD39" i="16"/>
  <c r="AT39" i="17"/>
  <c r="AT35" i="17"/>
  <c r="AE46" i="16"/>
  <c r="AE50" i="16"/>
  <c r="AO39" i="16"/>
  <c r="AO35" i="16"/>
  <c r="H39" i="18"/>
  <c r="H35" i="18"/>
  <c r="G50" i="17"/>
  <c r="AL46" i="18"/>
  <c r="AL50" i="18"/>
  <c r="AV39" i="17"/>
  <c r="L39" i="18"/>
  <c r="L35" i="18"/>
  <c r="M35" i="18"/>
  <c r="M39" i="18"/>
  <c r="U46" i="18"/>
  <c r="U50" i="18"/>
  <c r="G24" i="17"/>
  <c r="G45" i="17"/>
  <c r="G51" i="17" s="1"/>
  <c r="G34" i="17"/>
  <c r="G40" i="17" s="1"/>
  <c r="I50" i="17"/>
  <c r="X45" i="17"/>
  <c r="X24" i="17"/>
  <c r="X34" i="17"/>
  <c r="D35" i="16"/>
  <c r="D39" i="16"/>
  <c r="S24" i="17"/>
  <c r="S45" i="17"/>
  <c r="S51" i="17" s="1"/>
  <c r="S34" i="17"/>
  <c r="S40" i="17" s="1"/>
  <c r="AV34" i="17"/>
  <c r="AV40" i="17" s="1"/>
  <c r="AV45" i="17"/>
  <c r="AV51" i="17" s="1"/>
  <c r="AV24" i="17"/>
  <c r="O24" i="18"/>
  <c r="O34" i="18"/>
  <c r="O40" i="18" s="1"/>
  <c r="O45" i="18"/>
  <c r="O51" i="18" s="1"/>
  <c r="AJ50" i="17"/>
  <c r="AQ35" i="17"/>
  <c r="AQ39" i="17"/>
  <c r="AT24" i="17"/>
  <c r="AT34" i="17"/>
  <c r="AT40" i="17" s="1"/>
  <c r="AT45" i="17"/>
  <c r="AT51" i="17" s="1"/>
  <c r="V24" i="17"/>
  <c r="V34" i="17"/>
  <c r="V40" i="17" s="1"/>
  <c r="V45" i="17"/>
  <c r="V51" i="17" s="1"/>
  <c r="U46" i="16"/>
  <c r="U50" i="16"/>
  <c r="H34" i="16"/>
  <c r="H40" i="16" s="1"/>
  <c r="H45" i="16"/>
  <c r="H51" i="16" s="1"/>
  <c r="H24" i="16"/>
  <c r="X24" i="16"/>
  <c r="X34" i="16"/>
  <c r="X40" i="16" s="1"/>
  <c r="X45" i="16"/>
  <c r="X51" i="16" s="1"/>
  <c r="AJ33" i="16"/>
  <c r="AJ44" i="16"/>
  <c r="AJ23" i="16"/>
  <c r="J33" i="17"/>
  <c r="J44" i="17"/>
  <c r="J23" i="17"/>
  <c r="F23" i="16"/>
  <c r="F33" i="16"/>
  <c r="F44" i="16"/>
  <c r="AN24" i="16"/>
  <c r="AN34" i="16"/>
  <c r="AN40" i="16" s="1"/>
  <c r="AN45" i="16"/>
  <c r="AN51" i="16" s="1"/>
  <c r="O24" i="17"/>
  <c r="O45" i="17"/>
  <c r="O51" i="17" s="1"/>
  <c r="O34" i="17"/>
  <c r="O40" i="17" s="1"/>
  <c r="Q35" i="18"/>
  <c r="Q39" i="18"/>
  <c r="Y46" i="18"/>
  <c r="Y50" i="18"/>
  <c r="AC35" i="17"/>
  <c r="AC39" i="17"/>
  <c r="E24" i="16"/>
  <c r="E34" i="16"/>
  <c r="E40" i="16" s="1"/>
  <c r="E45" i="16"/>
  <c r="E51" i="16" s="1"/>
  <c r="G33" i="18"/>
  <c r="G44" i="18"/>
  <c r="G23" i="18"/>
  <c r="AU45" i="17"/>
  <c r="AU51" i="17" s="1"/>
  <c r="AU24" i="17"/>
  <c r="AU34" i="17"/>
  <c r="AU40" i="17" s="1"/>
  <c r="AD46" i="16"/>
  <c r="AD50" i="16"/>
  <c r="AK46" i="16"/>
  <c r="AK50" i="16"/>
  <c r="AB24" i="16"/>
  <c r="AB34" i="16"/>
  <c r="AB40" i="16" s="1"/>
  <c r="AB45" i="16"/>
  <c r="AB51" i="16" s="1"/>
  <c r="AZ10" i="18"/>
  <c r="G39" i="17"/>
  <c r="G35" i="17"/>
  <c r="AS35" i="17"/>
  <c r="AS39" i="17"/>
  <c r="AC34" i="17"/>
  <c r="AC40" i="17" s="1"/>
  <c r="AC45" i="17"/>
  <c r="AC51" i="17" s="1"/>
  <c r="AC24" i="17"/>
  <c r="J35" i="18"/>
  <c r="J39" i="18"/>
  <c r="Y35" i="17"/>
  <c r="Y39" i="17"/>
  <c r="AH46" i="16"/>
  <c r="AH50" i="16"/>
  <c r="AU35" i="17"/>
  <c r="AU39" i="17"/>
  <c r="AR34" i="17"/>
  <c r="AR40" i="17" s="1"/>
  <c r="AR24" i="17"/>
  <c r="AR45" i="17"/>
  <c r="AR51" i="17" s="1"/>
  <c r="AM50" i="17"/>
  <c r="R35" i="18"/>
  <c r="R39" i="18"/>
  <c r="I34" i="17"/>
  <c r="I40" i="17" s="1"/>
  <c r="I45" i="17"/>
  <c r="I51" i="17" s="1"/>
  <c r="I24" i="17"/>
  <c r="F35" i="18"/>
  <c r="F39" i="18"/>
  <c r="N35" i="18"/>
  <c r="N39" i="18"/>
  <c r="Z46" i="18"/>
  <c r="Z50" i="18"/>
  <c r="S46" i="17"/>
  <c r="S50" i="17"/>
  <c r="AU34" i="16"/>
  <c r="AU40" i="16" s="1"/>
  <c r="AU24" i="16"/>
  <c r="AU45" i="16"/>
  <c r="AU51" i="16" s="1"/>
  <c r="AN45" i="18"/>
  <c r="AN51" i="18" s="1"/>
  <c r="AN24" i="18"/>
  <c r="AN34" i="18"/>
  <c r="AN40" i="18" s="1"/>
  <c r="S33" i="18"/>
  <c r="S44" i="18"/>
  <c r="S23" i="18"/>
  <c r="AG39" i="16"/>
  <c r="AG35" i="16"/>
  <c r="AP33" i="17"/>
  <c r="AP44" i="17"/>
  <c r="AP23" i="17"/>
  <c r="P46" i="18"/>
  <c r="P50" i="18"/>
  <c r="AB39" i="18"/>
  <c r="AB35" i="18"/>
  <c r="I46" i="18"/>
  <c r="I50" i="18"/>
  <c r="AF45" i="17"/>
  <c r="AF24" i="17"/>
  <c r="AF34" i="17"/>
  <c r="M34" i="17"/>
  <c r="M40" i="17" s="1"/>
  <c r="M45" i="17"/>
  <c r="M51" i="17" s="1"/>
  <c r="M24" i="17"/>
  <c r="R24" i="17"/>
  <c r="R34" i="17"/>
  <c r="R40" i="17" s="1"/>
  <c r="R45" i="17"/>
  <c r="R51" i="17" s="1"/>
  <c r="AG50" i="17"/>
  <c r="N46" i="16"/>
  <c r="N50" i="16"/>
  <c r="AU50" i="16"/>
  <c r="AF33" i="16"/>
  <c r="AF44" i="16"/>
  <c r="AF23" i="16"/>
  <c r="AQ34" i="16"/>
  <c r="AQ40" i="16" s="1"/>
  <c r="AQ24" i="16"/>
  <c r="AQ45" i="16"/>
  <c r="AQ51" i="16" s="1"/>
  <c r="P36" i="6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AF51" i="17" l="1"/>
  <c r="AF46" i="17"/>
  <c r="AP50" i="17"/>
  <c r="AP46" i="17"/>
  <c r="J50" i="17"/>
  <c r="J46" i="17"/>
  <c r="X51" i="17"/>
  <c r="X46" i="17"/>
  <c r="W35" i="16"/>
  <c r="W39" i="16"/>
  <c r="AR39" i="17"/>
  <c r="AR35" i="17"/>
  <c r="AB50" i="16"/>
  <c r="AB46" i="16"/>
  <c r="V35" i="17"/>
  <c r="V39" i="17"/>
  <c r="AA50" i="18"/>
  <c r="AA46" i="18"/>
  <c r="AN35" i="18"/>
  <c r="AN39" i="18"/>
  <c r="K50" i="18"/>
  <c r="K46" i="18"/>
  <c r="P51" i="17"/>
  <c r="P46" i="17"/>
  <c r="I35" i="16"/>
  <c r="I39" i="16"/>
  <c r="AW50" i="17"/>
  <c r="AW46" i="17"/>
  <c r="E46" i="18"/>
  <c r="E50" i="18"/>
  <c r="AX51" i="17"/>
  <c r="AX46" i="17"/>
  <c r="H30" i="18"/>
  <c r="I27" i="18"/>
  <c r="H46" i="16"/>
  <c r="H50" i="16"/>
  <c r="S50" i="18"/>
  <c r="S46" i="18"/>
  <c r="J35" i="17"/>
  <c r="J39" i="17"/>
  <c r="AV35" i="17"/>
  <c r="AH50" i="17"/>
  <c r="AH46" i="17"/>
  <c r="AR50" i="17"/>
  <c r="AR46" i="17"/>
  <c r="AB35" i="16"/>
  <c r="AB39" i="16"/>
  <c r="U46" i="17"/>
  <c r="U50" i="17"/>
  <c r="AW39" i="17"/>
  <c r="AW35" i="17"/>
  <c r="E35" i="18"/>
  <c r="E39" i="18"/>
  <c r="AN50" i="16"/>
  <c r="AN46" i="16"/>
  <c r="S35" i="18"/>
  <c r="S39" i="18"/>
  <c r="AY46" i="16"/>
  <c r="AY50" i="16"/>
  <c r="F35" i="17"/>
  <c r="F39" i="17"/>
  <c r="E35" i="17"/>
  <c r="E39" i="17"/>
  <c r="AH39" i="17"/>
  <c r="AH35" i="17"/>
  <c r="AT46" i="17"/>
  <c r="AN40" i="17"/>
  <c r="AN35" i="17"/>
  <c r="X50" i="16"/>
  <c r="X46" i="16"/>
  <c r="Q46" i="16"/>
  <c r="J27" i="16"/>
  <c r="I30" i="16"/>
  <c r="AU35" i="16"/>
  <c r="AG35" i="17"/>
  <c r="W50" i="18"/>
  <c r="W46" i="18"/>
  <c r="AB51" i="17"/>
  <c r="AB46" i="17"/>
  <c r="M50" i="16"/>
  <c r="M46" i="16"/>
  <c r="AE50" i="18"/>
  <c r="AE46" i="18"/>
  <c r="T35" i="16"/>
  <c r="T39" i="16"/>
  <c r="P40" i="17"/>
  <c r="P35" i="17"/>
  <c r="AA35" i="17"/>
  <c r="AO35" i="17"/>
  <c r="AA46" i="17"/>
  <c r="AN35" i="16"/>
  <c r="AN39" i="16"/>
  <c r="H35" i="16"/>
  <c r="H39" i="16"/>
  <c r="AF50" i="16"/>
  <c r="AF46" i="16"/>
  <c r="G39" i="18"/>
  <c r="G35" i="18"/>
  <c r="F46" i="16"/>
  <c r="F50" i="16"/>
  <c r="AJ35" i="16"/>
  <c r="AJ39" i="16"/>
  <c r="AZ24" i="17"/>
  <c r="E46" i="17"/>
  <c r="E50" i="17"/>
  <c r="H51" i="17"/>
  <c r="H46" i="17"/>
  <c r="AQ50" i="16"/>
  <c r="AQ46" i="16"/>
  <c r="R50" i="17"/>
  <c r="R46" i="17"/>
  <c r="AN51" i="17"/>
  <c r="AN46" i="17"/>
  <c r="L34" i="16"/>
  <c r="L40" i="16" s="1"/>
  <c r="L45" i="16"/>
  <c r="L51" i="16" s="1"/>
  <c r="L24" i="16"/>
  <c r="AZ24" i="16" s="1"/>
  <c r="O50" i="18"/>
  <c r="O46" i="18"/>
  <c r="AD35" i="17"/>
  <c r="AD39" i="17"/>
  <c r="M46" i="17"/>
  <c r="AB40" i="17"/>
  <c r="AB35" i="17"/>
  <c r="M35" i="16"/>
  <c r="M39" i="16"/>
  <c r="E35" i="16"/>
  <c r="E39" i="16"/>
  <c r="AU23" i="18"/>
  <c r="AZ23" i="18" s="1"/>
  <c r="AU33" i="18"/>
  <c r="AU44" i="18"/>
  <c r="AI35" i="18"/>
  <c r="AI39" i="18"/>
  <c r="U35" i="17"/>
  <c r="U39" i="17"/>
  <c r="AF35" i="16"/>
  <c r="AF39" i="16"/>
  <c r="AP35" i="17"/>
  <c r="AP39" i="17"/>
  <c r="F39" i="16"/>
  <c r="F35" i="16"/>
  <c r="G46" i="17"/>
  <c r="N50" i="17"/>
  <c r="N46" i="17"/>
  <c r="AY39" i="16"/>
  <c r="AY35" i="16"/>
  <c r="F50" i="17"/>
  <c r="F46" i="17"/>
  <c r="D51" i="17"/>
  <c r="D46" i="17"/>
  <c r="R35" i="17"/>
  <c r="R39" i="17"/>
  <c r="AM35" i="17"/>
  <c r="L44" i="16"/>
  <c r="L23" i="16"/>
  <c r="AZ23" i="16" s="1"/>
  <c r="L33" i="16"/>
  <c r="O39" i="18"/>
  <c r="O35" i="18"/>
  <c r="AA35" i="18"/>
  <c r="AA39" i="18"/>
  <c r="AS46" i="18"/>
  <c r="AS50" i="18"/>
  <c r="K39" i="18"/>
  <c r="K35" i="18"/>
  <c r="AU24" i="18"/>
  <c r="AU45" i="18"/>
  <c r="AU51" i="18" s="1"/>
  <c r="AU34" i="18"/>
  <c r="AU40" i="18" s="1"/>
  <c r="T50" i="16"/>
  <c r="T46" i="16"/>
  <c r="AO35" i="18"/>
  <c r="AO39" i="18"/>
  <c r="AG46" i="17"/>
  <c r="AF40" i="17"/>
  <c r="AF35" i="17"/>
  <c r="AJ46" i="17"/>
  <c r="X40" i="17"/>
  <c r="X35" i="17"/>
  <c r="I46" i="17"/>
  <c r="N35" i="17"/>
  <c r="N39" i="17"/>
  <c r="AL50" i="17"/>
  <c r="AL46" i="17"/>
  <c r="AX50" i="18"/>
  <c r="AX46" i="18"/>
  <c r="AM50" i="18"/>
  <c r="AM46" i="18"/>
  <c r="O46" i="16"/>
  <c r="Y46" i="17"/>
  <c r="H40" i="17"/>
  <c r="H35" i="17"/>
  <c r="Z50" i="17"/>
  <c r="Z46" i="17"/>
  <c r="W46" i="16"/>
  <c r="W50" i="16"/>
  <c r="AU46" i="16"/>
  <c r="AM46" i="17"/>
  <c r="G50" i="18"/>
  <c r="G46" i="18"/>
  <c r="AJ50" i="16"/>
  <c r="AJ46" i="16"/>
  <c r="AL39" i="17"/>
  <c r="AL35" i="17"/>
  <c r="AZ24" i="18"/>
  <c r="D40" i="17"/>
  <c r="D35" i="17"/>
  <c r="AX35" i="18"/>
  <c r="AX39" i="18"/>
  <c r="AM35" i="18"/>
  <c r="AM39" i="18"/>
  <c r="AZ23" i="17"/>
  <c r="Z35" i="17"/>
  <c r="Z39" i="17"/>
  <c r="L46" i="17"/>
  <c r="AQ39" i="16"/>
  <c r="AQ35" i="16"/>
  <c r="G30" i="17"/>
  <c r="H27" i="17"/>
  <c r="AC46" i="17"/>
  <c r="W46" i="17"/>
  <c r="X35" i="16"/>
  <c r="X39" i="16"/>
  <c r="V50" i="17"/>
  <c r="V46" i="17"/>
  <c r="AI35" i="17"/>
  <c r="AS35" i="18"/>
  <c r="AS39" i="18"/>
  <c r="AD50" i="17"/>
  <c r="AD46" i="17"/>
  <c r="W35" i="18"/>
  <c r="W39" i="18"/>
  <c r="AN50" i="18"/>
  <c r="AN46" i="18"/>
  <c r="E50" i="16"/>
  <c r="E46" i="16"/>
  <c r="AI50" i="18"/>
  <c r="AI46" i="18"/>
  <c r="AE35" i="18"/>
  <c r="AE39" i="18"/>
  <c r="I50" i="16"/>
  <c r="I46" i="16"/>
  <c r="AO46" i="18"/>
  <c r="AO50" i="18"/>
  <c r="AZ21" i="18"/>
  <c r="AX40" i="17"/>
  <c r="AX35" i="17"/>
  <c r="AK35" i="16"/>
  <c r="G107" i="5"/>
  <c r="H6" i="5"/>
  <c r="G16" i="5"/>
  <c r="AU46" i="18" l="1"/>
  <c r="AU50" i="18"/>
  <c r="J30" i="16"/>
  <c r="K27" i="16"/>
  <c r="L50" i="16"/>
  <c r="L46" i="16"/>
  <c r="AU39" i="18"/>
  <c r="AU35" i="18"/>
  <c r="I27" i="17"/>
  <c r="H30" i="17"/>
  <c r="L39" i="16"/>
  <c r="L35" i="16"/>
  <c r="J27" i="18"/>
  <c r="I30" i="18"/>
  <c r="L27" i="16" l="1"/>
  <c r="K30" i="16"/>
  <c r="J27" i="17"/>
  <c r="I30" i="17"/>
  <c r="K27" i="18"/>
  <c r="J30" i="18"/>
  <c r="L27" i="18" l="1"/>
  <c r="K30" i="18"/>
  <c r="K27" i="17"/>
  <c r="J30" i="17"/>
  <c r="M27" i="16"/>
  <c r="L30" i="16"/>
  <c r="N27" i="16" l="1"/>
  <c r="M30" i="16"/>
  <c r="K30" i="17"/>
  <c r="L27" i="17"/>
  <c r="L30" i="18"/>
  <c r="M27" i="18"/>
  <c r="N30" i="16" l="1"/>
  <c r="O27" i="16"/>
  <c r="M27" i="17"/>
  <c r="L30" i="17"/>
  <c r="N27" i="18"/>
  <c r="M30" i="18"/>
  <c r="N27" i="17" l="1"/>
  <c r="M30" i="17"/>
  <c r="O27" i="18"/>
  <c r="N30" i="18"/>
  <c r="P27" i="16"/>
  <c r="O30" i="16"/>
  <c r="Q27" i="16" l="1"/>
  <c r="P30" i="16"/>
  <c r="P27" i="18"/>
  <c r="O30" i="18"/>
  <c r="O27" i="17"/>
  <c r="N30" i="17"/>
  <c r="O30" i="17" l="1"/>
  <c r="P27" i="17"/>
  <c r="Q30" i="16"/>
  <c r="R27" i="16"/>
  <c r="P30" i="18"/>
  <c r="Q27" i="18"/>
  <c r="S27" i="16" l="1"/>
  <c r="R30" i="16"/>
  <c r="R27" i="18"/>
  <c r="Q30" i="18"/>
  <c r="Q27" i="17"/>
  <c r="P30" i="17"/>
  <c r="S27" i="18" l="1"/>
  <c r="R30" i="18"/>
  <c r="R27" i="17"/>
  <c r="Q30" i="17"/>
  <c r="T27" i="16"/>
  <c r="S30" i="16"/>
  <c r="S27" i="17" l="1"/>
  <c r="R30" i="17"/>
  <c r="U27" i="16"/>
  <c r="T30" i="16"/>
  <c r="T27" i="18"/>
  <c r="S30" i="18"/>
  <c r="U30" i="16" l="1"/>
  <c r="V27" i="16"/>
  <c r="T30" i="18"/>
  <c r="U27" i="18"/>
  <c r="S30" i="17"/>
  <c r="T27" i="17"/>
  <c r="V27" i="18" l="1"/>
  <c r="U30" i="18"/>
  <c r="U27" i="17"/>
  <c r="T30" i="17"/>
  <c r="W27" i="16"/>
  <c r="V30" i="16"/>
  <c r="W27" i="18" l="1"/>
  <c r="V30" i="18"/>
  <c r="X27" i="16"/>
  <c r="W30" i="16"/>
  <c r="V27" i="17"/>
  <c r="U30" i="17"/>
  <c r="Y27" i="16" l="1"/>
  <c r="X30" i="16"/>
  <c r="W27" i="17"/>
  <c r="V30" i="17"/>
  <c r="X27" i="18"/>
  <c r="W30" i="18"/>
  <c r="W30" i="17" l="1"/>
  <c r="X27" i="17"/>
  <c r="X30" i="18"/>
  <c r="Y27" i="18"/>
  <c r="Y30" i="16"/>
  <c r="Z27" i="16"/>
  <c r="Z27" i="18" l="1"/>
  <c r="Y30" i="18"/>
  <c r="AA27" i="16"/>
  <c r="Z30" i="16"/>
  <c r="Y27" i="17"/>
  <c r="X30" i="17"/>
  <c r="AB27" i="16" l="1"/>
  <c r="AA30" i="16"/>
  <c r="Z27" i="17"/>
  <c r="Y30" i="17"/>
  <c r="AA27" i="18"/>
  <c r="Z30" i="18"/>
  <c r="AA27" i="17" l="1"/>
  <c r="Z30" i="17"/>
  <c r="AB27" i="18"/>
  <c r="AA30" i="18"/>
  <c r="AB30" i="16"/>
  <c r="AC27" i="16"/>
  <c r="AB30" i="18" l="1"/>
  <c r="AC27" i="18"/>
  <c r="AA30" i="17"/>
  <c r="AB27" i="17"/>
  <c r="AC30" i="16"/>
  <c r="AD27" i="16"/>
  <c r="AC27" i="17" l="1"/>
  <c r="AB30" i="17"/>
  <c r="AE27" i="16"/>
  <c r="AD30" i="16"/>
  <c r="AD27" i="18"/>
  <c r="AC30" i="18"/>
  <c r="AE27" i="18" l="1"/>
  <c r="AD30" i="18"/>
  <c r="AD27" i="17"/>
  <c r="AC30" i="17"/>
  <c r="AF27" i="16"/>
  <c r="AE30" i="16"/>
  <c r="AE27" i="17" l="1"/>
  <c r="AD30" i="17"/>
  <c r="AF30" i="16"/>
  <c r="AG27" i="16"/>
  <c r="AF27" i="18"/>
  <c r="AE30" i="18"/>
  <c r="AF30" i="18" l="1"/>
  <c r="AG27" i="18"/>
  <c r="AE30" i="17"/>
  <c r="AF27" i="17"/>
  <c r="AG30" i="16"/>
  <c r="AH27" i="16"/>
  <c r="AG27" i="17" l="1"/>
  <c r="AF30" i="17"/>
  <c r="AI27" i="16"/>
  <c r="AH30" i="16"/>
  <c r="AH27" i="18"/>
  <c r="AG30" i="18"/>
  <c r="AH27" i="17" l="1"/>
  <c r="AG30" i="17"/>
  <c r="AI27" i="18"/>
  <c r="AH30" i="18"/>
  <c r="AJ27" i="16"/>
  <c r="AI30" i="16"/>
  <c r="AI27" i="17" l="1"/>
  <c r="AH30" i="17"/>
  <c r="AK27" i="16"/>
  <c r="AJ30" i="16"/>
  <c r="AJ27" i="18"/>
  <c r="AI30" i="18"/>
  <c r="AK30" i="16" l="1"/>
  <c r="AL27" i="16"/>
  <c r="AJ30" i="18"/>
  <c r="AK27" i="18"/>
  <c r="AI30" i="17"/>
  <c r="AJ27" i="17"/>
  <c r="AL27" i="18" l="1"/>
  <c r="AK30" i="18"/>
  <c r="AK27" i="17"/>
  <c r="AJ30" i="17"/>
  <c r="AM27" i="16"/>
  <c r="AL30" i="16"/>
  <c r="AL27" i="17" l="1"/>
  <c r="AK30" i="17"/>
  <c r="AN27" i="16"/>
  <c r="AM30" i="16"/>
  <c r="AM27" i="18"/>
  <c r="AL30" i="18"/>
  <c r="AM30" i="18" l="1"/>
  <c r="AN27" i="18"/>
  <c r="AM27" i="17"/>
  <c r="AL30" i="17"/>
  <c r="AO27" i="16"/>
  <c r="AN30" i="16"/>
  <c r="AM30" i="17" l="1"/>
  <c r="AN27" i="17"/>
  <c r="AO30" i="16"/>
  <c r="AP27" i="16"/>
  <c r="AO27" i="18"/>
  <c r="AN30" i="18"/>
  <c r="AP27" i="18" l="1"/>
  <c r="AO30" i="18"/>
  <c r="AQ27" i="16"/>
  <c r="AP30" i="16"/>
  <c r="AO27" i="17"/>
  <c r="AN30" i="17"/>
  <c r="AP30" i="18" l="1"/>
  <c r="AQ27" i="18"/>
  <c r="AP27" i="17"/>
  <c r="AO30" i="17"/>
  <c r="AR27" i="16"/>
  <c r="AQ30" i="16"/>
  <c r="AQ27" i="17" l="1"/>
  <c r="AP30" i="17"/>
  <c r="AS27" i="16"/>
  <c r="AR30" i="16"/>
  <c r="AQ30" i="18"/>
  <c r="AR27" i="18"/>
  <c r="AS30" i="16" l="1"/>
  <c r="AT27" i="16"/>
  <c r="AR27" i="17"/>
  <c r="AQ30" i="17"/>
  <c r="AS27" i="18"/>
  <c r="AR30" i="18"/>
  <c r="AS27" i="17" l="1"/>
  <c r="AR30" i="17"/>
  <c r="AT27" i="18"/>
  <c r="AS30" i="18"/>
  <c r="AU27" i="16"/>
  <c r="AT30" i="16"/>
  <c r="AU27" i="18" l="1"/>
  <c r="AT30" i="18"/>
  <c r="AV27" i="16"/>
  <c r="AU30" i="16"/>
  <c r="AT27" i="17"/>
  <c r="AS30" i="17"/>
  <c r="AV30" i="16" l="1"/>
  <c r="AW27" i="16"/>
  <c r="AT30" i="17"/>
  <c r="AU27" i="17"/>
  <c r="AU30" i="18"/>
  <c r="AV27" i="18"/>
  <c r="AV27" i="17" l="1"/>
  <c r="AU30" i="17"/>
  <c r="AW27" i="18"/>
  <c r="AV30" i="18"/>
  <c r="AW30" i="16"/>
  <c r="AX27" i="16"/>
  <c r="AX27" i="18" l="1"/>
  <c r="AW30" i="18"/>
  <c r="AW27" i="17"/>
  <c r="AV30" i="17"/>
  <c r="AY27" i="16"/>
  <c r="AY30" i="16" s="1"/>
  <c r="AZ30" i="16" s="1"/>
  <c r="AX30" i="16"/>
  <c r="AX27" i="17" l="1"/>
  <c r="AW30" i="17"/>
  <c r="AY27" i="18"/>
  <c r="AY30" i="18" s="1"/>
  <c r="AZ30" i="18" s="1"/>
  <c r="AX30" i="18"/>
  <c r="AX30" i="17" l="1"/>
  <c r="AY27" i="17"/>
  <c r="AY30" i="17" s="1"/>
  <c r="AZ30" i="17" s="1"/>
</calcChain>
</file>

<file path=xl/sharedStrings.xml><?xml version="1.0" encoding="utf-8"?>
<sst xmlns="http://schemas.openxmlformats.org/spreadsheetml/2006/main" count="2449" uniqueCount="413">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</sst>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2006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336</v>
      </c>
      <c r="D8">
        <v>2</v>
      </c>
      <c r="E8" t="s">
        <v>337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>
      <selection activeCell="C21" sqref="C21:C30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-786</v>
      </c>
      <c r="D6" s="15">
        <v>2043</v>
      </c>
      <c r="E6" s="15"/>
      <c r="F6" s="15" t="s">
        <v>6</v>
      </c>
      <c r="G6" s="15">
        <f t="shared" ref="G6:G15" si="0">$D6+$C6</f>
        <v>1257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-1541</v>
      </c>
      <c r="D10" s="15">
        <v>2454</v>
      </c>
      <c r="E10" s="15"/>
      <c r="F10" s="15" t="s">
        <v>6</v>
      </c>
      <c r="G10" s="15">
        <f t="shared" si="0"/>
        <v>913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-292</v>
      </c>
      <c r="D12" s="15">
        <v>5273</v>
      </c>
      <c r="E12" s="15"/>
      <c r="F12" s="15" t="s">
        <v>6</v>
      </c>
      <c r="G12" s="15">
        <f t="shared" si="0"/>
        <v>4981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-39</v>
      </c>
      <c r="D21" s="15">
        <v>61</v>
      </c>
      <c r="E21" s="15"/>
      <c r="F21" s="15" t="s">
        <v>6</v>
      </c>
      <c r="G21" s="15">
        <f t="shared" ref="G21:G30" si="2">$D21+$C21</f>
        <v>22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-62</v>
      </c>
      <c r="D25" s="15">
        <v>91</v>
      </c>
      <c r="E25" s="15"/>
      <c r="F25" s="15" t="s">
        <v>6</v>
      </c>
      <c r="G25" s="15">
        <f t="shared" si="2"/>
        <v>29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-43</v>
      </c>
      <c r="D27" s="15">
        <v>155</v>
      </c>
      <c r="E27" s="15"/>
      <c r="F27" s="15" t="s">
        <v>6</v>
      </c>
      <c r="G27" s="15">
        <f t="shared" si="2"/>
        <v>112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307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/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/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2001</v>
      </c>
      <c r="E28" s="49"/>
      <c r="F28" s="45">
        <f>basic_info!$D$5-4</f>
        <v>2002</v>
      </c>
      <c r="G28" s="49"/>
      <c r="H28" s="45">
        <f>basic_info!$D$5-3</f>
        <v>2003</v>
      </c>
      <c r="I28" s="49"/>
      <c r="J28" s="45">
        <f>basic_info!$D$5-2</f>
        <v>2004</v>
      </c>
      <c r="K28" s="49"/>
      <c r="L28" s="45">
        <f>basic_info!$D$5-1</f>
        <v>2005</v>
      </c>
      <c r="N28" s="45">
        <f>basic_info!$D$5</f>
        <v>2006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2006</v>
      </c>
      <c r="D30" s="44">
        <v>0.89613018209891793</v>
      </c>
      <c r="E30" s="35">
        <v>0</v>
      </c>
      <c r="F30" s="47">
        <v>0.89685664902276785</v>
      </c>
      <c r="G30" s="46">
        <v>200000</v>
      </c>
      <c r="H30" s="47">
        <v>0.92496783911573388</v>
      </c>
      <c r="I30" s="46">
        <v>0</v>
      </c>
      <c r="J30" s="47">
        <v>0.86281425781024335</v>
      </c>
      <c r="K30" s="46">
        <v>0</v>
      </c>
      <c r="L30" s="47">
        <v>0.80509725564657586</v>
      </c>
      <c r="M30" s="46">
        <v>0</v>
      </c>
      <c r="N30" s="60"/>
      <c r="O30" s="71" t="s">
        <v>162</v>
      </c>
      <c r="P30" s="41">
        <f>M30+K30+I30+E30+G30</f>
        <v>200000</v>
      </c>
      <c r="Q30" s="70"/>
    </row>
    <row r="31" spans="2:33" x14ac:dyDescent="0.2">
      <c r="B31" s="36"/>
      <c r="C31" s="47">
        <f>basic_info!$D$5+1</f>
        <v>2007</v>
      </c>
      <c r="D31" s="76"/>
      <c r="E31" s="75"/>
      <c r="F31" s="69">
        <v>0.87020508707976429</v>
      </c>
      <c r="G31" s="79">
        <v>0</v>
      </c>
      <c r="H31" s="61">
        <v>0.86299991590536052</v>
      </c>
      <c r="I31" s="62">
        <v>0</v>
      </c>
      <c r="J31" s="61">
        <v>0.79485878402772314</v>
      </c>
      <c r="K31" s="62">
        <v>0</v>
      </c>
      <c r="L31" s="61">
        <v>0.74055946737908196</v>
      </c>
      <c r="M31" s="62">
        <v>0</v>
      </c>
      <c r="N31" s="63">
        <v>0.78901217047933125</v>
      </c>
      <c r="O31" s="89"/>
      <c r="P31" s="63">
        <f>O31+M31+K31+I31+G31</f>
        <v>0</v>
      </c>
    </row>
    <row r="32" spans="2:33" x14ac:dyDescent="0.2">
      <c r="B32" s="36"/>
      <c r="C32" s="47">
        <f>basic_info!$D$5+2</f>
        <v>2008</v>
      </c>
      <c r="D32" s="76"/>
      <c r="E32" s="75"/>
      <c r="F32" s="75"/>
      <c r="G32" s="75"/>
      <c r="H32" s="69">
        <v>0.78584368908792024</v>
      </c>
      <c r="I32" s="79">
        <v>0</v>
      </c>
      <c r="J32" s="61">
        <v>0.78609720553568063</v>
      </c>
      <c r="K32" s="62">
        <v>0</v>
      </c>
      <c r="L32" s="61">
        <v>0.73078852244812054</v>
      </c>
      <c r="M32" s="62">
        <v>0</v>
      </c>
      <c r="N32" s="63">
        <v>0.79541919266908367</v>
      </c>
      <c r="O32" s="89"/>
      <c r="P32" s="63">
        <f>O32+M32+K32+I32</f>
        <v>0</v>
      </c>
    </row>
    <row r="33" spans="2:17" x14ac:dyDescent="0.2">
      <c r="B33" s="36"/>
      <c r="C33" s="47">
        <f>basic_info!$D$5+3</f>
        <v>2009</v>
      </c>
      <c r="D33" s="76"/>
      <c r="E33" s="75"/>
      <c r="F33" s="75"/>
      <c r="G33" s="75"/>
      <c r="H33" s="75"/>
      <c r="I33" s="75"/>
      <c r="J33" s="69">
        <v>0.7399849637887721</v>
      </c>
      <c r="K33" s="79">
        <v>0</v>
      </c>
      <c r="L33" s="61">
        <v>0.69782766257496576</v>
      </c>
      <c r="M33" s="62">
        <v>400000</v>
      </c>
      <c r="N33" s="63">
        <v>0.7777456783815756</v>
      </c>
      <c r="O33" s="89"/>
      <c r="P33" s="63">
        <f>O33+M33+K33</f>
        <v>400000</v>
      </c>
    </row>
    <row r="34" spans="2:17" x14ac:dyDescent="0.2">
      <c r="B34" s="36"/>
      <c r="C34" s="47">
        <f>basic_info!$D$5+4</f>
        <v>2010</v>
      </c>
      <c r="D34" s="76"/>
      <c r="E34" s="75"/>
      <c r="F34" s="75"/>
      <c r="G34" s="75"/>
      <c r="H34" s="75"/>
      <c r="I34" s="75"/>
      <c r="J34" s="75"/>
      <c r="K34" s="75"/>
      <c r="L34" s="69">
        <v>0.64606856993436812</v>
      </c>
      <c r="M34" s="79">
        <v>400000</v>
      </c>
      <c r="N34" s="63">
        <v>0.72055098531842476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0.6808876388132572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2006</v>
      </c>
      <c r="D36" s="44">
        <v>0.98237584286493185</v>
      </c>
      <c r="E36" s="35">
        <v>0</v>
      </c>
      <c r="F36" s="73">
        <v>1.1615220810181899</v>
      </c>
      <c r="G36" s="74">
        <v>200000</v>
      </c>
      <c r="H36" s="73">
        <v>1.1557062872353714</v>
      </c>
      <c r="I36" s="74">
        <v>0</v>
      </c>
      <c r="J36" s="73">
        <v>1.1782387321890069</v>
      </c>
      <c r="K36" s="74">
        <v>300000</v>
      </c>
      <c r="L36" s="66">
        <v>1.2236057377959293</v>
      </c>
      <c r="M36" s="67">
        <v>600000</v>
      </c>
      <c r="N36" s="68"/>
      <c r="O36" s="71" t="s">
        <v>162</v>
      </c>
      <c r="P36" s="41">
        <f>M36+K36+I36+E36+G36</f>
        <v>1100000</v>
      </c>
      <c r="Q36" s="70"/>
    </row>
    <row r="37" spans="2:17" x14ac:dyDescent="0.2">
      <c r="B37" s="36"/>
      <c r="C37" s="47">
        <f>basic_info!$D$5+1</f>
        <v>2007</v>
      </c>
      <c r="D37" s="76"/>
      <c r="E37" s="75"/>
      <c r="F37" s="69">
        <v>1.0710118786053693</v>
      </c>
      <c r="G37" s="79">
        <v>0</v>
      </c>
      <c r="H37" s="61">
        <v>1.0946334830229054</v>
      </c>
      <c r="I37" s="62">
        <v>0</v>
      </c>
      <c r="J37" s="61">
        <v>1.0994159571183295</v>
      </c>
      <c r="K37" s="62">
        <v>0</v>
      </c>
      <c r="L37" s="61">
        <v>1.1916827819048752</v>
      </c>
      <c r="M37" s="62">
        <v>300000</v>
      </c>
      <c r="N37" s="61">
        <v>1.1318170427930718</v>
      </c>
      <c r="O37" s="89">
        <v>600000</v>
      </c>
      <c r="P37" s="63">
        <f>O37+M37+K37+I37+G37</f>
        <v>900000</v>
      </c>
    </row>
    <row r="38" spans="2:17" x14ac:dyDescent="0.2">
      <c r="B38" s="36"/>
      <c r="C38" s="47">
        <f>basic_info!$D$5+2</f>
        <v>2008</v>
      </c>
      <c r="D38" s="76"/>
      <c r="E38" s="75"/>
      <c r="F38" s="75"/>
      <c r="G38" s="75"/>
      <c r="H38" s="69">
        <v>1.0290085296932949</v>
      </c>
      <c r="I38" s="79">
        <v>0</v>
      </c>
      <c r="J38" s="61">
        <v>1.1054417090410307</v>
      </c>
      <c r="K38" s="62">
        <v>0</v>
      </c>
      <c r="L38" s="61">
        <v>1.1101569663340529</v>
      </c>
      <c r="M38" s="62">
        <v>300000</v>
      </c>
      <c r="N38" s="61">
        <v>1.0946302598191511</v>
      </c>
      <c r="O38" s="89">
        <v>300000</v>
      </c>
      <c r="P38" s="63">
        <f>O38+M38+K38+I38</f>
        <v>600000</v>
      </c>
    </row>
    <row r="39" spans="2:17" x14ac:dyDescent="0.2">
      <c r="B39" s="36"/>
      <c r="C39" s="47">
        <f>basic_info!$D$5+3</f>
        <v>2009</v>
      </c>
      <c r="D39" s="76"/>
      <c r="E39" s="75"/>
      <c r="F39" s="75"/>
      <c r="G39" s="75"/>
      <c r="H39" s="75"/>
      <c r="I39" s="75"/>
      <c r="J39" s="69">
        <v>1.0257547201122916</v>
      </c>
      <c r="K39" s="79">
        <v>0</v>
      </c>
      <c r="L39" s="61">
        <v>1.1300023102276531</v>
      </c>
      <c r="M39" s="62">
        <v>300000</v>
      </c>
      <c r="N39" s="61">
        <v>1.0547878477209383</v>
      </c>
      <c r="O39" s="89">
        <v>300000</v>
      </c>
      <c r="P39" s="63">
        <f>O39+M39+K39</f>
        <v>600000</v>
      </c>
    </row>
    <row r="40" spans="2:17" x14ac:dyDescent="0.2">
      <c r="B40" s="36"/>
      <c r="C40" s="47">
        <f>basic_info!$D$5+4</f>
        <v>2010</v>
      </c>
      <c r="D40" s="76"/>
      <c r="E40" s="75"/>
      <c r="F40" s="75"/>
      <c r="G40" s="75"/>
      <c r="H40" s="75"/>
      <c r="I40" s="75"/>
      <c r="J40" s="75"/>
      <c r="K40" s="75"/>
      <c r="L40" s="69">
        <v>1.051191025570035</v>
      </c>
      <c r="M40" s="79">
        <v>300000</v>
      </c>
      <c r="N40" s="61">
        <v>1.0390313119782215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0.95771333889663224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V15" sqref="V15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412</v>
      </c>
      <c r="D3" s="187"/>
      <c r="E3" s="187"/>
      <c r="F3" s="187"/>
      <c r="G3" s="187"/>
    </row>
    <row r="5" spans="1:20" ht="15.75" x14ac:dyDescent="0.25">
      <c r="A5" s="188" t="s">
        <v>351</v>
      </c>
      <c r="B5" s="189"/>
      <c r="G5" s="190"/>
      <c r="L5" s="188" t="s">
        <v>352</v>
      </c>
      <c r="M5" s="189"/>
      <c r="R5" s="190"/>
    </row>
    <row r="6" spans="1:20" x14ac:dyDescent="0.2">
      <c r="A6" s="191" t="s">
        <v>353</v>
      </c>
      <c r="B6" s="189"/>
      <c r="G6" s="192"/>
      <c r="H6" s="116"/>
      <c r="L6" s="191" t="s">
        <v>354</v>
      </c>
      <c r="M6" s="189"/>
      <c r="S6" s="131"/>
    </row>
    <row r="7" spans="1:20" x14ac:dyDescent="0.2">
      <c r="A7" s="189"/>
      <c r="B7" s="189" t="s">
        <v>355</v>
      </c>
      <c r="G7" s="192"/>
      <c r="H7" s="193">
        <f>SUM(ORA!$D$116:$O$116)</f>
        <v>20154</v>
      </c>
      <c r="L7" s="189"/>
      <c r="M7" s="189" t="s">
        <v>355</v>
      </c>
      <c r="S7" s="194">
        <f>SUM(ORA!$D$127:$O$127)</f>
        <v>76226762.073309511</v>
      </c>
    </row>
    <row r="8" spans="1:20" x14ac:dyDescent="0.2">
      <c r="A8" s="189"/>
      <c r="B8" s="189" t="s">
        <v>356</v>
      </c>
      <c r="G8" s="192"/>
      <c r="H8" s="195">
        <f>SUM(POJ!$D$116:$O$116)</f>
        <v>11679.899845329972</v>
      </c>
      <c r="L8" s="189"/>
      <c r="M8" s="189" t="s">
        <v>356</v>
      </c>
      <c r="S8" s="196">
        <f>SUM(POJ!$D$127:$O$127)</f>
        <v>45516448.483814895</v>
      </c>
    </row>
    <row r="9" spans="1:20" x14ac:dyDescent="0.2">
      <c r="A9" s="189"/>
      <c r="B9" s="189" t="s">
        <v>357</v>
      </c>
      <c r="G9" s="192"/>
      <c r="H9" s="195">
        <f>SUM(ROJ!$D$116:$O$116)</f>
        <v>95455.852510918485</v>
      </c>
      <c r="L9" s="189"/>
      <c r="M9" s="189" t="s">
        <v>357</v>
      </c>
      <c r="S9" s="196">
        <f>SUM(ROJ!$D$127:$O$127)</f>
        <v>356816844.58804071</v>
      </c>
    </row>
    <row r="10" spans="1:20" x14ac:dyDescent="0.2">
      <c r="A10" s="189"/>
      <c r="B10" s="189" t="s">
        <v>358</v>
      </c>
      <c r="G10" s="192"/>
      <c r="H10" s="197">
        <f>SUM(FCOJ!$D$116:$O$116)</f>
        <v>70301.114026845171</v>
      </c>
      <c r="L10" s="189"/>
      <c r="M10" s="189" t="s">
        <v>358</v>
      </c>
      <c r="S10" s="198">
        <f>SUM(FCOJ!$D$127:$O$127)</f>
        <v>230969985.16631478</v>
      </c>
    </row>
    <row r="11" spans="1:20" x14ac:dyDescent="0.2">
      <c r="A11" s="189"/>
      <c r="B11" s="189"/>
      <c r="G11" s="192"/>
      <c r="M11" s="189" t="s">
        <v>359</v>
      </c>
      <c r="T11" s="199">
        <f>SUM($S$7:$S$10)</f>
        <v>709530040.31147981</v>
      </c>
    </row>
    <row r="12" spans="1:20" x14ac:dyDescent="0.2">
      <c r="A12" s="191" t="s">
        <v>360</v>
      </c>
      <c r="B12" s="189"/>
      <c r="G12" s="192"/>
    </row>
    <row r="13" spans="1:20" x14ac:dyDescent="0.2">
      <c r="A13" s="189"/>
      <c r="B13" s="189" t="s">
        <v>361</v>
      </c>
      <c r="G13" s="192"/>
      <c r="H13" s="200">
        <f>SUM(grove!$C$48:$AX$53)</f>
        <v>288371.0857024478</v>
      </c>
      <c r="L13" s="191" t="s">
        <v>362</v>
      </c>
      <c r="M13" s="189"/>
    </row>
    <row r="14" spans="1:20" x14ac:dyDescent="0.2">
      <c r="A14" s="189"/>
      <c r="B14" s="189" t="s">
        <v>363</v>
      </c>
      <c r="G14" s="192"/>
      <c r="H14" s="193">
        <f>raw_materials!$P$30</f>
        <v>200000</v>
      </c>
      <c r="L14" s="189"/>
      <c r="M14" s="189" t="s">
        <v>364</v>
      </c>
      <c r="S14" s="194">
        <f>SUM(grove!$C$58:$AX$63)</f>
        <v>412147094.14357424</v>
      </c>
    </row>
    <row r="15" spans="1:20" x14ac:dyDescent="0.2">
      <c r="A15" s="189"/>
      <c r="B15" s="189" t="s">
        <v>365</v>
      </c>
      <c r="G15" s="192"/>
      <c r="H15" s="197">
        <f>raw_materials!$P$36</f>
        <v>1100000</v>
      </c>
      <c r="L15" s="189"/>
      <c r="M15" s="189" t="s">
        <v>366</v>
      </c>
      <c r="S15" s="196">
        <f>(raw_materials!D30*raw_materials!E30+raw_materials!F30*raw_materials!G30+raw_materials!H30*raw_materials!I30+raw_materials!J30*raw_materials!K30+raw_materials!L30*raw_materials!M30)*2000</f>
        <v>358742659.60910714</v>
      </c>
    </row>
    <row r="16" spans="1:20" x14ac:dyDescent="0.2">
      <c r="A16" s="189"/>
      <c r="B16" s="189" t="s">
        <v>367</v>
      </c>
      <c r="G16" s="192"/>
      <c r="H16" s="201">
        <v>112729.10894200896</v>
      </c>
      <c r="L16" s="189"/>
      <c r="M16" s="189" t="s">
        <v>368</v>
      </c>
      <c r="S16" s="196">
        <f>(raw_materials!D36*raw_materials!E36+raw_materials!F36*raw_materials!G36+raw_materials!H36*raw_materials!I36+raw_materials!J36*raw_materials!K36+raw_materials!L36*raw_materials!M36)*2000</f>
        <v>2639878957.0757952</v>
      </c>
    </row>
    <row r="17" spans="1:21" x14ac:dyDescent="0.2">
      <c r="A17" s="189"/>
      <c r="B17" s="189" t="s">
        <v>369</v>
      </c>
      <c r="G17" s="192"/>
      <c r="H17" s="202">
        <v>0</v>
      </c>
      <c r="L17" s="189"/>
      <c r="M17" s="189" t="s">
        <v>370</v>
      </c>
      <c r="S17" s="196">
        <v>146527500.50677666</v>
      </c>
    </row>
    <row r="18" spans="1:21" x14ac:dyDescent="0.2">
      <c r="A18" s="189"/>
      <c r="B18" s="189" t="s">
        <v>371</v>
      </c>
      <c r="G18" s="192"/>
      <c r="H18" s="203">
        <v>1000386.5586184468</v>
      </c>
      <c r="L18" s="189"/>
      <c r="M18" s="189" t="s">
        <v>372</v>
      </c>
      <c r="S18" s="198">
        <v>284800299.00658321</v>
      </c>
    </row>
    <row r="19" spans="1:21" x14ac:dyDescent="0.2">
      <c r="A19" s="189"/>
      <c r="B19" s="189" t="s">
        <v>373</v>
      </c>
      <c r="G19" s="192"/>
      <c r="H19" s="202">
        <v>1144645.0022471249</v>
      </c>
      <c r="L19" s="189"/>
      <c r="M19" s="189" t="s">
        <v>374</v>
      </c>
      <c r="S19" s="204" t="s">
        <v>375</v>
      </c>
      <c r="T19" s="205">
        <f>SUM($S$14:$S$18)</f>
        <v>3842096510.3418365</v>
      </c>
      <c r="U19" s="106" t="s">
        <v>376</v>
      </c>
    </row>
    <row r="20" spans="1:21" x14ac:dyDescent="0.2">
      <c r="A20" s="189"/>
      <c r="B20" s="189" t="s">
        <v>377</v>
      </c>
      <c r="G20" s="192"/>
      <c r="H20" s="197">
        <v>151231.56170578944</v>
      </c>
      <c r="L20" s="189"/>
      <c r="M20" s="189"/>
    </row>
    <row r="21" spans="1:21" x14ac:dyDescent="0.2">
      <c r="A21" s="189"/>
      <c r="B21" s="189"/>
      <c r="G21" s="192"/>
      <c r="L21" s="191" t="s">
        <v>378</v>
      </c>
      <c r="M21" s="189"/>
      <c r="S21" s="131"/>
    </row>
    <row r="22" spans="1:21" x14ac:dyDescent="0.2">
      <c r="A22" s="191" t="s">
        <v>379</v>
      </c>
      <c r="B22" s="189"/>
      <c r="G22" s="192"/>
      <c r="L22" s="189"/>
      <c r="M22" s="189" t="s">
        <v>380</v>
      </c>
      <c r="S22" s="196">
        <v>225458217.88401791</v>
      </c>
    </row>
    <row r="23" spans="1:21" x14ac:dyDescent="0.2">
      <c r="A23" s="189"/>
      <c r="B23" s="189" t="s">
        <v>381</v>
      </c>
      <c r="G23" s="192"/>
      <c r="H23" s="193">
        <f>SUM(raw_materials!$O$31:$O$35)</f>
        <v>800000</v>
      </c>
      <c r="L23" s="189"/>
      <c r="M23" s="189" t="s">
        <v>382</v>
      </c>
      <c r="S23" s="196">
        <v>0</v>
      </c>
    </row>
    <row r="24" spans="1:21" x14ac:dyDescent="0.2">
      <c r="A24" s="189"/>
      <c r="B24" s="189" t="s">
        <v>383</v>
      </c>
      <c r="G24" s="192"/>
      <c r="H24" s="197">
        <f>SUM(raw_materials!$O$37:$O$41)</f>
        <v>1800000</v>
      </c>
      <c r="L24" s="189"/>
      <c r="M24" s="189" t="s">
        <v>384</v>
      </c>
      <c r="S24" s="198">
        <v>650251263.10199058</v>
      </c>
    </row>
    <row r="25" spans="1:21" x14ac:dyDescent="0.2">
      <c r="A25" s="189"/>
      <c r="B25" s="189"/>
      <c r="G25" s="192"/>
      <c r="L25" s="189"/>
      <c r="M25" s="189" t="s">
        <v>385</v>
      </c>
      <c r="S25" s="204" t="s">
        <v>375</v>
      </c>
      <c r="T25" s="205">
        <f>SUM($S$22:$S$24)</f>
        <v>875709480.98600852</v>
      </c>
      <c r="U25" s="106" t="s">
        <v>376</v>
      </c>
    </row>
    <row r="26" spans="1:21" x14ac:dyDescent="0.2">
      <c r="A26" s="191" t="s">
        <v>386</v>
      </c>
      <c r="B26" s="189"/>
      <c r="G26" s="192"/>
      <c r="L26" s="189"/>
      <c r="M26" s="189"/>
    </row>
    <row r="27" spans="1:21" x14ac:dyDescent="0.2">
      <c r="A27" s="189"/>
      <c r="B27" s="189" t="s">
        <v>387</v>
      </c>
      <c r="G27" s="192"/>
      <c r="H27" s="193">
        <f>SUMIF(facilities!$C$6:$C$15,"&gt;0",facilities!$C$6:$C$15)</f>
        <v>0</v>
      </c>
      <c r="L27" s="191" t="s">
        <v>388</v>
      </c>
      <c r="M27" s="189"/>
    </row>
    <row r="28" spans="1:21" x14ac:dyDescent="0.2">
      <c r="A28" s="189"/>
      <c r="B28" s="189" t="s">
        <v>389</v>
      </c>
      <c r="G28" s="192"/>
      <c r="H28" s="195">
        <f>SUMIF(facilities!$C$36:$C$106,"&gt;0",facilities!$C$36:$C$106)</f>
        <v>0</v>
      </c>
      <c r="L28" s="189"/>
      <c r="M28" s="189" t="s">
        <v>390</v>
      </c>
      <c r="S28" s="194">
        <v>210019644</v>
      </c>
    </row>
    <row r="29" spans="1:21" x14ac:dyDescent="0.2">
      <c r="A29" s="189"/>
      <c r="B29" s="189" t="s">
        <v>391</v>
      </c>
      <c r="G29" s="192"/>
      <c r="H29" s="195">
        <f>SUMIF(facilities!$C$6:$C$15,"&lt;0",facilities!$C$6:$C$15)</f>
        <v>-2619</v>
      </c>
      <c r="L29" s="189"/>
      <c r="M29" s="189" t="s">
        <v>392</v>
      </c>
      <c r="S29" s="196">
        <v>2085410.2201326184</v>
      </c>
    </row>
    <row r="30" spans="1:21" x14ac:dyDescent="0.2">
      <c r="A30" s="189"/>
      <c r="B30" s="189" t="s">
        <v>393</v>
      </c>
      <c r="G30" s="192"/>
      <c r="H30" s="197">
        <f>SUMIF(facilities!$C$36:$C$106,"&lt;0",facilities!$C$36:$C$106)</f>
        <v>0</v>
      </c>
      <c r="L30" s="189"/>
      <c r="M30" s="189" t="s">
        <v>394</v>
      </c>
      <c r="S30" s="196">
        <v>177876570.99046057</v>
      </c>
    </row>
    <row r="31" spans="1:21" x14ac:dyDescent="0.2">
      <c r="L31" s="189"/>
      <c r="M31" s="189" t="s">
        <v>395</v>
      </c>
      <c r="S31" s="198">
        <f>SUM(ORA!D138:O138)+SUM(POJ!D138:O138)+SUM(ROJ!D138:O138)+SUM(FCOJ!D138:O138)</f>
        <v>188382988.06443653</v>
      </c>
    </row>
    <row r="32" spans="1:21" x14ac:dyDescent="0.2">
      <c r="A32" s="191" t="s">
        <v>396</v>
      </c>
      <c r="B32" s="189"/>
      <c r="G32" s="192"/>
      <c r="L32" s="189"/>
      <c r="M32" s="189" t="s">
        <v>397</v>
      </c>
      <c r="S32" s="119" t="s">
        <v>375</v>
      </c>
      <c r="T32" s="205">
        <f>SUM($S$28:$S$31)</f>
        <v>578364613.27502978</v>
      </c>
      <c r="U32" s="106" t="s">
        <v>376</v>
      </c>
    </row>
    <row r="33" spans="1:21" x14ac:dyDescent="0.2">
      <c r="A33" s="189"/>
      <c r="B33" s="189" t="s">
        <v>398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399</v>
      </c>
      <c r="G34" s="192"/>
      <c r="H34" s="195">
        <f>COUNTIF(facilities!$H$36:$H$106,"=new")</f>
        <v>0</v>
      </c>
      <c r="L34" s="191" t="s">
        <v>400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401</v>
      </c>
      <c r="S35" s="194">
        <v>48425000</v>
      </c>
    </row>
    <row r="36" spans="1:21" x14ac:dyDescent="0.2">
      <c r="L36" s="189"/>
      <c r="M36" s="189" t="s">
        <v>402</v>
      </c>
      <c r="S36" s="196">
        <f>H33*12000000-H38*70/100*12000000</f>
        <v>0</v>
      </c>
    </row>
    <row r="37" spans="1:21" x14ac:dyDescent="0.2">
      <c r="A37" s="191" t="s">
        <v>403</v>
      </c>
      <c r="L37" s="189"/>
      <c r="M37" s="189" t="s">
        <v>404</v>
      </c>
      <c r="S37" s="196">
        <f>H27*8000+H29*70/100*8000</f>
        <v>-14666400</v>
      </c>
    </row>
    <row r="38" spans="1:21" x14ac:dyDescent="0.2">
      <c r="B38" s="189" t="s">
        <v>398</v>
      </c>
      <c r="H38" s="193">
        <f>COUNTIF(facilities!$H$6:$H$15,"=sold")</f>
        <v>0</v>
      </c>
      <c r="L38" s="189"/>
      <c r="M38" s="189" t="s">
        <v>405</v>
      </c>
      <c r="S38" s="196">
        <v>80650000</v>
      </c>
    </row>
    <row r="39" spans="1:21" x14ac:dyDescent="0.2">
      <c r="B39" s="189" t="s">
        <v>399</v>
      </c>
      <c r="H39" s="195">
        <f>COUNTIF(facilities!$H$36:$H$106,"=sold")</f>
        <v>0</v>
      </c>
      <c r="L39" s="189"/>
      <c r="M39" s="189" t="s">
        <v>406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144</v>
      </c>
      <c r="L40" s="189"/>
      <c r="M40" s="189" t="s">
        <v>407</v>
      </c>
      <c r="S40" s="196">
        <f>H28*6000+H30*80/100*6000</f>
        <v>0</v>
      </c>
    </row>
    <row r="41" spans="1:21" x14ac:dyDescent="0.2">
      <c r="L41" s="189"/>
      <c r="M41" s="189" t="s">
        <v>408</v>
      </c>
      <c r="S41" s="196">
        <v>109810</v>
      </c>
    </row>
    <row r="42" spans="1:21" x14ac:dyDescent="0.2">
      <c r="L42" s="189"/>
      <c r="M42" s="189" t="s">
        <v>409</v>
      </c>
      <c r="S42" s="198">
        <f>H35*100000-H40*60/100*100000</f>
        <v>-8640000</v>
      </c>
    </row>
    <row r="43" spans="1:21" x14ac:dyDescent="0.2">
      <c r="L43" s="189"/>
      <c r="M43" s="189" t="s">
        <v>410</v>
      </c>
      <c r="S43" s="183" t="s">
        <v>375</v>
      </c>
      <c r="T43" s="205">
        <f>SUM($S$35:$S$42)</f>
        <v>105878410</v>
      </c>
      <c r="U43" s="106" t="s">
        <v>376</v>
      </c>
    </row>
    <row r="44" spans="1:21" x14ac:dyDescent="0.2">
      <c r="L44" s="189"/>
      <c r="S44" s="116"/>
    </row>
    <row r="45" spans="1:21" ht="14.25" thickBot="1" x14ac:dyDescent="0.3">
      <c r="L45" s="206" t="s">
        <v>411</v>
      </c>
      <c r="M45" s="189"/>
      <c r="T45" s="207">
        <f>$T$11-$T$19-$T$25-$T$32-$T$43</f>
        <v>-4692518974.2913952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312</v>
      </c>
    </row>
    <row r="3" spans="2:14" x14ac:dyDescent="0.2">
      <c r="B3" s="109" t="s">
        <v>313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0.68236926813453413</v>
      </c>
      <c r="D5" s="106">
        <v>0.55883064269624938</v>
      </c>
      <c r="E5" s="106">
        <v>0.72509090954170297</v>
      </c>
      <c r="F5" s="106">
        <v>0.63141545491056772</v>
      </c>
      <c r="G5" s="106">
        <v>0.74011528273950866</v>
      </c>
      <c r="H5" s="106">
        <v>0.65086773044611435</v>
      </c>
      <c r="I5" s="106">
        <v>0.68243208246490594</v>
      </c>
      <c r="J5" s="106">
        <v>0.57013453678458514</v>
      </c>
      <c r="K5" s="106">
        <v>0.57476145212569585</v>
      </c>
      <c r="L5" s="106">
        <v>0.74609287452562012</v>
      </c>
      <c r="M5" s="106">
        <v>0.67444914730155048</v>
      </c>
      <c r="N5" s="106">
        <v>0.63260760112795011</v>
      </c>
    </row>
    <row r="6" spans="2:14" x14ac:dyDescent="0.2">
      <c r="B6" s="177" t="s">
        <v>105</v>
      </c>
      <c r="C6" s="106">
        <v>0.64756963841245696</v>
      </c>
      <c r="D6" s="106">
        <v>0.65755533464464333</v>
      </c>
      <c r="E6" s="106">
        <v>0.67582956243488979</v>
      </c>
      <c r="F6" s="106">
        <v>0.72270078271330884</v>
      </c>
      <c r="G6" s="106">
        <v>1.1000000000000001</v>
      </c>
      <c r="H6" s="106">
        <v>0.69778428606132503</v>
      </c>
      <c r="I6" s="106">
        <v>0.63888548303095549</v>
      </c>
      <c r="J6" s="106">
        <v>0.70016449726294339</v>
      </c>
      <c r="K6" s="106">
        <v>0.66180170696454133</v>
      </c>
      <c r="L6" s="106">
        <v>0.60317926490533069</v>
      </c>
      <c r="M6" s="106">
        <v>0.62397728198149804</v>
      </c>
      <c r="N6" s="106">
        <v>0.62989884669285967</v>
      </c>
    </row>
    <row r="7" spans="2:14" x14ac:dyDescent="0.2">
      <c r="B7" s="177" t="s">
        <v>106</v>
      </c>
      <c r="C7" s="106">
        <v>0.72891206380032159</v>
      </c>
      <c r="D7" s="106">
        <v>0.77401606423700109</v>
      </c>
      <c r="E7" s="106">
        <v>0.81885174901887647</v>
      </c>
      <c r="F7" s="106">
        <v>0.72229876061310394</v>
      </c>
      <c r="G7" s="106">
        <v>0.72361621388499109</v>
      </c>
      <c r="H7" s="106">
        <v>0.70765956084832538</v>
      </c>
      <c r="I7" s="106">
        <v>0.84242715952291458</v>
      </c>
      <c r="J7" s="106">
        <v>0.74511425316444657</v>
      </c>
      <c r="K7" s="106">
        <v>0.73744444436613799</v>
      </c>
      <c r="L7" s="106">
        <v>0.73573133416686831</v>
      </c>
      <c r="M7" s="106">
        <v>0.71587493301755079</v>
      </c>
      <c r="N7" s="106">
        <v>0.72510931421438596</v>
      </c>
    </row>
    <row r="8" spans="2:14" x14ac:dyDescent="0.2">
      <c r="B8" s="177" t="s">
        <v>107</v>
      </c>
      <c r="C8" s="106">
        <v>0.70878689716367316</v>
      </c>
      <c r="D8" s="106">
        <v>0.78278540084212167</v>
      </c>
      <c r="E8" s="106">
        <v>0.78212412592086411</v>
      </c>
      <c r="F8" s="106">
        <v>0.73749816823254999</v>
      </c>
      <c r="G8" s="106">
        <v>0.71729448137767771</v>
      </c>
      <c r="H8" s="106">
        <v>0.69171213308986113</v>
      </c>
      <c r="I8" s="106">
        <v>0.70268313433658425</v>
      </c>
      <c r="J8" s="106">
        <v>0.69237133001869267</v>
      </c>
      <c r="K8" s="106">
        <v>0.69718048224498663</v>
      </c>
      <c r="L8" s="106">
        <v>0.69926188569305137</v>
      </c>
      <c r="M8" s="106">
        <v>0.71813212805058513</v>
      </c>
      <c r="N8" s="106">
        <v>0.67738240315060783</v>
      </c>
    </row>
    <row r="9" spans="2:14" x14ac:dyDescent="0.2">
      <c r="B9" s="177" t="s">
        <v>108</v>
      </c>
      <c r="C9" s="106">
        <v>2.0318102216720582</v>
      </c>
      <c r="D9" s="106">
        <v>2.0292598283290864</v>
      </c>
      <c r="E9" s="106">
        <v>2.0673980689048768</v>
      </c>
      <c r="F9" s="106">
        <v>2.0802721655368805</v>
      </c>
      <c r="G9" s="106">
        <v>2.1035334205627443</v>
      </c>
      <c r="H9" s="106">
        <v>2.0168490207195284</v>
      </c>
      <c r="I9" s="106">
        <v>2.0213541245460509</v>
      </c>
      <c r="J9" s="106">
        <v>2.0932331001758575</v>
      </c>
      <c r="K9" s="106">
        <v>2.065163311958313</v>
      </c>
      <c r="L9" s="106">
        <v>2.0554212605953217</v>
      </c>
      <c r="M9" s="106">
        <v>2.0602516627311709</v>
      </c>
      <c r="N9" s="106">
        <v>2.0376977121829989</v>
      </c>
    </row>
    <row r="10" spans="2:14" x14ac:dyDescent="0.2">
      <c r="B10" s="177" t="s">
        <v>109</v>
      </c>
      <c r="C10" s="106">
        <v>0.66329779624938967</v>
      </c>
      <c r="D10" s="106">
        <v>0.62143284678459165</v>
      </c>
      <c r="E10" s="106">
        <v>0.64597178697586066</v>
      </c>
      <c r="F10" s="106">
        <v>0.69427269101142886</v>
      </c>
      <c r="G10" s="106">
        <v>0.62736680507659914</v>
      </c>
      <c r="H10" s="106">
        <v>0.66284398436546332</v>
      </c>
      <c r="I10" s="106">
        <v>0.64588388204574587</v>
      </c>
      <c r="J10" s="106">
        <v>0.64709988236427307</v>
      </c>
      <c r="K10" s="106">
        <v>0.63619480133056638</v>
      </c>
      <c r="L10" s="106">
        <v>0.65943128466606138</v>
      </c>
      <c r="M10" s="106">
        <v>0.61190811395645139</v>
      </c>
      <c r="N10" s="106">
        <v>0.60666878819465642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314</v>
      </c>
      <c r="C12" s="107"/>
      <c r="D12" s="107"/>
      <c r="E12" s="107"/>
      <c r="F12" s="107"/>
      <c r="G12" s="107"/>
    </row>
    <row r="13" spans="2:14" x14ac:dyDescent="0.2">
      <c r="B13" s="177" t="s">
        <v>315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316</v>
      </c>
      <c r="C14" s="107">
        <v>0.33443643476981971</v>
      </c>
      <c r="D14" s="107">
        <v>0.33567782054389189</v>
      </c>
      <c r="E14" s="107">
        <v>0.33691571328522379</v>
      </c>
      <c r="F14" s="107">
        <v>0.33814662978983101</v>
      </c>
      <c r="G14" s="107">
        <v>0.33936710648358448</v>
      </c>
      <c r="H14" s="106">
        <v>0.34057370916807544</v>
      </c>
      <c r="I14" s="106">
        <v>0.34176304268382207</v>
      </c>
      <c r="J14" s="106">
        <v>0.34293176046362794</v>
      </c>
      <c r="K14" s="106">
        <v>0.34407657394921065</v>
      </c>
      <c r="L14" s="106">
        <v>0.34519426184460372</v>
      </c>
      <c r="M14" s="106">
        <v>0.34628167918029534</v>
      </c>
      <c r="N14" s="106">
        <v>0.34733576616259743</v>
      </c>
    </row>
    <row r="15" spans="2:14" x14ac:dyDescent="0.2">
      <c r="B15" s="176" t="s">
        <v>317</v>
      </c>
      <c r="C15" s="106">
        <v>1.0035015778325094</v>
      </c>
      <c r="D15" s="106">
        <v>1.0061621999876746</v>
      </c>
      <c r="E15" s="106">
        <v>1.0088153356382483</v>
      </c>
      <c r="F15" s="106">
        <v>1.0114535193452945</v>
      </c>
      <c r="G15" s="106">
        <v>1.014069327741915</v>
      </c>
      <c r="H15" s="106">
        <v>1.0166554004212462</v>
      </c>
      <c r="I15" s="106">
        <v>1.0192044606473001</v>
      </c>
      <c r="J15" s="106">
        <v>1.0217093358303679</v>
      </c>
      <c r="K15" s="106">
        <v>1.0241629777093797</v>
      </c>
      <c r="L15" s="106">
        <v>1.0265584821844214</v>
      </c>
      <c r="M15" s="106">
        <v>1.0288891087436103</v>
      </c>
      <c r="N15" s="106">
        <v>1.0311482994296646</v>
      </c>
    </row>
    <row r="16" spans="2:14" x14ac:dyDescent="0.2">
      <c r="B16" s="107"/>
    </row>
    <row r="17" spans="2:14" x14ac:dyDescent="0.2">
      <c r="B17" s="109" t="s">
        <v>318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0.68236926813453413</v>
      </c>
      <c r="D19" s="106">
        <f t="shared" ref="D19:N20" si="0">D5</f>
        <v>0.55883064269624938</v>
      </c>
      <c r="E19" s="106">
        <f t="shared" si="0"/>
        <v>0.72509090954170297</v>
      </c>
      <c r="F19" s="106">
        <f t="shared" si="0"/>
        <v>0.63141545491056772</v>
      </c>
      <c r="G19" s="106">
        <f t="shared" si="0"/>
        <v>0.74011528273950866</v>
      </c>
      <c r="H19" s="106">
        <f t="shared" si="0"/>
        <v>0.65086773044611435</v>
      </c>
      <c r="I19" s="106">
        <f t="shared" si="0"/>
        <v>0.68243208246490594</v>
      </c>
      <c r="J19" s="106">
        <f t="shared" si="0"/>
        <v>0.57013453678458514</v>
      </c>
      <c r="K19" s="106">
        <f t="shared" si="0"/>
        <v>0.57476145212569585</v>
      </c>
      <c r="L19" s="106">
        <f t="shared" si="0"/>
        <v>0.74609287452562012</v>
      </c>
      <c r="M19" s="106">
        <f t="shared" si="0"/>
        <v>0.67444914730155048</v>
      </c>
      <c r="N19" s="106">
        <f t="shared" si="0"/>
        <v>0.63260760112795011</v>
      </c>
    </row>
    <row r="20" spans="2:14" x14ac:dyDescent="0.2">
      <c r="B20" s="179" t="s">
        <v>105</v>
      </c>
      <c r="C20" s="106">
        <f>C6</f>
        <v>0.64756963841245696</v>
      </c>
      <c r="D20" s="106">
        <f t="shared" si="0"/>
        <v>0.65755533464464333</v>
      </c>
      <c r="E20" s="106">
        <f t="shared" si="0"/>
        <v>0.67582956243488979</v>
      </c>
      <c r="F20" s="106">
        <f t="shared" si="0"/>
        <v>0.72270078271330884</v>
      </c>
      <c r="G20" s="106">
        <f t="shared" si="0"/>
        <v>1.1000000000000001</v>
      </c>
      <c r="H20" s="106">
        <f t="shared" si="0"/>
        <v>0.69778428606132503</v>
      </c>
      <c r="I20" s="106">
        <f t="shared" si="0"/>
        <v>0.63888548303095549</v>
      </c>
      <c r="J20" s="106">
        <f t="shared" si="0"/>
        <v>0.70016449726294339</v>
      </c>
      <c r="K20" s="106">
        <f t="shared" si="0"/>
        <v>0.66180170696454133</v>
      </c>
      <c r="L20" s="106">
        <f t="shared" si="0"/>
        <v>0.60317926490533069</v>
      </c>
      <c r="M20" s="106">
        <f t="shared" si="0"/>
        <v>0.62397728198149804</v>
      </c>
      <c r="N20" s="106">
        <f t="shared" si="0"/>
        <v>0.62989884669285967</v>
      </c>
    </row>
    <row r="21" spans="2:14" x14ac:dyDescent="0.2">
      <c r="B21" s="179" t="s">
        <v>106</v>
      </c>
      <c r="C21" s="106">
        <f t="shared" ref="C21:N22" si="1">C7</f>
        <v>0.72891206380032159</v>
      </c>
      <c r="D21" s="106">
        <f t="shared" si="1"/>
        <v>0.77401606423700109</v>
      </c>
      <c r="E21" s="106">
        <f t="shared" si="1"/>
        <v>0.81885174901887647</v>
      </c>
      <c r="F21" s="106">
        <f t="shared" si="1"/>
        <v>0.72229876061310394</v>
      </c>
      <c r="G21" s="106">
        <f t="shared" si="1"/>
        <v>0.72361621388499109</v>
      </c>
      <c r="H21" s="106">
        <f t="shared" si="1"/>
        <v>0.70765956084832538</v>
      </c>
      <c r="I21" s="106">
        <f t="shared" si="1"/>
        <v>0.84242715952291458</v>
      </c>
      <c r="J21" s="106">
        <f t="shared" si="1"/>
        <v>0.74511425316444657</v>
      </c>
      <c r="K21" s="106">
        <f t="shared" si="1"/>
        <v>0.73744444436613799</v>
      </c>
      <c r="L21" s="106">
        <f t="shared" si="1"/>
        <v>0.73573133416686831</v>
      </c>
      <c r="M21" s="106">
        <f t="shared" si="1"/>
        <v>0.71587493301755079</v>
      </c>
      <c r="N21" s="106">
        <f t="shared" si="1"/>
        <v>0.72510931421438596</v>
      </c>
    </row>
    <row r="22" spans="2:14" x14ac:dyDescent="0.2">
      <c r="B22" s="179" t="s">
        <v>107</v>
      </c>
      <c r="C22" s="106">
        <f t="shared" si="1"/>
        <v>0.70878689716367316</v>
      </c>
      <c r="D22" s="106">
        <f t="shared" si="1"/>
        <v>0.78278540084212167</v>
      </c>
      <c r="E22" s="106">
        <f t="shared" si="1"/>
        <v>0.78212412592086411</v>
      </c>
      <c r="F22" s="106">
        <f t="shared" si="1"/>
        <v>0.73749816823254999</v>
      </c>
      <c r="G22" s="106">
        <f t="shared" si="1"/>
        <v>0.71729448137767771</v>
      </c>
      <c r="H22" s="106">
        <f t="shared" si="1"/>
        <v>0.69171213308986113</v>
      </c>
      <c r="I22" s="106">
        <f t="shared" si="1"/>
        <v>0.70268313433658425</v>
      </c>
      <c r="J22" s="106">
        <f t="shared" si="1"/>
        <v>0.69237133001869267</v>
      </c>
      <c r="K22" s="106">
        <f t="shared" si="1"/>
        <v>0.69718048224498663</v>
      </c>
      <c r="L22" s="106">
        <f t="shared" si="1"/>
        <v>0.69926188569305137</v>
      </c>
      <c r="M22" s="106">
        <f t="shared" si="1"/>
        <v>0.71813212805058513</v>
      </c>
      <c r="N22" s="106">
        <f t="shared" si="1"/>
        <v>0.67738240315060783</v>
      </c>
    </row>
    <row r="23" spans="2:14" x14ac:dyDescent="0.2">
      <c r="B23" s="179" t="s">
        <v>108</v>
      </c>
      <c r="C23" s="106">
        <f>C9*C14</f>
        <v>0.67951136666488021</v>
      </c>
      <c r="D23" s="106">
        <f t="shared" ref="D23:N24" si="2">D9*D14</f>
        <v>0.68117751649077996</v>
      </c>
      <c r="E23" s="106">
        <f t="shared" si="2"/>
        <v>0.69653889502958077</v>
      </c>
      <c r="F23" s="106">
        <f t="shared" si="2"/>
        <v>0.70343702182188961</v>
      </c>
      <c r="G23" s="106">
        <f t="shared" si="2"/>
        <v>0.71387005032789552</v>
      </c>
      <c r="H23" s="106">
        <f t="shared" si="2"/>
        <v>0.68688575181845046</v>
      </c>
      <c r="I23" s="106">
        <f t="shared" si="2"/>
        <v>0.69082413594635184</v>
      </c>
      <c r="J23" s="106">
        <f t="shared" si="2"/>
        <v>0.71783611210404452</v>
      </c>
      <c r="K23" s="106">
        <f t="shared" si="2"/>
        <v>0.71057431702422125</v>
      </c>
      <c r="L23" s="106">
        <f t="shared" si="2"/>
        <v>0.70951962483090691</v>
      </c>
      <c r="M23" s="106">
        <f t="shared" si="2"/>
        <v>0.7134274053045454</v>
      </c>
      <c r="N23" s="106">
        <f t="shared" si="2"/>
        <v>0.70776529606885386</v>
      </c>
    </row>
    <row r="24" spans="2:14" x14ac:dyDescent="0.2">
      <c r="B24" s="179" t="s">
        <v>109</v>
      </c>
      <c r="C24" s="106">
        <f>C10*C15</f>
        <v>0.66562038510908883</v>
      </c>
      <c r="D24" s="106">
        <f t="shared" si="2"/>
        <v>0.62526224026538824</v>
      </c>
      <c r="E24" s="106">
        <f t="shared" si="2"/>
        <v>0.65166624509089188</v>
      </c>
      <c r="F24" s="106">
        <f t="shared" si="2"/>
        <v>0.70222455670883788</v>
      </c>
      <c r="G24" s="106">
        <f t="shared" si="2"/>
        <v>0.63619343427162001</v>
      </c>
      <c r="H24" s="106">
        <f t="shared" si="2"/>
        <v>0.67388391634188438</v>
      </c>
      <c r="I24" s="106">
        <f t="shared" si="2"/>
        <v>0.65828773364121884</v>
      </c>
      <c r="J24" s="106">
        <f t="shared" si="2"/>
        <v>0.66114799102631061</v>
      </c>
      <c r="K24" s="106">
        <f t="shared" si="2"/>
        <v>0.65156716213394006</v>
      </c>
      <c r="L24" s="106">
        <f t="shared" si="2"/>
        <v>0.6769447786917151</v>
      </c>
      <c r="M24" s="106">
        <f t="shared" si="2"/>
        <v>0.62958559400163683</v>
      </c>
      <c r="N24" s="106">
        <f t="shared" si="2"/>
        <v>0.62556548926397537</v>
      </c>
    </row>
    <row r="25" spans="2:14" x14ac:dyDescent="0.2">
      <c r="B25" s="178"/>
    </row>
    <row r="26" spans="2:14" x14ac:dyDescent="0.2">
      <c r="B26" s="110" t="s">
        <v>319</v>
      </c>
    </row>
    <row r="27" spans="2:14" x14ac:dyDescent="0.2">
      <c r="B27" s="105" t="s">
        <v>320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321</v>
      </c>
    </row>
    <row r="36" spans="2:50" x14ac:dyDescent="0.2">
      <c r="B36" s="176" t="s">
        <v>273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322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25219.64518704552</v>
      </c>
      <c r="G38" s="106">
        <v>25274.541764850626</v>
      </c>
      <c r="H38" s="106">
        <v>25329.41483434946</v>
      </c>
      <c r="I38" s="106">
        <v>25384.255583806131</v>
      </c>
      <c r="J38" s="106">
        <v>25439.055203174696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18412.167875441355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26871.21469072756</v>
      </c>
      <c r="AL38" s="106">
        <v>26921.341209603564</v>
      </c>
      <c r="AM38" s="106">
        <v>26971.178763785614</v>
      </c>
      <c r="AN38" s="106">
        <v>18914.503514580269</v>
      </c>
      <c r="AO38" s="106">
        <v>18948.968387818528</v>
      </c>
      <c r="AP38" s="106">
        <v>18983.2141906877</v>
      </c>
      <c r="AQ38" s="106">
        <v>27167.47913646403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10730.368248264709</v>
      </c>
      <c r="M39" s="106">
        <v>15361.87154289072</v>
      </c>
      <c r="N39" s="106">
        <v>10776.21985637031</v>
      </c>
      <c r="O39" s="106">
        <v>10799.093890388011</v>
      </c>
      <c r="P39" s="106">
        <v>10821.928499769892</v>
      </c>
      <c r="Q39" s="106">
        <v>10844.720007468877</v>
      </c>
      <c r="R39" s="106">
        <v>15524.949631923135</v>
      </c>
      <c r="S39" s="106">
        <v>1555.7370056884831</v>
      </c>
      <c r="T39" s="106">
        <v>1558.9713203584963</v>
      </c>
      <c r="U39" s="106">
        <v>1562.1973858410449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15876.468185043188</v>
      </c>
      <c r="AD39" s="106">
        <v>15907.754105590879</v>
      </c>
      <c r="AE39" s="106">
        <v>1593.890621677428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11264.739066438493</v>
      </c>
      <c r="AK39" s="106">
        <v>11285.910170105573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3569.1326839905992</v>
      </c>
      <c r="L40" s="106">
        <v>3576.7894160882365</v>
      </c>
      <c r="M40" s="106">
        <v>3584.4366933411679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2116.8624246724253</v>
      </c>
      <c r="AD40" s="106">
        <v>3711.8092913045384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3810.2053023342241</v>
      </c>
      <c r="AS40" s="106">
        <v>5452.7377389875128</v>
      </c>
      <c r="AT40" s="106">
        <v>5462.2562017647024</v>
      </c>
      <c r="AU40" s="106">
        <v>5471.7042848759638</v>
      </c>
      <c r="AV40" s="106">
        <v>5481.0804646462902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2132.277469039715</v>
      </c>
      <c r="J41" s="106">
        <v>3052.6866243809636</v>
      </c>
      <c r="K41" s="106">
        <v>3059.2565862776564</v>
      </c>
      <c r="L41" s="106">
        <v>3065.8194995042027</v>
      </c>
      <c r="M41" s="106">
        <v>2150.6620160047005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2178.031807963876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3260.0974963756835</v>
      </c>
      <c r="AR41" s="106">
        <v>3265.8902591436208</v>
      </c>
      <c r="AS41" s="106">
        <v>3271.6426433925076</v>
      </c>
      <c r="AT41" s="106">
        <v>3277.3537210588215</v>
      </c>
      <c r="AU41" s="106">
        <v>3283.0225709255783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323</v>
      </c>
    </row>
    <row r="46" spans="2:50" x14ac:dyDescent="0.2">
      <c r="B46" s="105" t="s">
        <v>273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324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</row>
    <row r="49" spans="2:51" x14ac:dyDescent="0.2">
      <c r="B49" s="105" t="s">
        <v>105</v>
      </c>
      <c r="C49" s="106">
        <v>3203.3999387586405</v>
      </c>
      <c r="D49" s="106">
        <v>3203.3999387586405</v>
      </c>
      <c r="E49" s="106">
        <v>3203.3999387586405</v>
      </c>
      <c r="F49" s="106">
        <v>3203.3999387586405</v>
      </c>
      <c r="G49" s="106">
        <v>3203.3999387586405</v>
      </c>
      <c r="H49" s="106">
        <v>3203.3999387586405</v>
      </c>
      <c r="I49" s="106">
        <v>3203.3999387586405</v>
      </c>
      <c r="J49" s="106">
        <v>3203.3999387586405</v>
      </c>
      <c r="K49" s="106">
        <v>3203.3999387586405</v>
      </c>
      <c r="L49" s="106">
        <v>3203.3999387586405</v>
      </c>
      <c r="M49" s="106">
        <v>3203.3999387586405</v>
      </c>
      <c r="N49" s="106">
        <v>3203.3999387586405</v>
      </c>
      <c r="O49" s="106">
        <v>3203.3999387586405</v>
      </c>
      <c r="P49" s="106">
        <v>3203.3999387586405</v>
      </c>
      <c r="Q49" s="106">
        <v>3203.3999387586405</v>
      </c>
      <c r="R49" s="106">
        <v>3203.3999387586405</v>
      </c>
      <c r="S49" s="106">
        <v>1555.7370056884831</v>
      </c>
      <c r="T49" s="106">
        <v>1558.9713203584963</v>
      </c>
      <c r="U49" s="106">
        <v>1562.1973858410449</v>
      </c>
      <c r="V49" s="106">
        <v>3203.3999387586405</v>
      </c>
      <c r="W49" s="106">
        <v>3203.3999387586405</v>
      </c>
      <c r="X49" s="106">
        <v>3203.3999387586405</v>
      </c>
      <c r="Y49" s="106">
        <v>3203.3999387586405</v>
      </c>
      <c r="Z49" s="106">
        <v>3203.3999387586405</v>
      </c>
      <c r="AA49" s="106">
        <v>3203.3999387586405</v>
      </c>
      <c r="AB49" s="106">
        <v>3203.3999387586405</v>
      </c>
      <c r="AC49" s="106">
        <v>3203.3999387586405</v>
      </c>
      <c r="AD49" s="106">
        <v>3203.3999387586405</v>
      </c>
      <c r="AE49" s="106">
        <v>1593.890621677428</v>
      </c>
      <c r="AF49" s="106">
        <v>3203.3999387586405</v>
      </c>
      <c r="AG49" s="106">
        <v>3203.3999387586405</v>
      </c>
      <c r="AH49" s="106">
        <v>3203.3999387586405</v>
      </c>
      <c r="AI49" s="106">
        <v>3203.3999387586405</v>
      </c>
      <c r="AJ49" s="106">
        <v>3203.3999387586405</v>
      </c>
      <c r="AK49" s="106">
        <v>3203.3999387586405</v>
      </c>
      <c r="AL49" s="106">
        <v>3203.3999387586405</v>
      </c>
      <c r="AM49" s="106">
        <v>3203.3999387586405</v>
      </c>
      <c r="AN49" s="106">
        <v>3203.3999387586405</v>
      </c>
      <c r="AO49" s="106">
        <v>3203.3999387586405</v>
      </c>
      <c r="AP49" s="106">
        <v>3203.3999387586405</v>
      </c>
      <c r="AQ49" s="106">
        <v>3203.3999387586405</v>
      </c>
      <c r="AR49" s="106">
        <v>3203.3999387586405</v>
      </c>
      <c r="AS49" s="106">
        <v>3203.3999387586405</v>
      </c>
      <c r="AT49" s="106">
        <v>3203.3999387586405</v>
      </c>
      <c r="AU49" s="106">
        <v>3203.3999387586405</v>
      </c>
      <c r="AV49" s="106">
        <v>3203.3999387586405</v>
      </c>
      <c r="AW49" s="106">
        <v>3203.3999387586405</v>
      </c>
      <c r="AX49" s="106">
        <v>3203.3999387586405</v>
      </c>
    </row>
    <row r="50" spans="2:51" x14ac:dyDescent="0.2">
      <c r="B50" s="105" t="s">
        <v>106</v>
      </c>
      <c r="C50" s="106">
        <v>2958.1665880602222</v>
      </c>
      <c r="D50" s="106">
        <v>2958.1665880602222</v>
      </c>
      <c r="E50" s="106">
        <v>2958.1665880602222</v>
      </c>
      <c r="F50" s="106">
        <v>2958.1665880602222</v>
      </c>
      <c r="G50" s="106">
        <v>2958.1665880602222</v>
      </c>
      <c r="H50" s="106">
        <v>2958.1665880602222</v>
      </c>
      <c r="I50" s="106">
        <v>2958.1665880602222</v>
      </c>
      <c r="J50" s="106">
        <v>2958.1665880602222</v>
      </c>
      <c r="K50" s="106">
        <v>2958.1665880602222</v>
      </c>
      <c r="L50" s="106">
        <v>2958.1665880602222</v>
      </c>
      <c r="M50" s="106">
        <v>2958.1665880602222</v>
      </c>
      <c r="N50" s="106">
        <v>2958.1665880602222</v>
      </c>
      <c r="O50" s="106">
        <v>2958.1665880602222</v>
      </c>
      <c r="P50" s="106">
        <v>2958.1665880602222</v>
      </c>
      <c r="Q50" s="106">
        <v>2958.1665880602222</v>
      </c>
      <c r="R50" s="106">
        <v>2958.1665880602222</v>
      </c>
      <c r="S50" s="106">
        <v>2958.1665880602222</v>
      </c>
      <c r="T50" s="106">
        <v>2958.1665880602222</v>
      </c>
      <c r="U50" s="106">
        <v>2958.1665880602222</v>
      </c>
      <c r="V50" s="106">
        <v>2958.1665880602222</v>
      </c>
      <c r="W50" s="106">
        <v>2958.1665880602222</v>
      </c>
      <c r="X50" s="106">
        <v>2958.1665880602222</v>
      </c>
      <c r="Y50" s="106">
        <v>2958.1665880602222</v>
      </c>
      <c r="Z50" s="106">
        <v>2958.1665880602222</v>
      </c>
      <c r="AA50" s="106">
        <v>2958.1665880602222</v>
      </c>
      <c r="AB50" s="106">
        <v>2958.1665880602222</v>
      </c>
      <c r="AC50" s="106">
        <v>2116.8624246724253</v>
      </c>
      <c r="AD50" s="106">
        <v>2958.1665880602222</v>
      </c>
      <c r="AE50" s="106">
        <v>2958.1665880602222</v>
      </c>
      <c r="AF50" s="106">
        <v>2958.1665880602222</v>
      </c>
      <c r="AG50" s="106">
        <v>2958.1665880602222</v>
      </c>
      <c r="AH50" s="106">
        <v>2958.1665880602222</v>
      </c>
      <c r="AI50" s="106">
        <v>2958.1665880602222</v>
      </c>
      <c r="AJ50" s="106">
        <v>2958.1665880602222</v>
      </c>
      <c r="AK50" s="106">
        <v>2958.1665880602222</v>
      </c>
      <c r="AL50" s="106">
        <v>2958.1665880602222</v>
      </c>
      <c r="AM50" s="106">
        <v>2958.1665880602222</v>
      </c>
      <c r="AN50" s="106">
        <v>2958.1665880602222</v>
      </c>
      <c r="AO50" s="106">
        <v>2958.1665880602222</v>
      </c>
      <c r="AP50" s="106">
        <v>2958.1665880602222</v>
      </c>
      <c r="AQ50" s="106">
        <v>2958.1665880602222</v>
      </c>
      <c r="AR50" s="106">
        <v>2958.1665880602222</v>
      </c>
      <c r="AS50" s="106">
        <v>2958.1665880602222</v>
      </c>
      <c r="AT50" s="106">
        <v>2958.1665880602222</v>
      </c>
      <c r="AU50" s="106">
        <v>2958.1665880602222</v>
      </c>
      <c r="AV50" s="106">
        <v>2958.1665880602222</v>
      </c>
      <c r="AW50" s="106">
        <v>2958.1665880602222</v>
      </c>
      <c r="AX50" s="106">
        <v>2958.1665880602222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325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273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324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</row>
    <row r="59" spans="2:51" x14ac:dyDescent="0.2">
      <c r="B59" s="111" t="s">
        <v>105</v>
      </c>
      <c r="C59" s="106">
        <v>4148849.0800648388</v>
      </c>
      <c r="D59" s="106">
        <v>4148849.0800648388</v>
      </c>
      <c r="E59" s="106">
        <v>4148849.0800648388</v>
      </c>
      <c r="F59" s="106">
        <v>4148849.0800648388</v>
      </c>
      <c r="G59" s="106">
        <v>4212825.4374621352</v>
      </c>
      <c r="H59" s="106">
        <v>4212825.4374621352</v>
      </c>
      <c r="I59" s="106">
        <v>4212825.4374621352</v>
      </c>
      <c r="J59" s="106">
        <v>4212825.4374621352</v>
      </c>
      <c r="K59" s="106">
        <v>4329904.7578304103</v>
      </c>
      <c r="L59" s="106">
        <v>4329904.7578304103</v>
      </c>
      <c r="M59" s="106">
        <v>4329904.7578304103</v>
      </c>
      <c r="N59" s="106">
        <v>4329904.7578304103</v>
      </c>
      <c r="O59" s="106">
        <v>4630199.2861692701</v>
      </c>
      <c r="P59" s="106">
        <v>4630199.2861692701</v>
      </c>
      <c r="Q59" s="106">
        <v>4630199.2861692701</v>
      </c>
      <c r="R59" s="106">
        <v>4630199.2861692701</v>
      </c>
      <c r="S59" s="106">
        <v>3422621.4125146628</v>
      </c>
      <c r="T59" s="106">
        <v>3429736.9047886925</v>
      </c>
      <c r="U59" s="106">
        <v>3436834.248850299</v>
      </c>
      <c r="V59" s="106">
        <v>7047479.86526901</v>
      </c>
      <c r="W59" s="106">
        <v>4470564.2784711812</v>
      </c>
      <c r="X59" s="106">
        <v>4470564.2784711812</v>
      </c>
      <c r="Y59" s="106">
        <v>4470564.2784711812</v>
      </c>
      <c r="Z59" s="106">
        <v>4470564.2784711812</v>
      </c>
      <c r="AA59" s="106">
        <v>4093211.4344302947</v>
      </c>
      <c r="AB59" s="106">
        <v>4093211.4344302947</v>
      </c>
      <c r="AC59" s="106">
        <v>4093211.4344302947</v>
      </c>
      <c r="AD59" s="106">
        <v>4093211.4344302947</v>
      </c>
      <c r="AE59" s="106">
        <v>2231971.2516377936</v>
      </c>
      <c r="AF59" s="106">
        <v>4485813.8153061746</v>
      </c>
      <c r="AG59" s="106">
        <v>4485813.8153061746</v>
      </c>
      <c r="AH59" s="106">
        <v>4485813.8153061746</v>
      </c>
      <c r="AI59" s="106">
        <v>4240031.0951211508</v>
      </c>
      <c r="AJ59" s="106">
        <v>4240031.0951211508</v>
      </c>
      <c r="AK59" s="106">
        <v>4240031.0951211508</v>
      </c>
      <c r="AL59" s="106">
        <v>4240031.0951211508</v>
      </c>
      <c r="AM59" s="106">
        <v>3864448.8405164359</v>
      </c>
      <c r="AN59" s="106">
        <v>3864448.8405164359</v>
      </c>
      <c r="AO59" s="106">
        <v>3864448.8405164359</v>
      </c>
      <c r="AP59" s="106">
        <v>3864448.8405164359</v>
      </c>
      <c r="AQ59" s="106">
        <v>3997697.5737726274</v>
      </c>
      <c r="AR59" s="106">
        <v>3997697.5737726274</v>
      </c>
      <c r="AS59" s="106">
        <v>3997697.5737726274</v>
      </c>
      <c r="AT59" s="106">
        <v>3997697.5737726274</v>
      </c>
      <c r="AU59" s="106">
        <v>4035635.8538400899</v>
      </c>
      <c r="AV59" s="106">
        <v>4035635.8538400899</v>
      </c>
      <c r="AW59" s="106">
        <v>4035635.8538400899</v>
      </c>
      <c r="AX59" s="106">
        <v>4035635.8538400899</v>
      </c>
    </row>
    <row r="60" spans="2:51" x14ac:dyDescent="0.2">
      <c r="B60" s="111" t="s">
        <v>106</v>
      </c>
      <c r="C60" s="106">
        <v>4312486.6255362649</v>
      </c>
      <c r="D60" s="106">
        <v>4312486.6255362649</v>
      </c>
      <c r="E60" s="106">
        <v>4312486.6255362649</v>
      </c>
      <c r="F60" s="106">
        <v>4312486.6255362649</v>
      </c>
      <c r="G60" s="106">
        <v>4579336.9196955431</v>
      </c>
      <c r="H60" s="106">
        <v>4579336.9196955431</v>
      </c>
      <c r="I60" s="106">
        <v>4579336.9196955431</v>
      </c>
      <c r="J60" s="106">
        <v>4579336.9196955431</v>
      </c>
      <c r="K60" s="106">
        <v>4844599.7690446302</v>
      </c>
      <c r="L60" s="106">
        <v>4844599.7690446302</v>
      </c>
      <c r="M60" s="106">
        <v>4844599.7690446302</v>
      </c>
      <c r="N60" s="106">
        <v>4844599.7690446302</v>
      </c>
      <c r="O60" s="106">
        <v>4273360.1204859857</v>
      </c>
      <c r="P60" s="106">
        <v>4273360.1204859857</v>
      </c>
      <c r="Q60" s="106">
        <v>4273360.1204859857</v>
      </c>
      <c r="R60" s="106">
        <v>4273360.1204859857</v>
      </c>
      <c r="S60" s="106">
        <v>4281154.6129864398</v>
      </c>
      <c r="T60" s="106">
        <v>4281154.6129864398</v>
      </c>
      <c r="U60" s="106">
        <v>4281154.6129864398</v>
      </c>
      <c r="V60" s="106">
        <v>4281154.6129864398</v>
      </c>
      <c r="W60" s="106">
        <v>4186749.737245772</v>
      </c>
      <c r="X60" s="106">
        <v>4186749.737245772</v>
      </c>
      <c r="Y60" s="106">
        <v>4186749.737245772</v>
      </c>
      <c r="Z60" s="106">
        <v>4186749.737245772</v>
      </c>
      <c r="AA60" s="106">
        <v>4984079.7523503294</v>
      </c>
      <c r="AB60" s="106">
        <v>4984079.7523503294</v>
      </c>
      <c r="AC60" s="106">
        <v>3566604.7990351617</v>
      </c>
      <c r="AD60" s="106">
        <v>4984079.7523503294</v>
      </c>
      <c r="AE60" s="106">
        <v>4408344.1759970225</v>
      </c>
      <c r="AF60" s="106">
        <v>4408344.1759970225</v>
      </c>
      <c r="AG60" s="106">
        <v>4408344.1759970225</v>
      </c>
      <c r="AH60" s="106">
        <v>4408344.1759970225</v>
      </c>
      <c r="AI60" s="106">
        <v>4362967.0317490902</v>
      </c>
      <c r="AJ60" s="106">
        <v>4362967.0317490902</v>
      </c>
      <c r="AK60" s="106">
        <v>4362967.0317490902</v>
      </c>
      <c r="AL60" s="106">
        <v>4362967.0317490902</v>
      </c>
      <c r="AM60" s="106">
        <v>4352831.7010428002</v>
      </c>
      <c r="AN60" s="106">
        <v>4352831.7010428002</v>
      </c>
      <c r="AO60" s="106">
        <v>4352831.7010428002</v>
      </c>
      <c r="AP60" s="106">
        <v>4352831.7010428002</v>
      </c>
      <c r="AQ60" s="106">
        <v>4235354.6161647364</v>
      </c>
      <c r="AR60" s="106">
        <v>4235354.6161647364</v>
      </c>
      <c r="AS60" s="106">
        <v>4235354.6161647364</v>
      </c>
      <c r="AT60" s="106">
        <v>4235354.6161647364</v>
      </c>
      <c r="AU60" s="106">
        <v>4289988.2920005154</v>
      </c>
      <c r="AV60" s="106">
        <v>4289988.2920005154</v>
      </c>
      <c r="AW60" s="106">
        <v>4289988.2920005154</v>
      </c>
      <c r="AX60" s="106">
        <v>4289988.2920005154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326</v>
      </c>
    </row>
    <row r="66" spans="1:14" x14ac:dyDescent="0.2">
      <c r="B66" s="105" t="s">
        <v>327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328</v>
      </c>
      <c r="C67" s="106">
        <v>18000</v>
      </c>
      <c r="D67" s="106">
        <v>16000</v>
      </c>
      <c r="E67" s="106">
        <v>16000</v>
      </c>
      <c r="F67" s="106">
        <v>18000</v>
      </c>
      <c r="G67" s="106">
        <v>16000</v>
      </c>
      <c r="H67" s="106">
        <v>16000</v>
      </c>
      <c r="I67" s="106">
        <v>18000</v>
      </c>
      <c r="J67" s="106">
        <v>16000</v>
      </c>
      <c r="K67" s="106">
        <v>16000</v>
      </c>
      <c r="L67" s="106">
        <v>18000</v>
      </c>
      <c r="M67" s="106">
        <v>16000</v>
      </c>
      <c r="N67" s="106">
        <v>16000</v>
      </c>
    </row>
    <row r="68" spans="1:14" x14ac:dyDescent="0.2">
      <c r="B68" s="105" t="s">
        <v>329</v>
      </c>
      <c r="C68" s="106">
        <v>99000</v>
      </c>
      <c r="D68" s="106">
        <v>88000</v>
      </c>
      <c r="E68" s="106">
        <v>88000</v>
      </c>
      <c r="F68" s="106">
        <v>99000</v>
      </c>
      <c r="G68" s="106">
        <v>88000</v>
      </c>
      <c r="H68" s="106">
        <v>88000</v>
      </c>
      <c r="I68" s="106">
        <v>99000</v>
      </c>
      <c r="J68" s="106">
        <v>88000</v>
      </c>
      <c r="K68" s="106">
        <v>88000</v>
      </c>
      <c r="L68" s="106">
        <v>99000</v>
      </c>
      <c r="M68" s="106">
        <v>88000</v>
      </c>
      <c r="N68" s="106">
        <v>88000</v>
      </c>
    </row>
    <row r="70" spans="1:14" x14ac:dyDescent="0.2">
      <c r="B70" s="110" t="s">
        <v>330</v>
      </c>
    </row>
    <row r="71" spans="1:14" x14ac:dyDescent="0.2">
      <c r="A71" s="111" t="s">
        <v>121</v>
      </c>
      <c r="B71" s="111" t="s">
        <v>331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3323215.5572403977</v>
      </c>
      <c r="D72" s="106">
        <v>22308811.353352096</v>
      </c>
    </row>
    <row r="73" spans="1:14" x14ac:dyDescent="0.2">
      <c r="B73" s="111" t="s">
        <v>93</v>
      </c>
      <c r="C73" s="106">
        <v>2953969.3842136869</v>
      </c>
      <c r="D73" s="106">
        <v>19830054.536312971</v>
      </c>
    </row>
    <row r="74" spans="1:14" x14ac:dyDescent="0.2">
      <c r="B74" s="111" t="s">
        <v>94</v>
      </c>
      <c r="C74" s="106">
        <v>2953969.3842136869</v>
      </c>
      <c r="D74" s="106">
        <v>19830054.536312971</v>
      </c>
    </row>
    <row r="75" spans="1:14" x14ac:dyDescent="0.2">
      <c r="B75" s="111" t="s">
        <v>95</v>
      </c>
      <c r="C75" s="106">
        <v>3323215.5572403977</v>
      </c>
      <c r="D75" s="106">
        <v>22308811.353352096</v>
      </c>
    </row>
    <row r="76" spans="1:14" x14ac:dyDescent="0.2">
      <c r="B76" s="111" t="s">
        <v>96</v>
      </c>
      <c r="C76" s="106">
        <v>2953969.3842136869</v>
      </c>
      <c r="D76" s="106">
        <v>19830054.536312971</v>
      </c>
    </row>
    <row r="77" spans="1:14" x14ac:dyDescent="0.2">
      <c r="B77" s="111" t="s">
        <v>97</v>
      </c>
      <c r="C77" s="106">
        <v>2953969.3842136869</v>
      </c>
      <c r="D77" s="106">
        <v>19830054.536312971</v>
      </c>
    </row>
    <row r="78" spans="1:14" x14ac:dyDescent="0.2">
      <c r="B78" s="111" t="s">
        <v>98</v>
      </c>
      <c r="C78" s="106">
        <v>3323215.5572403977</v>
      </c>
      <c r="D78" s="106">
        <v>22308811.353352096</v>
      </c>
    </row>
    <row r="79" spans="1:14" x14ac:dyDescent="0.2">
      <c r="B79" s="111" t="s">
        <v>99</v>
      </c>
      <c r="C79" s="106">
        <v>2953969.3842136869</v>
      </c>
      <c r="D79" s="106">
        <v>19830054.536312971</v>
      </c>
    </row>
    <row r="80" spans="1:14" x14ac:dyDescent="0.2">
      <c r="B80" s="111" t="s">
        <v>100</v>
      </c>
      <c r="C80" s="106">
        <v>2953969.3842136869</v>
      </c>
      <c r="D80" s="106">
        <v>19830054.536312971</v>
      </c>
    </row>
    <row r="81" spans="2:50" x14ac:dyDescent="0.2">
      <c r="B81" s="111" t="s">
        <v>101</v>
      </c>
      <c r="C81" s="106">
        <v>3323215.5572403977</v>
      </c>
      <c r="D81" s="106">
        <v>22308811.353352096</v>
      </c>
    </row>
    <row r="82" spans="2:50" x14ac:dyDescent="0.2">
      <c r="B82" s="111" t="s">
        <v>102</v>
      </c>
      <c r="C82" s="106">
        <v>2953969.3842136869</v>
      </c>
      <c r="D82" s="106">
        <v>19830054.536312971</v>
      </c>
    </row>
    <row r="83" spans="2:50" x14ac:dyDescent="0.2">
      <c r="B83" s="111" t="s">
        <v>103</v>
      </c>
      <c r="C83" s="106">
        <v>2953969.3842136869</v>
      </c>
      <c r="D83" s="106">
        <v>19830054.536312971</v>
      </c>
    </row>
    <row r="85" spans="2:50" x14ac:dyDescent="0.2">
      <c r="B85" s="109" t="s">
        <v>332</v>
      </c>
    </row>
    <row r="86" spans="2:50" x14ac:dyDescent="0.2">
      <c r="B86" s="105" t="s">
        <v>273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333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4500</v>
      </c>
      <c r="D88" s="106">
        <f>D48+$C$67/4</f>
        <v>4500</v>
      </c>
      <c r="E88" s="106">
        <f>E48+$C$67/4</f>
        <v>4500</v>
      </c>
      <c r="F88" s="106">
        <f>F48+$C$67/4</f>
        <v>4500</v>
      </c>
      <c r="G88" s="106">
        <f>G48+$D$67/4</f>
        <v>4000</v>
      </c>
      <c r="H88" s="106">
        <f>H48+$D$67/4</f>
        <v>4000</v>
      </c>
      <c r="I88" s="106">
        <f>I48+$D$67/4</f>
        <v>4000</v>
      </c>
      <c r="J88" s="106">
        <f>J48+$D$67/4</f>
        <v>4000</v>
      </c>
      <c r="K88" s="106">
        <f>K48+$E$67/4</f>
        <v>4000</v>
      </c>
      <c r="L88" s="106">
        <f>L48+$E$67/4</f>
        <v>4000</v>
      </c>
      <c r="M88" s="106">
        <f>M48+$E$67/4</f>
        <v>4000</v>
      </c>
      <c r="N88" s="106">
        <f>N48+$E$67/4</f>
        <v>4000</v>
      </c>
      <c r="O88" s="106">
        <f>O48+$F$67/4</f>
        <v>4500</v>
      </c>
      <c r="P88" s="106">
        <f>P48+$F$67/4</f>
        <v>4500</v>
      </c>
      <c r="Q88" s="106">
        <f>Q48+$F$67/4</f>
        <v>4500</v>
      </c>
      <c r="R88" s="106">
        <f>R48+$F$67/4</f>
        <v>4500</v>
      </c>
      <c r="S88" s="106">
        <f>S48+$G$67/4</f>
        <v>4000</v>
      </c>
      <c r="T88" s="106">
        <f>T48+$G$67/4</f>
        <v>4000</v>
      </c>
      <c r="U88" s="106">
        <f>U48+$G$67/4</f>
        <v>4000</v>
      </c>
      <c r="V88" s="106">
        <f>V48+$G$67/4</f>
        <v>4000</v>
      </c>
      <c r="W88" s="106">
        <f>W48+$H$67/4</f>
        <v>4000</v>
      </c>
      <c r="X88" s="106">
        <f>X48+$H$67/4</f>
        <v>4000</v>
      </c>
      <c r="Y88" s="106">
        <f>Y48+$H$67/4</f>
        <v>4000</v>
      </c>
      <c r="Z88" s="106">
        <f>Z48+$H$67/4</f>
        <v>4000</v>
      </c>
      <c r="AA88" s="106">
        <f>AA48+$I$67/4</f>
        <v>4500</v>
      </c>
      <c r="AB88" s="106">
        <f>AB48+$I$67/4</f>
        <v>4500</v>
      </c>
      <c r="AC88" s="106">
        <f>AC48+$I$67/4</f>
        <v>4500</v>
      </c>
      <c r="AD88" s="106">
        <f>AD48+$I$67/4</f>
        <v>4500</v>
      </c>
      <c r="AE88" s="106">
        <f>AE48+$J$67/4</f>
        <v>4000</v>
      </c>
      <c r="AF88" s="106">
        <f>AF48+$J$67/4</f>
        <v>4000</v>
      </c>
      <c r="AG88" s="106">
        <f>AG48+$J$67/4</f>
        <v>4000</v>
      </c>
      <c r="AH88" s="106">
        <f>AH48+$J$67/4</f>
        <v>4000</v>
      </c>
      <c r="AI88" s="106">
        <f>AI48+$K$67/4</f>
        <v>4000</v>
      </c>
      <c r="AJ88" s="106">
        <f>AJ48+$K$67/4</f>
        <v>4000</v>
      </c>
      <c r="AK88" s="106">
        <f>AK48+$K$67/4</f>
        <v>4000</v>
      </c>
      <c r="AL88" s="106">
        <f>AL48+$K$67/4</f>
        <v>4000</v>
      </c>
      <c r="AM88" s="106">
        <f>AM48+$L$67/4</f>
        <v>4500</v>
      </c>
      <c r="AN88" s="106">
        <f>AN48+$L$67/4</f>
        <v>4500</v>
      </c>
      <c r="AO88" s="106">
        <f>AO48+$L$67/4</f>
        <v>4500</v>
      </c>
      <c r="AP88" s="106">
        <f>AP48+$L$67/4</f>
        <v>4500</v>
      </c>
      <c r="AQ88" s="106">
        <f>AQ48+$M$67/4</f>
        <v>4000</v>
      </c>
      <c r="AR88" s="106">
        <f>AR48+$M$67/4</f>
        <v>4000</v>
      </c>
      <c r="AS88" s="106">
        <f>AS48+$M$67/4</f>
        <v>4000</v>
      </c>
      <c r="AT88" s="106">
        <f>AT48+$M$67/4</f>
        <v>4000</v>
      </c>
      <c r="AU88" s="106">
        <f>AU48+$N$67/4</f>
        <v>4000</v>
      </c>
      <c r="AV88" s="106">
        <f>AV48+$N$67/4</f>
        <v>4000</v>
      </c>
      <c r="AW88" s="106">
        <f>AW48+$N$67/4</f>
        <v>4000</v>
      </c>
      <c r="AX88" s="106">
        <f>AX48+$N$67/4</f>
        <v>4000</v>
      </c>
    </row>
    <row r="89" spans="2:50" x14ac:dyDescent="0.2">
      <c r="B89" s="105" t="s">
        <v>105</v>
      </c>
      <c r="C89" s="106">
        <f>C49</f>
        <v>3203.3999387586405</v>
      </c>
      <c r="D89" s="106">
        <f t="shared" ref="D89:AX93" si="3">D49</f>
        <v>3203.3999387586405</v>
      </c>
      <c r="E89" s="106">
        <f t="shared" si="3"/>
        <v>3203.3999387586405</v>
      </c>
      <c r="F89" s="106">
        <f t="shared" si="3"/>
        <v>3203.3999387586405</v>
      </c>
      <c r="G89" s="106">
        <f t="shared" si="3"/>
        <v>3203.3999387586405</v>
      </c>
      <c r="H89" s="106">
        <f t="shared" si="3"/>
        <v>3203.3999387586405</v>
      </c>
      <c r="I89" s="106">
        <f t="shared" si="3"/>
        <v>3203.3999387586405</v>
      </c>
      <c r="J89" s="106">
        <f t="shared" si="3"/>
        <v>3203.3999387586405</v>
      </c>
      <c r="K89" s="106">
        <f t="shared" si="3"/>
        <v>3203.3999387586405</v>
      </c>
      <c r="L89" s="106">
        <f t="shared" si="3"/>
        <v>3203.3999387586405</v>
      </c>
      <c r="M89" s="106">
        <f t="shared" si="3"/>
        <v>3203.3999387586405</v>
      </c>
      <c r="N89" s="106">
        <f t="shared" si="3"/>
        <v>3203.3999387586405</v>
      </c>
      <c r="O89" s="106">
        <f t="shared" si="3"/>
        <v>3203.3999387586405</v>
      </c>
      <c r="P89" s="106">
        <f t="shared" si="3"/>
        <v>3203.3999387586405</v>
      </c>
      <c r="Q89" s="106">
        <f t="shared" si="3"/>
        <v>3203.3999387586405</v>
      </c>
      <c r="R89" s="106">
        <f t="shared" si="3"/>
        <v>3203.3999387586405</v>
      </c>
      <c r="S89" s="106">
        <f t="shared" si="3"/>
        <v>1555.7370056884831</v>
      </c>
      <c r="T89" s="106">
        <f t="shared" si="3"/>
        <v>1558.9713203584963</v>
      </c>
      <c r="U89" s="106">
        <f t="shared" si="3"/>
        <v>1562.1973858410449</v>
      </c>
      <c r="V89" s="106">
        <f t="shared" si="3"/>
        <v>3203.3999387586405</v>
      </c>
      <c r="W89" s="106">
        <f t="shared" si="3"/>
        <v>3203.3999387586405</v>
      </c>
      <c r="X89" s="106">
        <f t="shared" si="3"/>
        <v>3203.3999387586405</v>
      </c>
      <c r="Y89" s="106">
        <f t="shared" si="3"/>
        <v>3203.3999387586405</v>
      </c>
      <c r="Z89" s="106">
        <f t="shared" si="3"/>
        <v>3203.3999387586405</v>
      </c>
      <c r="AA89" s="106">
        <f t="shared" si="3"/>
        <v>3203.3999387586405</v>
      </c>
      <c r="AB89" s="106">
        <f t="shared" si="3"/>
        <v>3203.3999387586405</v>
      </c>
      <c r="AC89" s="106">
        <f t="shared" si="3"/>
        <v>3203.3999387586405</v>
      </c>
      <c r="AD89" s="106">
        <f t="shared" si="3"/>
        <v>3203.3999387586405</v>
      </c>
      <c r="AE89" s="106">
        <f t="shared" si="3"/>
        <v>1593.890621677428</v>
      </c>
      <c r="AF89" s="106">
        <f t="shared" si="3"/>
        <v>3203.3999387586405</v>
      </c>
      <c r="AG89" s="106">
        <f t="shared" si="3"/>
        <v>3203.3999387586405</v>
      </c>
      <c r="AH89" s="106">
        <f t="shared" si="3"/>
        <v>3203.3999387586405</v>
      </c>
      <c r="AI89" s="106">
        <f t="shared" si="3"/>
        <v>3203.3999387586405</v>
      </c>
      <c r="AJ89" s="106">
        <f t="shared" si="3"/>
        <v>3203.3999387586405</v>
      </c>
      <c r="AK89" s="106">
        <f t="shared" si="3"/>
        <v>3203.3999387586405</v>
      </c>
      <c r="AL89" s="106">
        <f t="shared" si="3"/>
        <v>3203.3999387586405</v>
      </c>
      <c r="AM89" s="106">
        <f t="shared" si="3"/>
        <v>3203.3999387586405</v>
      </c>
      <c r="AN89" s="106">
        <f t="shared" si="3"/>
        <v>3203.3999387586405</v>
      </c>
      <c r="AO89" s="106">
        <f t="shared" si="3"/>
        <v>3203.3999387586405</v>
      </c>
      <c r="AP89" s="106">
        <f t="shared" si="3"/>
        <v>3203.3999387586405</v>
      </c>
      <c r="AQ89" s="106">
        <f t="shared" si="3"/>
        <v>3203.3999387586405</v>
      </c>
      <c r="AR89" s="106">
        <f t="shared" si="3"/>
        <v>3203.3999387586405</v>
      </c>
      <c r="AS89" s="106">
        <f t="shared" si="3"/>
        <v>3203.3999387586405</v>
      </c>
      <c r="AT89" s="106">
        <f t="shared" si="3"/>
        <v>3203.3999387586405</v>
      </c>
      <c r="AU89" s="106">
        <f t="shared" si="3"/>
        <v>3203.3999387586405</v>
      </c>
      <c r="AV89" s="106">
        <f t="shared" si="3"/>
        <v>3203.3999387586405</v>
      </c>
      <c r="AW89" s="106">
        <f t="shared" si="3"/>
        <v>3203.3999387586405</v>
      </c>
      <c r="AX89" s="106">
        <f t="shared" si="3"/>
        <v>3203.3999387586405</v>
      </c>
    </row>
    <row r="90" spans="2:50" x14ac:dyDescent="0.2">
      <c r="B90" s="105" t="s">
        <v>106</v>
      </c>
      <c r="C90" s="106">
        <f t="shared" ref="C90:R93" si="4">C50</f>
        <v>2958.1665880602222</v>
      </c>
      <c r="D90" s="106">
        <f t="shared" si="4"/>
        <v>2958.1665880602222</v>
      </c>
      <c r="E90" s="106">
        <f t="shared" si="4"/>
        <v>2958.1665880602222</v>
      </c>
      <c r="F90" s="106">
        <f t="shared" si="4"/>
        <v>2958.1665880602222</v>
      </c>
      <c r="G90" s="106">
        <f t="shared" si="4"/>
        <v>2958.1665880602222</v>
      </c>
      <c r="H90" s="106">
        <f t="shared" si="4"/>
        <v>2958.1665880602222</v>
      </c>
      <c r="I90" s="106">
        <f t="shared" si="4"/>
        <v>2958.1665880602222</v>
      </c>
      <c r="J90" s="106">
        <f t="shared" si="4"/>
        <v>2958.1665880602222</v>
      </c>
      <c r="K90" s="106">
        <f t="shared" si="4"/>
        <v>2958.1665880602222</v>
      </c>
      <c r="L90" s="106">
        <f t="shared" si="4"/>
        <v>2958.1665880602222</v>
      </c>
      <c r="M90" s="106">
        <f t="shared" si="4"/>
        <v>2958.1665880602222</v>
      </c>
      <c r="N90" s="106">
        <f t="shared" si="4"/>
        <v>2958.1665880602222</v>
      </c>
      <c r="O90" s="106">
        <f t="shared" si="4"/>
        <v>2958.1665880602222</v>
      </c>
      <c r="P90" s="106">
        <f t="shared" si="4"/>
        <v>2958.1665880602222</v>
      </c>
      <c r="Q90" s="106">
        <f t="shared" si="4"/>
        <v>2958.1665880602222</v>
      </c>
      <c r="R90" s="106">
        <f t="shared" si="4"/>
        <v>2958.1665880602222</v>
      </c>
      <c r="S90" s="106">
        <f t="shared" si="3"/>
        <v>2958.1665880602222</v>
      </c>
      <c r="T90" s="106">
        <f t="shared" si="3"/>
        <v>2958.1665880602222</v>
      </c>
      <c r="U90" s="106">
        <f t="shared" si="3"/>
        <v>2958.1665880602222</v>
      </c>
      <c r="V90" s="106">
        <f t="shared" si="3"/>
        <v>2958.1665880602222</v>
      </c>
      <c r="W90" s="106">
        <f t="shared" si="3"/>
        <v>2958.1665880602222</v>
      </c>
      <c r="X90" s="106">
        <f t="shared" si="3"/>
        <v>2958.1665880602222</v>
      </c>
      <c r="Y90" s="106">
        <f t="shared" si="3"/>
        <v>2958.1665880602222</v>
      </c>
      <c r="Z90" s="106">
        <f t="shared" si="3"/>
        <v>2958.1665880602222</v>
      </c>
      <c r="AA90" s="106">
        <f t="shared" si="3"/>
        <v>2958.1665880602222</v>
      </c>
      <c r="AB90" s="106">
        <f t="shared" si="3"/>
        <v>2958.1665880602222</v>
      </c>
      <c r="AC90" s="106">
        <f t="shared" si="3"/>
        <v>2116.8624246724253</v>
      </c>
      <c r="AD90" s="106">
        <f t="shared" si="3"/>
        <v>2958.1665880602222</v>
      </c>
      <c r="AE90" s="106">
        <f t="shared" si="3"/>
        <v>2958.1665880602222</v>
      </c>
      <c r="AF90" s="106">
        <f t="shared" si="3"/>
        <v>2958.1665880602222</v>
      </c>
      <c r="AG90" s="106">
        <f t="shared" si="3"/>
        <v>2958.1665880602222</v>
      </c>
      <c r="AH90" s="106">
        <f t="shared" si="3"/>
        <v>2958.1665880602222</v>
      </c>
      <c r="AI90" s="106">
        <f t="shared" si="3"/>
        <v>2958.1665880602222</v>
      </c>
      <c r="AJ90" s="106">
        <f t="shared" si="3"/>
        <v>2958.1665880602222</v>
      </c>
      <c r="AK90" s="106">
        <f t="shared" si="3"/>
        <v>2958.1665880602222</v>
      </c>
      <c r="AL90" s="106">
        <f t="shared" si="3"/>
        <v>2958.1665880602222</v>
      </c>
      <c r="AM90" s="106">
        <f t="shared" si="3"/>
        <v>2958.1665880602222</v>
      </c>
      <c r="AN90" s="106">
        <f t="shared" si="3"/>
        <v>2958.1665880602222</v>
      </c>
      <c r="AO90" s="106">
        <f t="shared" si="3"/>
        <v>2958.1665880602222</v>
      </c>
      <c r="AP90" s="106">
        <f t="shared" si="3"/>
        <v>2958.1665880602222</v>
      </c>
      <c r="AQ90" s="106">
        <f t="shared" si="3"/>
        <v>2958.1665880602222</v>
      </c>
      <c r="AR90" s="106">
        <f t="shared" si="3"/>
        <v>2958.1665880602222</v>
      </c>
      <c r="AS90" s="106">
        <f t="shared" si="3"/>
        <v>2958.1665880602222</v>
      </c>
      <c r="AT90" s="106">
        <f t="shared" si="3"/>
        <v>2958.1665880602222</v>
      </c>
      <c r="AU90" s="106">
        <f t="shared" si="3"/>
        <v>2958.1665880602222</v>
      </c>
      <c r="AV90" s="106">
        <f t="shared" si="3"/>
        <v>2958.1665880602222</v>
      </c>
      <c r="AW90" s="106">
        <f t="shared" si="3"/>
        <v>2958.1665880602222</v>
      </c>
      <c r="AX90" s="106">
        <f t="shared" si="3"/>
        <v>2958.1665880602222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334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335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27341.915544177133</v>
      </c>
      <c r="D98" s="106">
        <v>27341.915544177133</v>
      </c>
      <c r="E98" s="106">
        <v>27341.915544177133</v>
      </c>
      <c r="F98" s="106">
        <v>27341.915544177133</v>
      </c>
      <c r="G98" s="106">
        <v>24303.924928157448</v>
      </c>
      <c r="H98" s="106">
        <v>24303.924928157448</v>
      </c>
      <c r="I98" s="106">
        <v>24303.924928157448</v>
      </c>
      <c r="J98" s="106">
        <v>24303.924928157448</v>
      </c>
      <c r="K98" s="106">
        <v>24303.924928157448</v>
      </c>
      <c r="L98" s="106">
        <v>24303.924928157448</v>
      </c>
      <c r="M98" s="106">
        <v>24303.924928157448</v>
      </c>
      <c r="N98" s="106">
        <v>24303.924928157448</v>
      </c>
      <c r="O98" s="106">
        <v>27341.915544177133</v>
      </c>
      <c r="P98" s="106">
        <v>27341.915544177133</v>
      </c>
      <c r="Q98" s="106">
        <v>27341.915544177133</v>
      </c>
      <c r="R98" s="106">
        <v>27341.915544177133</v>
      </c>
      <c r="S98" s="106">
        <v>24303.924928157448</v>
      </c>
      <c r="T98" s="106">
        <v>24303.924928157448</v>
      </c>
      <c r="U98" s="106">
        <v>24303.924928157448</v>
      </c>
      <c r="V98" s="106">
        <v>24303.924928157448</v>
      </c>
      <c r="W98" s="106">
        <v>24303.924928157448</v>
      </c>
      <c r="X98" s="106">
        <v>24303.924928157448</v>
      </c>
      <c r="Y98" s="106">
        <v>24303.924928157448</v>
      </c>
      <c r="Z98" s="106">
        <v>24303.924928157448</v>
      </c>
      <c r="AA98" s="106">
        <v>27341.915544177133</v>
      </c>
      <c r="AB98" s="106">
        <v>27341.915544177133</v>
      </c>
      <c r="AC98" s="106">
        <v>27341.915544177133</v>
      </c>
      <c r="AD98" s="106">
        <v>27341.915544177133</v>
      </c>
      <c r="AE98" s="106">
        <v>24303.924928157448</v>
      </c>
      <c r="AF98" s="106">
        <v>24303.924928157448</v>
      </c>
      <c r="AG98" s="106">
        <v>24303.924928157448</v>
      </c>
      <c r="AH98" s="106">
        <v>24303.924928157448</v>
      </c>
      <c r="AI98" s="106">
        <v>24303.924928157448</v>
      </c>
      <c r="AJ98" s="106">
        <v>24303.924928157448</v>
      </c>
      <c r="AK98" s="106">
        <v>24303.924928157448</v>
      </c>
      <c r="AL98" s="106">
        <v>24303.924928157448</v>
      </c>
      <c r="AM98" s="106">
        <v>27341.915544177133</v>
      </c>
      <c r="AN98" s="106">
        <v>27341.915544177133</v>
      </c>
      <c r="AO98" s="106">
        <v>27341.915544177133</v>
      </c>
      <c r="AP98" s="106">
        <v>27341.915544177133</v>
      </c>
      <c r="AQ98" s="106">
        <v>24303.924928157448</v>
      </c>
      <c r="AR98" s="106">
        <v>24303.924928157448</v>
      </c>
      <c r="AS98" s="106">
        <v>24303.924928157448</v>
      </c>
      <c r="AT98" s="106">
        <v>24303.924928157448</v>
      </c>
      <c r="AU98" s="106">
        <v>24303.924928157448</v>
      </c>
      <c r="AV98" s="106">
        <v>24303.924928157448</v>
      </c>
      <c r="AW98" s="106">
        <v>24303.924928157448</v>
      </c>
      <c r="AX98" s="106">
        <v>24303.924928157448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245079.35693784431</v>
      </c>
      <c r="D100" s="106">
        <v>245079.35693784431</v>
      </c>
      <c r="E100" s="106">
        <v>245079.35693784431</v>
      </c>
      <c r="F100" s="106">
        <v>245079.35693784431</v>
      </c>
      <c r="G100" s="106">
        <v>217848.31727808379</v>
      </c>
      <c r="H100" s="106">
        <v>217848.31727808379</v>
      </c>
      <c r="I100" s="106">
        <v>217848.31727808379</v>
      </c>
      <c r="J100" s="106">
        <v>217848.31727808379</v>
      </c>
      <c r="K100" s="106">
        <v>217848.31727808379</v>
      </c>
      <c r="L100" s="106">
        <v>217848.31727808379</v>
      </c>
      <c r="M100" s="106">
        <v>217848.31727808379</v>
      </c>
      <c r="N100" s="106">
        <v>217848.31727808379</v>
      </c>
      <c r="O100" s="106">
        <v>245079.35693784431</v>
      </c>
      <c r="P100" s="106">
        <v>245079.35693784431</v>
      </c>
      <c r="Q100" s="106">
        <v>245079.35693784431</v>
      </c>
      <c r="R100" s="106">
        <v>245079.35693784431</v>
      </c>
      <c r="S100" s="106">
        <v>217848.31727808379</v>
      </c>
      <c r="T100" s="106">
        <v>217848.31727808379</v>
      </c>
      <c r="U100" s="106">
        <v>217848.31727808379</v>
      </c>
      <c r="V100" s="106">
        <v>217848.31727808379</v>
      </c>
      <c r="W100" s="106">
        <v>217848.31727808379</v>
      </c>
      <c r="X100" s="106">
        <v>217848.31727808379</v>
      </c>
      <c r="Y100" s="106">
        <v>217848.31727808379</v>
      </c>
      <c r="Z100" s="106">
        <v>217848.31727808379</v>
      </c>
      <c r="AA100" s="106">
        <v>245079.35693784431</v>
      </c>
      <c r="AB100" s="106">
        <v>245079.35693784431</v>
      </c>
      <c r="AC100" s="106">
        <v>245079.35693784431</v>
      </c>
      <c r="AD100" s="106">
        <v>245079.35693784431</v>
      </c>
      <c r="AE100" s="106">
        <v>217848.31727808379</v>
      </c>
      <c r="AF100" s="106">
        <v>217848.31727808379</v>
      </c>
      <c r="AG100" s="106">
        <v>217848.31727808379</v>
      </c>
      <c r="AH100" s="106">
        <v>217848.31727808379</v>
      </c>
      <c r="AI100" s="106">
        <v>217848.31727808379</v>
      </c>
      <c r="AJ100" s="106">
        <v>217848.31727808379</v>
      </c>
      <c r="AK100" s="106">
        <v>217848.31727808379</v>
      </c>
      <c r="AL100" s="106">
        <v>217848.31727808379</v>
      </c>
      <c r="AM100" s="106">
        <v>245079.35693784431</v>
      </c>
      <c r="AN100" s="106">
        <v>245079.35693784431</v>
      </c>
      <c r="AO100" s="106">
        <v>245079.35693784431</v>
      </c>
      <c r="AP100" s="106">
        <v>245079.35693784431</v>
      </c>
      <c r="AQ100" s="106">
        <v>217848.31727808379</v>
      </c>
      <c r="AR100" s="106">
        <v>217848.31727808379</v>
      </c>
      <c r="AS100" s="106">
        <v>217848.31727808379</v>
      </c>
      <c r="AT100" s="106">
        <v>217848.31727808379</v>
      </c>
      <c r="AU100" s="106">
        <v>217848.31727808379</v>
      </c>
      <c r="AV100" s="106">
        <v>217848.31727808379</v>
      </c>
      <c r="AW100" s="106">
        <v>217848.31727808379</v>
      </c>
      <c r="AX100" s="106">
        <v>217848.31727808379</v>
      </c>
    </row>
    <row r="101" spans="1:50" x14ac:dyDescent="0.2">
      <c r="B101" s="111" t="s">
        <v>22</v>
      </c>
      <c r="C101" s="106">
        <v>633730.12560000003</v>
      </c>
      <c r="D101" s="106">
        <v>633730.12560000003</v>
      </c>
      <c r="E101" s="106">
        <v>633730.12560000003</v>
      </c>
      <c r="F101" s="106">
        <v>633730.12560000003</v>
      </c>
      <c r="G101" s="106">
        <v>563315.66719999991</v>
      </c>
      <c r="H101" s="106">
        <v>563315.66719999991</v>
      </c>
      <c r="I101" s="106">
        <v>563315.66719999991</v>
      </c>
      <c r="J101" s="106">
        <v>563315.66719999991</v>
      </c>
      <c r="K101" s="106">
        <v>563315.66719999991</v>
      </c>
      <c r="L101" s="106">
        <v>563315.66719999991</v>
      </c>
      <c r="M101" s="106">
        <v>563315.66719999991</v>
      </c>
      <c r="N101" s="106">
        <v>563315.66719999991</v>
      </c>
      <c r="O101" s="106">
        <v>633730.12560000003</v>
      </c>
      <c r="P101" s="106">
        <v>633730.12560000003</v>
      </c>
      <c r="Q101" s="106">
        <v>633730.12560000003</v>
      </c>
      <c r="R101" s="106">
        <v>633730.12560000003</v>
      </c>
      <c r="S101" s="106">
        <v>563315.66719999991</v>
      </c>
      <c r="T101" s="106">
        <v>563315.66719999991</v>
      </c>
      <c r="U101" s="106">
        <v>563315.66719999991</v>
      </c>
      <c r="V101" s="106">
        <v>563315.66719999991</v>
      </c>
      <c r="W101" s="106">
        <v>563315.66719999991</v>
      </c>
      <c r="X101" s="106">
        <v>563315.66719999991</v>
      </c>
      <c r="Y101" s="106">
        <v>563315.66719999991</v>
      </c>
      <c r="Z101" s="106">
        <v>563315.66719999991</v>
      </c>
      <c r="AA101" s="106">
        <v>633730.12560000003</v>
      </c>
      <c r="AB101" s="106">
        <v>633730.12560000003</v>
      </c>
      <c r="AC101" s="106">
        <v>633730.12560000003</v>
      </c>
      <c r="AD101" s="106">
        <v>633730.12560000003</v>
      </c>
      <c r="AE101" s="106">
        <v>563315.66719999991</v>
      </c>
      <c r="AF101" s="106">
        <v>563315.66719999991</v>
      </c>
      <c r="AG101" s="106">
        <v>563315.66719999991</v>
      </c>
      <c r="AH101" s="106">
        <v>563315.66719999991</v>
      </c>
      <c r="AI101" s="106">
        <v>563315.66719999991</v>
      </c>
      <c r="AJ101" s="106">
        <v>563315.66719999991</v>
      </c>
      <c r="AK101" s="106">
        <v>563315.66719999991</v>
      </c>
      <c r="AL101" s="106">
        <v>563315.66719999991</v>
      </c>
      <c r="AM101" s="106">
        <v>633730.12560000003</v>
      </c>
      <c r="AN101" s="106">
        <v>633730.12560000003</v>
      </c>
      <c r="AO101" s="106">
        <v>633730.12560000003</v>
      </c>
      <c r="AP101" s="106">
        <v>633730.12560000003</v>
      </c>
      <c r="AQ101" s="106">
        <v>563315.66719999991</v>
      </c>
      <c r="AR101" s="106">
        <v>563315.66719999991</v>
      </c>
      <c r="AS101" s="106">
        <v>563315.66719999991</v>
      </c>
      <c r="AT101" s="106">
        <v>563315.66719999991</v>
      </c>
      <c r="AU101" s="106">
        <v>563315.66719999991</v>
      </c>
      <c r="AV101" s="106">
        <v>563315.66719999991</v>
      </c>
      <c r="AW101" s="106">
        <v>563315.66719999991</v>
      </c>
      <c r="AX101" s="106">
        <v>563315.66719999991</v>
      </c>
    </row>
    <row r="102" spans="1:50" x14ac:dyDescent="0.2">
      <c r="B102" s="111" t="s">
        <v>59</v>
      </c>
      <c r="C102" s="106">
        <v>328360.79508561775</v>
      </c>
      <c r="D102" s="106">
        <v>328360.79508561775</v>
      </c>
      <c r="E102" s="106">
        <v>328360.79508561775</v>
      </c>
      <c r="F102" s="106">
        <v>328360.79508561775</v>
      </c>
      <c r="G102" s="106">
        <v>291876.26229832688</v>
      </c>
      <c r="H102" s="106">
        <v>291876.26229832688</v>
      </c>
      <c r="I102" s="106">
        <v>291876.26229832688</v>
      </c>
      <c r="J102" s="106">
        <v>291876.26229832688</v>
      </c>
      <c r="K102" s="106">
        <v>291876.26229832688</v>
      </c>
      <c r="L102" s="106">
        <v>291876.26229832688</v>
      </c>
      <c r="M102" s="106">
        <v>291876.26229832688</v>
      </c>
      <c r="N102" s="106">
        <v>291876.26229832688</v>
      </c>
      <c r="O102" s="106">
        <v>328360.79508561775</v>
      </c>
      <c r="P102" s="106">
        <v>328360.79508561775</v>
      </c>
      <c r="Q102" s="106">
        <v>328360.79508561775</v>
      </c>
      <c r="R102" s="106">
        <v>328360.79508561775</v>
      </c>
      <c r="S102" s="106">
        <v>291876.26229832688</v>
      </c>
      <c r="T102" s="106">
        <v>291876.26229832688</v>
      </c>
      <c r="U102" s="106">
        <v>291876.26229832688</v>
      </c>
      <c r="V102" s="106">
        <v>291876.26229832688</v>
      </c>
      <c r="W102" s="106">
        <v>291876.26229832688</v>
      </c>
      <c r="X102" s="106">
        <v>291876.26229832688</v>
      </c>
      <c r="Y102" s="106">
        <v>291876.26229832688</v>
      </c>
      <c r="Z102" s="106">
        <v>291876.26229832688</v>
      </c>
      <c r="AA102" s="106">
        <v>328360.79508561775</v>
      </c>
      <c r="AB102" s="106">
        <v>328360.79508561775</v>
      </c>
      <c r="AC102" s="106">
        <v>328360.79508561775</v>
      </c>
      <c r="AD102" s="106">
        <v>328360.79508561775</v>
      </c>
      <c r="AE102" s="106">
        <v>291876.26229832688</v>
      </c>
      <c r="AF102" s="106">
        <v>291876.26229832688</v>
      </c>
      <c r="AG102" s="106">
        <v>291876.26229832688</v>
      </c>
      <c r="AH102" s="106">
        <v>291876.26229832688</v>
      </c>
      <c r="AI102" s="106">
        <v>291876.26229832688</v>
      </c>
      <c r="AJ102" s="106">
        <v>291876.26229832688</v>
      </c>
      <c r="AK102" s="106">
        <v>291876.26229832688</v>
      </c>
      <c r="AL102" s="106">
        <v>291876.26229832688</v>
      </c>
      <c r="AM102" s="106">
        <v>328360.79508561775</v>
      </c>
      <c r="AN102" s="106">
        <v>328360.79508561775</v>
      </c>
      <c r="AO102" s="106">
        <v>328360.79508561775</v>
      </c>
      <c r="AP102" s="106">
        <v>328360.79508561775</v>
      </c>
      <c r="AQ102" s="106">
        <v>291876.26229832688</v>
      </c>
      <c r="AR102" s="106">
        <v>291876.26229832688</v>
      </c>
      <c r="AS102" s="106">
        <v>291876.26229832688</v>
      </c>
      <c r="AT102" s="106">
        <v>291876.26229832688</v>
      </c>
      <c r="AU102" s="106">
        <v>291876.26229832688</v>
      </c>
      <c r="AV102" s="106">
        <v>291876.26229832688</v>
      </c>
      <c r="AW102" s="106">
        <v>291876.26229832688</v>
      </c>
      <c r="AX102" s="106">
        <v>291876.26229832688</v>
      </c>
    </row>
    <row r="103" spans="1:50" x14ac:dyDescent="0.2">
      <c r="B103" s="106" t="s">
        <v>277</v>
      </c>
      <c r="C103" s="111">
        <f>SUM(C$98:C$102)</f>
        <v>1234512.1931676392</v>
      </c>
      <c r="D103" s="111">
        <f t="shared" ref="D103:AX103" si="5">SUM(D$98:D$102)</f>
        <v>1234512.1931676392</v>
      </c>
      <c r="E103" s="111">
        <f t="shared" si="5"/>
        <v>1234512.1931676392</v>
      </c>
      <c r="F103" s="111">
        <f t="shared" si="5"/>
        <v>1234512.1931676392</v>
      </c>
      <c r="G103" s="111">
        <f t="shared" si="5"/>
        <v>1097344.171704568</v>
      </c>
      <c r="H103" s="111">
        <f t="shared" si="5"/>
        <v>1097344.171704568</v>
      </c>
      <c r="I103" s="111">
        <f t="shared" si="5"/>
        <v>1097344.171704568</v>
      </c>
      <c r="J103" s="111">
        <f t="shared" si="5"/>
        <v>1097344.171704568</v>
      </c>
      <c r="K103" s="111">
        <f t="shared" si="5"/>
        <v>1097344.171704568</v>
      </c>
      <c r="L103" s="111">
        <f t="shared" si="5"/>
        <v>1097344.171704568</v>
      </c>
      <c r="M103" s="111">
        <f t="shared" si="5"/>
        <v>1097344.171704568</v>
      </c>
      <c r="N103" s="111">
        <f t="shared" si="5"/>
        <v>1097344.171704568</v>
      </c>
      <c r="O103" s="111">
        <f t="shared" si="5"/>
        <v>1234512.1931676392</v>
      </c>
      <c r="P103" s="111">
        <f t="shared" si="5"/>
        <v>1234512.1931676392</v>
      </c>
      <c r="Q103" s="111">
        <f t="shared" si="5"/>
        <v>1234512.1931676392</v>
      </c>
      <c r="R103" s="111">
        <f t="shared" si="5"/>
        <v>1234512.1931676392</v>
      </c>
      <c r="S103" s="111">
        <f t="shared" si="5"/>
        <v>1097344.171704568</v>
      </c>
      <c r="T103" s="111">
        <f t="shared" si="5"/>
        <v>1097344.171704568</v>
      </c>
      <c r="U103" s="111">
        <f t="shared" si="5"/>
        <v>1097344.171704568</v>
      </c>
      <c r="V103" s="111">
        <f t="shared" si="5"/>
        <v>1097344.171704568</v>
      </c>
      <c r="W103" s="111">
        <f t="shared" si="5"/>
        <v>1097344.171704568</v>
      </c>
      <c r="X103" s="111">
        <f t="shared" si="5"/>
        <v>1097344.171704568</v>
      </c>
      <c r="Y103" s="111">
        <f t="shared" si="5"/>
        <v>1097344.171704568</v>
      </c>
      <c r="Z103" s="111">
        <f t="shared" si="5"/>
        <v>1097344.171704568</v>
      </c>
      <c r="AA103" s="111">
        <f t="shared" si="5"/>
        <v>1234512.1931676392</v>
      </c>
      <c r="AB103" s="111">
        <f t="shared" si="5"/>
        <v>1234512.1931676392</v>
      </c>
      <c r="AC103" s="111">
        <f t="shared" si="5"/>
        <v>1234512.1931676392</v>
      </c>
      <c r="AD103" s="111">
        <f t="shared" si="5"/>
        <v>1234512.1931676392</v>
      </c>
      <c r="AE103" s="111">
        <f t="shared" si="5"/>
        <v>1097344.171704568</v>
      </c>
      <c r="AF103" s="111">
        <f t="shared" si="5"/>
        <v>1097344.171704568</v>
      </c>
      <c r="AG103" s="111">
        <f t="shared" si="5"/>
        <v>1097344.171704568</v>
      </c>
      <c r="AH103" s="111">
        <f t="shared" si="5"/>
        <v>1097344.171704568</v>
      </c>
      <c r="AI103" s="111">
        <f t="shared" si="5"/>
        <v>1097344.171704568</v>
      </c>
      <c r="AJ103" s="111">
        <f t="shared" si="5"/>
        <v>1097344.171704568</v>
      </c>
      <c r="AK103" s="111">
        <f t="shared" si="5"/>
        <v>1097344.171704568</v>
      </c>
      <c r="AL103" s="111">
        <f t="shared" si="5"/>
        <v>1097344.171704568</v>
      </c>
      <c r="AM103" s="111">
        <f t="shared" si="5"/>
        <v>1234512.1931676392</v>
      </c>
      <c r="AN103" s="111">
        <f t="shared" si="5"/>
        <v>1234512.1931676392</v>
      </c>
      <c r="AO103" s="111">
        <f t="shared" si="5"/>
        <v>1234512.1931676392</v>
      </c>
      <c r="AP103" s="111">
        <f t="shared" si="5"/>
        <v>1234512.1931676392</v>
      </c>
      <c r="AQ103" s="111">
        <f t="shared" si="5"/>
        <v>1097344.171704568</v>
      </c>
      <c r="AR103" s="111">
        <f t="shared" si="5"/>
        <v>1097344.171704568</v>
      </c>
      <c r="AS103" s="111">
        <f t="shared" si="5"/>
        <v>1097344.171704568</v>
      </c>
      <c r="AT103" s="111">
        <f t="shared" si="5"/>
        <v>1097344.171704568</v>
      </c>
      <c r="AU103" s="111">
        <f t="shared" si="5"/>
        <v>1097344.171704568</v>
      </c>
      <c r="AV103" s="111">
        <f t="shared" si="5"/>
        <v>1097344.171704568</v>
      </c>
      <c r="AW103" s="111">
        <f t="shared" si="5"/>
        <v>1097344.171704568</v>
      </c>
      <c r="AX103" s="111">
        <f t="shared" si="5"/>
        <v>1097344.171704568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72412.357484990862</v>
      </c>
      <c r="D105" s="106">
        <v>72412.357484990862</v>
      </c>
      <c r="E105" s="106">
        <v>72412.357484990862</v>
      </c>
      <c r="F105" s="106">
        <v>72412.357484990862</v>
      </c>
      <c r="G105" s="106">
        <v>72412.357484990862</v>
      </c>
      <c r="H105" s="106">
        <v>72412.357484990862</v>
      </c>
      <c r="I105" s="106">
        <v>72412.357484990862</v>
      </c>
      <c r="J105" s="106">
        <v>72412.357484990862</v>
      </c>
      <c r="K105" s="106">
        <v>72412.357484990862</v>
      </c>
      <c r="L105" s="106">
        <v>72412.357484990862</v>
      </c>
      <c r="M105" s="106">
        <v>72412.357484990862</v>
      </c>
      <c r="N105" s="106">
        <v>72412.357484990862</v>
      </c>
      <c r="O105" s="106">
        <v>72412.357484990862</v>
      </c>
      <c r="P105" s="106">
        <v>72412.357484990862</v>
      </c>
      <c r="Q105" s="106">
        <v>72412.357484990862</v>
      </c>
      <c r="R105" s="106">
        <v>72412.357484990862</v>
      </c>
      <c r="S105" s="106">
        <v>35167.193095532995</v>
      </c>
      <c r="T105" s="106">
        <v>35240.30427571074</v>
      </c>
      <c r="U105" s="106">
        <v>35313.228984288595</v>
      </c>
      <c r="V105" s="106">
        <v>72412.357484990862</v>
      </c>
      <c r="W105" s="106">
        <v>72412.357484990862</v>
      </c>
      <c r="X105" s="106">
        <v>72412.357484990862</v>
      </c>
      <c r="Y105" s="106">
        <v>72412.357484990862</v>
      </c>
      <c r="Z105" s="106">
        <v>72412.357484990862</v>
      </c>
      <c r="AA105" s="106">
        <v>72412.357484990862</v>
      </c>
      <c r="AB105" s="106">
        <v>72412.357484990862</v>
      </c>
      <c r="AC105" s="106">
        <v>72412.357484990862</v>
      </c>
      <c r="AD105" s="106">
        <v>72412.357484990862</v>
      </c>
      <c r="AE105" s="106">
        <v>36029.649652052496</v>
      </c>
      <c r="AF105" s="106">
        <v>72412.357484990862</v>
      </c>
      <c r="AG105" s="106">
        <v>72412.357484990862</v>
      </c>
      <c r="AH105" s="106">
        <v>72412.357484990862</v>
      </c>
      <c r="AI105" s="106">
        <v>72412.357484990862</v>
      </c>
      <c r="AJ105" s="106">
        <v>72412.357484990862</v>
      </c>
      <c r="AK105" s="106">
        <v>72412.357484990862</v>
      </c>
      <c r="AL105" s="106">
        <v>72412.357484990862</v>
      </c>
      <c r="AM105" s="106">
        <v>72412.357484990862</v>
      </c>
      <c r="AN105" s="106">
        <v>72412.357484990862</v>
      </c>
      <c r="AO105" s="106">
        <v>72412.357484990862</v>
      </c>
      <c r="AP105" s="106">
        <v>72412.357484990862</v>
      </c>
      <c r="AQ105" s="106">
        <v>72412.357484990862</v>
      </c>
      <c r="AR105" s="106">
        <v>72412.357484990862</v>
      </c>
      <c r="AS105" s="106">
        <v>72412.357484990862</v>
      </c>
      <c r="AT105" s="106">
        <v>72412.357484990862</v>
      </c>
      <c r="AU105" s="106">
        <v>72412.357484990862</v>
      </c>
      <c r="AV105" s="106">
        <v>72412.357484990862</v>
      </c>
      <c r="AW105" s="106">
        <v>72412.357484990862</v>
      </c>
      <c r="AX105" s="106">
        <v>72412.357484990862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57426.278346636958</v>
      </c>
      <c r="D107" s="106">
        <v>57426.278346636958</v>
      </c>
      <c r="E107" s="106">
        <v>57426.278346636958</v>
      </c>
      <c r="F107" s="106">
        <v>57426.278346636958</v>
      </c>
      <c r="G107" s="106">
        <v>57426.278346636958</v>
      </c>
      <c r="H107" s="106">
        <v>57426.278346636958</v>
      </c>
      <c r="I107" s="106">
        <v>57426.278346636958</v>
      </c>
      <c r="J107" s="106">
        <v>57426.278346636958</v>
      </c>
      <c r="K107" s="106">
        <v>57426.278346636958</v>
      </c>
      <c r="L107" s="106">
        <v>57426.278346636958</v>
      </c>
      <c r="M107" s="106">
        <v>57426.278346636958</v>
      </c>
      <c r="N107" s="106">
        <v>57426.278346636958</v>
      </c>
      <c r="O107" s="106">
        <v>57426.278346636958</v>
      </c>
      <c r="P107" s="106">
        <v>57426.278346636958</v>
      </c>
      <c r="Q107" s="106">
        <v>57426.278346636958</v>
      </c>
      <c r="R107" s="106">
        <v>57426.278346636958</v>
      </c>
      <c r="S107" s="106">
        <v>27889.17650958402</v>
      </c>
      <c r="T107" s="106">
        <v>27947.156985968981</v>
      </c>
      <c r="U107" s="106">
        <v>28004.989581931728</v>
      </c>
      <c r="V107" s="106">
        <v>57426.278346636958</v>
      </c>
      <c r="W107" s="106">
        <v>57426.278346636958</v>
      </c>
      <c r="X107" s="106">
        <v>57426.278346636958</v>
      </c>
      <c r="Y107" s="106">
        <v>57426.278346636958</v>
      </c>
      <c r="Z107" s="106">
        <v>57426.278346636958</v>
      </c>
      <c r="AA107" s="106">
        <v>57426.278346636958</v>
      </c>
      <c r="AB107" s="106">
        <v>57426.278346636958</v>
      </c>
      <c r="AC107" s="106">
        <v>57426.278346636958</v>
      </c>
      <c r="AD107" s="106">
        <v>57426.278346636958</v>
      </c>
      <c r="AE107" s="106">
        <v>28573.143611288124</v>
      </c>
      <c r="AF107" s="106">
        <v>57426.278346636958</v>
      </c>
      <c r="AG107" s="106">
        <v>57426.278346636958</v>
      </c>
      <c r="AH107" s="106">
        <v>57426.278346636958</v>
      </c>
      <c r="AI107" s="106">
        <v>57426.278346636958</v>
      </c>
      <c r="AJ107" s="106">
        <v>57426.278346636958</v>
      </c>
      <c r="AK107" s="106">
        <v>57426.278346636958</v>
      </c>
      <c r="AL107" s="106">
        <v>57426.278346636958</v>
      </c>
      <c r="AM107" s="106">
        <v>57426.278346636958</v>
      </c>
      <c r="AN107" s="106">
        <v>57426.278346636958</v>
      </c>
      <c r="AO107" s="106">
        <v>57426.278346636958</v>
      </c>
      <c r="AP107" s="106">
        <v>57426.278346636958</v>
      </c>
      <c r="AQ107" s="106">
        <v>57426.278346636958</v>
      </c>
      <c r="AR107" s="106">
        <v>57426.278346636958</v>
      </c>
      <c r="AS107" s="106">
        <v>57426.278346636958</v>
      </c>
      <c r="AT107" s="106">
        <v>57426.278346636958</v>
      </c>
      <c r="AU107" s="106">
        <v>57426.278346636958</v>
      </c>
      <c r="AV107" s="106">
        <v>57426.278346636958</v>
      </c>
      <c r="AW107" s="106">
        <v>57426.278346636958</v>
      </c>
      <c r="AX107" s="106">
        <v>57426.278346636958</v>
      </c>
    </row>
    <row r="108" spans="1:50" x14ac:dyDescent="0.2">
      <c r="B108" s="111" t="s">
        <v>59</v>
      </c>
      <c r="C108" s="106">
        <v>1231990.4634140832</v>
      </c>
      <c r="D108" s="106">
        <v>1231990.4634140832</v>
      </c>
      <c r="E108" s="106">
        <v>1231990.4634140832</v>
      </c>
      <c r="F108" s="106">
        <v>1231990.4634140832</v>
      </c>
      <c r="G108" s="106">
        <v>1231990.4634140832</v>
      </c>
      <c r="H108" s="106">
        <v>1231990.4634140832</v>
      </c>
      <c r="I108" s="106">
        <v>1231990.4634140832</v>
      </c>
      <c r="J108" s="106">
        <v>1231990.4634140832</v>
      </c>
      <c r="K108" s="106">
        <v>1231990.4634140832</v>
      </c>
      <c r="L108" s="106">
        <v>1231990.4634140832</v>
      </c>
      <c r="M108" s="106">
        <v>1231990.4634140832</v>
      </c>
      <c r="N108" s="106">
        <v>1231990.4634140832</v>
      </c>
      <c r="O108" s="106">
        <v>1231990.4634140832</v>
      </c>
      <c r="P108" s="106">
        <v>1231990.4634140832</v>
      </c>
      <c r="Q108" s="106">
        <v>1231990.4634140832</v>
      </c>
      <c r="R108" s="106">
        <v>1231990.4634140832</v>
      </c>
      <c r="S108" s="106">
        <v>598318.40894999867</v>
      </c>
      <c r="T108" s="106">
        <v>599562.28886050417</v>
      </c>
      <c r="U108" s="106">
        <v>600802.99622918491</v>
      </c>
      <c r="V108" s="106">
        <v>1231990.4634140832</v>
      </c>
      <c r="W108" s="106">
        <v>1231990.4634140832</v>
      </c>
      <c r="X108" s="106">
        <v>1231990.4634140832</v>
      </c>
      <c r="Y108" s="106">
        <v>1231990.4634140832</v>
      </c>
      <c r="Z108" s="106">
        <v>1231990.4634140832</v>
      </c>
      <c r="AA108" s="106">
        <v>1231990.4634140832</v>
      </c>
      <c r="AB108" s="106">
        <v>1231990.4634140832</v>
      </c>
      <c r="AC108" s="106">
        <v>1231990.4634140832</v>
      </c>
      <c r="AD108" s="106">
        <v>1231990.4634140832</v>
      </c>
      <c r="AE108" s="106">
        <v>612991.84715370857</v>
      </c>
      <c r="AF108" s="106">
        <v>1231990.4634140832</v>
      </c>
      <c r="AG108" s="106">
        <v>1231990.4634140832</v>
      </c>
      <c r="AH108" s="106">
        <v>1231990.4634140832</v>
      </c>
      <c r="AI108" s="106">
        <v>1231990.4634140832</v>
      </c>
      <c r="AJ108" s="106">
        <v>1231990.4634140832</v>
      </c>
      <c r="AK108" s="106">
        <v>1231990.4634140832</v>
      </c>
      <c r="AL108" s="106">
        <v>1231990.4634140832</v>
      </c>
      <c r="AM108" s="106">
        <v>1231990.4634140832</v>
      </c>
      <c r="AN108" s="106">
        <v>1231990.4634140832</v>
      </c>
      <c r="AO108" s="106">
        <v>1231990.4634140832</v>
      </c>
      <c r="AP108" s="106">
        <v>1231990.4634140832</v>
      </c>
      <c r="AQ108" s="106">
        <v>1231990.4634140832</v>
      </c>
      <c r="AR108" s="106">
        <v>1231990.4634140832</v>
      </c>
      <c r="AS108" s="106">
        <v>1231990.4634140832</v>
      </c>
      <c r="AT108" s="106">
        <v>1231990.4634140832</v>
      </c>
      <c r="AU108" s="106">
        <v>1231990.4634140832</v>
      </c>
      <c r="AV108" s="106">
        <v>1231990.4634140832</v>
      </c>
      <c r="AW108" s="106">
        <v>1231990.4634140832</v>
      </c>
      <c r="AX108" s="106">
        <v>1231990.4634140832</v>
      </c>
    </row>
    <row r="109" spans="1:50" x14ac:dyDescent="0.2">
      <c r="B109" s="107" t="s">
        <v>277</v>
      </c>
      <c r="C109" s="111">
        <f>SUM(C$104:C$108)</f>
        <v>1361829.099245711</v>
      </c>
      <c r="D109" s="111">
        <f t="shared" ref="D109:AX109" si="6">SUM(D$104:D$108)</f>
        <v>1361829.099245711</v>
      </c>
      <c r="E109" s="111">
        <f t="shared" si="6"/>
        <v>1361829.099245711</v>
      </c>
      <c r="F109" s="111">
        <f t="shared" si="6"/>
        <v>1361829.099245711</v>
      </c>
      <c r="G109" s="111">
        <f t="shared" si="6"/>
        <v>1361829.099245711</v>
      </c>
      <c r="H109" s="111">
        <f t="shared" si="6"/>
        <v>1361829.099245711</v>
      </c>
      <c r="I109" s="111">
        <f t="shared" si="6"/>
        <v>1361829.099245711</v>
      </c>
      <c r="J109" s="111">
        <f t="shared" si="6"/>
        <v>1361829.099245711</v>
      </c>
      <c r="K109" s="111">
        <f t="shared" si="6"/>
        <v>1361829.099245711</v>
      </c>
      <c r="L109" s="111">
        <f t="shared" si="6"/>
        <v>1361829.099245711</v>
      </c>
      <c r="M109" s="111">
        <f t="shared" si="6"/>
        <v>1361829.099245711</v>
      </c>
      <c r="N109" s="111">
        <f t="shared" si="6"/>
        <v>1361829.099245711</v>
      </c>
      <c r="O109" s="111">
        <f t="shared" si="6"/>
        <v>1361829.099245711</v>
      </c>
      <c r="P109" s="111">
        <f t="shared" si="6"/>
        <v>1361829.099245711</v>
      </c>
      <c r="Q109" s="111">
        <f t="shared" si="6"/>
        <v>1361829.099245711</v>
      </c>
      <c r="R109" s="111">
        <f t="shared" si="6"/>
        <v>1361829.099245711</v>
      </c>
      <c r="S109" s="111">
        <f t="shared" si="6"/>
        <v>661374.77855511568</v>
      </c>
      <c r="T109" s="111">
        <f t="shared" si="6"/>
        <v>662749.75012218393</v>
      </c>
      <c r="U109" s="111">
        <f t="shared" si="6"/>
        <v>664121.21479540528</v>
      </c>
      <c r="V109" s="111">
        <f t="shared" si="6"/>
        <v>1361829.099245711</v>
      </c>
      <c r="W109" s="111">
        <f t="shared" si="6"/>
        <v>1361829.099245711</v>
      </c>
      <c r="X109" s="111">
        <f t="shared" si="6"/>
        <v>1361829.099245711</v>
      </c>
      <c r="Y109" s="111">
        <f t="shared" si="6"/>
        <v>1361829.099245711</v>
      </c>
      <c r="Z109" s="111">
        <f t="shared" si="6"/>
        <v>1361829.099245711</v>
      </c>
      <c r="AA109" s="111">
        <f t="shared" si="6"/>
        <v>1361829.099245711</v>
      </c>
      <c r="AB109" s="111">
        <f t="shared" si="6"/>
        <v>1361829.099245711</v>
      </c>
      <c r="AC109" s="111">
        <f t="shared" si="6"/>
        <v>1361829.099245711</v>
      </c>
      <c r="AD109" s="111">
        <f t="shared" si="6"/>
        <v>1361829.099245711</v>
      </c>
      <c r="AE109" s="111">
        <f t="shared" si="6"/>
        <v>677594.64041704917</v>
      </c>
      <c r="AF109" s="111">
        <f t="shared" si="6"/>
        <v>1361829.099245711</v>
      </c>
      <c r="AG109" s="111">
        <f t="shared" si="6"/>
        <v>1361829.099245711</v>
      </c>
      <c r="AH109" s="111">
        <f t="shared" si="6"/>
        <v>1361829.099245711</v>
      </c>
      <c r="AI109" s="111">
        <f t="shared" si="6"/>
        <v>1361829.099245711</v>
      </c>
      <c r="AJ109" s="111">
        <f t="shared" si="6"/>
        <v>1361829.099245711</v>
      </c>
      <c r="AK109" s="111">
        <f t="shared" si="6"/>
        <v>1361829.099245711</v>
      </c>
      <c r="AL109" s="111">
        <f t="shared" si="6"/>
        <v>1361829.099245711</v>
      </c>
      <c r="AM109" s="111">
        <f t="shared" si="6"/>
        <v>1361829.099245711</v>
      </c>
      <c r="AN109" s="111">
        <f t="shared" si="6"/>
        <v>1361829.099245711</v>
      </c>
      <c r="AO109" s="111">
        <f t="shared" si="6"/>
        <v>1361829.099245711</v>
      </c>
      <c r="AP109" s="111">
        <f t="shared" si="6"/>
        <v>1361829.099245711</v>
      </c>
      <c r="AQ109" s="111">
        <f t="shared" si="6"/>
        <v>1361829.099245711</v>
      </c>
      <c r="AR109" s="111">
        <f t="shared" si="6"/>
        <v>1361829.099245711</v>
      </c>
      <c r="AS109" s="111">
        <f t="shared" si="6"/>
        <v>1361829.099245711</v>
      </c>
      <c r="AT109" s="111">
        <f t="shared" si="6"/>
        <v>1361829.099245711</v>
      </c>
      <c r="AU109" s="111">
        <f t="shared" si="6"/>
        <v>1361829.099245711</v>
      </c>
      <c r="AV109" s="111">
        <f t="shared" si="6"/>
        <v>1361829.099245711</v>
      </c>
      <c r="AW109" s="111">
        <f t="shared" si="6"/>
        <v>1361829.099245711</v>
      </c>
      <c r="AX109" s="111">
        <f t="shared" si="6"/>
        <v>1361829.099245711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104911.02748708996</v>
      </c>
      <c r="D111" s="106">
        <v>104911.02748708996</v>
      </c>
      <c r="E111" s="106">
        <v>104911.02748708996</v>
      </c>
      <c r="F111" s="106">
        <v>104911.02748708996</v>
      </c>
      <c r="G111" s="106">
        <v>104911.02748708996</v>
      </c>
      <c r="H111" s="106">
        <v>104911.02748708996</v>
      </c>
      <c r="I111" s="106">
        <v>104911.02748708996</v>
      </c>
      <c r="J111" s="106">
        <v>104911.02748708996</v>
      </c>
      <c r="K111" s="106">
        <v>104911.02748708996</v>
      </c>
      <c r="L111" s="106">
        <v>104911.02748708996</v>
      </c>
      <c r="M111" s="106">
        <v>104911.02748708996</v>
      </c>
      <c r="N111" s="106">
        <v>104911.02748708996</v>
      </c>
      <c r="O111" s="106">
        <v>104911.02748708996</v>
      </c>
      <c r="P111" s="106">
        <v>104911.02748708996</v>
      </c>
      <c r="Q111" s="106">
        <v>104911.02748708996</v>
      </c>
      <c r="R111" s="106">
        <v>104911.02748708996</v>
      </c>
      <c r="S111" s="106">
        <v>104911.02748708996</v>
      </c>
      <c r="T111" s="106">
        <v>104911.02748708996</v>
      </c>
      <c r="U111" s="106">
        <v>104911.02748708996</v>
      </c>
      <c r="V111" s="106">
        <v>104911.02748708996</v>
      </c>
      <c r="W111" s="106">
        <v>104911.02748708996</v>
      </c>
      <c r="X111" s="106">
        <v>104911.02748708996</v>
      </c>
      <c r="Y111" s="106">
        <v>104911.02748708996</v>
      </c>
      <c r="Z111" s="106">
        <v>104911.02748708996</v>
      </c>
      <c r="AA111" s="106">
        <v>104911.02748708996</v>
      </c>
      <c r="AB111" s="106">
        <v>104911.02748708996</v>
      </c>
      <c r="AC111" s="106">
        <v>75074.275031557336</v>
      </c>
      <c r="AD111" s="106">
        <v>104911.02748708996</v>
      </c>
      <c r="AE111" s="106">
        <v>104911.02748708996</v>
      </c>
      <c r="AF111" s="106">
        <v>104911.02748708996</v>
      </c>
      <c r="AG111" s="106">
        <v>104911.02748708996</v>
      </c>
      <c r="AH111" s="106">
        <v>104911.02748708996</v>
      </c>
      <c r="AI111" s="106">
        <v>104911.02748708996</v>
      </c>
      <c r="AJ111" s="106">
        <v>104911.02748708996</v>
      </c>
      <c r="AK111" s="106">
        <v>104911.02748708996</v>
      </c>
      <c r="AL111" s="106">
        <v>104911.02748708996</v>
      </c>
      <c r="AM111" s="106">
        <v>104911.02748708996</v>
      </c>
      <c r="AN111" s="106">
        <v>104911.02748708996</v>
      </c>
      <c r="AO111" s="106">
        <v>104911.02748708996</v>
      </c>
      <c r="AP111" s="106">
        <v>104911.02748708996</v>
      </c>
      <c r="AQ111" s="106">
        <v>104911.02748708996</v>
      </c>
      <c r="AR111" s="106">
        <v>104911.02748708996</v>
      </c>
      <c r="AS111" s="106">
        <v>104911.02748708996</v>
      </c>
      <c r="AT111" s="106">
        <v>104911.02748708996</v>
      </c>
      <c r="AU111" s="106">
        <v>104911.02748708996</v>
      </c>
      <c r="AV111" s="106">
        <v>104911.02748708996</v>
      </c>
      <c r="AW111" s="106">
        <v>104911.02748708996</v>
      </c>
      <c r="AX111" s="106">
        <v>104911.02748708996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25629.323466382564</v>
      </c>
      <c r="D113" s="106">
        <v>25629.323466382564</v>
      </c>
      <c r="E113" s="106">
        <v>25629.323466382564</v>
      </c>
      <c r="F113" s="106">
        <v>25629.323466382564</v>
      </c>
      <c r="G113" s="106">
        <v>25629.323466382564</v>
      </c>
      <c r="H113" s="106">
        <v>25629.323466382564</v>
      </c>
      <c r="I113" s="106">
        <v>25629.323466382564</v>
      </c>
      <c r="J113" s="106">
        <v>25629.323466382564</v>
      </c>
      <c r="K113" s="106">
        <v>25629.323466382564</v>
      </c>
      <c r="L113" s="106">
        <v>25629.323466382564</v>
      </c>
      <c r="M113" s="106">
        <v>25629.323466382564</v>
      </c>
      <c r="N113" s="106">
        <v>25629.323466382564</v>
      </c>
      <c r="O113" s="106">
        <v>25629.323466382564</v>
      </c>
      <c r="P113" s="106">
        <v>25629.323466382564</v>
      </c>
      <c r="Q113" s="106">
        <v>25629.323466382564</v>
      </c>
      <c r="R113" s="106">
        <v>25629.323466382564</v>
      </c>
      <c r="S113" s="106">
        <v>25629.323466382564</v>
      </c>
      <c r="T113" s="106">
        <v>25629.323466382564</v>
      </c>
      <c r="U113" s="106">
        <v>25629.323466382564</v>
      </c>
      <c r="V113" s="106">
        <v>25629.323466382564</v>
      </c>
      <c r="W113" s="106">
        <v>25629.323466382564</v>
      </c>
      <c r="X113" s="106">
        <v>25629.323466382564</v>
      </c>
      <c r="Y113" s="106">
        <v>25629.323466382564</v>
      </c>
      <c r="Z113" s="106">
        <v>25629.323466382564</v>
      </c>
      <c r="AA113" s="106">
        <v>25629.323466382564</v>
      </c>
      <c r="AB113" s="106">
        <v>25629.323466382564</v>
      </c>
      <c r="AC113" s="106">
        <v>18340.330133786229</v>
      </c>
      <c r="AD113" s="106">
        <v>25629.323466382564</v>
      </c>
      <c r="AE113" s="106">
        <v>25629.323466382564</v>
      </c>
      <c r="AF113" s="106">
        <v>25629.323466382564</v>
      </c>
      <c r="AG113" s="106">
        <v>25629.323466382564</v>
      </c>
      <c r="AH113" s="106">
        <v>25629.323466382564</v>
      </c>
      <c r="AI113" s="106">
        <v>25629.323466382564</v>
      </c>
      <c r="AJ113" s="106">
        <v>25629.323466382564</v>
      </c>
      <c r="AK113" s="106">
        <v>25629.323466382564</v>
      </c>
      <c r="AL113" s="106">
        <v>25629.323466382564</v>
      </c>
      <c r="AM113" s="106">
        <v>25629.323466382564</v>
      </c>
      <c r="AN113" s="106">
        <v>25629.323466382564</v>
      </c>
      <c r="AO113" s="106">
        <v>25629.323466382564</v>
      </c>
      <c r="AP113" s="106">
        <v>25629.323466382564</v>
      </c>
      <c r="AQ113" s="106">
        <v>25629.323466382564</v>
      </c>
      <c r="AR113" s="106">
        <v>25629.323466382564</v>
      </c>
      <c r="AS113" s="106">
        <v>25629.323466382564</v>
      </c>
      <c r="AT113" s="106">
        <v>25629.323466382564</v>
      </c>
      <c r="AU113" s="106">
        <v>25629.323466382564</v>
      </c>
      <c r="AV113" s="106">
        <v>25629.323466382564</v>
      </c>
      <c r="AW113" s="106">
        <v>25629.323466382564</v>
      </c>
      <c r="AX113" s="106">
        <v>25629.323466382564</v>
      </c>
    </row>
    <row r="114" spans="1:50" x14ac:dyDescent="0.2">
      <c r="B114" s="111" t="s">
        <v>59</v>
      </c>
      <c r="C114" s="106">
        <v>478777.59742139117</v>
      </c>
      <c r="D114" s="106">
        <v>478777.59742139117</v>
      </c>
      <c r="E114" s="106">
        <v>478777.59742139117</v>
      </c>
      <c r="F114" s="106">
        <v>478777.59742139117</v>
      </c>
      <c r="G114" s="106">
        <v>478777.59742139117</v>
      </c>
      <c r="H114" s="106">
        <v>478777.59742139117</v>
      </c>
      <c r="I114" s="106">
        <v>478777.59742139117</v>
      </c>
      <c r="J114" s="106">
        <v>478777.59742139117</v>
      </c>
      <c r="K114" s="106">
        <v>478777.59742139117</v>
      </c>
      <c r="L114" s="106">
        <v>478777.59742139117</v>
      </c>
      <c r="M114" s="106">
        <v>478777.59742139117</v>
      </c>
      <c r="N114" s="106">
        <v>478777.59742139117</v>
      </c>
      <c r="O114" s="106">
        <v>478777.59742139117</v>
      </c>
      <c r="P114" s="106">
        <v>478777.59742139117</v>
      </c>
      <c r="Q114" s="106">
        <v>478777.59742139117</v>
      </c>
      <c r="R114" s="106">
        <v>478777.59742139117</v>
      </c>
      <c r="S114" s="106">
        <v>478777.59742139117</v>
      </c>
      <c r="T114" s="106">
        <v>478777.59742139117</v>
      </c>
      <c r="U114" s="106">
        <v>478777.59742139117</v>
      </c>
      <c r="V114" s="106">
        <v>478777.59742139117</v>
      </c>
      <c r="W114" s="106">
        <v>478777.59742139117</v>
      </c>
      <c r="X114" s="106">
        <v>478777.59742139117</v>
      </c>
      <c r="Y114" s="106">
        <v>478777.59742139117</v>
      </c>
      <c r="Z114" s="106">
        <v>478777.59742139117</v>
      </c>
      <c r="AA114" s="106">
        <v>478777.59742139117</v>
      </c>
      <c r="AB114" s="106">
        <v>478777.59742139117</v>
      </c>
      <c r="AC114" s="106">
        <v>342612.99206305936</v>
      </c>
      <c r="AD114" s="106">
        <v>478777.59742139117</v>
      </c>
      <c r="AE114" s="106">
        <v>478777.59742139117</v>
      </c>
      <c r="AF114" s="106">
        <v>478777.59742139117</v>
      </c>
      <c r="AG114" s="106">
        <v>478777.59742139117</v>
      </c>
      <c r="AH114" s="106">
        <v>478777.59742139117</v>
      </c>
      <c r="AI114" s="106">
        <v>478777.59742139117</v>
      </c>
      <c r="AJ114" s="106">
        <v>478777.59742139117</v>
      </c>
      <c r="AK114" s="106">
        <v>478777.59742139117</v>
      </c>
      <c r="AL114" s="106">
        <v>478777.59742139117</v>
      </c>
      <c r="AM114" s="106">
        <v>478777.59742139117</v>
      </c>
      <c r="AN114" s="106">
        <v>478777.59742139117</v>
      </c>
      <c r="AO114" s="106">
        <v>478777.59742139117</v>
      </c>
      <c r="AP114" s="106">
        <v>478777.59742139117</v>
      </c>
      <c r="AQ114" s="106">
        <v>478777.59742139117</v>
      </c>
      <c r="AR114" s="106">
        <v>478777.59742139117</v>
      </c>
      <c r="AS114" s="106">
        <v>478777.59742139117</v>
      </c>
      <c r="AT114" s="106">
        <v>478777.59742139117</v>
      </c>
      <c r="AU114" s="106">
        <v>478777.59742139117</v>
      </c>
      <c r="AV114" s="106">
        <v>478777.59742139117</v>
      </c>
      <c r="AW114" s="106">
        <v>478777.59742139117</v>
      </c>
      <c r="AX114" s="106">
        <v>478777.59742139117</v>
      </c>
    </row>
    <row r="115" spans="1:50" x14ac:dyDescent="0.2">
      <c r="B115" s="106" t="s">
        <v>277</v>
      </c>
      <c r="C115" s="111">
        <f>SUM(C$110:C$114)</f>
        <v>609317.94837486371</v>
      </c>
      <c r="D115" s="111">
        <f t="shared" ref="D115:AX115" si="7">SUM(D$110:D$114)</f>
        <v>609317.94837486371</v>
      </c>
      <c r="E115" s="111">
        <f t="shared" si="7"/>
        <v>609317.94837486371</v>
      </c>
      <c r="F115" s="111">
        <f t="shared" si="7"/>
        <v>609317.94837486371</v>
      </c>
      <c r="G115" s="111">
        <f t="shared" si="7"/>
        <v>609317.94837486371</v>
      </c>
      <c r="H115" s="111">
        <f t="shared" si="7"/>
        <v>609317.94837486371</v>
      </c>
      <c r="I115" s="111">
        <f t="shared" si="7"/>
        <v>609317.94837486371</v>
      </c>
      <c r="J115" s="111">
        <f t="shared" si="7"/>
        <v>609317.94837486371</v>
      </c>
      <c r="K115" s="111">
        <f t="shared" si="7"/>
        <v>609317.94837486371</v>
      </c>
      <c r="L115" s="111">
        <f t="shared" si="7"/>
        <v>609317.94837486371</v>
      </c>
      <c r="M115" s="111">
        <f t="shared" si="7"/>
        <v>609317.94837486371</v>
      </c>
      <c r="N115" s="111">
        <f t="shared" si="7"/>
        <v>609317.94837486371</v>
      </c>
      <c r="O115" s="111">
        <f t="shared" si="7"/>
        <v>609317.94837486371</v>
      </c>
      <c r="P115" s="111">
        <f t="shared" si="7"/>
        <v>609317.94837486371</v>
      </c>
      <c r="Q115" s="111">
        <f t="shared" si="7"/>
        <v>609317.94837486371</v>
      </c>
      <c r="R115" s="111">
        <f t="shared" si="7"/>
        <v>609317.94837486371</v>
      </c>
      <c r="S115" s="111">
        <f t="shared" si="7"/>
        <v>609317.94837486371</v>
      </c>
      <c r="T115" s="111">
        <f t="shared" si="7"/>
        <v>609317.94837486371</v>
      </c>
      <c r="U115" s="111">
        <f t="shared" si="7"/>
        <v>609317.94837486371</v>
      </c>
      <c r="V115" s="111">
        <f t="shared" si="7"/>
        <v>609317.94837486371</v>
      </c>
      <c r="W115" s="111">
        <f t="shared" si="7"/>
        <v>609317.94837486371</v>
      </c>
      <c r="X115" s="111">
        <f t="shared" si="7"/>
        <v>609317.94837486371</v>
      </c>
      <c r="Y115" s="111">
        <f t="shared" si="7"/>
        <v>609317.94837486371</v>
      </c>
      <c r="Z115" s="111">
        <f t="shared" si="7"/>
        <v>609317.94837486371</v>
      </c>
      <c r="AA115" s="111">
        <f t="shared" si="7"/>
        <v>609317.94837486371</v>
      </c>
      <c r="AB115" s="111">
        <f t="shared" si="7"/>
        <v>609317.94837486371</v>
      </c>
      <c r="AC115" s="111">
        <f t="shared" si="7"/>
        <v>436027.59722840291</v>
      </c>
      <c r="AD115" s="111">
        <f t="shared" si="7"/>
        <v>609317.94837486371</v>
      </c>
      <c r="AE115" s="111">
        <f t="shared" si="7"/>
        <v>609317.94837486371</v>
      </c>
      <c r="AF115" s="111">
        <f t="shared" si="7"/>
        <v>609317.94837486371</v>
      </c>
      <c r="AG115" s="111">
        <f t="shared" si="7"/>
        <v>609317.94837486371</v>
      </c>
      <c r="AH115" s="111">
        <f t="shared" si="7"/>
        <v>609317.94837486371</v>
      </c>
      <c r="AI115" s="111">
        <f t="shared" si="7"/>
        <v>609317.94837486371</v>
      </c>
      <c r="AJ115" s="111">
        <f t="shared" si="7"/>
        <v>609317.94837486371</v>
      </c>
      <c r="AK115" s="111">
        <f t="shared" si="7"/>
        <v>609317.94837486371</v>
      </c>
      <c r="AL115" s="111">
        <f t="shared" si="7"/>
        <v>609317.94837486371</v>
      </c>
      <c r="AM115" s="111">
        <f t="shared" si="7"/>
        <v>609317.94837486371</v>
      </c>
      <c r="AN115" s="111">
        <f t="shared" si="7"/>
        <v>609317.94837486371</v>
      </c>
      <c r="AO115" s="111">
        <f t="shared" si="7"/>
        <v>609317.94837486371</v>
      </c>
      <c r="AP115" s="111">
        <f t="shared" si="7"/>
        <v>609317.94837486371</v>
      </c>
      <c r="AQ115" s="111">
        <f t="shared" si="7"/>
        <v>609317.94837486371</v>
      </c>
      <c r="AR115" s="111">
        <f t="shared" si="7"/>
        <v>609317.94837486371</v>
      </c>
      <c r="AS115" s="111">
        <f t="shared" si="7"/>
        <v>609317.94837486371</v>
      </c>
      <c r="AT115" s="111">
        <f t="shared" si="7"/>
        <v>609317.94837486371</v>
      </c>
      <c r="AU115" s="111">
        <f t="shared" si="7"/>
        <v>609317.94837486371</v>
      </c>
      <c r="AV115" s="111">
        <f t="shared" si="7"/>
        <v>609317.94837486371</v>
      </c>
      <c r="AW115" s="111">
        <f t="shared" si="7"/>
        <v>609317.94837486371</v>
      </c>
      <c r="AX115" s="111">
        <f t="shared" si="7"/>
        <v>609317.94837486371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277</v>
      </c>
      <c r="C121" s="111">
        <f>SUM(C$116:C$120)</f>
        <v>0</v>
      </c>
      <c r="D121" s="111">
        <f t="shared" ref="D121:AX121" si="8">SUM(D$116:D$120)</f>
        <v>0</v>
      </c>
      <c r="E121" s="111">
        <f t="shared" si="8"/>
        <v>0</v>
      </c>
      <c r="F121" s="111">
        <f t="shared" si="8"/>
        <v>0</v>
      </c>
      <c r="G121" s="111">
        <f t="shared" si="8"/>
        <v>0</v>
      </c>
      <c r="H121" s="111">
        <f t="shared" si="8"/>
        <v>0</v>
      </c>
      <c r="I121" s="111">
        <f t="shared" si="8"/>
        <v>0</v>
      </c>
      <c r="J121" s="111">
        <f t="shared" si="8"/>
        <v>0</v>
      </c>
      <c r="K121" s="111">
        <f t="shared" si="8"/>
        <v>0</v>
      </c>
      <c r="L121" s="111">
        <f t="shared" si="8"/>
        <v>0</v>
      </c>
      <c r="M121" s="111">
        <f t="shared" si="8"/>
        <v>0</v>
      </c>
      <c r="N121" s="111">
        <f t="shared" si="8"/>
        <v>0</v>
      </c>
      <c r="O121" s="111">
        <f t="shared" si="8"/>
        <v>0</v>
      </c>
      <c r="P121" s="111">
        <f t="shared" si="8"/>
        <v>0</v>
      </c>
      <c r="Q121" s="111">
        <f t="shared" si="8"/>
        <v>0</v>
      </c>
      <c r="R121" s="111">
        <f t="shared" si="8"/>
        <v>0</v>
      </c>
      <c r="S121" s="111">
        <f t="shared" si="8"/>
        <v>0</v>
      </c>
      <c r="T121" s="111">
        <f t="shared" si="8"/>
        <v>0</v>
      </c>
      <c r="U121" s="111">
        <f t="shared" si="8"/>
        <v>0</v>
      </c>
      <c r="V121" s="111">
        <f t="shared" si="8"/>
        <v>0</v>
      </c>
      <c r="W121" s="111">
        <f t="shared" si="8"/>
        <v>0</v>
      </c>
      <c r="X121" s="111">
        <f t="shared" si="8"/>
        <v>0</v>
      </c>
      <c r="Y121" s="111">
        <f t="shared" si="8"/>
        <v>0</v>
      </c>
      <c r="Z121" s="111">
        <f t="shared" si="8"/>
        <v>0</v>
      </c>
      <c r="AA121" s="111">
        <f t="shared" si="8"/>
        <v>0</v>
      </c>
      <c r="AB121" s="111">
        <f t="shared" si="8"/>
        <v>0</v>
      </c>
      <c r="AC121" s="111">
        <f t="shared" si="8"/>
        <v>0</v>
      </c>
      <c r="AD121" s="111">
        <f t="shared" si="8"/>
        <v>0</v>
      </c>
      <c r="AE121" s="111">
        <f t="shared" si="8"/>
        <v>0</v>
      </c>
      <c r="AF121" s="111">
        <f t="shared" si="8"/>
        <v>0</v>
      </c>
      <c r="AG121" s="111">
        <f t="shared" si="8"/>
        <v>0</v>
      </c>
      <c r="AH121" s="111">
        <f t="shared" si="8"/>
        <v>0</v>
      </c>
      <c r="AI121" s="111">
        <f t="shared" si="8"/>
        <v>0</v>
      </c>
      <c r="AJ121" s="111">
        <f t="shared" si="8"/>
        <v>0</v>
      </c>
      <c r="AK121" s="111">
        <f t="shared" si="8"/>
        <v>0</v>
      </c>
      <c r="AL121" s="111">
        <f t="shared" si="8"/>
        <v>0</v>
      </c>
      <c r="AM121" s="111">
        <f t="shared" si="8"/>
        <v>0</v>
      </c>
      <c r="AN121" s="111">
        <f t="shared" si="8"/>
        <v>0</v>
      </c>
      <c r="AO121" s="111">
        <f t="shared" si="8"/>
        <v>0</v>
      </c>
      <c r="AP121" s="111">
        <f t="shared" si="8"/>
        <v>0</v>
      </c>
      <c r="AQ121" s="111">
        <f t="shared" si="8"/>
        <v>0</v>
      </c>
      <c r="AR121" s="111">
        <f t="shared" si="8"/>
        <v>0</v>
      </c>
      <c r="AS121" s="111">
        <f t="shared" si="8"/>
        <v>0</v>
      </c>
      <c r="AT121" s="111">
        <f t="shared" si="8"/>
        <v>0</v>
      </c>
      <c r="AU121" s="111">
        <f t="shared" si="8"/>
        <v>0</v>
      </c>
      <c r="AV121" s="111">
        <f t="shared" si="8"/>
        <v>0</v>
      </c>
      <c r="AW121" s="111">
        <f t="shared" si="8"/>
        <v>0</v>
      </c>
      <c r="AX121" s="111">
        <f t="shared" si="8"/>
        <v>0</v>
      </c>
    </row>
    <row r="122" spans="1:50" x14ac:dyDescent="0.2">
      <c r="A122" s="111" t="s">
        <v>108</v>
      </c>
      <c r="B122" s="111" t="s">
        <v>5</v>
      </c>
      <c r="C122" s="106">
        <v>0</v>
      </c>
      <c r="D122" s="106">
        <v>0</v>
      </c>
      <c r="E122" s="106">
        <v>0</v>
      </c>
      <c r="F122" s="106">
        <v>0</v>
      </c>
      <c r="G122" s="106">
        <v>0</v>
      </c>
      <c r="H122" s="106">
        <v>0</v>
      </c>
      <c r="I122" s="106">
        <v>0</v>
      </c>
      <c r="J122" s="106">
        <v>0</v>
      </c>
      <c r="K122" s="106">
        <v>0</v>
      </c>
      <c r="L122" s="106">
        <v>0</v>
      </c>
      <c r="M122" s="106">
        <v>0</v>
      </c>
      <c r="N122" s="106">
        <v>0</v>
      </c>
      <c r="O122" s="106">
        <v>0</v>
      </c>
      <c r="P122" s="106">
        <v>0</v>
      </c>
      <c r="Q122" s="106">
        <v>0</v>
      </c>
      <c r="R122" s="106">
        <v>0</v>
      </c>
      <c r="S122" s="106">
        <v>0</v>
      </c>
      <c r="T122" s="106">
        <v>0</v>
      </c>
      <c r="U122" s="106">
        <v>0</v>
      </c>
      <c r="V122" s="106">
        <v>0</v>
      </c>
      <c r="W122" s="106">
        <v>0</v>
      </c>
      <c r="X122" s="106">
        <v>0</v>
      </c>
      <c r="Y122" s="106">
        <v>0</v>
      </c>
      <c r="Z122" s="106">
        <v>0</v>
      </c>
      <c r="AA122" s="106">
        <v>0</v>
      </c>
      <c r="AB122" s="106">
        <v>0</v>
      </c>
      <c r="AC122" s="106">
        <v>0</v>
      </c>
      <c r="AD122" s="106">
        <v>0</v>
      </c>
      <c r="AE122" s="106">
        <v>0</v>
      </c>
      <c r="AF122" s="106">
        <v>0</v>
      </c>
      <c r="AG122" s="106">
        <v>0</v>
      </c>
      <c r="AH122" s="106">
        <v>0</v>
      </c>
      <c r="AI122" s="106">
        <v>0</v>
      </c>
      <c r="AJ122" s="106">
        <v>0</v>
      </c>
      <c r="AK122" s="106">
        <v>0</v>
      </c>
      <c r="AL122" s="106">
        <v>0</v>
      </c>
      <c r="AM122" s="106">
        <v>0</v>
      </c>
      <c r="AN122" s="106">
        <v>0</v>
      </c>
      <c r="AO122" s="106">
        <v>0</v>
      </c>
      <c r="AP122" s="106">
        <v>0</v>
      </c>
      <c r="AQ122" s="106">
        <v>0</v>
      </c>
      <c r="AR122" s="106">
        <v>0</v>
      </c>
      <c r="AS122" s="106">
        <v>0</v>
      </c>
      <c r="AT122" s="106">
        <v>0</v>
      </c>
      <c r="AU122" s="106">
        <v>0</v>
      </c>
      <c r="AV122" s="106">
        <v>0</v>
      </c>
      <c r="AW122" s="106">
        <v>0</v>
      </c>
      <c r="AX122" s="106">
        <v>0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277</v>
      </c>
      <c r="C127" s="111">
        <f>SUM(C$122:C$126)</f>
        <v>0</v>
      </c>
      <c r="D127" s="111">
        <f t="shared" ref="D127:AX127" si="9">SUM(D$122:D$126)</f>
        <v>0</v>
      </c>
      <c r="E127" s="111">
        <f t="shared" si="9"/>
        <v>0</v>
      </c>
      <c r="F127" s="111">
        <f t="shared" si="9"/>
        <v>0</v>
      </c>
      <c r="G127" s="111">
        <f t="shared" si="9"/>
        <v>0</v>
      </c>
      <c r="H127" s="111">
        <f t="shared" si="9"/>
        <v>0</v>
      </c>
      <c r="I127" s="111">
        <f t="shared" si="9"/>
        <v>0</v>
      </c>
      <c r="J127" s="111">
        <f t="shared" si="9"/>
        <v>0</v>
      </c>
      <c r="K127" s="111">
        <f t="shared" si="9"/>
        <v>0</v>
      </c>
      <c r="L127" s="111">
        <f t="shared" si="9"/>
        <v>0</v>
      </c>
      <c r="M127" s="111">
        <f t="shared" si="9"/>
        <v>0</v>
      </c>
      <c r="N127" s="111">
        <f t="shared" si="9"/>
        <v>0</v>
      </c>
      <c r="O127" s="111">
        <f t="shared" si="9"/>
        <v>0</v>
      </c>
      <c r="P127" s="111">
        <f t="shared" si="9"/>
        <v>0</v>
      </c>
      <c r="Q127" s="111">
        <f t="shared" si="9"/>
        <v>0</v>
      </c>
      <c r="R127" s="111">
        <f t="shared" si="9"/>
        <v>0</v>
      </c>
      <c r="S127" s="111">
        <f t="shared" si="9"/>
        <v>0</v>
      </c>
      <c r="T127" s="111">
        <f t="shared" si="9"/>
        <v>0</v>
      </c>
      <c r="U127" s="111">
        <f t="shared" si="9"/>
        <v>0</v>
      </c>
      <c r="V127" s="111">
        <f t="shared" si="9"/>
        <v>0</v>
      </c>
      <c r="W127" s="111">
        <f t="shared" si="9"/>
        <v>0</v>
      </c>
      <c r="X127" s="111">
        <f t="shared" si="9"/>
        <v>0</v>
      </c>
      <c r="Y127" s="111">
        <f t="shared" si="9"/>
        <v>0</v>
      </c>
      <c r="Z127" s="111">
        <f t="shared" si="9"/>
        <v>0</v>
      </c>
      <c r="AA127" s="111">
        <f t="shared" si="9"/>
        <v>0</v>
      </c>
      <c r="AB127" s="111">
        <f t="shared" si="9"/>
        <v>0</v>
      </c>
      <c r="AC127" s="111">
        <f t="shared" si="9"/>
        <v>0</v>
      </c>
      <c r="AD127" s="111">
        <f t="shared" si="9"/>
        <v>0</v>
      </c>
      <c r="AE127" s="111">
        <f t="shared" si="9"/>
        <v>0</v>
      </c>
      <c r="AF127" s="111">
        <f t="shared" si="9"/>
        <v>0</v>
      </c>
      <c r="AG127" s="111">
        <f t="shared" si="9"/>
        <v>0</v>
      </c>
      <c r="AH127" s="111">
        <f t="shared" si="9"/>
        <v>0</v>
      </c>
      <c r="AI127" s="111">
        <f t="shared" si="9"/>
        <v>0</v>
      </c>
      <c r="AJ127" s="111">
        <f t="shared" si="9"/>
        <v>0</v>
      </c>
      <c r="AK127" s="111">
        <f t="shared" si="9"/>
        <v>0</v>
      </c>
      <c r="AL127" s="111">
        <f t="shared" si="9"/>
        <v>0</v>
      </c>
      <c r="AM127" s="111">
        <f t="shared" si="9"/>
        <v>0</v>
      </c>
      <c r="AN127" s="111">
        <f t="shared" si="9"/>
        <v>0</v>
      </c>
      <c r="AO127" s="111">
        <f t="shared" si="9"/>
        <v>0</v>
      </c>
      <c r="AP127" s="111">
        <f t="shared" si="9"/>
        <v>0</v>
      </c>
      <c r="AQ127" s="111">
        <f t="shared" si="9"/>
        <v>0</v>
      </c>
      <c r="AR127" s="111">
        <f t="shared" si="9"/>
        <v>0</v>
      </c>
      <c r="AS127" s="111">
        <f t="shared" si="9"/>
        <v>0</v>
      </c>
      <c r="AT127" s="111">
        <f t="shared" si="9"/>
        <v>0</v>
      </c>
      <c r="AU127" s="111">
        <f t="shared" si="9"/>
        <v>0</v>
      </c>
      <c r="AV127" s="111">
        <f t="shared" si="9"/>
        <v>0</v>
      </c>
      <c r="AW127" s="111">
        <f t="shared" si="9"/>
        <v>0</v>
      </c>
      <c r="AX127" s="111">
        <f t="shared" si="9"/>
        <v>0</v>
      </c>
    </row>
    <row r="128" spans="1:50" x14ac:dyDescent="0.2">
      <c r="A128" s="111" t="s">
        <v>109</v>
      </c>
      <c r="B128" s="111" t="s">
        <v>5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277</v>
      </c>
      <c r="C133" s="111">
        <f>SUM(C$128:C$132)</f>
        <v>0</v>
      </c>
      <c r="D133" s="111">
        <f t="shared" ref="D133:AX133" si="10">SUM(D$128:D$132)</f>
        <v>0</v>
      </c>
      <c r="E133" s="111">
        <f t="shared" si="10"/>
        <v>0</v>
      </c>
      <c r="F133" s="111">
        <f t="shared" si="10"/>
        <v>0</v>
      </c>
      <c r="G133" s="111">
        <f t="shared" si="10"/>
        <v>0</v>
      </c>
      <c r="H133" s="111">
        <f t="shared" si="10"/>
        <v>0</v>
      </c>
      <c r="I133" s="111">
        <f t="shared" si="10"/>
        <v>0</v>
      </c>
      <c r="J133" s="111">
        <f t="shared" si="10"/>
        <v>0</v>
      </c>
      <c r="K133" s="111">
        <f t="shared" si="10"/>
        <v>0</v>
      </c>
      <c r="L133" s="111">
        <f t="shared" si="10"/>
        <v>0</v>
      </c>
      <c r="M133" s="111">
        <f t="shared" si="10"/>
        <v>0</v>
      </c>
      <c r="N133" s="111">
        <f t="shared" si="10"/>
        <v>0</v>
      </c>
      <c r="O133" s="111">
        <f t="shared" si="10"/>
        <v>0</v>
      </c>
      <c r="P133" s="111">
        <f t="shared" si="10"/>
        <v>0</v>
      </c>
      <c r="Q133" s="111">
        <f t="shared" si="10"/>
        <v>0</v>
      </c>
      <c r="R133" s="111">
        <f t="shared" si="10"/>
        <v>0</v>
      </c>
      <c r="S133" s="111">
        <f t="shared" si="10"/>
        <v>0</v>
      </c>
      <c r="T133" s="111">
        <f t="shared" si="10"/>
        <v>0</v>
      </c>
      <c r="U133" s="111">
        <f t="shared" si="10"/>
        <v>0</v>
      </c>
      <c r="V133" s="111">
        <f t="shared" si="10"/>
        <v>0</v>
      </c>
      <c r="W133" s="111">
        <f t="shared" si="10"/>
        <v>0</v>
      </c>
      <c r="X133" s="111">
        <f t="shared" si="10"/>
        <v>0</v>
      </c>
      <c r="Y133" s="111">
        <f t="shared" si="10"/>
        <v>0</v>
      </c>
      <c r="Z133" s="111">
        <f t="shared" si="10"/>
        <v>0</v>
      </c>
      <c r="AA133" s="111">
        <f t="shared" si="10"/>
        <v>0</v>
      </c>
      <c r="AB133" s="111">
        <f t="shared" si="10"/>
        <v>0</v>
      </c>
      <c r="AC133" s="111">
        <f t="shared" si="10"/>
        <v>0</v>
      </c>
      <c r="AD133" s="111">
        <f t="shared" si="10"/>
        <v>0</v>
      </c>
      <c r="AE133" s="111">
        <f t="shared" si="10"/>
        <v>0</v>
      </c>
      <c r="AF133" s="111">
        <f t="shared" si="10"/>
        <v>0</v>
      </c>
      <c r="AG133" s="111">
        <f t="shared" si="10"/>
        <v>0</v>
      </c>
      <c r="AH133" s="111">
        <f t="shared" si="10"/>
        <v>0</v>
      </c>
      <c r="AI133" s="111">
        <f t="shared" si="10"/>
        <v>0</v>
      </c>
      <c r="AJ133" s="111">
        <f t="shared" si="10"/>
        <v>0</v>
      </c>
      <c r="AK133" s="111">
        <f t="shared" si="10"/>
        <v>0</v>
      </c>
      <c r="AL133" s="111">
        <f t="shared" si="10"/>
        <v>0</v>
      </c>
      <c r="AM133" s="111">
        <f t="shared" si="10"/>
        <v>0</v>
      </c>
      <c r="AN133" s="111">
        <f t="shared" si="10"/>
        <v>0</v>
      </c>
      <c r="AO133" s="111">
        <f t="shared" si="10"/>
        <v>0</v>
      </c>
      <c r="AP133" s="111">
        <f t="shared" si="10"/>
        <v>0</v>
      </c>
      <c r="AQ133" s="111">
        <f t="shared" si="10"/>
        <v>0</v>
      </c>
      <c r="AR133" s="111">
        <f t="shared" si="10"/>
        <v>0</v>
      </c>
      <c r="AS133" s="111">
        <f t="shared" si="10"/>
        <v>0</v>
      </c>
      <c r="AT133" s="111">
        <f t="shared" si="10"/>
        <v>0</v>
      </c>
      <c r="AU133" s="111">
        <f t="shared" si="10"/>
        <v>0</v>
      </c>
      <c r="AV133" s="111">
        <f t="shared" si="10"/>
        <v>0</v>
      </c>
      <c r="AW133" s="111">
        <f t="shared" si="10"/>
        <v>0</v>
      </c>
      <c r="AX133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302</v>
      </c>
      <c r="B2" s="113" t="s">
        <v>5</v>
      </c>
      <c r="E2" s="116"/>
    </row>
    <row r="3" spans="1:52" x14ac:dyDescent="0.2">
      <c r="A3" s="106" t="s">
        <v>285</v>
      </c>
      <c r="B3" s="113">
        <v>2043</v>
      </c>
      <c r="E3" s="116"/>
    </row>
    <row r="4" spans="1:52" x14ac:dyDescent="0.2">
      <c r="A4" s="108"/>
      <c r="C4" s="117" t="s">
        <v>286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303</v>
      </c>
      <c r="B6" s="120"/>
      <c r="C6" s="119" t="s">
        <v>287</v>
      </c>
      <c r="D6" s="118" t="s">
        <v>288</v>
      </c>
      <c r="E6" s="118" t="s">
        <v>288</v>
      </c>
      <c r="F6" s="118" t="s">
        <v>288</v>
      </c>
      <c r="G6" s="118" t="s">
        <v>288</v>
      </c>
      <c r="H6" s="118" t="s">
        <v>288</v>
      </c>
      <c r="I6" s="118" t="s">
        <v>288</v>
      </c>
      <c r="J6" s="118" t="s">
        <v>288</v>
      </c>
      <c r="K6" s="118" t="s">
        <v>288</v>
      </c>
      <c r="L6" s="118" t="s">
        <v>288</v>
      </c>
      <c r="M6" s="118" t="s">
        <v>288</v>
      </c>
      <c r="N6" s="118" t="s">
        <v>288</v>
      </c>
      <c r="O6" s="118" t="s">
        <v>288</v>
      </c>
      <c r="P6" s="118" t="s">
        <v>288</v>
      </c>
      <c r="Q6" s="118" t="s">
        <v>288</v>
      </c>
      <c r="R6" s="118" t="s">
        <v>288</v>
      </c>
      <c r="S6" s="118" t="s">
        <v>288</v>
      </c>
      <c r="T6" s="118" t="s">
        <v>288</v>
      </c>
      <c r="U6" s="118" t="s">
        <v>288</v>
      </c>
      <c r="V6" s="118" t="s">
        <v>288</v>
      </c>
      <c r="W6" s="118" t="s">
        <v>288</v>
      </c>
      <c r="X6" s="118" t="s">
        <v>288</v>
      </c>
      <c r="Y6" s="118" t="s">
        <v>288</v>
      </c>
      <c r="Z6" s="118" t="s">
        <v>288</v>
      </c>
      <c r="AA6" s="118" t="s">
        <v>288</v>
      </c>
      <c r="AB6" s="118" t="s">
        <v>288</v>
      </c>
      <c r="AC6" s="118" t="s">
        <v>288</v>
      </c>
      <c r="AD6" s="118" t="s">
        <v>288</v>
      </c>
      <c r="AE6" s="118" t="s">
        <v>288</v>
      </c>
      <c r="AF6" s="118" t="s">
        <v>288</v>
      </c>
      <c r="AG6" s="118" t="s">
        <v>288</v>
      </c>
      <c r="AH6" s="118" t="s">
        <v>288</v>
      </c>
      <c r="AI6" s="118" t="s">
        <v>288</v>
      </c>
      <c r="AJ6" s="118" t="s">
        <v>288</v>
      </c>
      <c r="AK6" s="118" t="s">
        <v>288</v>
      </c>
      <c r="AL6" s="118" t="s">
        <v>288</v>
      </c>
      <c r="AM6" s="118" t="s">
        <v>288</v>
      </c>
      <c r="AN6" s="118" t="s">
        <v>288</v>
      </c>
      <c r="AO6" s="118" t="s">
        <v>288</v>
      </c>
      <c r="AP6" s="118" t="s">
        <v>288</v>
      </c>
      <c r="AQ6" s="118" t="s">
        <v>288</v>
      </c>
      <c r="AR6" s="118" t="s">
        <v>288</v>
      </c>
      <c r="AS6" s="118" t="s">
        <v>288</v>
      </c>
      <c r="AT6" s="118" t="s">
        <v>288</v>
      </c>
      <c r="AU6" s="118" t="s">
        <v>288</v>
      </c>
      <c r="AV6" s="118" t="s">
        <v>288</v>
      </c>
      <c r="AW6" s="118" t="s">
        <v>288</v>
      </c>
      <c r="AX6" s="118" t="s">
        <v>288</v>
      </c>
      <c r="AY6" s="117" t="s">
        <v>289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292</v>
      </c>
      <c r="D7" s="150">
        <v>273.74765262492122</v>
      </c>
      <c r="E7" s="150">
        <v>273.74765262492122</v>
      </c>
      <c r="F7" s="150">
        <v>273.74765262492122</v>
      </c>
      <c r="G7" s="150">
        <v>273.74765262492122</v>
      </c>
      <c r="H7" s="150">
        <v>243.33124677770775</v>
      </c>
      <c r="I7" s="150">
        <v>243.33124677770775</v>
      </c>
      <c r="J7" s="150">
        <v>243.33124677770775</v>
      </c>
      <c r="K7" s="150">
        <v>243.33124677770775</v>
      </c>
      <c r="L7" s="150">
        <v>243.33124677770775</v>
      </c>
      <c r="M7" s="150">
        <v>243.33124677770775</v>
      </c>
      <c r="N7" s="150">
        <v>243.33124677770775</v>
      </c>
      <c r="O7" s="150">
        <v>243.33124677770775</v>
      </c>
      <c r="P7" s="150">
        <v>273.74765262492122</v>
      </c>
      <c r="Q7" s="150">
        <v>273.74765262492122</v>
      </c>
      <c r="R7" s="150">
        <v>273.74765262492122</v>
      </c>
      <c r="S7" s="150">
        <v>273.74765262492122</v>
      </c>
      <c r="T7" s="150">
        <v>243.33124677770775</v>
      </c>
      <c r="U7" s="150">
        <v>243.33124677770775</v>
      </c>
      <c r="V7" s="150">
        <v>243.33124677770775</v>
      </c>
      <c r="W7" s="150">
        <v>243.33124677770775</v>
      </c>
      <c r="X7" s="150">
        <v>243.33124677770775</v>
      </c>
      <c r="Y7" s="150">
        <v>243.33124677770775</v>
      </c>
      <c r="Z7" s="150">
        <v>243.33124677770775</v>
      </c>
      <c r="AA7" s="150">
        <v>243.33124677770775</v>
      </c>
      <c r="AB7" s="150">
        <v>273.74765262492122</v>
      </c>
      <c r="AC7" s="150">
        <v>273.74765262492122</v>
      </c>
      <c r="AD7" s="150">
        <v>273.74765262492122</v>
      </c>
      <c r="AE7" s="150">
        <v>273.74765262492122</v>
      </c>
      <c r="AF7" s="150">
        <v>243.33124677770775</v>
      </c>
      <c r="AG7" s="150">
        <v>243.33124677770775</v>
      </c>
      <c r="AH7" s="150">
        <v>243.33124677770775</v>
      </c>
      <c r="AI7" s="150">
        <v>243.33124677770775</v>
      </c>
      <c r="AJ7" s="150">
        <v>243.33124677770775</v>
      </c>
      <c r="AK7" s="150">
        <v>243.33124677770775</v>
      </c>
      <c r="AL7" s="150">
        <v>243.33124677770775</v>
      </c>
      <c r="AM7" s="150">
        <v>243.33124677770775</v>
      </c>
      <c r="AN7" s="150">
        <v>273.74765262492122</v>
      </c>
      <c r="AO7" s="150">
        <v>273.74765262492122</v>
      </c>
      <c r="AP7" s="150">
        <v>273.74765262492122</v>
      </c>
      <c r="AQ7" s="150">
        <v>273.74765262492122</v>
      </c>
      <c r="AR7" s="150">
        <v>243.33124677770775</v>
      </c>
      <c r="AS7" s="150">
        <v>243.33124677770775</v>
      </c>
      <c r="AT7" s="150">
        <v>243.33124677770775</v>
      </c>
      <c r="AU7" s="150">
        <v>243.33124677770775</v>
      </c>
      <c r="AV7" s="150">
        <v>243.33124677770775</v>
      </c>
      <c r="AW7" s="150">
        <v>243.33124677770775</v>
      </c>
      <c r="AX7" s="150">
        <v>243.33124677770775</v>
      </c>
      <c r="AY7" s="150">
        <v>243.33124677770775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293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292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294</v>
      </c>
      <c r="B12" s="152"/>
      <c r="C12" s="116"/>
    </row>
    <row r="13" spans="1:52" x14ac:dyDescent="0.2">
      <c r="A13" s="128" t="s">
        <v>125</v>
      </c>
      <c r="B13" s="129">
        <v>1</v>
      </c>
      <c r="C13" s="130"/>
      <c r="D13" s="144">
        <f t="shared" ref="D13:AY13" si="1">D$7-D$10</f>
        <v>273.74765262492122</v>
      </c>
      <c r="E13" s="144">
        <f t="shared" si="1"/>
        <v>273.74765262492122</v>
      </c>
      <c r="F13" s="144">
        <f t="shared" si="1"/>
        <v>273.74765262492122</v>
      </c>
      <c r="G13" s="144">
        <f t="shared" si="1"/>
        <v>273.74765262492122</v>
      </c>
      <c r="H13" s="144">
        <f t="shared" si="1"/>
        <v>243.33124677770775</v>
      </c>
      <c r="I13" s="144">
        <f t="shared" si="1"/>
        <v>243.33124677770775</v>
      </c>
      <c r="J13" s="144">
        <f t="shared" si="1"/>
        <v>243.33124677770775</v>
      </c>
      <c r="K13" s="144">
        <f t="shared" si="1"/>
        <v>243.33124677770775</v>
      </c>
      <c r="L13" s="144">
        <f t="shared" si="1"/>
        <v>243.33124677770775</v>
      </c>
      <c r="M13" s="144">
        <f t="shared" si="1"/>
        <v>243.33124677770775</v>
      </c>
      <c r="N13" s="144">
        <f t="shared" si="1"/>
        <v>243.33124677770775</v>
      </c>
      <c r="O13" s="144">
        <f t="shared" si="1"/>
        <v>243.33124677770775</v>
      </c>
      <c r="P13" s="144">
        <f t="shared" si="1"/>
        <v>273.74765262492122</v>
      </c>
      <c r="Q13" s="144">
        <f t="shared" si="1"/>
        <v>273.74765262492122</v>
      </c>
      <c r="R13" s="144">
        <f t="shared" si="1"/>
        <v>273.74765262492122</v>
      </c>
      <c r="S13" s="144">
        <f t="shared" si="1"/>
        <v>273.74765262492122</v>
      </c>
      <c r="T13" s="144">
        <f t="shared" si="1"/>
        <v>243.33124677770775</v>
      </c>
      <c r="U13" s="144">
        <f t="shared" si="1"/>
        <v>243.33124677770775</v>
      </c>
      <c r="V13" s="144">
        <f t="shared" si="1"/>
        <v>243.33124677770775</v>
      </c>
      <c r="W13" s="144">
        <f t="shared" si="1"/>
        <v>243.33124677770775</v>
      </c>
      <c r="X13" s="144">
        <f t="shared" si="1"/>
        <v>243.33124677770775</v>
      </c>
      <c r="Y13" s="144">
        <f t="shared" si="1"/>
        <v>243.33124677770775</v>
      </c>
      <c r="Z13" s="144">
        <f t="shared" si="1"/>
        <v>243.33124677770775</v>
      </c>
      <c r="AA13" s="144">
        <f t="shared" si="1"/>
        <v>243.33124677770775</v>
      </c>
      <c r="AB13" s="144">
        <f t="shared" si="1"/>
        <v>273.74765262492122</v>
      </c>
      <c r="AC13" s="144">
        <f t="shared" si="1"/>
        <v>273.74765262492122</v>
      </c>
      <c r="AD13" s="144">
        <f t="shared" si="1"/>
        <v>273.74765262492122</v>
      </c>
      <c r="AE13" s="144">
        <f t="shared" si="1"/>
        <v>273.74765262492122</v>
      </c>
      <c r="AF13" s="144">
        <f t="shared" si="1"/>
        <v>243.33124677770775</v>
      </c>
      <c r="AG13" s="144">
        <f t="shared" si="1"/>
        <v>243.33124677770775</v>
      </c>
      <c r="AH13" s="144">
        <f t="shared" si="1"/>
        <v>243.33124677770775</v>
      </c>
      <c r="AI13" s="144">
        <f t="shared" si="1"/>
        <v>243.33124677770775</v>
      </c>
      <c r="AJ13" s="144">
        <f t="shared" si="1"/>
        <v>243.33124677770775</v>
      </c>
      <c r="AK13" s="144">
        <f t="shared" si="1"/>
        <v>243.33124677770775</v>
      </c>
      <c r="AL13" s="144">
        <f t="shared" si="1"/>
        <v>243.33124677770775</v>
      </c>
      <c r="AM13" s="144">
        <f t="shared" si="1"/>
        <v>243.33124677770775</v>
      </c>
      <c r="AN13" s="144">
        <f t="shared" si="1"/>
        <v>273.74765262492122</v>
      </c>
      <c r="AO13" s="144">
        <f t="shared" si="1"/>
        <v>273.74765262492122</v>
      </c>
      <c r="AP13" s="144">
        <f t="shared" si="1"/>
        <v>273.74765262492122</v>
      </c>
      <c r="AQ13" s="144">
        <f t="shared" si="1"/>
        <v>273.74765262492122</v>
      </c>
      <c r="AR13" s="144">
        <f t="shared" si="1"/>
        <v>243.33124677770775</v>
      </c>
      <c r="AS13" s="144">
        <f t="shared" si="1"/>
        <v>243.33124677770775</v>
      </c>
      <c r="AT13" s="144">
        <f t="shared" si="1"/>
        <v>243.33124677770775</v>
      </c>
      <c r="AU13" s="144">
        <f t="shared" si="1"/>
        <v>243.33124677770775</v>
      </c>
      <c r="AV13" s="144">
        <f t="shared" si="1"/>
        <v>243.33124677770775</v>
      </c>
      <c r="AW13" s="144">
        <f t="shared" si="1"/>
        <v>243.33124677770775</v>
      </c>
      <c r="AX13" s="144">
        <f t="shared" si="1"/>
        <v>243.33124677770775</v>
      </c>
      <c r="AY13" s="144">
        <f t="shared" si="1"/>
        <v>243.33124677770775</v>
      </c>
      <c r="AZ13" s="115"/>
    </row>
    <row r="14" spans="1:52" x14ac:dyDescent="0.2">
      <c r="A14" s="116"/>
      <c r="B14" s="126">
        <v>2</v>
      </c>
      <c r="C14" s="116"/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243.33124677770775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/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/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295</v>
      </c>
      <c r="C17" s="131"/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304</v>
      </c>
      <c r="B20" s="160" t="s">
        <v>305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 t="s">
        <v>338</v>
      </c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292</v>
      </c>
      <c r="D21" s="112">
        <f>IF(C$20="Yes",0,SUM(C$13:C$16)*$B$21)</f>
        <v>0</v>
      </c>
      <c r="E21" s="112">
        <f t="shared" ref="E21:AY21" si="3">IF(D$20="Yes",0,SUM(D$13:D$16)*$B$21)</f>
        <v>273.74765262492122</v>
      </c>
      <c r="F21" s="112">
        <f t="shared" si="3"/>
        <v>273.74765262492122</v>
      </c>
      <c r="G21" s="112">
        <f t="shared" si="3"/>
        <v>273.74765262492122</v>
      </c>
      <c r="H21" s="112">
        <f t="shared" si="3"/>
        <v>273.74765262492122</v>
      </c>
      <c r="I21" s="112">
        <f t="shared" si="3"/>
        <v>243.33124677770775</v>
      </c>
      <c r="J21" s="112">
        <f t="shared" si="3"/>
        <v>243.33124677770775</v>
      </c>
      <c r="K21" s="112">
        <f t="shared" si="3"/>
        <v>243.33124677770775</v>
      </c>
      <c r="L21" s="112">
        <f t="shared" si="3"/>
        <v>243.33124677770775</v>
      </c>
      <c r="M21" s="112">
        <f t="shared" si="3"/>
        <v>243.33124677770775</v>
      </c>
      <c r="N21" s="112">
        <f t="shared" si="3"/>
        <v>243.33124677770775</v>
      </c>
      <c r="O21" s="112">
        <f t="shared" si="3"/>
        <v>243.33124677770775</v>
      </c>
      <c r="P21" s="112">
        <f t="shared" si="3"/>
        <v>243.33124677770775</v>
      </c>
      <c r="Q21" s="112">
        <f t="shared" si="3"/>
        <v>273.74765262492122</v>
      </c>
      <c r="R21" s="112">
        <f t="shared" si="3"/>
        <v>273.74765262492122</v>
      </c>
      <c r="S21" s="112">
        <f t="shared" si="3"/>
        <v>273.74765262492122</v>
      </c>
      <c r="T21" s="112">
        <f t="shared" si="3"/>
        <v>273.74765262492122</v>
      </c>
      <c r="U21" s="112">
        <f t="shared" si="3"/>
        <v>243.33124677770775</v>
      </c>
      <c r="V21" s="112">
        <f t="shared" si="3"/>
        <v>243.33124677770775</v>
      </c>
      <c r="W21" s="112">
        <f t="shared" si="3"/>
        <v>243.33124677770775</v>
      </c>
      <c r="X21" s="112">
        <f t="shared" si="3"/>
        <v>243.33124677770775</v>
      </c>
      <c r="Y21" s="112">
        <f t="shared" si="3"/>
        <v>243.33124677770775</v>
      </c>
      <c r="Z21" s="112">
        <f t="shared" si="3"/>
        <v>243.33124677770775</v>
      </c>
      <c r="AA21" s="112">
        <f t="shared" si="3"/>
        <v>243.33124677770775</v>
      </c>
      <c r="AB21" s="112">
        <f t="shared" si="3"/>
        <v>243.33124677770775</v>
      </c>
      <c r="AC21" s="112">
        <f t="shared" si="3"/>
        <v>273.74765262492122</v>
      </c>
      <c r="AD21" s="112">
        <f t="shared" si="3"/>
        <v>273.74765262492122</v>
      </c>
      <c r="AE21" s="112">
        <f t="shared" si="3"/>
        <v>273.74765262492122</v>
      </c>
      <c r="AF21" s="112">
        <f t="shared" si="3"/>
        <v>273.74765262492122</v>
      </c>
      <c r="AG21" s="112">
        <f t="shared" si="3"/>
        <v>243.33124677770775</v>
      </c>
      <c r="AH21" s="112">
        <f t="shared" si="3"/>
        <v>243.33124677770775</v>
      </c>
      <c r="AI21" s="112">
        <f t="shared" si="3"/>
        <v>243.33124677770775</v>
      </c>
      <c r="AJ21" s="112">
        <f t="shared" si="3"/>
        <v>243.33124677770775</v>
      </c>
      <c r="AK21" s="112">
        <f t="shared" si="3"/>
        <v>243.33124677770775</v>
      </c>
      <c r="AL21" s="112">
        <f t="shared" si="3"/>
        <v>243.33124677770775</v>
      </c>
      <c r="AM21" s="112">
        <f t="shared" si="3"/>
        <v>243.33124677770775</v>
      </c>
      <c r="AN21" s="112">
        <f t="shared" si="3"/>
        <v>243.33124677770775</v>
      </c>
      <c r="AO21" s="112">
        <f t="shared" si="3"/>
        <v>273.74765262492122</v>
      </c>
      <c r="AP21" s="112">
        <f t="shared" si="3"/>
        <v>273.74765262492122</v>
      </c>
      <c r="AQ21" s="112">
        <f t="shared" si="3"/>
        <v>273.74765262492122</v>
      </c>
      <c r="AR21" s="112">
        <f t="shared" si="3"/>
        <v>273.74765262492122</v>
      </c>
      <c r="AS21" s="112">
        <f t="shared" si="3"/>
        <v>243.33124677770775</v>
      </c>
      <c r="AT21" s="112">
        <f t="shared" si="3"/>
        <v>0</v>
      </c>
      <c r="AU21" s="112">
        <f t="shared" si="3"/>
        <v>486.66249355541549</v>
      </c>
      <c r="AV21" s="112">
        <f t="shared" si="3"/>
        <v>243.33124677770775</v>
      </c>
      <c r="AW21" s="112">
        <f t="shared" si="3"/>
        <v>243.33124677770775</v>
      </c>
      <c r="AX21" s="112">
        <f t="shared" si="3"/>
        <v>243.33124677770775</v>
      </c>
      <c r="AY21" s="112">
        <f t="shared" si="3"/>
        <v>243.33124677770775</v>
      </c>
      <c r="AZ21" s="163">
        <f>SUM($D21:$AY21)</f>
        <v>11923.231092107675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292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306</v>
      </c>
      <c r="B23" s="130">
        <v>2000</v>
      </c>
      <c r="C23" s="106" t="s">
        <v>292</v>
      </c>
      <c r="D23" s="106">
        <f>D$21*$B$23</f>
        <v>0</v>
      </c>
      <c r="E23" s="106">
        <f t="shared" ref="E23:AY23" si="6">E$21*$B$23</f>
        <v>547495.30524984247</v>
      </c>
      <c r="F23" s="106">
        <f t="shared" si="6"/>
        <v>547495.30524984247</v>
      </c>
      <c r="G23" s="106">
        <f t="shared" si="6"/>
        <v>547495.30524984247</v>
      </c>
      <c r="H23" s="106">
        <f t="shared" si="6"/>
        <v>547495.30524984247</v>
      </c>
      <c r="I23" s="106">
        <f t="shared" si="6"/>
        <v>486662.49355541548</v>
      </c>
      <c r="J23" s="106">
        <f t="shared" si="6"/>
        <v>486662.49355541548</v>
      </c>
      <c r="K23" s="106">
        <f t="shared" si="6"/>
        <v>486662.49355541548</v>
      </c>
      <c r="L23" s="106">
        <f t="shared" si="6"/>
        <v>486662.49355541548</v>
      </c>
      <c r="M23" s="106">
        <f t="shared" si="6"/>
        <v>486662.49355541548</v>
      </c>
      <c r="N23" s="106">
        <f t="shared" si="6"/>
        <v>486662.49355541548</v>
      </c>
      <c r="O23" s="106">
        <f t="shared" si="6"/>
        <v>486662.49355541548</v>
      </c>
      <c r="P23" s="106">
        <f t="shared" si="6"/>
        <v>486662.49355541548</v>
      </c>
      <c r="Q23" s="106">
        <f t="shared" si="6"/>
        <v>547495.30524984247</v>
      </c>
      <c r="R23" s="106">
        <f t="shared" si="6"/>
        <v>547495.30524984247</v>
      </c>
      <c r="S23" s="106">
        <f t="shared" si="6"/>
        <v>547495.30524984247</v>
      </c>
      <c r="T23" s="106">
        <f t="shared" si="6"/>
        <v>547495.30524984247</v>
      </c>
      <c r="U23" s="106">
        <f t="shared" si="6"/>
        <v>486662.49355541548</v>
      </c>
      <c r="V23" s="106">
        <f t="shared" si="6"/>
        <v>486662.49355541548</v>
      </c>
      <c r="W23" s="106">
        <f t="shared" si="6"/>
        <v>486662.49355541548</v>
      </c>
      <c r="X23" s="106">
        <f t="shared" si="6"/>
        <v>486662.49355541548</v>
      </c>
      <c r="Y23" s="106">
        <f t="shared" si="6"/>
        <v>486662.49355541548</v>
      </c>
      <c r="Z23" s="106">
        <f t="shared" si="6"/>
        <v>486662.49355541548</v>
      </c>
      <c r="AA23" s="106">
        <f t="shared" si="6"/>
        <v>486662.49355541548</v>
      </c>
      <c r="AB23" s="106">
        <f t="shared" si="6"/>
        <v>486662.49355541548</v>
      </c>
      <c r="AC23" s="106">
        <f t="shared" si="6"/>
        <v>547495.30524984247</v>
      </c>
      <c r="AD23" s="106">
        <f t="shared" si="6"/>
        <v>547495.30524984247</v>
      </c>
      <c r="AE23" s="106">
        <f t="shared" si="6"/>
        <v>547495.30524984247</v>
      </c>
      <c r="AF23" s="106">
        <f t="shared" si="6"/>
        <v>547495.30524984247</v>
      </c>
      <c r="AG23" s="106">
        <f t="shared" si="6"/>
        <v>486662.49355541548</v>
      </c>
      <c r="AH23" s="106">
        <f t="shared" si="6"/>
        <v>486662.49355541548</v>
      </c>
      <c r="AI23" s="106">
        <f t="shared" si="6"/>
        <v>486662.49355541548</v>
      </c>
      <c r="AJ23" s="106">
        <f t="shared" si="6"/>
        <v>486662.49355541548</v>
      </c>
      <c r="AK23" s="106">
        <f t="shared" si="6"/>
        <v>486662.49355541548</v>
      </c>
      <c r="AL23" s="106">
        <f t="shared" si="6"/>
        <v>486662.49355541548</v>
      </c>
      <c r="AM23" s="106">
        <f t="shared" si="6"/>
        <v>486662.49355541548</v>
      </c>
      <c r="AN23" s="106">
        <f t="shared" si="6"/>
        <v>486662.49355541548</v>
      </c>
      <c r="AO23" s="106">
        <f t="shared" si="6"/>
        <v>547495.30524984247</v>
      </c>
      <c r="AP23" s="106">
        <f t="shared" si="6"/>
        <v>547495.30524984247</v>
      </c>
      <c r="AQ23" s="106">
        <f t="shared" si="6"/>
        <v>547495.30524984247</v>
      </c>
      <c r="AR23" s="106">
        <f t="shared" si="6"/>
        <v>547495.30524984247</v>
      </c>
      <c r="AS23" s="106">
        <f t="shared" si="6"/>
        <v>486662.49355541548</v>
      </c>
      <c r="AT23" s="106">
        <f t="shared" si="6"/>
        <v>0</v>
      </c>
      <c r="AU23" s="106">
        <f t="shared" si="6"/>
        <v>973324.98711083096</v>
      </c>
      <c r="AV23" s="106">
        <f t="shared" si="6"/>
        <v>486662.49355541548</v>
      </c>
      <c r="AW23" s="106">
        <f t="shared" si="6"/>
        <v>486662.49355541548</v>
      </c>
      <c r="AX23" s="106">
        <f t="shared" si="6"/>
        <v>486662.49355541548</v>
      </c>
      <c r="AY23" s="106">
        <f t="shared" si="6"/>
        <v>486662.49355541548</v>
      </c>
      <c r="AZ23" s="145">
        <f t="shared" si="5"/>
        <v>23846462.184215363</v>
      </c>
    </row>
    <row r="24" spans="1:52" s="116" customFormat="1" x14ac:dyDescent="0.2">
      <c r="A24" s="167" t="s">
        <v>307</v>
      </c>
      <c r="B24" s="168">
        <v>1000</v>
      </c>
      <c r="C24" s="162" t="s">
        <v>292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308</v>
      </c>
      <c r="C27" s="130">
        <v>61</v>
      </c>
      <c r="D27" s="130">
        <f>C$27-C$28+C$29</f>
        <v>61</v>
      </c>
      <c r="E27" s="130">
        <f t="shared" ref="E27:AY27" si="8">D27-D28+D29</f>
        <v>61</v>
      </c>
      <c r="F27" s="130">
        <f t="shared" si="8"/>
        <v>51</v>
      </c>
      <c r="G27" s="130">
        <f t="shared" si="8"/>
        <v>51</v>
      </c>
      <c r="H27" s="130">
        <f t="shared" si="8"/>
        <v>51</v>
      </c>
      <c r="I27" s="130">
        <f t="shared" si="8"/>
        <v>51</v>
      </c>
      <c r="J27" s="130">
        <f t="shared" si="8"/>
        <v>52</v>
      </c>
      <c r="K27" s="130">
        <f t="shared" si="8"/>
        <v>52</v>
      </c>
      <c r="L27" s="130">
        <f t="shared" si="8"/>
        <v>52</v>
      </c>
      <c r="M27" s="130">
        <f t="shared" si="8"/>
        <v>52</v>
      </c>
      <c r="N27" s="130">
        <f t="shared" si="8"/>
        <v>52</v>
      </c>
      <c r="O27" s="130">
        <f t="shared" si="8"/>
        <v>52</v>
      </c>
      <c r="P27" s="130">
        <f t="shared" si="8"/>
        <v>52</v>
      </c>
      <c r="Q27" s="130">
        <f t="shared" si="8"/>
        <v>52</v>
      </c>
      <c r="R27" s="130">
        <f t="shared" si="8"/>
        <v>51</v>
      </c>
      <c r="S27" s="130">
        <f t="shared" si="8"/>
        <v>51</v>
      </c>
      <c r="T27" s="130">
        <f t="shared" si="8"/>
        <v>51</v>
      </c>
      <c r="U27" s="130">
        <f t="shared" si="8"/>
        <v>51</v>
      </c>
      <c r="V27" s="130">
        <f t="shared" si="8"/>
        <v>52</v>
      </c>
      <c r="W27" s="130">
        <f t="shared" si="8"/>
        <v>52</v>
      </c>
      <c r="X27" s="130">
        <f t="shared" si="8"/>
        <v>52</v>
      </c>
      <c r="Y27" s="130">
        <f t="shared" si="8"/>
        <v>52</v>
      </c>
      <c r="Z27" s="130">
        <f t="shared" si="8"/>
        <v>52</v>
      </c>
      <c r="AA27" s="130">
        <f t="shared" si="8"/>
        <v>52</v>
      </c>
      <c r="AB27" s="130">
        <f t="shared" si="8"/>
        <v>52</v>
      </c>
      <c r="AC27" s="130">
        <f t="shared" si="8"/>
        <v>52</v>
      </c>
      <c r="AD27" s="130">
        <f t="shared" si="8"/>
        <v>51</v>
      </c>
      <c r="AE27" s="130">
        <f t="shared" si="8"/>
        <v>51</v>
      </c>
      <c r="AF27" s="130">
        <f t="shared" si="8"/>
        <v>51</v>
      </c>
      <c r="AG27" s="130">
        <f t="shared" si="8"/>
        <v>51</v>
      </c>
      <c r="AH27" s="130">
        <f t="shared" si="8"/>
        <v>52</v>
      </c>
      <c r="AI27" s="130">
        <f t="shared" si="8"/>
        <v>52</v>
      </c>
      <c r="AJ27" s="130">
        <f t="shared" si="8"/>
        <v>52</v>
      </c>
      <c r="AK27" s="130">
        <f t="shared" si="8"/>
        <v>52</v>
      </c>
      <c r="AL27" s="130">
        <f t="shared" si="8"/>
        <v>52</v>
      </c>
      <c r="AM27" s="130">
        <f t="shared" si="8"/>
        <v>52</v>
      </c>
      <c r="AN27" s="130">
        <f t="shared" si="8"/>
        <v>52</v>
      </c>
      <c r="AO27" s="130">
        <f t="shared" si="8"/>
        <v>52</v>
      </c>
      <c r="AP27" s="130">
        <f t="shared" si="8"/>
        <v>51</v>
      </c>
      <c r="AQ27" s="130">
        <f t="shared" si="8"/>
        <v>51</v>
      </c>
      <c r="AR27" s="130">
        <f t="shared" si="8"/>
        <v>51</v>
      </c>
      <c r="AS27" s="130">
        <f t="shared" si="8"/>
        <v>51</v>
      </c>
      <c r="AT27" s="130">
        <f t="shared" si="8"/>
        <v>52</v>
      </c>
      <c r="AU27" s="130">
        <f t="shared" si="8"/>
        <v>61</v>
      </c>
      <c r="AV27" s="130">
        <f t="shared" si="8"/>
        <v>44</v>
      </c>
      <c r="AW27" s="130">
        <f t="shared" si="8"/>
        <v>52</v>
      </c>
      <c r="AX27" s="130">
        <f t="shared" si="8"/>
        <v>52</v>
      </c>
      <c r="AY27" s="170">
        <f t="shared" si="8"/>
        <v>52</v>
      </c>
      <c r="AZ27" s="112"/>
    </row>
    <row r="28" spans="1:52" x14ac:dyDescent="0.2">
      <c r="B28" s="171" t="s">
        <v>309</v>
      </c>
      <c r="C28" s="116"/>
      <c r="D28" s="116">
        <v>0</v>
      </c>
      <c r="E28" s="116">
        <v>10</v>
      </c>
      <c r="F28" s="116">
        <v>10</v>
      </c>
      <c r="G28" s="116">
        <v>10</v>
      </c>
      <c r="H28" s="116">
        <v>10</v>
      </c>
      <c r="I28" s="116">
        <v>9</v>
      </c>
      <c r="J28" s="116">
        <v>9</v>
      </c>
      <c r="K28" s="116">
        <v>9</v>
      </c>
      <c r="L28" s="116">
        <v>9</v>
      </c>
      <c r="M28" s="116">
        <v>9</v>
      </c>
      <c r="N28" s="116">
        <v>9</v>
      </c>
      <c r="O28" s="116">
        <v>9</v>
      </c>
      <c r="P28" s="116">
        <v>9</v>
      </c>
      <c r="Q28" s="116">
        <v>10</v>
      </c>
      <c r="R28" s="116">
        <v>10</v>
      </c>
      <c r="S28" s="116">
        <v>10</v>
      </c>
      <c r="T28" s="116">
        <v>10</v>
      </c>
      <c r="U28" s="116">
        <v>9</v>
      </c>
      <c r="V28" s="116">
        <v>9</v>
      </c>
      <c r="W28" s="116">
        <v>9</v>
      </c>
      <c r="X28" s="116">
        <v>9</v>
      </c>
      <c r="Y28" s="116">
        <v>9</v>
      </c>
      <c r="Z28" s="116">
        <v>9</v>
      </c>
      <c r="AA28" s="116">
        <v>9</v>
      </c>
      <c r="AB28" s="116">
        <v>9</v>
      </c>
      <c r="AC28" s="116">
        <v>10</v>
      </c>
      <c r="AD28" s="116">
        <v>10</v>
      </c>
      <c r="AE28" s="116">
        <v>10</v>
      </c>
      <c r="AF28" s="116">
        <v>10</v>
      </c>
      <c r="AG28" s="116">
        <v>9</v>
      </c>
      <c r="AH28" s="116">
        <v>9</v>
      </c>
      <c r="AI28" s="116">
        <v>9</v>
      </c>
      <c r="AJ28" s="116">
        <v>9</v>
      </c>
      <c r="AK28" s="116">
        <v>9</v>
      </c>
      <c r="AL28" s="116">
        <v>9</v>
      </c>
      <c r="AM28" s="116">
        <v>9</v>
      </c>
      <c r="AN28" s="116">
        <v>9</v>
      </c>
      <c r="AO28" s="116">
        <v>10</v>
      </c>
      <c r="AP28" s="116">
        <v>10</v>
      </c>
      <c r="AQ28" s="116">
        <v>10</v>
      </c>
      <c r="AR28" s="116">
        <v>10</v>
      </c>
      <c r="AS28" s="116">
        <v>9</v>
      </c>
      <c r="AT28" s="116">
        <v>0</v>
      </c>
      <c r="AU28" s="116">
        <v>17</v>
      </c>
      <c r="AV28" s="116">
        <v>9</v>
      </c>
      <c r="AW28" s="116">
        <v>9</v>
      </c>
      <c r="AX28" s="116">
        <v>9</v>
      </c>
      <c r="AY28" s="172">
        <v>9</v>
      </c>
      <c r="AZ28" s="112"/>
    </row>
    <row r="29" spans="1:52" x14ac:dyDescent="0.2">
      <c r="B29" s="142" t="s">
        <v>310</v>
      </c>
      <c r="C29" s="131"/>
      <c r="D29" s="131">
        <f>C$28</f>
        <v>0</v>
      </c>
      <c r="E29" s="131">
        <f t="shared" ref="E29:AY29" si="9">D$28</f>
        <v>0</v>
      </c>
      <c r="F29" s="131">
        <f t="shared" si="9"/>
        <v>10</v>
      </c>
      <c r="G29" s="131">
        <f t="shared" si="9"/>
        <v>10</v>
      </c>
      <c r="H29" s="131">
        <f t="shared" si="9"/>
        <v>10</v>
      </c>
      <c r="I29" s="131">
        <f t="shared" si="9"/>
        <v>10</v>
      </c>
      <c r="J29" s="131">
        <f t="shared" si="9"/>
        <v>9</v>
      </c>
      <c r="K29" s="131">
        <f t="shared" si="9"/>
        <v>9</v>
      </c>
      <c r="L29" s="131">
        <f t="shared" si="9"/>
        <v>9</v>
      </c>
      <c r="M29" s="131">
        <f t="shared" si="9"/>
        <v>9</v>
      </c>
      <c r="N29" s="131">
        <f t="shared" si="9"/>
        <v>9</v>
      </c>
      <c r="O29" s="131">
        <f t="shared" si="9"/>
        <v>9</v>
      </c>
      <c r="P29" s="131">
        <f t="shared" si="9"/>
        <v>9</v>
      </c>
      <c r="Q29" s="131">
        <f t="shared" si="9"/>
        <v>9</v>
      </c>
      <c r="R29" s="131">
        <f t="shared" si="9"/>
        <v>10</v>
      </c>
      <c r="S29" s="131">
        <f t="shared" si="9"/>
        <v>10</v>
      </c>
      <c r="T29" s="131">
        <f t="shared" si="9"/>
        <v>10</v>
      </c>
      <c r="U29" s="131">
        <f t="shared" si="9"/>
        <v>10</v>
      </c>
      <c r="V29" s="131">
        <f t="shared" si="9"/>
        <v>9</v>
      </c>
      <c r="W29" s="131">
        <f t="shared" si="9"/>
        <v>9</v>
      </c>
      <c r="X29" s="131">
        <f t="shared" si="9"/>
        <v>9</v>
      </c>
      <c r="Y29" s="131">
        <f t="shared" si="9"/>
        <v>9</v>
      </c>
      <c r="Z29" s="131">
        <f t="shared" si="9"/>
        <v>9</v>
      </c>
      <c r="AA29" s="131">
        <f t="shared" si="9"/>
        <v>9</v>
      </c>
      <c r="AB29" s="131">
        <f t="shared" si="9"/>
        <v>9</v>
      </c>
      <c r="AC29" s="131">
        <f t="shared" si="9"/>
        <v>9</v>
      </c>
      <c r="AD29" s="131">
        <f t="shared" si="9"/>
        <v>10</v>
      </c>
      <c r="AE29" s="131">
        <f t="shared" si="9"/>
        <v>10</v>
      </c>
      <c r="AF29" s="131">
        <f t="shared" si="9"/>
        <v>10</v>
      </c>
      <c r="AG29" s="131">
        <f t="shared" si="9"/>
        <v>10</v>
      </c>
      <c r="AH29" s="131">
        <f t="shared" si="9"/>
        <v>9</v>
      </c>
      <c r="AI29" s="131">
        <f t="shared" si="9"/>
        <v>9</v>
      </c>
      <c r="AJ29" s="131">
        <f t="shared" si="9"/>
        <v>9</v>
      </c>
      <c r="AK29" s="131">
        <f t="shared" si="9"/>
        <v>9</v>
      </c>
      <c r="AL29" s="131">
        <f t="shared" si="9"/>
        <v>9</v>
      </c>
      <c r="AM29" s="131">
        <f t="shared" si="9"/>
        <v>9</v>
      </c>
      <c r="AN29" s="131">
        <f t="shared" si="9"/>
        <v>9</v>
      </c>
      <c r="AO29" s="131">
        <f t="shared" si="9"/>
        <v>9</v>
      </c>
      <c r="AP29" s="131">
        <f t="shared" si="9"/>
        <v>10</v>
      </c>
      <c r="AQ29" s="131">
        <f t="shared" si="9"/>
        <v>10</v>
      </c>
      <c r="AR29" s="131">
        <f t="shared" si="9"/>
        <v>10</v>
      </c>
      <c r="AS29" s="131">
        <f t="shared" si="9"/>
        <v>10</v>
      </c>
      <c r="AT29" s="131">
        <f t="shared" si="9"/>
        <v>9</v>
      </c>
      <c r="AU29" s="131">
        <f t="shared" si="9"/>
        <v>0</v>
      </c>
      <c r="AV29" s="131">
        <f t="shared" si="9"/>
        <v>17</v>
      </c>
      <c r="AW29" s="131">
        <f t="shared" si="9"/>
        <v>9</v>
      </c>
      <c r="AX29" s="131">
        <f t="shared" si="9"/>
        <v>9</v>
      </c>
      <c r="AY29" s="173">
        <f t="shared" si="9"/>
        <v>9</v>
      </c>
      <c r="AZ29" s="174"/>
    </row>
    <row r="30" spans="1:52" x14ac:dyDescent="0.2">
      <c r="A30" s="175" t="s">
        <v>311</v>
      </c>
      <c r="B30" s="150">
        <v>10</v>
      </c>
      <c r="C30" s="123" t="s">
        <v>292</v>
      </c>
      <c r="D30" s="123">
        <f>D$27*$B$30</f>
        <v>610</v>
      </c>
      <c r="E30" s="123">
        <f t="shared" ref="E30:AY30" si="10">E$27*$B$30</f>
        <v>610</v>
      </c>
      <c r="F30" s="123">
        <f t="shared" si="10"/>
        <v>510</v>
      </c>
      <c r="G30" s="123">
        <f t="shared" si="10"/>
        <v>510</v>
      </c>
      <c r="H30" s="123">
        <f t="shared" si="10"/>
        <v>510</v>
      </c>
      <c r="I30" s="123">
        <f t="shared" si="10"/>
        <v>510</v>
      </c>
      <c r="J30" s="123">
        <f t="shared" si="10"/>
        <v>520</v>
      </c>
      <c r="K30" s="123">
        <f t="shared" si="10"/>
        <v>520</v>
      </c>
      <c r="L30" s="123">
        <f t="shared" si="10"/>
        <v>520</v>
      </c>
      <c r="M30" s="123">
        <f t="shared" si="10"/>
        <v>520</v>
      </c>
      <c r="N30" s="123">
        <f t="shared" si="10"/>
        <v>520</v>
      </c>
      <c r="O30" s="123">
        <f t="shared" si="10"/>
        <v>520</v>
      </c>
      <c r="P30" s="123">
        <f t="shared" si="10"/>
        <v>520</v>
      </c>
      <c r="Q30" s="123">
        <f t="shared" si="10"/>
        <v>520</v>
      </c>
      <c r="R30" s="123">
        <f>R$27*$B$30</f>
        <v>510</v>
      </c>
      <c r="S30" s="123">
        <f t="shared" si="10"/>
        <v>510</v>
      </c>
      <c r="T30" s="123">
        <f t="shared" si="10"/>
        <v>510</v>
      </c>
      <c r="U30" s="123">
        <f t="shared" si="10"/>
        <v>510</v>
      </c>
      <c r="V30" s="123">
        <f t="shared" si="10"/>
        <v>520</v>
      </c>
      <c r="W30" s="123">
        <f t="shared" si="10"/>
        <v>520</v>
      </c>
      <c r="X30" s="123">
        <f t="shared" si="10"/>
        <v>520</v>
      </c>
      <c r="Y30" s="123">
        <f t="shared" si="10"/>
        <v>520</v>
      </c>
      <c r="Z30" s="123">
        <f t="shared" si="10"/>
        <v>520</v>
      </c>
      <c r="AA30" s="123">
        <f t="shared" si="10"/>
        <v>520</v>
      </c>
      <c r="AB30" s="123">
        <f t="shared" si="10"/>
        <v>520</v>
      </c>
      <c r="AC30" s="123">
        <f t="shared" si="10"/>
        <v>520</v>
      </c>
      <c r="AD30" s="123">
        <f t="shared" si="10"/>
        <v>510</v>
      </c>
      <c r="AE30" s="123">
        <f>AE$27*$B$30</f>
        <v>510</v>
      </c>
      <c r="AF30" s="123">
        <f t="shared" si="10"/>
        <v>510</v>
      </c>
      <c r="AG30" s="123">
        <f t="shared" si="10"/>
        <v>510</v>
      </c>
      <c r="AH30" s="123">
        <f t="shared" si="10"/>
        <v>520</v>
      </c>
      <c r="AI30" s="123">
        <f t="shared" si="10"/>
        <v>520</v>
      </c>
      <c r="AJ30" s="123">
        <f t="shared" si="10"/>
        <v>520</v>
      </c>
      <c r="AK30" s="123">
        <f t="shared" si="10"/>
        <v>520</v>
      </c>
      <c r="AL30" s="123">
        <f t="shared" si="10"/>
        <v>520</v>
      </c>
      <c r="AM30" s="123">
        <f t="shared" si="10"/>
        <v>520</v>
      </c>
      <c r="AN30" s="123">
        <f t="shared" si="10"/>
        <v>520</v>
      </c>
      <c r="AO30" s="123">
        <f t="shared" si="10"/>
        <v>520</v>
      </c>
      <c r="AP30" s="123">
        <f t="shared" si="10"/>
        <v>510</v>
      </c>
      <c r="AQ30" s="123">
        <f t="shared" si="10"/>
        <v>510</v>
      </c>
      <c r="AR30" s="123">
        <f t="shared" si="10"/>
        <v>510</v>
      </c>
      <c r="AS30" s="123">
        <f t="shared" si="10"/>
        <v>510</v>
      </c>
      <c r="AT30" s="123">
        <f t="shared" si="10"/>
        <v>520</v>
      </c>
      <c r="AU30" s="123">
        <f t="shared" si="10"/>
        <v>610</v>
      </c>
      <c r="AV30" s="123">
        <f t="shared" si="10"/>
        <v>440</v>
      </c>
      <c r="AW30" s="123">
        <f t="shared" si="10"/>
        <v>520</v>
      </c>
      <c r="AX30" s="123">
        <f t="shared" si="10"/>
        <v>520</v>
      </c>
      <c r="AY30" s="123">
        <f t="shared" si="10"/>
        <v>520</v>
      </c>
      <c r="AZ30" s="147">
        <f t="shared" si="5"/>
        <v>24990</v>
      </c>
    </row>
    <row r="32" spans="1:52" x14ac:dyDescent="0.2">
      <c r="A32" s="108" t="s">
        <v>299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D$21*shipping_manufacturing!$D$27/100</f>
        <v>0</v>
      </c>
      <c r="E33" s="130">
        <f>E$21*shipping_manufacturing!$D$27/100</f>
        <v>273.74765262492122</v>
      </c>
      <c r="F33" s="130">
        <f>F$21*shipping_manufacturing!$D$27/100</f>
        <v>273.74765262492122</v>
      </c>
      <c r="G33" s="130">
        <f>G$21*shipping_manufacturing!$D$27/100</f>
        <v>273.74765262492122</v>
      </c>
      <c r="H33" s="130">
        <f>H$21*shipping_manufacturing!$D$27/100</f>
        <v>273.74765262492122</v>
      </c>
      <c r="I33" s="130">
        <f>I$21*shipping_manufacturing!$D$27/100</f>
        <v>243.33124677770775</v>
      </c>
      <c r="J33" s="130">
        <f>J$21*shipping_manufacturing!$D$27/100</f>
        <v>243.33124677770775</v>
      </c>
      <c r="K33" s="130">
        <f>K$21*shipping_manufacturing!$D$27/100</f>
        <v>243.33124677770775</v>
      </c>
      <c r="L33" s="130">
        <f>L$21*shipping_manufacturing!$D$27/100</f>
        <v>243.33124677770775</v>
      </c>
      <c r="M33" s="130">
        <f>M$21*shipping_manufacturing!$D$27/100</f>
        <v>243.33124677770775</v>
      </c>
      <c r="N33" s="130">
        <f>N$21*shipping_manufacturing!$D$27/100</f>
        <v>243.33124677770775</v>
      </c>
      <c r="O33" s="130">
        <f>O$21*shipping_manufacturing!$D$27/100</f>
        <v>243.33124677770775</v>
      </c>
      <c r="P33" s="130">
        <f>P$21*shipping_manufacturing!$D$27/100</f>
        <v>243.33124677770775</v>
      </c>
      <c r="Q33" s="130">
        <f>Q$21*shipping_manufacturing!$D$27/100</f>
        <v>273.74765262492122</v>
      </c>
      <c r="R33" s="130">
        <f>R$21*shipping_manufacturing!$D$27/100</f>
        <v>273.74765262492122</v>
      </c>
      <c r="S33" s="130">
        <f>S$21*shipping_manufacturing!$D$27/100</f>
        <v>273.74765262492122</v>
      </c>
      <c r="T33" s="130">
        <f>T$21*shipping_manufacturing!$D$27/100</f>
        <v>273.74765262492122</v>
      </c>
      <c r="U33" s="130">
        <f>U$21*shipping_manufacturing!$D$27/100</f>
        <v>243.33124677770775</v>
      </c>
      <c r="V33" s="130">
        <f>V$21*shipping_manufacturing!$D$27/100</f>
        <v>243.33124677770775</v>
      </c>
      <c r="W33" s="130">
        <f>W$21*shipping_manufacturing!$D$27/100</f>
        <v>243.33124677770775</v>
      </c>
      <c r="X33" s="130">
        <f>X$21*shipping_manufacturing!$D$27/100</f>
        <v>243.33124677770775</v>
      </c>
      <c r="Y33" s="130">
        <f>Y$21*shipping_manufacturing!$D$27/100</f>
        <v>243.33124677770775</v>
      </c>
      <c r="Z33" s="130">
        <f>Z$21*shipping_manufacturing!$D$27/100</f>
        <v>243.33124677770775</v>
      </c>
      <c r="AA33" s="130">
        <f>AA$21*shipping_manufacturing!$D$27/100</f>
        <v>243.33124677770775</v>
      </c>
      <c r="AB33" s="130">
        <f>AB$21*shipping_manufacturing!$D$27/100</f>
        <v>243.33124677770775</v>
      </c>
      <c r="AC33" s="130">
        <f>AC$21*shipping_manufacturing!$D$27/100</f>
        <v>273.74765262492122</v>
      </c>
      <c r="AD33" s="130">
        <f>AD$21*shipping_manufacturing!$D$27/100</f>
        <v>273.74765262492122</v>
      </c>
      <c r="AE33" s="130">
        <f>AE$21*shipping_manufacturing!$D$27/100</f>
        <v>273.74765262492122</v>
      </c>
      <c r="AF33" s="130">
        <f>AF$21*shipping_manufacturing!$D$27/100</f>
        <v>273.74765262492122</v>
      </c>
      <c r="AG33" s="130">
        <f>AG$21*shipping_manufacturing!$D$27/100</f>
        <v>243.33124677770775</v>
      </c>
      <c r="AH33" s="130">
        <f>AH$21*shipping_manufacturing!$D$27/100</f>
        <v>243.33124677770775</v>
      </c>
      <c r="AI33" s="130">
        <f>AI$21*shipping_manufacturing!$D$27/100</f>
        <v>243.33124677770775</v>
      </c>
      <c r="AJ33" s="130">
        <f>AJ$21*shipping_manufacturing!$D$27/100</f>
        <v>243.33124677770775</v>
      </c>
      <c r="AK33" s="130">
        <f>AK$21*shipping_manufacturing!$D$27/100</f>
        <v>243.33124677770775</v>
      </c>
      <c r="AL33" s="130">
        <f>AL$21*shipping_manufacturing!$D$27/100</f>
        <v>243.33124677770775</v>
      </c>
      <c r="AM33" s="130">
        <f>AM$21*shipping_manufacturing!$D$27/100</f>
        <v>243.33124677770775</v>
      </c>
      <c r="AN33" s="130">
        <f>AN$21*shipping_manufacturing!$D$27/100</f>
        <v>243.33124677770775</v>
      </c>
      <c r="AO33" s="130">
        <f>AO$21*shipping_manufacturing!$D$27/100</f>
        <v>273.74765262492122</v>
      </c>
      <c r="AP33" s="130">
        <f>AP$21*shipping_manufacturing!$D$27/100</f>
        <v>273.74765262492122</v>
      </c>
      <c r="AQ33" s="130">
        <f>AQ$21*shipping_manufacturing!$D$27/100</f>
        <v>273.74765262492122</v>
      </c>
      <c r="AR33" s="130">
        <f>AR$21*shipping_manufacturing!$D$27/100</f>
        <v>273.74765262492122</v>
      </c>
      <c r="AS33" s="130">
        <f>AS$21*shipping_manufacturing!$D$27/100</f>
        <v>243.33124677770775</v>
      </c>
      <c r="AT33" s="130">
        <f>AT$21*shipping_manufacturing!$D$27/100</f>
        <v>0</v>
      </c>
      <c r="AU33" s="130">
        <f>AU$21*shipping_manufacturing!$D$27/100</f>
        <v>486.66249355541549</v>
      </c>
      <c r="AV33" s="130">
        <f>AV$21*shipping_manufacturing!$D$27/100</f>
        <v>243.33124677770775</v>
      </c>
      <c r="AW33" s="130">
        <f>AW$21*shipping_manufacturing!$D$27/100</f>
        <v>243.33124677770775</v>
      </c>
      <c r="AX33" s="130">
        <f>AX$21*shipping_manufacturing!$D$27/100</f>
        <v>243.33124677770775</v>
      </c>
      <c r="AY33" s="130">
        <f>AY$21*shipping_manufacturing!$D$27/100</f>
        <v>243.33124677770775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273.74765262492122</v>
      </c>
      <c r="F35" s="116">
        <f t="shared" si="11"/>
        <v>273.74765262492122</v>
      </c>
      <c r="G35" s="116">
        <f t="shared" si="11"/>
        <v>273.74765262492122</v>
      </c>
      <c r="H35" s="116">
        <f t="shared" si="11"/>
        <v>273.74765262492122</v>
      </c>
      <c r="I35" s="116">
        <f t="shared" si="11"/>
        <v>243.33124677770775</v>
      </c>
      <c r="J35" s="116">
        <f t="shared" si="11"/>
        <v>243.33124677770775</v>
      </c>
      <c r="K35" s="116">
        <f t="shared" si="11"/>
        <v>243.33124677770775</v>
      </c>
      <c r="L35" s="116">
        <f t="shared" si="11"/>
        <v>243.33124677770775</v>
      </c>
      <c r="M35" s="116">
        <f t="shared" si="11"/>
        <v>243.33124677770775</v>
      </c>
      <c r="N35" s="116">
        <f t="shared" si="11"/>
        <v>243.33124677770775</v>
      </c>
      <c r="O35" s="116">
        <f t="shared" si="11"/>
        <v>243.33124677770775</v>
      </c>
      <c r="P35" s="116">
        <f t="shared" si="11"/>
        <v>243.33124677770775</v>
      </c>
      <c r="Q35" s="116">
        <f t="shared" si="11"/>
        <v>273.74765262492122</v>
      </c>
      <c r="R35" s="116">
        <f t="shared" si="11"/>
        <v>273.74765262492122</v>
      </c>
      <c r="S35" s="116">
        <f t="shared" si="11"/>
        <v>273.74765262492122</v>
      </c>
      <c r="T35" s="116">
        <f t="shared" si="11"/>
        <v>273.74765262492122</v>
      </c>
      <c r="U35" s="116">
        <f t="shared" si="11"/>
        <v>243.33124677770775</v>
      </c>
      <c r="V35" s="116">
        <f t="shared" si="11"/>
        <v>243.33124677770775</v>
      </c>
      <c r="W35" s="116">
        <f t="shared" si="11"/>
        <v>243.33124677770775</v>
      </c>
      <c r="X35" s="116">
        <f t="shared" si="11"/>
        <v>243.33124677770775</v>
      </c>
      <c r="Y35" s="116">
        <f t="shared" si="11"/>
        <v>243.33124677770775</v>
      </c>
      <c r="Z35" s="116">
        <f t="shared" si="11"/>
        <v>243.33124677770775</v>
      </c>
      <c r="AA35" s="116">
        <f t="shared" si="11"/>
        <v>243.33124677770775</v>
      </c>
      <c r="AB35" s="116">
        <f t="shared" si="11"/>
        <v>243.33124677770775</v>
      </c>
      <c r="AC35" s="116">
        <f t="shared" si="11"/>
        <v>273.74765262492122</v>
      </c>
      <c r="AD35" s="116">
        <f t="shared" si="11"/>
        <v>273.74765262492122</v>
      </c>
      <c r="AE35" s="116">
        <f t="shared" si="11"/>
        <v>273.74765262492122</v>
      </c>
      <c r="AF35" s="116">
        <f t="shared" si="11"/>
        <v>273.74765262492122</v>
      </c>
      <c r="AG35" s="116">
        <f t="shared" si="11"/>
        <v>243.33124677770775</v>
      </c>
      <c r="AH35" s="116">
        <f t="shared" si="11"/>
        <v>243.33124677770775</v>
      </c>
      <c r="AI35" s="116">
        <f t="shared" si="11"/>
        <v>243.33124677770775</v>
      </c>
      <c r="AJ35" s="116">
        <f t="shared" si="11"/>
        <v>243.33124677770775</v>
      </c>
      <c r="AK35" s="116">
        <f t="shared" si="11"/>
        <v>243.33124677770775</v>
      </c>
      <c r="AL35" s="116">
        <f t="shared" si="11"/>
        <v>243.33124677770775</v>
      </c>
      <c r="AM35" s="116">
        <f t="shared" si="11"/>
        <v>243.33124677770775</v>
      </c>
      <c r="AN35" s="116">
        <f t="shared" si="11"/>
        <v>243.33124677770775</v>
      </c>
      <c r="AO35" s="116">
        <f t="shared" si="11"/>
        <v>273.74765262492122</v>
      </c>
      <c r="AP35" s="116">
        <f t="shared" si="11"/>
        <v>273.74765262492122</v>
      </c>
      <c r="AQ35" s="116">
        <f t="shared" si="11"/>
        <v>273.74765262492122</v>
      </c>
      <c r="AR35" s="116">
        <f t="shared" si="11"/>
        <v>273.74765262492122</v>
      </c>
      <c r="AS35" s="116">
        <f t="shared" si="11"/>
        <v>243.33124677770775</v>
      </c>
      <c r="AT35" s="116">
        <f t="shared" si="11"/>
        <v>0</v>
      </c>
      <c r="AU35" s="116">
        <f t="shared" si="11"/>
        <v>486.66249355541549</v>
      </c>
      <c r="AV35" s="116">
        <f t="shared" si="11"/>
        <v>243.33124677770775</v>
      </c>
      <c r="AW35" s="116">
        <f t="shared" si="11"/>
        <v>243.33124677770775</v>
      </c>
      <c r="AX35" s="116">
        <f t="shared" si="11"/>
        <v>243.33124677770775</v>
      </c>
      <c r="AY35" s="116">
        <f t="shared" si="11"/>
        <v>243.33124677770775</v>
      </c>
    </row>
    <row r="36" spans="1:52" x14ac:dyDescent="0.2">
      <c r="A36" s="116"/>
      <c r="B36" s="171" t="s">
        <v>343</v>
      </c>
      <c r="C36" s="116"/>
      <c r="D36" s="116"/>
      <c r="E36" s="116">
        <v>273.74765262492122</v>
      </c>
      <c r="F36" s="116">
        <v>273.74765262492122</v>
      </c>
      <c r="G36" s="116">
        <v>273.74765262492122</v>
      </c>
      <c r="H36" s="116">
        <v>273.74765262492122</v>
      </c>
      <c r="I36" s="116">
        <v>243.33124677770775</v>
      </c>
      <c r="J36" s="116">
        <v>243.33124677770775</v>
      </c>
      <c r="K36" s="116">
        <v>243.33124677770775</v>
      </c>
      <c r="L36" s="116">
        <v>243.33124677770775</v>
      </c>
      <c r="M36" s="116">
        <v>243.33124677770775</v>
      </c>
      <c r="N36" s="116">
        <v>243.33124677770775</v>
      </c>
      <c r="O36" s="116">
        <v>243.33124677770775</v>
      </c>
      <c r="P36" s="116">
        <v>243.33124677770775</v>
      </c>
      <c r="Q36" s="116">
        <v>273.74765262492122</v>
      </c>
      <c r="R36" s="116">
        <v>273.74765262492122</v>
      </c>
      <c r="S36" s="116">
        <v>273.74765262492122</v>
      </c>
      <c r="T36" s="116">
        <v>273.74765262492122</v>
      </c>
      <c r="U36" s="116">
        <v>243.33124677770775</v>
      </c>
      <c r="V36" s="116">
        <v>243.33124677770775</v>
      </c>
      <c r="W36" s="116">
        <v>243.33124677770775</v>
      </c>
      <c r="X36" s="116">
        <v>243.33124677770775</v>
      </c>
      <c r="Y36" s="116">
        <v>243.33124677770775</v>
      </c>
      <c r="Z36" s="116">
        <v>243.33124677770775</v>
      </c>
      <c r="AA36" s="116">
        <v>243.33124677770775</v>
      </c>
      <c r="AB36" s="116">
        <v>243.33124677770775</v>
      </c>
      <c r="AC36" s="116">
        <v>273.74765262492122</v>
      </c>
      <c r="AD36" s="116">
        <v>273.74765262492122</v>
      </c>
      <c r="AE36" s="116">
        <v>273.74765262492122</v>
      </c>
      <c r="AF36" s="116">
        <v>273.74765262492122</v>
      </c>
      <c r="AG36" s="116">
        <v>243.33124677770775</v>
      </c>
      <c r="AH36" s="116">
        <v>243.33124677770775</v>
      </c>
      <c r="AI36" s="116">
        <v>243.33124677770775</v>
      </c>
      <c r="AJ36" s="116">
        <v>243.33124677770775</v>
      </c>
      <c r="AK36" s="116">
        <v>243.33124677770775</v>
      </c>
      <c r="AL36" s="116">
        <v>243.33124677770775</v>
      </c>
      <c r="AM36" s="116">
        <v>243.33124677770775</v>
      </c>
      <c r="AN36" s="116">
        <v>243.33124677770775</v>
      </c>
      <c r="AO36" s="116">
        <v>273.74765262492122</v>
      </c>
      <c r="AP36" s="116">
        <v>273.74765262492122</v>
      </c>
      <c r="AQ36" s="116">
        <v>273.74765262492122</v>
      </c>
      <c r="AR36" s="116">
        <v>273.74765262492122</v>
      </c>
      <c r="AS36" s="116">
        <v>243.33124677770775</v>
      </c>
      <c r="AT36" s="116"/>
      <c r="AU36" s="116">
        <v>486.66249355541549</v>
      </c>
      <c r="AV36" s="116">
        <v>243.33124677770775</v>
      </c>
      <c r="AW36" s="116">
        <v>243.33124677770775</v>
      </c>
      <c r="AX36" s="116">
        <v>243.33124677770775</v>
      </c>
      <c r="AY36" s="116">
        <v>243.33124677770775</v>
      </c>
    </row>
    <row r="37" spans="1:52" x14ac:dyDescent="0.2">
      <c r="A37" s="116"/>
      <c r="B37" s="171" t="s">
        <v>344</v>
      </c>
      <c r="C37" s="116"/>
      <c r="D37" s="116"/>
      <c r="E37" s="116">
        <v>0</v>
      </c>
      <c r="F37" s="116">
        <v>0</v>
      </c>
      <c r="G37" s="116">
        <v>0</v>
      </c>
      <c r="H37" s="116">
        <v>0</v>
      </c>
      <c r="I37" s="116">
        <v>0</v>
      </c>
      <c r="J37" s="116">
        <v>0</v>
      </c>
      <c r="K37" s="116">
        <v>0</v>
      </c>
      <c r="L37" s="116">
        <v>0</v>
      </c>
      <c r="M37" s="116">
        <v>0</v>
      </c>
      <c r="N37" s="116">
        <v>0</v>
      </c>
      <c r="O37" s="116">
        <v>0</v>
      </c>
      <c r="P37" s="116">
        <v>0</v>
      </c>
      <c r="Q37" s="116">
        <v>0</v>
      </c>
      <c r="R37" s="116">
        <v>0</v>
      </c>
      <c r="S37" s="116">
        <v>0</v>
      </c>
      <c r="T37" s="116">
        <v>0</v>
      </c>
      <c r="U37" s="116">
        <v>0</v>
      </c>
      <c r="V37" s="116">
        <v>0</v>
      </c>
      <c r="W37" s="116">
        <v>0</v>
      </c>
      <c r="X37" s="116">
        <v>0</v>
      </c>
      <c r="Y37" s="116">
        <v>0</v>
      </c>
      <c r="Z37" s="116">
        <v>0</v>
      </c>
      <c r="AA37" s="116">
        <v>0</v>
      </c>
      <c r="AB37" s="116">
        <v>0</v>
      </c>
      <c r="AC37" s="116">
        <v>0</v>
      </c>
      <c r="AD37" s="116">
        <v>0</v>
      </c>
      <c r="AE37" s="116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116">
        <v>0</v>
      </c>
      <c r="AO37" s="116">
        <v>0</v>
      </c>
      <c r="AP37" s="116">
        <v>0</v>
      </c>
      <c r="AQ37" s="116">
        <v>0</v>
      </c>
      <c r="AR37" s="116">
        <v>0</v>
      </c>
      <c r="AS37" s="116">
        <v>0</v>
      </c>
      <c r="AT37" s="116"/>
      <c r="AU37" s="116">
        <v>0</v>
      </c>
      <c r="AV37" s="116">
        <v>0</v>
      </c>
      <c r="AW37" s="116">
        <v>0</v>
      </c>
      <c r="AX37" s="116">
        <v>0</v>
      </c>
      <c r="AY37" s="116">
        <v>0</v>
      </c>
    </row>
    <row r="38" spans="1:52" x14ac:dyDescent="0.2">
      <c r="A38" s="116"/>
      <c r="B38" s="171" t="s">
        <v>345</v>
      </c>
      <c r="C38" s="116"/>
      <c r="D38" s="116"/>
      <c r="E38" s="116">
        <v>10</v>
      </c>
      <c r="F38" s="116">
        <v>10</v>
      </c>
      <c r="G38" s="116">
        <v>10</v>
      </c>
      <c r="H38" s="116">
        <v>10</v>
      </c>
      <c r="I38" s="116">
        <v>9</v>
      </c>
      <c r="J38" s="116">
        <v>9</v>
      </c>
      <c r="K38" s="116">
        <v>9</v>
      </c>
      <c r="L38" s="116">
        <v>9</v>
      </c>
      <c r="M38" s="116">
        <v>9</v>
      </c>
      <c r="N38" s="116">
        <v>9</v>
      </c>
      <c r="O38" s="116">
        <v>9</v>
      </c>
      <c r="P38" s="116">
        <v>9</v>
      </c>
      <c r="Q38" s="116">
        <v>10</v>
      </c>
      <c r="R38" s="116">
        <v>10</v>
      </c>
      <c r="S38" s="116">
        <v>10</v>
      </c>
      <c r="T38" s="116">
        <v>10</v>
      </c>
      <c r="U38" s="116">
        <v>9</v>
      </c>
      <c r="V38" s="116">
        <v>9</v>
      </c>
      <c r="W38" s="116">
        <v>9</v>
      </c>
      <c r="X38" s="116">
        <v>9</v>
      </c>
      <c r="Y38" s="116">
        <v>9</v>
      </c>
      <c r="Z38" s="116">
        <v>9</v>
      </c>
      <c r="AA38" s="116">
        <v>9</v>
      </c>
      <c r="AB38" s="116">
        <v>9</v>
      </c>
      <c r="AC38" s="116">
        <v>10</v>
      </c>
      <c r="AD38" s="116">
        <v>10</v>
      </c>
      <c r="AE38" s="116">
        <v>10</v>
      </c>
      <c r="AF38" s="116">
        <v>10</v>
      </c>
      <c r="AG38" s="116">
        <v>9</v>
      </c>
      <c r="AH38" s="116">
        <v>9</v>
      </c>
      <c r="AI38" s="116">
        <v>9</v>
      </c>
      <c r="AJ38" s="116">
        <v>9</v>
      </c>
      <c r="AK38" s="116">
        <v>9</v>
      </c>
      <c r="AL38" s="116">
        <v>9</v>
      </c>
      <c r="AM38" s="116">
        <v>9</v>
      </c>
      <c r="AN38" s="116">
        <v>9</v>
      </c>
      <c r="AO38" s="116">
        <v>10</v>
      </c>
      <c r="AP38" s="116">
        <v>10</v>
      </c>
      <c r="AQ38" s="116">
        <v>10</v>
      </c>
      <c r="AR38" s="116">
        <v>10</v>
      </c>
      <c r="AS38" s="116">
        <v>9</v>
      </c>
      <c r="AT38" s="116"/>
      <c r="AU38" s="116">
        <v>17</v>
      </c>
      <c r="AV38" s="116">
        <v>9</v>
      </c>
      <c r="AW38" s="116">
        <v>9</v>
      </c>
      <c r="AX38" s="116">
        <v>9</v>
      </c>
      <c r="AY38" s="116">
        <v>9</v>
      </c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348</v>
      </c>
      <c r="C41" s="116"/>
      <c r="D41" s="116">
        <v>1</v>
      </c>
      <c r="E41" s="116">
        <v>2</v>
      </c>
      <c r="F41" s="116">
        <v>1</v>
      </c>
      <c r="G41" s="116">
        <v>3</v>
      </c>
      <c r="H41" s="116">
        <v>1</v>
      </c>
      <c r="I41" s="116">
        <v>1</v>
      </c>
      <c r="J41" s="116">
        <v>1</v>
      </c>
      <c r="K41" s="116">
        <v>2</v>
      </c>
      <c r="L41" s="116">
        <v>2</v>
      </c>
      <c r="M41" s="116">
        <v>2</v>
      </c>
      <c r="N41" s="116">
        <v>1</v>
      </c>
      <c r="O41" s="116">
        <v>3</v>
      </c>
      <c r="P41" s="116">
        <v>1</v>
      </c>
      <c r="Q41" s="116">
        <v>1</v>
      </c>
      <c r="R41" s="116">
        <v>1</v>
      </c>
      <c r="S41" s="116">
        <v>1</v>
      </c>
      <c r="T41" s="116">
        <v>1</v>
      </c>
      <c r="U41" s="116">
        <v>2</v>
      </c>
      <c r="V41" s="116">
        <v>1</v>
      </c>
      <c r="W41" s="116">
        <v>1</v>
      </c>
      <c r="X41" s="116">
        <v>1</v>
      </c>
      <c r="Y41" s="116">
        <v>3</v>
      </c>
      <c r="Z41" s="116">
        <v>1</v>
      </c>
      <c r="AA41" s="116">
        <v>1</v>
      </c>
      <c r="AB41" s="116">
        <v>1</v>
      </c>
      <c r="AC41" s="116">
        <v>1</v>
      </c>
      <c r="AD41" s="116">
        <v>2</v>
      </c>
      <c r="AE41" s="116">
        <v>1</v>
      </c>
      <c r="AF41" s="116">
        <v>3</v>
      </c>
      <c r="AG41" s="116">
        <v>1</v>
      </c>
      <c r="AH41" s="116">
        <v>2</v>
      </c>
      <c r="AI41" s="116">
        <v>2</v>
      </c>
      <c r="AJ41" s="116">
        <v>1</v>
      </c>
      <c r="AK41" s="116">
        <v>3</v>
      </c>
      <c r="AL41" s="116">
        <v>1</v>
      </c>
      <c r="AM41" s="116">
        <v>1</v>
      </c>
      <c r="AN41" s="116">
        <v>1</v>
      </c>
      <c r="AO41" s="116">
        <v>1</v>
      </c>
      <c r="AP41" s="116">
        <v>2</v>
      </c>
      <c r="AQ41" s="116">
        <v>2</v>
      </c>
      <c r="AR41" s="116">
        <v>1</v>
      </c>
      <c r="AS41" s="116">
        <v>3</v>
      </c>
      <c r="AT41" s="116">
        <v>2</v>
      </c>
      <c r="AU41" s="116">
        <v>1</v>
      </c>
      <c r="AV41" s="116">
        <v>1</v>
      </c>
      <c r="AW41" s="116">
        <v>1</v>
      </c>
      <c r="AX41" s="116">
        <v>2</v>
      </c>
      <c r="AY41" s="116">
        <v>1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480600</v>
      </c>
      <c r="F42" s="116">
        <v>480600</v>
      </c>
      <c r="G42" s="116">
        <v>480600</v>
      </c>
      <c r="H42" s="116">
        <v>480600</v>
      </c>
      <c r="I42" s="116">
        <v>432540</v>
      </c>
      <c r="J42" s="116">
        <v>432540</v>
      </c>
      <c r="K42" s="116">
        <v>432540</v>
      </c>
      <c r="L42" s="116">
        <v>432540</v>
      </c>
      <c r="M42" s="116">
        <v>432540</v>
      </c>
      <c r="N42" s="116">
        <v>432540</v>
      </c>
      <c r="O42" s="116">
        <v>432540</v>
      </c>
      <c r="P42" s="116">
        <v>432540</v>
      </c>
      <c r="Q42" s="116">
        <v>480600</v>
      </c>
      <c r="R42" s="116">
        <v>480600</v>
      </c>
      <c r="S42" s="116">
        <v>480600</v>
      </c>
      <c r="T42" s="116">
        <v>480600</v>
      </c>
      <c r="U42" s="116">
        <v>432540</v>
      </c>
      <c r="V42" s="116">
        <v>432540</v>
      </c>
      <c r="W42" s="116">
        <v>432540</v>
      </c>
      <c r="X42" s="116">
        <v>432540</v>
      </c>
      <c r="Y42" s="116">
        <v>432540</v>
      </c>
      <c r="Z42" s="116">
        <v>432540</v>
      </c>
      <c r="AA42" s="116">
        <v>432540</v>
      </c>
      <c r="AB42" s="116">
        <v>432540</v>
      </c>
      <c r="AC42" s="116">
        <v>480600</v>
      </c>
      <c r="AD42" s="116">
        <v>480600</v>
      </c>
      <c r="AE42" s="116">
        <v>480600</v>
      </c>
      <c r="AF42" s="116">
        <v>480600</v>
      </c>
      <c r="AG42" s="116">
        <v>432540</v>
      </c>
      <c r="AH42" s="116">
        <v>432540</v>
      </c>
      <c r="AI42" s="116">
        <v>432540</v>
      </c>
      <c r="AJ42" s="116">
        <v>432540</v>
      </c>
      <c r="AK42" s="116">
        <v>432540</v>
      </c>
      <c r="AL42" s="116">
        <v>432540</v>
      </c>
      <c r="AM42" s="116">
        <v>432540</v>
      </c>
      <c r="AN42" s="116">
        <v>432540</v>
      </c>
      <c r="AO42" s="116">
        <v>480600</v>
      </c>
      <c r="AP42" s="116">
        <v>480600</v>
      </c>
      <c r="AQ42" s="116">
        <v>480600</v>
      </c>
      <c r="AR42" s="116">
        <v>480600</v>
      </c>
      <c r="AS42" s="116">
        <v>432540</v>
      </c>
      <c r="AT42" s="116">
        <v>0</v>
      </c>
      <c r="AU42" s="116">
        <v>817020</v>
      </c>
      <c r="AV42" s="116">
        <v>432540</v>
      </c>
      <c r="AW42" s="116">
        <v>432540</v>
      </c>
      <c r="AX42" s="116">
        <v>432540</v>
      </c>
      <c r="AY42" s="116">
        <v>432540</v>
      </c>
      <c r="AZ42" s="106">
        <f>SUM($D$42:$AY$42)</f>
        <v>21050280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342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343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344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345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346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348</v>
      </c>
      <c r="C52" s="116"/>
      <c r="D52" s="116">
        <v>1</v>
      </c>
      <c r="E52" s="116">
        <v>1</v>
      </c>
      <c r="F52" s="116">
        <v>1</v>
      </c>
      <c r="G52" s="116">
        <v>1</v>
      </c>
      <c r="H52" s="116">
        <v>1</v>
      </c>
      <c r="I52" s="116">
        <v>1</v>
      </c>
      <c r="J52" s="116">
        <v>1</v>
      </c>
      <c r="K52" s="116">
        <v>1</v>
      </c>
      <c r="L52" s="116">
        <v>2</v>
      </c>
      <c r="M52" s="116">
        <v>1</v>
      </c>
      <c r="N52" s="116">
        <v>1</v>
      </c>
      <c r="O52" s="116">
        <v>1</v>
      </c>
      <c r="P52" s="116">
        <v>1</v>
      </c>
      <c r="Q52" s="116">
        <v>1</v>
      </c>
      <c r="R52" s="116">
        <v>1</v>
      </c>
      <c r="S52" s="116">
        <v>1</v>
      </c>
      <c r="T52" s="116">
        <v>1</v>
      </c>
      <c r="U52" s="116">
        <v>2</v>
      </c>
      <c r="V52" s="116">
        <v>2</v>
      </c>
      <c r="W52" s="116">
        <v>2</v>
      </c>
      <c r="X52" s="116">
        <v>1</v>
      </c>
      <c r="Y52" s="116">
        <v>1</v>
      </c>
      <c r="Z52" s="116">
        <v>1</v>
      </c>
      <c r="AA52" s="116">
        <v>1</v>
      </c>
      <c r="AB52" s="116">
        <v>1</v>
      </c>
      <c r="AC52" s="116">
        <v>2</v>
      </c>
      <c r="AD52" s="116">
        <v>2</v>
      </c>
      <c r="AE52" s="116">
        <v>2</v>
      </c>
      <c r="AF52" s="116">
        <v>1</v>
      </c>
      <c r="AG52" s="116">
        <v>2</v>
      </c>
      <c r="AH52" s="116">
        <v>1</v>
      </c>
      <c r="AI52" s="116">
        <v>1</v>
      </c>
      <c r="AJ52" s="116">
        <v>1</v>
      </c>
      <c r="AK52" s="116">
        <v>2</v>
      </c>
      <c r="AL52" s="116">
        <v>1</v>
      </c>
      <c r="AM52" s="116">
        <v>1</v>
      </c>
      <c r="AN52" s="116">
        <v>3</v>
      </c>
      <c r="AO52" s="116">
        <v>2</v>
      </c>
      <c r="AP52" s="116">
        <v>2</v>
      </c>
      <c r="AQ52" s="116">
        <v>1</v>
      </c>
      <c r="AR52" s="116">
        <v>1</v>
      </c>
      <c r="AS52" s="116">
        <v>1</v>
      </c>
      <c r="AT52" s="116">
        <v>3</v>
      </c>
      <c r="AU52" s="116">
        <v>2</v>
      </c>
      <c r="AV52" s="116">
        <v>1</v>
      </c>
      <c r="AW52" s="116">
        <v>2</v>
      </c>
      <c r="AX52" s="116">
        <v>2</v>
      </c>
      <c r="AY52" s="116">
        <v>1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350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302</v>
      </c>
      <c r="B2" s="113" t="s">
        <v>10</v>
      </c>
      <c r="E2" s="116"/>
    </row>
    <row r="3" spans="1:52" x14ac:dyDescent="0.2">
      <c r="A3" s="106" t="s">
        <v>285</v>
      </c>
      <c r="B3" s="113">
        <v>2454</v>
      </c>
      <c r="E3" s="116"/>
    </row>
    <row r="4" spans="1:52" x14ac:dyDescent="0.2">
      <c r="A4" s="108"/>
      <c r="C4" s="117" t="s">
        <v>286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303</v>
      </c>
      <c r="B6" s="120"/>
      <c r="C6" s="119" t="s">
        <v>287</v>
      </c>
      <c r="D6" s="118" t="s">
        <v>288</v>
      </c>
      <c r="E6" s="118" t="s">
        <v>288</v>
      </c>
      <c r="F6" s="118" t="s">
        <v>288</v>
      </c>
      <c r="G6" s="118" t="s">
        <v>288</v>
      </c>
      <c r="H6" s="118" t="s">
        <v>288</v>
      </c>
      <c r="I6" s="118" t="s">
        <v>288</v>
      </c>
      <c r="J6" s="118" t="s">
        <v>288</v>
      </c>
      <c r="K6" s="118" t="s">
        <v>288</v>
      </c>
      <c r="L6" s="118" t="s">
        <v>288</v>
      </c>
      <c r="M6" s="118" t="s">
        <v>288</v>
      </c>
      <c r="N6" s="118" t="s">
        <v>288</v>
      </c>
      <c r="O6" s="118" t="s">
        <v>288</v>
      </c>
      <c r="P6" s="118" t="s">
        <v>288</v>
      </c>
      <c r="Q6" s="118" t="s">
        <v>288</v>
      </c>
      <c r="R6" s="118" t="s">
        <v>288</v>
      </c>
      <c r="S6" s="118" t="s">
        <v>288</v>
      </c>
      <c r="T6" s="118" t="s">
        <v>288</v>
      </c>
      <c r="U6" s="118" t="s">
        <v>288</v>
      </c>
      <c r="V6" s="118" t="s">
        <v>288</v>
      </c>
      <c r="W6" s="118" t="s">
        <v>288</v>
      </c>
      <c r="X6" s="118" t="s">
        <v>288</v>
      </c>
      <c r="Y6" s="118" t="s">
        <v>288</v>
      </c>
      <c r="Z6" s="118" t="s">
        <v>288</v>
      </c>
      <c r="AA6" s="118" t="s">
        <v>288</v>
      </c>
      <c r="AB6" s="118" t="s">
        <v>288</v>
      </c>
      <c r="AC6" s="118" t="s">
        <v>288</v>
      </c>
      <c r="AD6" s="118" t="s">
        <v>288</v>
      </c>
      <c r="AE6" s="118" t="s">
        <v>288</v>
      </c>
      <c r="AF6" s="118" t="s">
        <v>288</v>
      </c>
      <c r="AG6" s="118" t="s">
        <v>288</v>
      </c>
      <c r="AH6" s="118" t="s">
        <v>288</v>
      </c>
      <c r="AI6" s="118" t="s">
        <v>288</v>
      </c>
      <c r="AJ6" s="118" t="s">
        <v>288</v>
      </c>
      <c r="AK6" s="118" t="s">
        <v>288</v>
      </c>
      <c r="AL6" s="118" t="s">
        <v>288</v>
      </c>
      <c r="AM6" s="118" t="s">
        <v>288</v>
      </c>
      <c r="AN6" s="118" t="s">
        <v>288</v>
      </c>
      <c r="AO6" s="118" t="s">
        <v>288</v>
      </c>
      <c r="AP6" s="118" t="s">
        <v>288</v>
      </c>
      <c r="AQ6" s="118" t="s">
        <v>288</v>
      </c>
      <c r="AR6" s="118" t="s">
        <v>288</v>
      </c>
      <c r="AS6" s="118" t="s">
        <v>288</v>
      </c>
      <c r="AT6" s="118" t="s">
        <v>288</v>
      </c>
      <c r="AU6" s="118" t="s">
        <v>288</v>
      </c>
      <c r="AV6" s="118" t="s">
        <v>288</v>
      </c>
      <c r="AW6" s="118" t="s">
        <v>288</v>
      </c>
      <c r="AX6" s="118" t="s">
        <v>288</v>
      </c>
      <c r="AY6" s="117" t="s">
        <v>289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292</v>
      </c>
      <c r="D7" s="150">
        <v>1331.5215673033081</v>
      </c>
      <c r="E7" s="150">
        <v>1331.5215673033081</v>
      </c>
      <c r="F7" s="150">
        <v>1331.5215673033081</v>
      </c>
      <c r="G7" s="150">
        <v>1331.5215673033081</v>
      </c>
      <c r="H7" s="150">
        <v>1331.5215673033081</v>
      </c>
      <c r="I7" s="150">
        <v>1331.5215673033081</v>
      </c>
      <c r="J7" s="150">
        <v>1331.5215673033081</v>
      </c>
      <c r="K7" s="150">
        <v>1331.5215673033081</v>
      </c>
      <c r="L7" s="150">
        <v>1331.5215673033081</v>
      </c>
      <c r="M7" s="150">
        <v>1331.5215673033081</v>
      </c>
      <c r="N7" s="150">
        <v>1331.5215673033081</v>
      </c>
      <c r="O7" s="150">
        <v>1331.5215673033081</v>
      </c>
      <c r="P7" s="150">
        <v>1331.5215673033081</v>
      </c>
      <c r="Q7" s="150">
        <v>1331.5215673033081</v>
      </c>
      <c r="R7" s="150">
        <v>1331.5215673033081</v>
      </c>
      <c r="S7" s="150">
        <v>1331.5215673033081</v>
      </c>
      <c r="T7" s="150">
        <v>849.1962061344675</v>
      </c>
      <c r="U7" s="150">
        <v>850.14299686456002</v>
      </c>
      <c r="V7" s="150">
        <v>851.08737278501917</v>
      </c>
      <c r="W7" s="150">
        <v>1331.5215673033081</v>
      </c>
      <c r="X7" s="150">
        <v>1331.5215673033081</v>
      </c>
      <c r="Y7" s="150">
        <v>1331.5215673033081</v>
      </c>
      <c r="Z7" s="150">
        <v>1331.5215673033081</v>
      </c>
      <c r="AA7" s="150">
        <v>1331.5215673033081</v>
      </c>
      <c r="AB7" s="150">
        <v>1331.5215673033081</v>
      </c>
      <c r="AC7" s="150">
        <v>1331.5215673033081</v>
      </c>
      <c r="AD7" s="150">
        <v>1219.5301535373271</v>
      </c>
      <c r="AE7" s="150">
        <v>1331.5215673033081</v>
      </c>
      <c r="AF7" s="150">
        <v>860.36502971021855</v>
      </c>
      <c r="AG7" s="150">
        <v>1331.5215673033081</v>
      </c>
      <c r="AH7" s="150">
        <v>1331.5215673033081</v>
      </c>
      <c r="AI7" s="150">
        <v>1331.5215673033081</v>
      </c>
      <c r="AJ7" s="150">
        <v>1331.5215673033081</v>
      </c>
      <c r="AK7" s="150">
        <v>1331.5215673033081</v>
      </c>
      <c r="AL7" s="150">
        <v>1331.5215673033081</v>
      </c>
      <c r="AM7" s="150">
        <v>1331.5215673033081</v>
      </c>
      <c r="AN7" s="150">
        <v>1331.5215673033081</v>
      </c>
      <c r="AO7" s="150">
        <v>1331.5215673033081</v>
      </c>
      <c r="AP7" s="150">
        <v>1331.5215673033081</v>
      </c>
      <c r="AQ7" s="150">
        <v>1331.5215673033081</v>
      </c>
      <c r="AR7" s="150">
        <v>1331.5215673033081</v>
      </c>
      <c r="AS7" s="150">
        <v>1331.5215673033081</v>
      </c>
      <c r="AT7" s="150">
        <v>1331.5215673033081</v>
      </c>
      <c r="AU7" s="150">
        <v>1331.5215673033081</v>
      </c>
      <c r="AV7" s="150">
        <v>1331.5215673033081</v>
      </c>
      <c r="AW7" s="150">
        <v>1331.5215673033081</v>
      </c>
      <c r="AX7" s="150">
        <v>1331.5215673033081</v>
      </c>
      <c r="AY7" s="150">
        <v>1331.5215673033081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293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292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209.04313460661615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209.04313460661615</v>
      </c>
      <c r="AZ10" s="157">
        <f>SUM($D10:$AY10)</f>
        <v>418.0862692132323</v>
      </c>
    </row>
    <row r="11" spans="1:52" x14ac:dyDescent="0.2">
      <c r="C11" s="116"/>
    </row>
    <row r="12" spans="1:52" x14ac:dyDescent="0.2">
      <c r="A12" s="158" t="s">
        <v>294</v>
      </c>
      <c r="B12" s="152"/>
      <c r="C12" s="116"/>
    </row>
    <row r="13" spans="1:52" x14ac:dyDescent="0.2">
      <c r="A13" s="128" t="s">
        <v>125</v>
      </c>
      <c r="B13" s="129">
        <v>1</v>
      </c>
      <c r="C13" s="130"/>
      <c r="D13" s="144">
        <f t="shared" ref="D13:AY13" si="1">D$7-D$10</f>
        <v>1331.5215673033081</v>
      </c>
      <c r="E13" s="144">
        <f t="shared" si="1"/>
        <v>1331.5215673033081</v>
      </c>
      <c r="F13" s="144">
        <f t="shared" si="1"/>
        <v>1331.5215673033081</v>
      </c>
      <c r="G13" s="144">
        <f t="shared" si="1"/>
        <v>1331.5215673033081</v>
      </c>
      <c r="H13" s="144">
        <f t="shared" si="1"/>
        <v>1331.5215673033081</v>
      </c>
      <c r="I13" s="144">
        <f t="shared" si="1"/>
        <v>1331.5215673033081</v>
      </c>
      <c r="J13" s="144">
        <f t="shared" si="1"/>
        <v>1331.5215673033081</v>
      </c>
      <c r="K13" s="144">
        <f t="shared" si="1"/>
        <v>1331.5215673033081</v>
      </c>
      <c r="L13" s="144">
        <f t="shared" si="1"/>
        <v>1331.5215673033081</v>
      </c>
      <c r="M13" s="144">
        <f t="shared" si="1"/>
        <v>1331.5215673033081</v>
      </c>
      <c r="N13" s="144">
        <f t="shared" si="1"/>
        <v>1331.5215673033081</v>
      </c>
      <c r="O13" s="144">
        <f t="shared" si="1"/>
        <v>1331.5215673033081</v>
      </c>
      <c r="P13" s="144">
        <f t="shared" si="1"/>
        <v>1331.5215673033081</v>
      </c>
      <c r="Q13" s="144">
        <f t="shared" si="1"/>
        <v>1122.4784326966919</v>
      </c>
      <c r="R13" s="144">
        <f t="shared" si="1"/>
        <v>1331.5215673033081</v>
      </c>
      <c r="S13" s="144">
        <f t="shared" si="1"/>
        <v>1331.5215673033081</v>
      </c>
      <c r="T13" s="144">
        <f t="shared" si="1"/>
        <v>849.1962061344675</v>
      </c>
      <c r="U13" s="144">
        <f t="shared" si="1"/>
        <v>850.14299686456002</v>
      </c>
      <c r="V13" s="144">
        <f t="shared" si="1"/>
        <v>851.08737278501917</v>
      </c>
      <c r="W13" s="144">
        <f t="shared" si="1"/>
        <v>1331.5215673033081</v>
      </c>
      <c r="X13" s="144">
        <f t="shared" si="1"/>
        <v>1331.5215673033081</v>
      </c>
      <c r="Y13" s="144">
        <f t="shared" si="1"/>
        <v>1331.5215673033081</v>
      </c>
      <c r="Z13" s="144">
        <f t="shared" si="1"/>
        <v>1331.5215673033081</v>
      </c>
      <c r="AA13" s="144">
        <f t="shared" si="1"/>
        <v>1331.5215673033081</v>
      </c>
      <c r="AB13" s="144">
        <f t="shared" si="1"/>
        <v>1331.5215673033081</v>
      </c>
      <c r="AC13" s="144">
        <f t="shared" si="1"/>
        <v>1331.5215673033081</v>
      </c>
      <c r="AD13" s="144">
        <f t="shared" si="1"/>
        <v>1219.5301535373271</v>
      </c>
      <c r="AE13" s="144">
        <f t="shared" si="1"/>
        <v>1331.5215673033081</v>
      </c>
      <c r="AF13" s="144">
        <f t="shared" si="1"/>
        <v>860.36502971021855</v>
      </c>
      <c r="AG13" s="144">
        <f t="shared" si="1"/>
        <v>1331.5215673033081</v>
      </c>
      <c r="AH13" s="144">
        <f t="shared" si="1"/>
        <v>1331.5215673033081</v>
      </c>
      <c r="AI13" s="144">
        <f t="shared" si="1"/>
        <v>1331.5215673033081</v>
      </c>
      <c r="AJ13" s="144">
        <f t="shared" si="1"/>
        <v>1331.5215673033081</v>
      </c>
      <c r="AK13" s="144">
        <f t="shared" si="1"/>
        <v>1331.5215673033081</v>
      </c>
      <c r="AL13" s="144">
        <f t="shared" si="1"/>
        <v>1331.5215673033081</v>
      </c>
      <c r="AM13" s="144">
        <f t="shared" si="1"/>
        <v>1331.5215673033081</v>
      </c>
      <c r="AN13" s="144">
        <f t="shared" si="1"/>
        <v>1331.5215673033081</v>
      </c>
      <c r="AO13" s="144">
        <f t="shared" si="1"/>
        <v>1331.5215673033081</v>
      </c>
      <c r="AP13" s="144">
        <f t="shared" si="1"/>
        <v>1331.5215673033081</v>
      </c>
      <c r="AQ13" s="144">
        <f t="shared" si="1"/>
        <v>1331.5215673033081</v>
      </c>
      <c r="AR13" s="144">
        <f t="shared" si="1"/>
        <v>1331.5215673033081</v>
      </c>
      <c r="AS13" s="144">
        <f t="shared" si="1"/>
        <v>1331.5215673033081</v>
      </c>
      <c r="AT13" s="144">
        <f t="shared" si="1"/>
        <v>1331.5215673033081</v>
      </c>
      <c r="AU13" s="144">
        <f t="shared" si="1"/>
        <v>1331.5215673033081</v>
      </c>
      <c r="AV13" s="144">
        <f t="shared" si="1"/>
        <v>1331.5215673033081</v>
      </c>
      <c r="AW13" s="144">
        <f t="shared" si="1"/>
        <v>1331.5215673033081</v>
      </c>
      <c r="AX13" s="144">
        <f t="shared" si="1"/>
        <v>1331.5215673033081</v>
      </c>
      <c r="AY13" s="144">
        <f t="shared" si="1"/>
        <v>1122.4784326966919</v>
      </c>
      <c r="AZ13" s="115"/>
    </row>
    <row r="14" spans="1:52" x14ac:dyDescent="0.2">
      <c r="A14" s="116"/>
      <c r="B14" s="126">
        <v>2</v>
      </c>
      <c r="C14" s="116"/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1331.5215673033081</v>
      </c>
      <c r="R14" s="112">
        <f t="shared" si="2"/>
        <v>0</v>
      </c>
      <c r="S14" s="112">
        <f t="shared" si="2"/>
        <v>0</v>
      </c>
      <c r="T14" s="112">
        <f t="shared" si="2"/>
        <v>1331.5215673033081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1331.5215673033081</v>
      </c>
      <c r="AZ14" s="115"/>
    </row>
    <row r="15" spans="1:52" x14ac:dyDescent="0.2">
      <c r="A15" s="116"/>
      <c r="B15" s="133">
        <v>3</v>
      </c>
      <c r="C15" s="116"/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/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295</v>
      </c>
      <c r="C17" s="131"/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304</v>
      </c>
      <c r="B20" s="160" t="s">
        <v>305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 t="s">
        <v>338</v>
      </c>
      <c r="Q20" s="123"/>
      <c r="R20" s="123"/>
      <c r="S20" s="123" t="s">
        <v>338</v>
      </c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 t="s">
        <v>338</v>
      </c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1</v>
      </c>
      <c r="C21" s="162" t="s">
        <v>292</v>
      </c>
      <c r="D21" s="112">
        <f>IF(C$20="Yes",0,SUM(C$13:C$16)*$B$21)</f>
        <v>0</v>
      </c>
      <c r="E21" s="112">
        <f t="shared" ref="E21:AY21" si="3">IF(D$20="Yes",0,SUM(D$13:D$16)*$B$21)</f>
        <v>1331.5215673033081</v>
      </c>
      <c r="F21" s="112">
        <f t="shared" si="3"/>
        <v>1331.5215673033081</v>
      </c>
      <c r="G21" s="112">
        <f t="shared" si="3"/>
        <v>1331.5215673033081</v>
      </c>
      <c r="H21" s="112">
        <f t="shared" si="3"/>
        <v>1331.5215673033081</v>
      </c>
      <c r="I21" s="112">
        <f t="shared" si="3"/>
        <v>1331.5215673033081</v>
      </c>
      <c r="J21" s="112">
        <f t="shared" si="3"/>
        <v>1331.5215673033081</v>
      </c>
      <c r="K21" s="112">
        <f t="shared" si="3"/>
        <v>1331.5215673033081</v>
      </c>
      <c r="L21" s="112">
        <f t="shared" si="3"/>
        <v>1331.5215673033081</v>
      </c>
      <c r="M21" s="112">
        <f t="shared" si="3"/>
        <v>1331.5215673033081</v>
      </c>
      <c r="N21" s="112">
        <f t="shared" si="3"/>
        <v>1331.5215673033081</v>
      </c>
      <c r="O21" s="112">
        <f t="shared" si="3"/>
        <v>1331.5215673033081</v>
      </c>
      <c r="P21" s="112">
        <f t="shared" si="3"/>
        <v>1331.5215673033081</v>
      </c>
      <c r="Q21" s="112">
        <f t="shared" si="3"/>
        <v>0</v>
      </c>
      <c r="R21" s="112">
        <f t="shared" si="3"/>
        <v>2454</v>
      </c>
      <c r="S21" s="112">
        <f t="shared" si="3"/>
        <v>1331.5215673033081</v>
      </c>
      <c r="T21" s="112">
        <f t="shared" si="3"/>
        <v>0</v>
      </c>
      <c r="U21" s="112">
        <f t="shared" si="3"/>
        <v>2180.7177734377756</v>
      </c>
      <c r="V21" s="112">
        <f t="shared" si="3"/>
        <v>850.14299686456002</v>
      </c>
      <c r="W21" s="112">
        <f t="shared" si="3"/>
        <v>851.08737278501917</v>
      </c>
      <c r="X21" s="112">
        <f t="shared" si="3"/>
        <v>1331.5215673033081</v>
      </c>
      <c r="Y21" s="112">
        <f t="shared" si="3"/>
        <v>1331.5215673033081</v>
      </c>
      <c r="Z21" s="112">
        <f t="shared" si="3"/>
        <v>1331.5215673033081</v>
      </c>
      <c r="AA21" s="112">
        <f t="shared" si="3"/>
        <v>1331.5215673033081</v>
      </c>
      <c r="AB21" s="112">
        <f t="shared" si="3"/>
        <v>1331.5215673033081</v>
      </c>
      <c r="AC21" s="112">
        <f t="shared" si="3"/>
        <v>1331.5215673033081</v>
      </c>
      <c r="AD21" s="112">
        <f t="shared" si="3"/>
        <v>1331.5215673033081</v>
      </c>
      <c r="AE21" s="112">
        <f t="shared" si="3"/>
        <v>1219.5301535373271</v>
      </c>
      <c r="AF21" s="112">
        <f t="shared" si="3"/>
        <v>1331.5215673033081</v>
      </c>
      <c r="AG21" s="112">
        <f t="shared" si="3"/>
        <v>860.36502971021855</v>
      </c>
      <c r="AH21" s="112">
        <f t="shared" si="3"/>
        <v>1331.5215673033081</v>
      </c>
      <c r="AI21" s="112">
        <f t="shared" si="3"/>
        <v>1331.5215673033081</v>
      </c>
      <c r="AJ21" s="112">
        <f t="shared" si="3"/>
        <v>1331.5215673033081</v>
      </c>
      <c r="AK21" s="112">
        <f t="shared" si="3"/>
        <v>1331.5215673033081</v>
      </c>
      <c r="AL21" s="112">
        <f t="shared" si="3"/>
        <v>1331.5215673033081</v>
      </c>
      <c r="AM21" s="112">
        <f t="shared" si="3"/>
        <v>1331.5215673033081</v>
      </c>
      <c r="AN21" s="112">
        <f t="shared" si="3"/>
        <v>1331.5215673033081</v>
      </c>
      <c r="AO21" s="112">
        <f t="shared" si="3"/>
        <v>1331.5215673033081</v>
      </c>
      <c r="AP21" s="112">
        <f t="shared" si="3"/>
        <v>1331.5215673033081</v>
      </c>
      <c r="AQ21" s="112">
        <f t="shared" si="3"/>
        <v>1331.5215673033081</v>
      </c>
      <c r="AR21" s="112">
        <f t="shared" si="3"/>
        <v>1331.5215673033081</v>
      </c>
      <c r="AS21" s="112">
        <f t="shared" si="3"/>
        <v>1331.5215673033081</v>
      </c>
      <c r="AT21" s="112">
        <f t="shared" si="3"/>
        <v>1331.5215673033081</v>
      </c>
      <c r="AU21" s="112">
        <f t="shared" si="3"/>
        <v>1331.5215673033081</v>
      </c>
      <c r="AV21" s="112">
        <f t="shared" si="3"/>
        <v>1331.5215673033081</v>
      </c>
      <c r="AW21" s="112">
        <f t="shared" si="3"/>
        <v>1331.5215673033081</v>
      </c>
      <c r="AX21" s="112">
        <f t="shared" si="3"/>
        <v>1331.5215673033081</v>
      </c>
      <c r="AY21" s="112">
        <f t="shared" si="3"/>
        <v>0</v>
      </c>
      <c r="AZ21" s="163">
        <f>SUM($D21:$AY21)</f>
        <v>59013.662883860641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292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306</v>
      </c>
      <c r="B23" s="130">
        <v>2000</v>
      </c>
      <c r="C23" s="106" t="s">
        <v>292</v>
      </c>
      <c r="D23" s="106">
        <f>D$21*$B$23</f>
        <v>0</v>
      </c>
      <c r="E23" s="106">
        <f t="shared" ref="E23:AY23" si="6">E$21*$B$23</f>
        <v>2663043.1346066161</v>
      </c>
      <c r="F23" s="106">
        <f t="shared" si="6"/>
        <v>2663043.1346066161</v>
      </c>
      <c r="G23" s="106">
        <f t="shared" si="6"/>
        <v>2663043.1346066161</v>
      </c>
      <c r="H23" s="106">
        <f t="shared" si="6"/>
        <v>2663043.1346066161</v>
      </c>
      <c r="I23" s="106">
        <f t="shared" si="6"/>
        <v>2663043.1346066161</v>
      </c>
      <c r="J23" s="106">
        <f t="shared" si="6"/>
        <v>2663043.1346066161</v>
      </c>
      <c r="K23" s="106">
        <f t="shared" si="6"/>
        <v>2663043.1346066161</v>
      </c>
      <c r="L23" s="106">
        <f t="shared" si="6"/>
        <v>2663043.1346066161</v>
      </c>
      <c r="M23" s="106">
        <f t="shared" si="6"/>
        <v>2663043.1346066161</v>
      </c>
      <c r="N23" s="106">
        <f t="shared" si="6"/>
        <v>2663043.1346066161</v>
      </c>
      <c r="O23" s="106">
        <f t="shared" si="6"/>
        <v>2663043.1346066161</v>
      </c>
      <c r="P23" s="106">
        <f t="shared" si="6"/>
        <v>2663043.1346066161</v>
      </c>
      <c r="Q23" s="106">
        <f t="shared" si="6"/>
        <v>0</v>
      </c>
      <c r="R23" s="106">
        <f t="shared" si="6"/>
        <v>4908000</v>
      </c>
      <c r="S23" s="106">
        <f t="shared" si="6"/>
        <v>2663043.1346066161</v>
      </c>
      <c r="T23" s="106">
        <f t="shared" si="6"/>
        <v>0</v>
      </c>
      <c r="U23" s="106">
        <f t="shared" si="6"/>
        <v>4361435.5468755513</v>
      </c>
      <c r="V23" s="106">
        <f t="shared" si="6"/>
        <v>1700285.9937291201</v>
      </c>
      <c r="W23" s="106">
        <f t="shared" si="6"/>
        <v>1702174.7455700384</v>
      </c>
      <c r="X23" s="106">
        <f t="shared" si="6"/>
        <v>2663043.1346066161</v>
      </c>
      <c r="Y23" s="106">
        <f t="shared" si="6"/>
        <v>2663043.1346066161</v>
      </c>
      <c r="Z23" s="106">
        <f t="shared" si="6"/>
        <v>2663043.1346066161</v>
      </c>
      <c r="AA23" s="106">
        <f t="shared" si="6"/>
        <v>2663043.1346066161</v>
      </c>
      <c r="AB23" s="106">
        <f t="shared" si="6"/>
        <v>2663043.1346066161</v>
      </c>
      <c r="AC23" s="106">
        <f t="shared" si="6"/>
        <v>2663043.1346066161</v>
      </c>
      <c r="AD23" s="106">
        <f t="shared" si="6"/>
        <v>2663043.1346066161</v>
      </c>
      <c r="AE23" s="106">
        <f t="shared" si="6"/>
        <v>2439060.3070746544</v>
      </c>
      <c r="AF23" s="106">
        <f t="shared" si="6"/>
        <v>2663043.1346066161</v>
      </c>
      <c r="AG23" s="106">
        <f t="shared" si="6"/>
        <v>1720730.0594204371</v>
      </c>
      <c r="AH23" s="106">
        <f t="shared" si="6"/>
        <v>2663043.1346066161</v>
      </c>
      <c r="AI23" s="106">
        <f t="shared" si="6"/>
        <v>2663043.1346066161</v>
      </c>
      <c r="AJ23" s="106">
        <f t="shared" si="6"/>
        <v>2663043.1346066161</v>
      </c>
      <c r="AK23" s="106">
        <f t="shared" si="6"/>
        <v>2663043.1346066161</v>
      </c>
      <c r="AL23" s="106">
        <f t="shared" si="6"/>
        <v>2663043.1346066161</v>
      </c>
      <c r="AM23" s="106">
        <f t="shared" si="6"/>
        <v>2663043.1346066161</v>
      </c>
      <c r="AN23" s="106">
        <f t="shared" si="6"/>
        <v>2663043.1346066161</v>
      </c>
      <c r="AO23" s="106">
        <f t="shared" si="6"/>
        <v>2663043.1346066161</v>
      </c>
      <c r="AP23" s="106">
        <f t="shared" si="6"/>
        <v>2663043.1346066161</v>
      </c>
      <c r="AQ23" s="106">
        <f t="shared" si="6"/>
        <v>2663043.1346066161</v>
      </c>
      <c r="AR23" s="106">
        <f t="shared" si="6"/>
        <v>2663043.1346066161</v>
      </c>
      <c r="AS23" s="106">
        <f t="shared" si="6"/>
        <v>2663043.1346066161</v>
      </c>
      <c r="AT23" s="106">
        <f t="shared" si="6"/>
        <v>2663043.1346066161</v>
      </c>
      <c r="AU23" s="106">
        <f t="shared" si="6"/>
        <v>2663043.1346066161</v>
      </c>
      <c r="AV23" s="106">
        <f t="shared" si="6"/>
        <v>2663043.1346066161</v>
      </c>
      <c r="AW23" s="106">
        <f t="shared" si="6"/>
        <v>2663043.1346066161</v>
      </c>
      <c r="AX23" s="106">
        <f t="shared" si="6"/>
        <v>2663043.1346066161</v>
      </c>
      <c r="AY23" s="106">
        <f t="shared" si="6"/>
        <v>0</v>
      </c>
      <c r="AZ23" s="145">
        <f t="shared" si="5"/>
        <v>118027325.76772118</v>
      </c>
    </row>
    <row r="24" spans="1:52" s="116" customFormat="1" x14ac:dyDescent="0.2">
      <c r="A24" s="167" t="s">
        <v>307</v>
      </c>
      <c r="B24" s="168">
        <v>1000</v>
      </c>
      <c r="C24" s="162" t="s">
        <v>292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308</v>
      </c>
      <c r="C27" s="130">
        <v>91</v>
      </c>
      <c r="D27" s="130">
        <f>C$27-C$28+C$29</f>
        <v>91</v>
      </c>
      <c r="E27" s="130">
        <f t="shared" ref="E27:AY27" si="8">D27-D28+D29</f>
        <v>91</v>
      </c>
      <c r="F27" s="130">
        <f t="shared" si="8"/>
        <v>46</v>
      </c>
      <c r="G27" s="130">
        <f t="shared" si="8"/>
        <v>46</v>
      </c>
      <c r="H27" s="130">
        <f t="shared" si="8"/>
        <v>46</v>
      </c>
      <c r="I27" s="130">
        <f t="shared" si="8"/>
        <v>46</v>
      </c>
      <c r="J27" s="130">
        <f t="shared" si="8"/>
        <v>46</v>
      </c>
      <c r="K27" s="130">
        <f t="shared" si="8"/>
        <v>46</v>
      </c>
      <c r="L27" s="130">
        <f t="shared" si="8"/>
        <v>46</v>
      </c>
      <c r="M27" s="130">
        <f t="shared" si="8"/>
        <v>46</v>
      </c>
      <c r="N27" s="130">
        <f t="shared" si="8"/>
        <v>46</v>
      </c>
      <c r="O27" s="130">
        <f t="shared" si="8"/>
        <v>46</v>
      </c>
      <c r="P27" s="130">
        <f t="shared" si="8"/>
        <v>46</v>
      </c>
      <c r="Q27" s="130">
        <f t="shared" si="8"/>
        <v>46</v>
      </c>
      <c r="R27" s="130">
        <f t="shared" si="8"/>
        <v>91</v>
      </c>
      <c r="S27" s="130">
        <f t="shared" si="8"/>
        <v>9</v>
      </c>
      <c r="T27" s="130">
        <f t="shared" si="8"/>
        <v>82</v>
      </c>
      <c r="U27" s="130">
        <f t="shared" si="8"/>
        <v>91</v>
      </c>
      <c r="V27" s="130">
        <f t="shared" si="8"/>
        <v>18</v>
      </c>
      <c r="W27" s="130">
        <f t="shared" si="8"/>
        <v>73</v>
      </c>
      <c r="X27" s="130">
        <f t="shared" si="8"/>
        <v>62</v>
      </c>
      <c r="Y27" s="130">
        <f t="shared" si="8"/>
        <v>46</v>
      </c>
      <c r="Z27" s="130">
        <f t="shared" si="8"/>
        <v>46</v>
      </c>
      <c r="AA27" s="130">
        <f t="shared" si="8"/>
        <v>46</v>
      </c>
      <c r="AB27" s="130">
        <f t="shared" si="8"/>
        <v>46</v>
      </c>
      <c r="AC27" s="130">
        <f t="shared" si="8"/>
        <v>46</v>
      </c>
      <c r="AD27" s="130">
        <f t="shared" si="8"/>
        <v>46</v>
      </c>
      <c r="AE27" s="130">
        <f t="shared" si="8"/>
        <v>46</v>
      </c>
      <c r="AF27" s="130">
        <f t="shared" si="8"/>
        <v>50</v>
      </c>
      <c r="AG27" s="130">
        <f t="shared" si="8"/>
        <v>46</v>
      </c>
      <c r="AH27" s="130">
        <f t="shared" si="8"/>
        <v>62</v>
      </c>
      <c r="AI27" s="130">
        <f t="shared" si="8"/>
        <v>46</v>
      </c>
      <c r="AJ27" s="130">
        <f t="shared" si="8"/>
        <v>46</v>
      </c>
      <c r="AK27" s="130">
        <f t="shared" si="8"/>
        <v>46</v>
      </c>
      <c r="AL27" s="130">
        <f t="shared" si="8"/>
        <v>46</v>
      </c>
      <c r="AM27" s="130">
        <f t="shared" si="8"/>
        <v>46</v>
      </c>
      <c r="AN27" s="130">
        <f t="shared" si="8"/>
        <v>46</v>
      </c>
      <c r="AO27" s="130">
        <f t="shared" si="8"/>
        <v>46</v>
      </c>
      <c r="AP27" s="130">
        <f t="shared" si="8"/>
        <v>46</v>
      </c>
      <c r="AQ27" s="130">
        <f t="shared" si="8"/>
        <v>46</v>
      </c>
      <c r="AR27" s="130">
        <f t="shared" si="8"/>
        <v>46</v>
      </c>
      <c r="AS27" s="130">
        <f t="shared" si="8"/>
        <v>46</v>
      </c>
      <c r="AT27" s="130">
        <f t="shared" si="8"/>
        <v>46</v>
      </c>
      <c r="AU27" s="130">
        <f t="shared" si="8"/>
        <v>46</v>
      </c>
      <c r="AV27" s="130">
        <f t="shared" si="8"/>
        <v>46</v>
      </c>
      <c r="AW27" s="130">
        <f t="shared" si="8"/>
        <v>46</v>
      </c>
      <c r="AX27" s="130">
        <f t="shared" si="8"/>
        <v>46</v>
      </c>
      <c r="AY27" s="170">
        <f t="shared" si="8"/>
        <v>46</v>
      </c>
      <c r="AZ27" s="112"/>
    </row>
    <row r="28" spans="1:52" x14ac:dyDescent="0.2">
      <c r="B28" s="171" t="s">
        <v>309</v>
      </c>
      <c r="C28" s="116"/>
      <c r="D28" s="116">
        <v>0</v>
      </c>
      <c r="E28" s="116">
        <v>45</v>
      </c>
      <c r="F28" s="116">
        <v>45</v>
      </c>
      <c r="G28" s="116">
        <v>45</v>
      </c>
      <c r="H28" s="116">
        <v>45</v>
      </c>
      <c r="I28" s="116">
        <v>45</v>
      </c>
      <c r="J28" s="116">
        <v>45</v>
      </c>
      <c r="K28" s="116">
        <v>45</v>
      </c>
      <c r="L28" s="116">
        <v>45</v>
      </c>
      <c r="M28" s="116">
        <v>45</v>
      </c>
      <c r="N28" s="116">
        <v>45</v>
      </c>
      <c r="O28" s="116">
        <v>45</v>
      </c>
      <c r="P28" s="116">
        <v>45</v>
      </c>
      <c r="Q28" s="116">
        <v>0</v>
      </c>
      <c r="R28" s="116">
        <v>82</v>
      </c>
      <c r="S28" s="116">
        <v>9</v>
      </c>
      <c r="T28" s="116">
        <v>0</v>
      </c>
      <c r="U28" s="116">
        <v>73</v>
      </c>
      <c r="V28" s="116">
        <v>18</v>
      </c>
      <c r="W28" s="116">
        <v>29</v>
      </c>
      <c r="X28" s="116">
        <v>45</v>
      </c>
      <c r="Y28" s="116">
        <v>45</v>
      </c>
      <c r="Z28" s="116">
        <v>45</v>
      </c>
      <c r="AA28" s="116">
        <v>45</v>
      </c>
      <c r="AB28" s="116">
        <v>45</v>
      </c>
      <c r="AC28" s="116">
        <v>45</v>
      </c>
      <c r="AD28" s="116">
        <v>45</v>
      </c>
      <c r="AE28" s="116">
        <v>41</v>
      </c>
      <c r="AF28" s="116">
        <v>45</v>
      </c>
      <c r="AG28" s="116">
        <v>29</v>
      </c>
      <c r="AH28" s="116">
        <v>45</v>
      </c>
      <c r="AI28" s="116">
        <v>45</v>
      </c>
      <c r="AJ28" s="116">
        <v>45</v>
      </c>
      <c r="AK28" s="116">
        <v>45</v>
      </c>
      <c r="AL28" s="116">
        <v>45</v>
      </c>
      <c r="AM28" s="116">
        <v>45</v>
      </c>
      <c r="AN28" s="116">
        <v>45</v>
      </c>
      <c r="AO28" s="116">
        <v>45</v>
      </c>
      <c r="AP28" s="116">
        <v>45</v>
      </c>
      <c r="AQ28" s="116">
        <v>45</v>
      </c>
      <c r="AR28" s="116">
        <v>45</v>
      </c>
      <c r="AS28" s="116">
        <v>45</v>
      </c>
      <c r="AT28" s="116">
        <v>45</v>
      </c>
      <c r="AU28" s="116">
        <v>45</v>
      </c>
      <c r="AV28" s="116">
        <v>45</v>
      </c>
      <c r="AW28" s="116">
        <v>45</v>
      </c>
      <c r="AX28" s="116">
        <v>45</v>
      </c>
      <c r="AY28" s="172">
        <v>0</v>
      </c>
      <c r="AZ28" s="112"/>
    </row>
    <row r="29" spans="1:52" x14ac:dyDescent="0.2">
      <c r="B29" s="142" t="s">
        <v>310</v>
      </c>
      <c r="C29" s="131"/>
      <c r="D29" s="131">
        <f>C$28</f>
        <v>0</v>
      </c>
      <c r="E29" s="131">
        <f t="shared" ref="E29:AY29" si="9">D$28</f>
        <v>0</v>
      </c>
      <c r="F29" s="131">
        <f t="shared" si="9"/>
        <v>45</v>
      </c>
      <c r="G29" s="131">
        <f t="shared" si="9"/>
        <v>45</v>
      </c>
      <c r="H29" s="131">
        <f t="shared" si="9"/>
        <v>45</v>
      </c>
      <c r="I29" s="131">
        <f t="shared" si="9"/>
        <v>45</v>
      </c>
      <c r="J29" s="131">
        <f t="shared" si="9"/>
        <v>45</v>
      </c>
      <c r="K29" s="131">
        <f t="shared" si="9"/>
        <v>45</v>
      </c>
      <c r="L29" s="131">
        <f t="shared" si="9"/>
        <v>45</v>
      </c>
      <c r="M29" s="131">
        <f t="shared" si="9"/>
        <v>45</v>
      </c>
      <c r="N29" s="131">
        <f t="shared" si="9"/>
        <v>45</v>
      </c>
      <c r="O29" s="131">
        <f t="shared" si="9"/>
        <v>45</v>
      </c>
      <c r="P29" s="131">
        <f t="shared" si="9"/>
        <v>45</v>
      </c>
      <c r="Q29" s="131">
        <f t="shared" si="9"/>
        <v>45</v>
      </c>
      <c r="R29" s="131">
        <f t="shared" si="9"/>
        <v>0</v>
      </c>
      <c r="S29" s="131">
        <f t="shared" si="9"/>
        <v>82</v>
      </c>
      <c r="T29" s="131">
        <f t="shared" si="9"/>
        <v>9</v>
      </c>
      <c r="U29" s="131">
        <f t="shared" si="9"/>
        <v>0</v>
      </c>
      <c r="V29" s="131">
        <f t="shared" si="9"/>
        <v>73</v>
      </c>
      <c r="W29" s="131">
        <f t="shared" si="9"/>
        <v>18</v>
      </c>
      <c r="X29" s="131">
        <f t="shared" si="9"/>
        <v>29</v>
      </c>
      <c r="Y29" s="131">
        <f t="shared" si="9"/>
        <v>45</v>
      </c>
      <c r="Z29" s="131">
        <f t="shared" si="9"/>
        <v>45</v>
      </c>
      <c r="AA29" s="131">
        <f t="shared" si="9"/>
        <v>45</v>
      </c>
      <c r="AB29" s="131">
        <f t="shared" si="9"/>
        <v>45</v>
      </c>
      <c r="AC29" s="131">
        <f t="shared" si="9"/>
        <v>45</v>
      </c>
      <c r="AD29" s="131">
        <f t="shared" si="9"/>
        <v>45</v>
      </c>
      <c r="AE29" s="131">
        <f t="shared" si="9"/>
        <v>45</v>
      </c>
      <c r="AF29" s="131">
        <f t="shared" si="9"/>
        <v>41</v>
      </c>
      <c r="AG29" s="131">
        <f t="shared" si="9"/>
        <v>45</v>
      </c>
      <c r="AH29" s="131">
        <f t="shared" si="9"/>
        <v>29</v>
      </c>
      <c r="AI29" s="131">
        <f t="shared" si="9"/>
        <v>45</v>
      </c>
      <c r="AJ29" s="131">
        <f t="shared" si="9"/>
        <v>45</v>
      </c>
      <c r="AK29" s="131">
        <f t="shared" si="9"/>
        <v>45</v>
      </c>
      <c r="AL29" s="131">
        <f t="shared" si="9"/>
        <v>45</v>
      </c>
      <c r="AM29" s="131">
        <f t="shared" si="9"/>
        <v>45</v>
      </c>
      <c r="AN29" s="131">
        <f t="shared" si="9"/>
        <v>45</v>
      </c>
      <c r="AO29" s="131">
        <f t="shared" si="9"/>
        <v>45</v>
      </c>
      <c r="AP29" s="131">
        <f t="shared" si="9"/>
        <v>45</v>
      </c>
      <c r="AQ29" s="131">
        <f t="shared" si="9"/>
        <v>45</v>
      </c>
      <c r="AR29" s="131">
        <f t="shared" si="9"/>
        <v>45</v>
      </c>
      <c r="AS29" s="131">
        <f t="shared" si="9"/>
        <v>45</v>
      </c>
      <c r="AT29" s="131">
        <f t="shared" si="9"/>
        <v>45</v>
      </c>
      <c r="AU29" s="131">
        <f t="shared" si="9"/>
        <v>45</v>
      </c>
      <c r="AV29" s="131">
        <f t="shared" si="9"/>
        <v>45</v>
      </c>
      <c r="AW29" s="131">
        <f t="shared" si="9"/>
        <v>45</v>
      </c>
      <c r="AX29" s="131">
        <f t="shared" si="9"/>
        <v>45</v>
      </c>
      <c r="AY29" s="173">
        <f t="shared" si="9"/>
        <v>45</v>
      </c>
      <c r="AZ29" s="174"/>
    </row>
    <row r="30" spans="1:52" x14ac:dyDescent="0.2">
      <c r="A30" s="175" t="s">
        <v>311</v>
      </c>
      <c r="B30" s="150">
        <v>10</v>
      </c>
      <c r="C30" s="123" t="s">
        <v>292</v>
      </c>
      <c r="D30" s="123">
        <f>D$27*$B$30</f>
        <v>910</v>
      </c>
      <c r="E30" s="123">
        <f t="shared" ref="E30:AY30" si="10">E$27*$B$30</f>
        <v>910</v>
      </c>
      <c r="F30" s="123">
        <f t="shared" si="10"/>
        <v>460</v>
      </c>
      <c r="G30" s="123">
        <f t="shared" si="10"/>
        <v>460</v>
      </c>
      <c r="H30" s="123">
        <f t="shared" si="10"/>
        <v>460</v>
      </c>
      <c r="I30" s="123">
        <f t="shared" si="10"/>
        <v>460</v>
      </c>
      <c r="J30" s="123">
        <f t="shared" si="10"/>
        <v>460</v>
      </c>
      <c r="K30" s="123">
        <f t="shared" si="10"/>
        <v>460</v>
      </c>
      <c r="L30" s="123">
        <f t="shared" si="10"/>
        <v>460</v>
      </c>
      <c r="M30" s="123">
        <f t="shared" si="10"/>
        <v>460</v>
      </c>
      <c r="N30" s="123">
        <f t="shared" si="10"/>
        <v>460</v>
      </c>
      <c r="O30" s="123">
        <f t="shared" si="10"/>
        <v>460</v>
      </c>
      <c r="P30" s="123">
        <f t="shared" si="10"/>
        <v>460</v>
      </c>
      <c r="Q30" s="123">
        <f t="shared" si="10"/>
        <v>460</v>
      </c>
      <c r="R30" s="123">
        <f>R$27*$B$30</f>
        <v>910</v>
      </c>
      <c r="S30" s="123">
        <f t="shared" si="10"/>
        <v>90</v>
      </c>
      <c r="T30" s="123">
        <f t="shared" si="10"/>
        <v>820</v>
      </c>
      <c r="U30" s="123">
        <f t="shared" si="10"/>
        <v>910</v>
      </c>
      <c r="V30" s="123">
        <f t="shared" si="10"/>
        <v>180</v>
      </c>
      <c r="W30" s="123">
        <f t="shared" si="10"/>
        <v>730</v>
      </c>
      <c r="X30" s="123">
        <f t="shared" si="10"/>
        <v>620</v>
      </c>
      <c r="Y30" s="123">
        <f t="shared" si="10"/>
        <v>460</v>
      </c>
      <c r="Z30" s="123">
        <f t="shared" si="10"/>
        <v>460</v>
      </c>
      <c r="AA30" s="123">
        <f t="shared" si="10"/>
        <v>460</v>
      </c>
      <c r="AB30" s="123">
        <f t="shared" si="10"/>
        <v>460</v>
      </c>
      <c r="AC30" s="123">
        <f t="shared" si="10"/>
        <v>460</v>
      </c>
      <c r="AD30" s="123">
        <f t="shared" si="10"/>
        <v>460</v>
      </c>
      <c r="AE30" s="123">
        <f>AE$27*$B$30</f>
        <v>460</v>
      </c>
      <c r="AF30" s="123">
        <f t="shared" si="10"/>
        <v>500</v>
      </c>
      <c r="AG30" s="123">
        <f t="shared" si="10"/>
        <v>460</v>
      </c>
      <c r="AH30" s="123">
        <f t="shared" si="10"/>
        <v>620</v>
      </c>
      <c r="AI30" s="123">
        <f t="shared" si="10"/>
        <v>460</v>
      </c>
      <c r="AJ30" s="123">
        <f t="shared" si="10"/>
        <v>460</v>
      </c>
      <c r="AK30" s="123">
        <f t="shared" si="10"/>
        <v>460</v>
      </c>
      <c r="AL30" s="123">
        <f t="shared" si="10"/>
        <v>460</v>
      </c>
      <c r="AM30" s="123">
        <f t="shared" si="10"/>
        <v>460</v>
      </c>
      <c r="AN30" s="123">
        <f t="shared" si="10"/>
        <v>460</v>
      </c>
      <c r="AO30" s="123">
        <f t="shared" si="10"/>
        <v>460</v>
      </c>
      <c r="AP30" s="123">
        <f t="shared" si="10"/>
        <v>460</v>
      </c>
      <c r="AQ30" s="123">
        <f t="shared" si="10"/>
        <v>460</v>
      </c>
      <c r="AR30" s="123">
        <f t="shared" si="10"/>
        <v>460</v>
      </c>
      <c r="AS30" s="123">
        <f t="shared" si="10"/>
        <v>460</v>
      </c>
      <c r="AT30" s="123">
        <f t="shared" si="10"/>
        <v>460</v>
      </c>
      <c r="AU30" s="123">
        <f t="shared" si="10"/>
        <v>460</v>
      </c>
      <c r="AV30" s="123">
        <f t="shared" si="10"/>
        <v>460</v>
      </c>
      <c r="AW30" s="123">
        <f t="shared" si="10"/>
        <v>460</v>
      </c>
      <c r="AX30" s="123">
        <f t="shared" si="10"/>
        <v>460</v>
      </c>
      <c r="AY30" s="123">
        <f t="shared" si="10"/>
        <v>460</v>
      </c>
      <c r="AZ30" s="147">
        <f t="shared" si="5"/>
        <v>24220</v>
      </c>
    </row>
    <row r="32" spans="1:52" x14ac:dyDescent="0.2">
      <c r="A32" s="108" t="s">
        <v>299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D$21*shipping_manufacturing!$F$27/100</f>
        <v>0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343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344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345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348</v>
      </c>
      <c r="C41" s="116"/>
      <c r="D41" s="116">
        <v>1</v>
      </c>
      <c r="E41" s="116">
        <v>1</v>
      </c>
      <c r="F41" s="116">
        <v>2</v>
      </c>
      <c r="G41" s="116">
        <v>2</v>
      </c>
      <c r="H41" s="116">
        <v>1</v>
      </c>
      <c r="I41" s="116">
        <v>2</v>
      </c>
      <c r="J41" s="116">
        <v>1</v>
      </c>
      <c r="K41" s="116">
        <v>2</v>
      </c>
      <c r="L41" s="116">
        <v>2</v>
      </c>
      <c r="M41" s="116">
        <v>1</v>
      </c>
      <c r="N41" s="116">
        <v>2</v>
      </c>
      <c r="O41" s="116">
        <v>1</v>
      </c>
      <c r="P41" s="116">
        <v>1</v>
      </c>
      <c r="Q41" s="116">
        <v>1</v>
      </c>
      <c r="R41" s="116">
        <v>1</v>
      </c>
      <c r="S41" s="116">
        <v>1</v>
      </c>
      <c r="T41" s="116">
        <v>2</v>
      </c>
      <c r="U41" s="116">
        <v>2</v>
      </c>
      <c r="V41" s="116">
        <v>2</v>
      </c>
      <c r="W41" s="116">
        <v>2</v>
      </c>
      <c r="X41" s="116">
        <v>1</v>
      </c>
      <c r="Y41" s="116">
        <v>1</v>
      </c>
      <c r="Z41" s="116">
        <v>1</v>
      </c>
      <c r="AA41" s="116">
        <v>2</v>
      </c>
      <c r="AB41" s="116">
        <v>1</v>
      </c>
      <c r="AC41" s="116">
        <v>1</v>
      </c>
      <c r="AD41" s="116">
        <v>1</v>
      </c>
      <c r="AE41" s="116">
        <v>1</v>
      </c>
      <c r="AF41" s="116">
        <v>1</v>
      </c>
      <c r="AG41" s="116">
        <v>1</v>
      </c>
      <c r="AH41" s="116">
        <v>1</v>
      </c>
      <c r="AI41" s="116">
        <v>1</v>
      </c>
      <c r="AJ41" s="116">
        <v>2</v>
      </c>
      <c r="AK41" s="116">
        <v>1</v>
      </c>
      <c r="AL41" s="116">
        <v>1</v>
      </c>
      <c r="AM41" s="116">
        <v>1</v>
      </c>
      <c r="AN41" s="116">
        <v>1</v>
      </c>
      <c r="AO41" s="116">
        <v>1</v>
      </c>
      <c r="AP41" s="116">
        <v>1</v>
      </c>
      <c r="AQ41" s="116">
        <v>2</v>
      </c>
      <c r="AR41" s="116">
        <v>1</v>
      </c>
      <c r="AS41" s="116">
        <v>2</v>
      </c>
      <c r="AT41" s="116">
        <v>1</v>
      </c>
      <c r="AU41" s="116">
        <v>1</v>
      </c>
      <c r="AV41" s="116">
        <v>2</v>
      </c>
      <c r="AW41" s="116">
        <v>3</v>
      </c>
      <c r="AX41" s="116">
        <v>1</v>
      </c>
      <c r="AY41" s="116">
        <v>1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D$21*shipping_manufacturing!$F$28/100</f>
        <v>0</v>
      </c>
      <c r="E44" s="130">
        <f>E$21*shipping_manufacturing!$F$28/100</f>
        <v>1331.5215673033081</v>
      </c>
      <c r="F44" s="130">
        <f>F$21*shipping_manufacturing!$F$28/100</f>
        <v>1331.5215673033081</v>
      </c>
      <c r="G44" s="130">
        <f>G$21*shipping_manufacturing!$F$28/100</f>
        <v>1331.5215673033081</v>
      </c>
      <c r="H44" s="130">
        <f>H$21*shipping_manufacturing!$F$28/100</f>
        <v>1331.5215673033081</v>
      </c>
      <c r="I44" s="130">
        <f>I$21*shipping_manufacturing!$F$28/100</f>
        <v>1331.5215673033081</v>
      </c>
      <c r="J44" s="130">
        <f>J$21*shipping_manufacturing!$F$28/100</f>
        <v>1331.5215673033081</v>
      </c>
      <c r="K44" s="130">
        <f>K$21*shipping_manufacturing!$F$28/100</f>
        <v>1331.5215673033081</v>
      </c>
      <c r="L44" s="130">
        <f>L$21*shipping_manufacturing!$F$28/100</f>
        <v>1331.5215673033081</v>
      </c>
      <c r="M44" s="130">
        <f>M$21*shipping_manufacturing!$F$28/100</f>
        <v>1331.5215673033081</v>
      </c>
      <c r="N44" s="130">
        <f>N$21*shipping_manufacturing!$F$28/100</f>
        <v>1331.5215673033081</v>
      </c>
      <c r="O44" s="130">
        <f>O$21*shipping_manufacturing!$F$28/100</f>
        <v>1331.5215673033081</v>
      </c>
      <c r="P44" s="130">
        <f>P$21*shipping_manufacturing!$F$28/100</f>
        <v>1331.5215673033081</v>
      </c>
      <c r="Q44" s="130">
        <f>Q$21*shipping_manufacturing!$F$28/100</f>
        <v>0</v>
      </c>
      <c r="R44" s="130">
        <f>R$21*shipping_manufacturing!$F$28/100</f>
        <v>2454</v>
      </c>
      <c r="S44" s="130">
        <f>S$21*shipping_manufacturing!$F$28/100</f>
        <v>1331.5215673033081</v>
      </c>
      <c r="T44" s="130">
        <f>T$21*shipping_manufacturing!$F$28/100</f>
        <v>0</v>
      </c>
      <c r="U44" s="130">
        <f>U$21*shipping_manufacturing!$F$28/100</f>
        <v>2180.7177734377756</v>
      </c>
      <c r="V44" s="130">
        <f>V$21*shipping_manufacturing!$F$28/100</f>
        <v>850.14299686456002</v>
      </c>
      <c r="W44" s="130">
        <f>W$21*shipping_manufacturing!$F$28/100</f>
        <v>851.08737278501906</v>
      </c>
      <c r="X44" s="130">
        <f>X$21*shipping_manufacturing!$F$28/100</f>
        <v>1331.5215673033081</v>
      </c>
      <c r="Y44" s="130">
        <f>Y$21*shipping_manufacturing!$F$28/100</f>
        <v>1331.5215673033081</v>
      </c>
      <c r="Z44" s="130">
        <f>Z$21*shipping_manufacturing!$F$28/100</f>
        <v>1331.5215673033081</v>
      </c>
      <c r="AA44" s="130">
        <f>AA$21*shipping_manufacturing!$F$28/100</f>
        <v>1331.5215673033081</v>
      </c>
      <c r="AB44" s="130">
        <f>AB$21*shipping_manufacturing!$F$28/100</f>
        <v>1331.5215673033081</v>
      </c>
      <c r="AC44" s="130">
        <f>AC$21*shipping_manufacturing!$F$28/100</f>
        <v>1331.5215673033081</v>
      </c>
      <c r="AD44" s="130">
        <f>AD$21*shipping_manufacturing!$F$28/100</f>
        <v>1331.5215673033081</v>
      </c>
      <c r="AE44" s="130">
        <f>AE$21*shipping_manufacturing!$F$28/100</f>
        <v>1219.5301535373271</v>
      </c>
      <c r="AF44" s="130">
        <f>AF$21*shipping_manufacturing!$F$28/100</f>
        <v>1331.5215673033081</v>
      </c>
      <c r="AG44" s="130">
        <f>AG$21*shipping_manufacturing!$F$28/100</f>
        <v>860.36502971021855</v>
      </c>
      <c r="AH44" s="130">
        <f>AH$21*shipping_manufacturing!$F$28/100</f>
        <v>1331.5215673033081</v>
      </c>
      <c r="AI44" s="130">
        <f>AI$21*shipping_manufacturing!$F$28/100</f>
        <v>1331.5215673033081</v>
      </c>
      <c r="AJ44" s="130">
        <f>AJ$21*shipping_manufacturing!$F$28/100</f>
        <v>1331.5215673033081</v>
      </c>
      <c r="AK44" s="130">
        <f>AK$21*shipping_manufacturing!$F$28/100</f>
        <v>1331.5215673033081</v>
      </c>
      <c r="AL44" s="130">
        <f>AL$21*shipping_manufacturing!$F$28/100</f>
        <v>1331.5215673033081</v>
      </c>
      <c r="AM44" s="130">
        <f>AM$21*shipping_manufacturing!$F$28/100</f>
        <v>1331.5215673033081</v>
      </c>
      <c r="AN44" s="130">
        <f>AN$21*shipping_manufacturing!$F$28/100</f>
        <v>1331.5215673033081</v>
      </c>
      <c r="AO44" s="130">
        <f>AO$21*shipping_manufacturing!$F$28/100</f>
        <v>1331.5215673033081</v>
      </c>
      <c r="AP44" s="130">
        <f>AP$21*shipping_manufacturing!$F$28/100</f>
        <v>1331.5215673033081</v>
      </c>
      <c r="AQ44" s="130">
        <f>AQ$21*shipping_manufacturing!$F$28/100</f>
        <v>1331.5215673033081</v>
      </c>
      <c r="AR44" s="130">
        <f>AR$21*shipping_manufacturing!$F$28/100</f>
        <v>1331.5215673033081</v>
      </c>
      <c r="AS44" s="130">
        <f>AS$21*shipping_manufacturing!$F$28/100</f>
        <v>1331.5215673033081</v>
      </c>
      <c r="AT44" s="130">
        <f>AT$21*shipping_manufacturing!$F$28/100</f>
        <v>1331.5215673033081</v>
      </c>
      <c r="AU44" s="130">
        <f>AU$21*shipping_manufacturing!$F$28/100</f>
        <v>1331.5215673033081</v>
      </c>
      <c r="AV44" s="130">
        <f>AV$21*shipping_manufacturing!$F$28/100</f>
        <v>1331.5215673033081</v>
      </c>
      <c r="AW44" s="130">
        <f>AW$21*shipping_manufacturing!$F$28/100</f>
        <v>1331.5215673033081</v>
      </c>
      <c r="AX44" s="130">
        <f>AX$21*shipping_manufacturing!$F$28/100</f>
        <v>1331.5215673033081</v>
      </c>
      <c r="AY44" s="130">
        <f>AY$21*shipping_manufacturing!$F$28/100</f>
        <v>0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342</v>
      </c>
      <c r="C46" s="116"/>
      <c r="D46" s="116">
        <f>SUM(D44:D45)</f>
        <v>0</v>
      </c>
      <c r="E46" s="116">
        <f t="shared" ref="E46:AY46" si="14">SUM(E44:E45)</f>
        <v>1331.5215673033081</v>
      </c>
      <c r="F46" s="116">
        <f t="shared" si="14"/>
        <v>1331.5215673033081</v>
      </c>
      <c r="G46" s="116">
        <f t="shared" si="14"/>
        <v>1331.5215673033081</v>
      </c>
      <c r="H46" s="116">
        <f t="shared" si="14"/>
        <v>1331.5215673033081</v>
      </c>
      <c r="I46" s="116">
        <f t="shared" si="14"/>
        <v>1331.5215673033081</v>
      </c>
      <c r="J46" s="116">
        <f t="shared" si="14"/>
        <v>1331.5215673033081</v>
      </c>
      <c r="K46" s="116">
        <f t="shared" si="14"/>
        <v>1331.5215673033081</v>
      </c>
      <c r="L46" s="116">
        <f t="shared" si="14"/>
        <v>1331.5215673033081</v>
      </c>
      <c r="M46" s="116">
        <f t="shared" si="14"/>
        <v>1331.5215673033081</v>
      </c>
      <c r="N46" s="116">
        <f t="shared" si="14"/>
        <v>1331.5215673033081</v>
      </c>
      <c r="O46" s="116">
        <f t="shared" si="14"/>
        <v>1331.5215673033081</v>
      </c>
      <c r="P46" s="116">
        <f t="shared" si="14"/>
        <v>1331.5215673033081</v>
      </c>
      <c r="Q46" s="116">
        <f t="shared" si="14"/>
        <v>0</v>
      </c>
      <c r="R46" s="116">
        <f t="shared" si="14"/>
        <v>2454</v>
      </c>
      <c r="S46" s="116">
        <f t="shared" si="14"/>
        <v>1331.5215673033081</v>
      </c>
      <c r="T46" s="116">
        <f t="shared" si="14"/>
        <v>0</v>
      </c>
      <c r="U46" s="116">
        <f t="shared" si="14"/>
        <v>2180.7177734377756</v>
      </c>
      <c r="V46" s="116">
        <f t="shared" si="14"/>
        <v>850.14299686456002</v>
      </c>
      <c r="W46" s="116">
        <f t="shared" si="14"/>
        <v>851.08737278501906</v>
      </c>
      <c r="X46" s="116">
        <f t="shared" si="14"/>
        <v>1331.5215673033081</v>
      </c>
      <c r="Y46" s="116">
        <f t="shared" si="14"/>
        <v>1331.5215673033081</v>
      </c>
      <c r="Z46" s="116">
        <f t="shared" si="14"/>
        <v>1331.5215673033081</v>
      </c>
      <c r="AA46" s="116">
        <f t="shared" si="14"/>
        <v>1331.5215673033081</v>
      </c>
      <c r="AB46" s="116">
        <f t="shared" si="14"/>
        <v>1331.5215673033081</v>
      </c>
      <c r="AC46" s="116">
        <f t="shared" si="14"/>
        <v>1331.5215673033081</v>
      </c>
      <c r="AD46" s="116">
        <f t="shared" si="14"/>
        <v>1331.5215673033081</v>
      </c>
      <c r="AE46" s="116">
        <f t="shared" si="14"/>
        <v>1219.5301535373271</v>
      </c>
      <c r="AF46" s="116">
        <f t="shared" si="14"/>
        <v>1331.5215673033081</v>
      </c>
      <c r="AG46" s="116">
        <f t="shared" si="14"/>
        <v>860.36502971021855</v>
      </c>
      <c r="AH46" s="116">
        <f t="shared" si="14"/>
        <v>1331.5215673033081</v>
      </c>
      <c r="AI46" s="116">
        <f t="shared" si="14"/>
        <v>1331.5215673033081</v>
      </c>
      <c r="AJ46" s="116">
        <f t="shared" si="14"/>
        <v>1331.5215673033081</v>
      </c>
      <c r="AK46" s="116">
        <f t="shared" si="14"/>
        <v>1331.5215673033081</v>
      </c>
      <c r="AL46" s="116">
        <f t="shared" si="14"/>
        <v>1331.5215673033081</v>
      </c>
      <c r="AM46" s="116">
        <f t="shared" si="14"/>
        <v>1331.5215673033081</v>
      </c>
      <c r="AN46" s="116">
        <f t="shared" si="14"/>
        <v>1331.5215673033081</v>
      </c>
      <c r="AO46" s="116">
        <f t="shared" si="14"/>
        <v>1331.5215673033081</v>
      </c>
      <c r="AP46" s="116">
        <f t="shared" si="14"/>
        <v>1331.5215673033081</v>
      </c>
      <c r="AQ46" s="116">
        <f t="shared" si="14"/>
        <v>1331.5215673033081</v>
      </c>
      <c r="AR46" s="116">
        <f t="shared" si="14"/>
        <v>1331.5215673033081</v>
      </c>
      <c r="AS46" s="116">
        <f t="shared" si="14"/>
        <v>1331.5215673033081</v>
      </c>
      <c r="AT46" s="116">
        <f t="shared" si="14"/>
        <v>1331.5215673033081</v>
      </c>
      <c r="AU46" s="116">
        <f t="shared" si="14"/>
        <v>1331.5215673033081</v>
      </c>
      <c r="AV46" s="116">
        <f t="shared" si="14"/>
        <v>1331.5215673033081</v>
      </c>
      <c r="AW46" s="116">
        <f t="shared" si="14"/>
        <v>1331.5215673033081</v>
      </c>
      <c r="AX46" s="116">
        <f t="shared" si="14"/>
        <v>1331.5215673033081</v>
      </c>
      <c r="AY46" s="116">
        <f t="shared" si="14"/>
        <v>0</v>
      </c>
    </row>
    <row r="47" spans="1:52" x14ac:dyDescent="0.2">
      <c r="A47" s="116"/>
      <c r="B47" s="171" t="s">
        <v>343</v>
      </c>
      <c r="C47" s="116"/>
      <c r="D47" s="116"/>
      <c r="E47" s="116">
        <v>1331.5215673033081</v>
      </c>
      <c r="F47" s="116">
        <v>1331.5215673033081</v>
      </c>
      <c r="G47" s="116">
        <v>1331.5215673033081</v>
      </c>
      <c r="H47" s="116">
        <v>1331.5215673033081</v>
      </c>
      <c r="I47" s="116">
        <v>1331.5215673033081</v>
      </c>
      <c r="J47" s="116">
        <v>1331.5215673033081</v>
      </c>
      <c r="K47" s="116">
        <v>1331.5215673033081</v>
      </c>
      <c r="L47" s="116">
        <v>1331.5215673033081</v>
      </c>
      <c r="M47" s="116">
        <v>1331.5215673033081</v>
      </c>
      <c r="N47" s="116">
        <v>1331.5215673033081</v>
      </c>
      <c r="O47" s="116">
        <v>1331.5215673033081</v>
      </c>
      <c r="P47" s="116">
        <v>1331.5215673033081</v>
      </c>
      <c r="Q47" s="116"/>
      <c r="R47" s="116">
        <v>2454</v>
      </c>
      <c r="S47" s="116">
        <v>270</v>
      </c>
      <c r="T47" s="116"/>
      <c r="U47" s="116">
        <v>2180.7177734377756</v>
      </c>
      <c r="V47" s="116">
        <v>540</v>
      </c>
      <c r="W47" s="116">
        <v>851.08737278501906</v>
      </c>
      <c r="X47" s="116">
        <v>1331.5215673033081</v>
      </c>
      <c r="Y47" s="116">
        <v>1331.5215673033081</v>
      </c>
      <c r="Z47" s="116">
        <v>1331.5215673033081</v>
      </c>
      <c r="AA47" s="116">
        <v>1331.5215673033081</v>
      </c>
      <c r="AB47" s="116">
        <v>1331.5215673033081</v>
      </c>
      <c r="AC47" s="116">
        <v>1331.5215673033081</v>
      </c>
      <c r="AD47" s="116">
        <v>1331.5215673033081</v>
      </c>
      <c r="AE47" s="116">
        <v>1219.5301535373271</v>
      </c>
      <c r="AF47" s="116">
        <v>1331.5215673033081</v>
      </c>
      <c r="AG47" s="116">
        <v>860.36502971021855</v>
      </c>
      <c r="AH47" s="116">
        <v>1331.5215673033081</v>
      </c>
      <c r="AI47" s="116">
        <v>1331.5215673033081</v>
      </c>
      <c r="AJ47" s="116">
        <v>1331.5215673033081</v>
      </c>
      <c r="AK47" s="116">
        <v>1331.5215673033081</v>
      </c>
      <c r="AL47" s="116">
        <v>1331.5215673033081</v>
      </c>
      <c r="AM47" s="116">
        <v>1331.5215673033081</v>
      </c>
      <c r="AN47" s="116">
        <v>1331.5215673033081</v>
      </c>
      <c r="AO47" s="116">
        <v>1331.5215673033081</v>
      </c>
      <c r="AP47" s="116">
        <v>1331.5215673033081</v>
      </c>
      <c r="AQ47" s="116">
        <v>1331.5215673033081</v>
      </c>
      <c r="AR47" s="116">
        <v>1331.5215673033081</v>
      </c>
      <c r="AS47" s="116">
        <v>1331.5215673033081</v>
      </c>
      <c r="AT47" s="116">
        <v>1331.5215673033081</v>
      </c>
      <c r="AU47" s="116">
        <v>1331.5215673033081</v>
      </c>
      <c r="AV47" s="116">
        <v>1331.5215673033081</v>
      </c>
      <c r="AW47" s="116">
        <v>1331.5215673033081</v>
      </c>
      <c r="AX47" s="116">
        <v>1331.5215673033081</v>
      </c>
      <c r="AY47" s="116"/>
    </row>
    <row r="48" spans="1:52" x14ac:dyDescent="0.2">
      <c r="A48" s="116"/>
      <c r="B48" s="171" t="s">
        <v>344</v>
      </c>
      <c r="C48" s="116"/>
      <c r="D48" s="116"/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/>
      <c r="R48" s="116">
        <v>0</v>
      </c>
      <c r="S48" s="116">
        <v>0</v>
      </c>
      <c r="T48" s="116"/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/>
    </row>
    <row r="49" spans="1:52" x14ac:dyDescent="0.2">
      <c r="A49" s="116"/>
      <c r="B49" s="171" t="s">
        <v>345</v>
      </c>
      <c r="C49" s="116"/>
      <c r="D49" s="116"/>
      <c r="E49" s="116">
        <v>45</v>
      </c>
      <c r="F49" s="116">
        <v>45</v>
      </c>
      <c r="G49" s="116">
        <v>45</v>
      </c>
      <c r="H49" s="116">
        <v>45</v>
      </c>
      <c r="I49" s="116">
        <v>45</v>
      </c>
      <c r="J49" s="116">
        <v>45</v>
      </c>
      <c r="K49" s="116">
        <v>45</v>
      </c>
      <c r="L49" s="116">
        <v>45</v>
      </c>
      <c r="M49" s="116">
        <v>45</v>
      </c>
      <c r="N49" s="116">
        <v>45</v>
      </c>
      <c r="O49" s="116">
        <v>45</v>
      </c>
      <c r="P49" s="116">
        <v>45</v>
      </c>
      <c r="Q49" s="116"/>
      <c r="R49" s="116">
        <v>82</v>
      </c>
      <c r="S49" s="116">
        <v>9</v>
      </c>
      <c r="T49" s="116"/>
      <c r="U49" s="116">
        <v>73</v>
      </c>
      <c r="V49" s="116">
        <v>18</v>
      </c>
      <c r="W49" s="116">
        <v>29</v>
      </c>
      <c r="X49" s="116">
        <v>45</v>
      </c>
      <c r="Y49" s="116">
        <v>45</v>
      </c>
      <c r="Z49" s="116">
        <v>45</v>
      </c>
      <c r="AA49" s="116">
        <v>45</v>
      </c>
      <c r="AB49" s="116">
        <v>45</v>
      </c>
      <c r="AC49" s="116">
        <v>45</v>
      </c>
      <c r="AD49" s="116">
        <v>45</v>
      </c>
      <c r="AE49" s="116">
        <v>41</v>
      </c>
      <c r="AF49" s="116">
        <v>45</v>
      </c>
      <c r="AG49" s="116">
        <v>29</v>
      </c>
      <c r="AH49" s="116">
        <v>45</v>
      </c>
      <c r="AI49" s="116">
        <v>45</v>
      </c>
      <c r="AJ49" s="116">
        <v>45</v>
      </c>
      <c r="AK49" s="116">
        <v>45</v>
      </c>
      <c r="AL49" s="116">
        <v>45</v>
      </c>
      <c r="AM49" s="116">
        <v>45</v>
      </c>
      <c r="AN49" s="116">
        <v>45</v>
      </c>
      <c r="AO49" s="116">
        <v>45</v>
      </c>
      <c r="AP49" s="116">
        <v>45</v>
      </c>
      <c r="AQ49" s="116">
        <v>45</v>
      </c>
      <c r="AR49" s="116">
        <v>45</v>
      </c>
      <c r="AS49" s="116">
        <v>45</v>
      </c>
      <c r="AT49" s="116">
        <v>45</v>
      </c>
      <c r="AU49" s="116">
        <v>45</v>
      </c>
      <c r="AV49" s="116">
        <v>45</v>
      </c>
      <c r="AW49" s="116">
        <v>45</v>
      </c>
      <c r="AX49" s="116">
        <v>45</v>
      </c>
      <c r="AY49" s="116"/>
    </row>
    <row r="50" spans="1:52" x14ac:dyDescent="0.2">
      <c r="A50" s="116"/>
      <c r="B50" s="171" t="s">
        <v>346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1061.5215673033081</v>
      </c>
      <c r="T50" s="116">
        <f t="shared" si="15"/>
        <v>0</v>
      </c>
      <c r="U50" s="116">
        <f t="shared" si="15"/>
        <v>0</v>
      </c>
      <c r="V50" s="116">
        <f t="shared" si="15"/>
        <v>310.14299686456002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348</v>
      </c>
      <c r="C52" s="116"/>
      <c r="D52" s="116">
        <v>2</v>
      </c>
      <c r="E52" s="116">
        <v>2</v>
      </c>
      <c r="F52" s="116">
        <v>2</v>
      </c>
      <c r="G52" s="116">
        <v>2</v>
      </c>
      <c r="H52" s="116">
        <v>2</v>
      </c>
      <c r="I52" s="116">
        <v>2</v>
      </c>
      <c r="J52" s="116">
        <v>2</v>
      </c>
      <c r="K52" s="116">
        <v>2</v>
      </c>
      <c r="L52" s="116">
        <v>2</v>
      </c>
      <c r="M52" s="116">
        <v>2</v>
      </c>
      <c r="N52" s="116">
        <v>3</v>
      </c>
      <c r="O52" s="116">
        <v>2</v>
      </c>
      <c r="P52" s="116">
        <v>3</v>
      </c>
      <c r="Q52" s="116">
        <v>3</v>
      </c>
      <c r="R52" s="116">
        <v>3</v>
      </c>
      <c r="S52" s="116">
        <v>2</v>
      </c>
      <c r="T52" s="116">
        <v>2</v>
      </c>
      <c r="U52" s="116">
        <v>3</v>
      </c>
      <c r="V52" s="116">
        <v>3</v>
      </c>
      <c r="W52" s="116">
        <v>2</v>
      </c>
      <c r="X52" s="116">
        <v>4</v>
      </c>
      <c r="Y52" s="116">
        <v>2</v>
      </c>
      <c r="Z52" s="116">
        <v>4</v>
      </c>
      <c r="AA52" s="116">
        <v>2</v>
      </c>
      <c r="AB52" s="116">
        <v>2</v>
      </c>
      <c r="AC52" s="116">
        <v>2</v>
      </c>
      <c r="AD52" s="116">
        <v>2</v>
      </c>
      <c r="AE52" s="116">
        <v>2</v>
      </c>
      <c r="AF52" s="116">
        <v>2</v>
      </c>
      <c r="AG52" s="116">
        <v>2</v>
      </c>
      <c r="AH52" s="116">
        <v>2</v>
      </c>
      <c r="AI52" s="116">
        <v>2</v>
      </c>
      <c r="AJ52" s="116">
        <v>2</v>
      </c>
      <c r="AK52" s="116">
        <v>3</v>
      </c>
      <c r="AL52" s="116">
        <v>2</v>
      </c>
      <c r="AM52" s="116">
        <v>3</v>
      </c>
      <c r="AN52" s="116">
        <v>2</v>
      </c>
      <c r="AO52" s="116">
        <v>2</v>
      </c>
      <c r="AP52" s="116">
        <v>2</v>
      </c>
      <c r="AQ52" s="116">
        <v>3</v>
      </c>
      <c r="AR52" s="116">
        <v>2</v>
      </c>
      <c r="AS52" s="116">
        <v>3</v>
      </c>
      <c r="AT52" s="116">
        <v>2</v>
      </c>
      <c r="AU52" s="116">
        <v>2</v>
      </c>
      <c r="AV52" s="116">
        <v>2</v>
      </c>
      <c r="AW52" s="116">
        <v>3</v>
      </c>
      <c r="AX52" s="116">
        <v>2</v>
      </c>
      <c r="AY52" s="116">
        <v>2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3789180</v>
      </c>
      <c r="F53" s="116">
        <v>3789180</v>
      </c>
      <c r="G53" s="116">
        <v>3789180</v>
      </c>
      <c r="H53" s="116">
        <v>3789180</v>
      </c>
      <c r="I53" s="116">
        <v>3789180</v>
      </c>
      <c r="J53" s="116">
        <v>3789180</v>
      </c>
      <c r="K53" s="116">
        <v>3789180</v>
      </c>
      <c r="L53" s="116">
        <v>3789180</v>
      </c>
      <c r="M53" s="116">
        <v>3789180</v>
      </c>
      <c r="N53" s="116">
        <v>3789180</v>
      </c>
      <c r="O53" s="116">
        <v>3789180</v>
      </c>
      <c r="P53" s="116">
        <v>3789180</v>
      </c>
      <c r="Q53" s="116">
        <v>0</v>
      </c>
      <c r="R53" s="116">
        <v>6904728</v>
      </c>
      <c r="S53" s="116">
        <v>757836</v>
      </c>
      <c r="T53" s="116">
        <v>0</v>
      </c>
      <c r="U53" s="116">
        <v>6146892</v>
      </c>
      <c r="V53" s="116">
        <v>1515672</v>
      </c>
      <c r="W53" s="116">
        <v>2441916</v>
      </c>
      <c r="X53" s="116">
        <v>3789180</v>
      </c>
      <c r="Y53" s="116">
        <v>3789180</v>
      </c>
      <c r="Z53" s="116">
        <v>3789180</v>
      </c>
      <c r="AA53" s="116">
        <v>3789180</v>
      </c>
      <c r="AB53" s="116">
        <v>3789180</v>
      </c>
      <c r="AC53" s="116">
        <v>3789180</v>
      </c>
      <c r="AD53" s="116">
        <v>3789180</v>
      </c>
      <c r="AE53" s="116">
        <v>3452364</v>
      </c>
      <c r="AF53" s="116">
        <v>3789180</v>
      </c>
      <c r="AG53" s="116">
        <v>2441916</v>
      </c>
      <c r="AH53" s="116">
        <v>3789180</v>
      </c>
      <c r="AI53" s="116">
        <v>3789180</v>
      </c>
      <c r="AJ53" s="116">
        <v>3789180</v>
      </c>
      <c r="AK53" s="116">
        <v>3789180</v>
      </c>
      <c r="AL53" s="116">
        <v>3789180</v>
      </c>
      <c r="AM53" s="116">
        <v>3789180</v>
      </c>
      <c r="AN53" s="116">
        <v>3789180</v>
      </c>
      <c r="AO53" s="116">
        <v>3789180</v>
      </c>
      <c r="AP53" s="116">
        <v>3789180</v>
      </c>
      <c r="AQ53" s="116">
        <v>3789180</v>
      </c>
      <c r="AR53" s="116">
        <v>3789180</v>
      </c>
      <c r="AS53" s="116">
        <v>3789180</v>
      </c>
      <c r="AT53" s="116">
        <v>3789180</v>
      </c>
      <c r="AU53" s="116">
        <v>3789180</v>
      </c>
      <c r="AV53" s="116">
        <v>3789180</v>
      </c>
      <c r="AW53" s="116">
        <v>3789180</v>
      </c>
      <c r="AX53" s="116">
        <v>3789180</v>
      </c>
      <c r="AY53" s="116">
        <v>0</v>
      </c>
      <c r="AZ53" s="106">
        <f>SUM($D$53:$AY$53)</f>
        <v>163860984</v>
      </c>
    </row>
    <row r="54" spans="1:52" x14ac:dyDescent="0.2">
      <c r="A54" s="131"/>
      <c r="B54" s="146" t="s">
        <v>350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1613884.3148495846</v>
      </c>
      <c r="T54" s="131">
        <v>0</v>
      </c>
      <c r="U54" s="131">
        <v>0</v>
      </c>
      <c r="V54" s="131">
        <v>471525.90528303385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2085410.2201326184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302</v>
      </c>
      <c r="B2" s="113" t="s">
        <v>12</v>
      </c>
      <c r="E2" s="116"/>
    </row>
    <row r="3" spans="1:52" x14ac:dyDescent="0.2">
      <c r="A3" s="106" t="s">
        <v>285</v>
      </c>
      <c r="B3" s="113">
        <v>5273</v>
      </c>
      <c r="E3" s="116"/>
    </row>
    <row r="4" spans="1:52" x14ac:dyDescent="0.2">
      <c r="A4" s="108"/>
      <c r="C4" s="117" t="s">
        <v>286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303</v>
      </c>
      <c r="B6" s="120"/>
      <c r="C6" s="119" t="s">
        <v>287</v>
      </c>
      <c r="D6" s="118" t="s">
        <v>288</v>
      </c>
      <c r="E6" s="118" t="s">
        <v>288</v>
      </c>
      <c r="F6" s="118" t="s">
        <v>288</v>
      </c>
      <c r="G6" s="118" t="s">
        <v>288</v>
      </c>
      <c r="H6" s="118" t="s">
        <v>288</v>
      </c>
      <c r="I6" s="118" t="s">
        <v>288</v>
      </c>
      <c r="J6" s="118" t="s">
        <v>288</v>
      </c>
      <c r="K6" s="118" t="s">
        <v>288</v>
      </c>
      <c r="L6" s="118" t="s">
        <v>288</v>
      </c>
      <c r="M6" s="118" t="s">
        <v>288</v>
      </c>
      <c r="N6" s="118" t="s">
        <v>288</v>
      </c>
      <c r="O6" s="118" t="s">
        <v>288</v>
      </c>
      <c r="P6" s="118" t="s">
        <v>288</v>
      </c>
      <c r="Q6" s="118" t="s">
        <v>288</v>
      </c>
      <c r="R6" s="118" t="s">
        <v>288</v>
      </c>
      <c r="S6" s="118" t="s">
        <v>288</v>
      </c>
      <c r="T6" s="118" t="s">
        <v>288</v>
      </c>
      <c r="U6" s="118" t="s">
        <v>288</v>
      </c>
      <c r="V6" s="118" t="s">
        <v>288</v>
      </c>
      <c r="W6" s="118" t="s">
        <v>288</v>
      </c>
      <c r="X6" s="118" t="s">
        <v>288</v>
      </c>
      <c r="Y6" s="118" t="s">
        <v>288</v>
      </c>
      <c r="Z6" s="118" t="s">
        <v>288</v>
      </c>
      <c r="AA6" s="118" t="s">
        <v>288</v>
      </c>
      <c r="AB6" s="118" t="s">
        <v>288</v>
      </c>
      <c r="AC6" s="118" t="s">
        <v>288</v>
      </c>
      <c r="AD6" s="118" t="s">
        <v>288</v>
      </c>
      <c r="AE6" s="118" t="s">
        <v>288</v>
      </c>
      <c r="AF6" s="118" t="s">
        <v>288</v>
      </c>
      <c r="AG6" s="118" t="s">
        <v>288</v>
      </c>
      <c r="AH6" s="118" t="s">
        <v>288</v>
      </c>
      <c r="AI6" s="118" t="s">
        <v>288</v>
      </c>
      <c r="AJ6" s="118" t="s">
        <v>288</v>
      </c>
      <c r="AK6" s="118" t="s">
        <v>288</v>
      </c>
      <c r="AL6" s="118" t="s">
        <v>288</v>
      </c>
      <c r="AM6" s="118" t="s">
        <v>288</v>
      </c>
      <c r="AN6" s="118" t="s">
        <v>288</v>
      </c>
      <c r="AO6" s="118" t="s">
        <v>288</v>
      </c>
      <c r="AP6" s="118" t="s">
        <v>288</v>
      </c>
      <c r="AQ6" s="118" t="s">
        <v>288</v>
      </c>
      <c r="AR6" s="118" t="s">
        <v>288</v>
      </c>
      <c r="AS6" s="118" t="s">
        <v>288</v>
      </c>
      <c r="AT6" s="118" t="s">
        <v>288</v>
      </c>
      <c r="AU6" s="118" t="s">
        <v>288</v>
      </c>
      <c r="AV6" s="118" t="s">
        <v>288</v>
      </c>
      <c r="AW6" s="118" t="s">
        <v>288</v>
      </c>
      <c r="AX6" s="118" t="s">
        <v>288</v>
      </c>
      <c r="AY6" s="117" t="s">
        <v>289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292</v>
      </c>
      <c r="D7" s="150">
        <v>959.51513952644382</v>
      </c>
      <c r="E7" s="150">
        <v>959.51513952644382</v>
      </c>
      <c r="F7" s="150">
        <v>959.51513952644382</v>
      </c>
      <c r="G7" s="150">
        <v>959.51513952644382</v>
      </c>
      <c r="H7" s="150">
        <v>852.90234624572781</v>
      </c>
      <c r="I7" s="150">
        <v>852.90234624572781</v>
      </c>
      <c r="J7" s="150">
        <v>852.90234624572781</v>
      </c>
      <c r="K7" s="150">
        <v>852.90234624572781</v>
      </c>
      <c r="L7" s="150">
        <v>852.90234624572781</v>
      </c>
      <c r="M7" s="150">
        <v>852.90234624572781</v>
      </c>
      <c r="N7" s="150">
        <v>852.90234624572781</v>
      </c>
      <c r="O7" s="150">
        <v>852.90234624572781</v>
      </c>
      <c r="P7" s="150">
        <v>959.51513952644382</v>
      </c>
      <c r="Q7" s="150">
        <v>959.51513952644382</v>
      </c>
      <c r="R7" s="150">
        <v>959.51513952644382</v>
      </c>
      <c r="S7" s="150">
        <v>959.51513952644382</v>
      </c>
      <c r="T7" s="150">
        <v>852.90234624572781</v>
      </c>
      <c r="U7" s="150">
        <v>852.90234624572781</v>
      </c>
      <c r="V7" s="150">
        <v>852.90234624572781</v>
      </c>
      <c r="W7" s="150">
        <v>852.90234624572781</v>
      </c>
      <c r="X7" s="150">
        <v>852.90234624572781</v>
      </c>
      <c r="Y7" s="150">
        <v>852.90234624572781</v>
      </c>
      <c r="Z7" s="150">
        <v>852.90234624572781</v>
      </c>
      <c r="AA7" s="150">
        <v>852.90234624572781</v>
      </c>
      <c r="AB7" s="150">
        <v>959.51513952644382</v>
      </c>
      <c r="AC7" s="150">
        <v>959.51513952644382</v>
      </c>
      <c r="AD7" s="150">
        <v>959.51513952644382</v>
      </c>
      <c r="AE7" s="150">
        <v>959.51513952644382</v>
      </c>
      <c r="AF7" s="150">
        <v>852.90234624572781</v>
      </c>
      <c r="AG7" s="150">
        <v>852.90234624572781</v>
      </c>
      <c r="AH7" s="150">
        <v>852.90234624572781</v>
      </c>
      <c r="AI7" s="150">
        <v>852.90234624572781</v>
      </c>
      <c r="AJ7" s="150">
        <v>852.90234624572781</v>
      </c>
      <c r="AK7" s="150">
        <v>852.90234624572781</v>
      </c>
      <c r="AL7" s="150">
        <v>852.90234624572781</v>
      </c>
      <c r="AM7" s="150">
        <v>852.90234624572781</v>
      </c>
      <c r="AN7" s="150">
        <v>959.51513952644382</v>
      </c>
      <c r="AO7" s="150">
        <v>959.51513952644382</v>
      </c>
      <c r="AP7" s="150">
        <v>959.51513952644382</v>
      </c>
      <c r="AQ7" s="150">
        <v>959.51513952644382</v>
      </c>
      <c r="AR7" s="150">
        <v>852.90234624572781</v>
      </c>
      <c r="AS7" s="150">
        <v>852.90234624572781</v>
      </c>
      <c r="AT7" s="150">
        <v>852.90234624572781</v>
      </c>
      <c r="AU7" s="150">
        <v>852.90234624572781</v>
      </c>
      <c r="AV7" s="150">
        <v>852.90234624572781</v>
      </c>
      <c r="AW7" s="150">
        <v>852.90234624572781</v>
      </c>
      <c r="AX7" s="150">
        <v>852.90234624572781</v>
      </c>
      <c r="AY7" s="150">
        <v>852.90234624572781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293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292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294</v>
      </c>
      <c r="B12" s="152"/>
      <c r="C12" s="116"/>
    </row>
    <row r="13" spans="1:52" x14ac:dyDescent="0.2">
      <c r="A13" s="128" t="s">
        <v>125</v>
      </c>
      <c r="B13" s="129">
        <v>1</v>
      </c>
      <c r="C13" s="130"/>
      <c r="D13" s="144">
        <f t="shared" ref="D13:AY13" si="1">D$7-D$10</f>
        <v>959.51513952644382</v>
      </c>
      <c r="E13" s="144">
        <f t="shared" si="1"/>
        <v>959.51513952644382</v>
      </c>
      <c r="F13" s="144">
        <f t="shared" si="1"/>
        <v>959.51513952644382</v>
      </c>
      <c r="G13" s="144">
        <f t="shared" si="1"/>
        <v>959.51513952644382</v>
      </c>
      <c r="H13" s="144">
        <f t="shared" si="1"/>
        <v>852.90234624572781</v>
      </c>
      <c r="I13" s="144">
        <f t="shared" si="1"/>
        <v>852.90234624572781</v>
      </c>
      <c r="J13" s="144">
        <f t="shared" si="1"/>
        <v>852.90234624572781</v>
      </c>
      <c r="K13" s="144">
        <f t="shared" si="1"/>
        <v>852.90234624572781</v>
      </c>
      <c r="L13" s="144">
        <f t="shared" si="1"/>
        <v>852.90234624572781</v>
      </c>
      <c r="M13" s="144">
        <f t="shared" si="1"/>
        <v>852.90234624572781</v>
      </c>
      <c r="N13" s="144">
        <f t="shared" si="1"/>
        <v>852.90234624572781</v>
      </c>
      <c r="O13" s="144">
        <f t="shared" si="1"/>
        <v>852.90234624572781</v>
      </c>
      <c r="P13" s="144">
        <f t="shared" si="1"/>
        <v>959.51513952644382</v>
      </c>
      <c r="Q13" s="144">
        <f t="shared" si="1"/>
        <v>959.51513952644382</v>
      </c>
      <c r="R13" s="144">
        <f t="shared" si="1"/>
        <v>959.51513952644382</v>
      </c>
      <c r="S13" s="144">
        <f t="shared" si="1"/>
        <v>959.51513952644382</v>
      </c>
      <c r="T13" s="144">
        <f t="shared" si="1"/>
        <v>852.90234624572781</v>
      </c>
      <c r="U13" s="144">
        <f t="shared" si="1"/>
        <v>852.90234624572781</v>
      </c>
      <c r="V13" s="144">
        <f t="shared" si="1"/>
        <v>852.90234624572781</v>
      </c>
      <c r="W13" s="144">
        <f t="shared" si="1"/>
        <v>852.90234624572781</v>
      </c>
      <c r="X13" s="144">
        <f t="shared" si="1"/>
        <v>852.90234624572781</v>
      </c>
      <c r="Y13" s="144">
        <f t="shared" si="1"/>
        <v>852.90234624572781</v>
      </c>
      <c r="Z13" s="144">
        <f t="shared" si="1"/>
        <v>852.90234624572781</v>
      </c>
      <c r="AA13" s="144">
        <f t="shared" si="1"/>
        <v>852.90234624572781</v>
      </c>
      <c r="AB13" s="144">
        <f t="shared" si="1"/>
        <v>959.51513952644382</v>
      </c>
      <c r="AC13" s="144">
        <f t="shared" si="1"/>
        <v>959.51513952644382</v>
      </c>
      <c r="AD13" s="144">
        <f t="shared" si="1"/>
        <v>959.51513952644382</v>
      </c>
      <c r="AE13" s="144">
        <f t="shared" si="1"/>
        <v>959.51513952644382</v>
      </c>
      <c r="AF13" s="144">
        <f t="shared" si="1"/>
        <v>852.90234624572781</v>
      </c>
      <c r="AG13" s="144">
        <f t="shared" si="1"/>
        <v>852.90234624572781</v>
      </c>
      <c r="AH13" s="144">
        <f t="shared" si="1"/>
        <v>852.90234624572781</v>
      </c>
      <c r="AI13" s="144">
        <f t="shared" si="1"/>
        <v>852.90234624572781</v>
      </c>
      <c r="AJ13" s="144">
        <f t="shared" si="1"/>
        <v>852.90234624572781</v>
      </c>
      <c r="AK13" s="144">
        <f t="shared" si="1"/>
        <v>852.90234624572781</v>
      </c>
      <c r="AL13" s="144">
        <f t="shared" si="1"/>
        <v>852.90234624572781</v>
      </c>
      <c r="AM13" s="144">
        <f t="shared" si="1"/>
        <v>852.90234624572781</v>
      </c>
      <c r="AN13" s="144">
        <f t="shared" si="1"/>
        <v>959.51513952644382</v>
      </c>
      <c r="AO13" s="144">
        <f t="shared" si="1"/>
        <v>959.51513952644382</v>
      </c>
      <c r="AP13" s="144">
        <f t="shared" si="1"/>
        <v>959.51513952644382</v>
      </c>
      <c r="AQ13" s="144">
        <f t="shared" si="1"/>
        <v>959.51513952644382</v>
      </c>
      <c r="AR13" s="144">
        <f t="shared" si="1"/>
        <v>852.90234624572781</v>
      </c>
      <c r="AS13" s="144">
        <f t="shared" si="1"/>
        <v>852.90234624572781</v>
      </c>
      <c r="AT13" s="144">
        <f t="shared" si="1"/>
        <v>852.90234624572781</v>
      </c>
      <c r="AU13" s="144">
        <f t="shared" si="1"/>
        <v>852.90234624572781</v>
      </c>
      <c r="AV13" s="144">
        <f t="shared" si="1"/>
        <v>852.90234624572781</v>
      </c>
      <c r="AW13" s="144">
        <f t="shared" si="1"/>
        <v>852.90234624572781</v>
      </c>
      <c r="AX13" s="144">
        <f t="shared" si="1"/>
        <v>852.90234624572781</v>
      </c>
      <c r="AY13" s="144">
        <f t="shared" si="1"/>
        <v>852.90234624572781</v>
      </c>
      <c r="AZ13" s="115"/>
    </row>
    <row r="14" spans="1:52" x14ac:dyDescent="0.2">
      <c r="A14" s="116"/>
      <c r="B14" s="126">
        <v>2</v>
      </c>
      <c r="C14" s="116"/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852.90234624572781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852.90234624572781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959.51513952644382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/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/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295</v>
      </c>
      <c r="C17" s="131"/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304</v>
      </c>
      <c r="B20" s="160" t="s">
        <v>305</v>
      </c>
      <c r="C20" s="123"/>
      <c r="D20" s="123"/>
      <c r="E20" s="123"/>
      <c r="F20" s="123"/>
      <c r="G20" s="123"/>
      <c r="H20" s="123"/>
      <c r="I20" s="123"/>
      <c r="J20" s="123" t="s">
        <v>338</v>
      </c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 t="s">
        <v>338</v>
      </c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 t="s">
        <v>338</v>
      </c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1</v>
      </c>
      <c r="C21" s="162" t="s">
        <v>292</v>
      </c>
      <c r="D21" s="112">
        <f>IF(C$20="Yes",0,SUM(C$13:C$16)*$B$21)</f>
        <v>0</v>
      </c>
      <c r="E21" s="112">
        <f t="shared" ref="E21:AY21" si="3">IF(D$20="Yes",0,SUM(D$13:D$16)*$B$21)</f>
        <v>959.51513952644382</v>
      </c>
      <c r="F21" s="112">
        <f t="shared" si="3"/>
        <v>959.51513952644382</v>
      </c>
      <c r="G21" s="112">
        <f t="shared" si="3"/>
        <v>959.51513952644382</v>
      </c>
      <c r="H21" s="112">
        <f t="shared" si="3"/>
        <v>959.51513952644382</v>
      </c>
      <c r="I21" s="112">
        <f t="shared" si="3"/>
        <v>852.90234624572781</v>
      </c>
      <c r="J21" s="112">
        <f t="shared" si="3"/>
        <v>852.90234624572781</v>
      </c>
      <c r="K21" s="112">
        <f t="shared" si="3"/>
        <v>0</v>
      </c>
      <c r="L21" s="112">
        <f t="shared" si="3"/>
        <v>1705.8046924914556</v>
      </c>
      <c r="M21" s="112">
        <f t="shared" si="3"/>
        <v>852.90234624572781</v>
      </c>
      <c r="N21" s="112">
        <f t="shared" si="3"/>
        <v>852.90234624572781</v>
      </c>
      <c r="O21" s="112">
        <f t="shared" si="3"/>
        <v>852.90234624572781</v>
      </c>
      <c r="P21" s="112">
        <f t="shared" si="3"/>
        <v>852.90234624572781</v>
      </c>
      <c r="Q21" s="112">
        <f t="shared" si="3"/>
        <v>959.51513952644382</v>
      </c>
      <c r="R21" s="112">
        <f t="shared" si="3"/>
        <v>959.51513952644382</v>
      </c>
      <c r="S21" s="112">
        <f t="shared" si="3"/>
        <v>959.51513952644382</v>
      </c>
      <c r="T21" s="112">
        <f t="shared" si="3"/>
        <v>959.51513952644382</v>
      </c>
      <c r="U21" s="112">
        <f t="shared" si="3"/>
        <v>852.90234624572781</v>
      </c>
      <c r="V21" s="112">
        <f t="shared" si="3"/>
        <v>852.90234624572781</v>
      </c>
      <c r="W21" s="112">
        <f t="shared" si="3"/>
        <v>852.90234624572781</v>
      </c>
      <c r="X21" s="112">
        <f t="shared" si="3"/>
        <v>852.90234624572781</v>
      </c>
      <c r="Y21" s="112">
        <f t="shared" si="3"/>
        <v>852.90234624572781</v>
      </c>
      <c r="Z21" s="112">
        <f t="shared" si="3"/>
        <v>852.90234624572781</v>
      </c>
      <c r="AA21" s="112">
        <f t="shared" si="3"/>
        <v>0</v>
      </c>
      <c r="AB21" s="112">
        <f t="shared" si="3"/>
        <v>1705.8046924914556</v>
      </c>
      <c r="AC21" s="112">
        <f t="shared" si="3"/>
        <v>959.51513952644382</v>
      </c>
      <c r="AD21" s="112">
        <f t="shared" si="3"/>
        <v>959.51513952644382</v>
      </c>
      <c r="AE21" s="112">
        <f t="shared" si="3"/>
        <v>959.51513952644382</v>
      </c>
      <c r="AF21" s="112">
        <f t="shared" si="3"/>
        <v>959.51513952644382</v>
      </c>
      <c r="AG21" s="112">
        <f t="shared" si="3"/>
        <v>852.90234624572781</v>
      </c>
      <c r="AH21" s="112">
        <f t="shared" si="3"/>
        <v>852.90234624572781</v>
      </c>
      <c r="AI21" s="112">
        <f t="shared" si="3"/>
        <v>852.90234624572781</v>
      </c>
      <c r="AJ21" s="112">
        <f t="shared" si="3"/>
        <v>852.90234624572781</v>
      </c>
      <c r="AK21" s="112">
        <f t="shared" si="3"/>
        <v>852.90234624572781</v>
      </c>
      <c r="AL21" s="112">
        <f t="shared" si="3"/>
        <v>852.90234624572781</v>
      </c>
      <c r="AM21" s="112">
        <f t="shared" si="3"/>
        <v>852.90234624572781</v>
      </c>
      <c r="AN21" s="112">
        <f t="shared" si="3"/>
        <v>852.90234624572781</v>
      </c>
      <c r="AO21" s="112">
        <f t="shared" si="3"/>
        <v>959.51513952644382</v>
      </c>
      <c r="AP21" s="112">
        <f t="shared" si="3"/>
        <v>0</v>
      </c>
      <c r="AQ21" s="112">
        <f t="shared" si="3"/>
        <v>1919.0302790528876</v>
      </c>
      <c r="AR21" s="112">
        <f t="shared" si="3"/>
        <v>959.51513952644382</v>
      </c>
      <c r="AS21" s="112">
        <f t="shared" si="3"/>
        <v>852.90234624572781</v>
      </c>
      <c r="AT21" s="112">
        <f t="shared" si="3"/>
        <v>852.90234624572781</v>
      </c>
      <c r="AU21" s="112">
        <f t="shared" si="3"/>
        <v>852.90234624572781</v>
      </c>
      <c r="AV21" s="112">
        <f t="shared" si="3"/>
        <v>852.90234624572781</v>
      </c>
      <c r="AW21" s="112">
        <f t="shared" si="3"/>
        <v>852.90234624572781</v>
      </c>
      <c r="AX21" s="112">
        <f t="shared" si="3"/>
        <v>852.90234624572781</v>
      </c>
      <c r="AY21" s="112">
        <f t="shared" si="3"/>
        <v>852.90234624572781</v>
      </c>
      <c r="AZ21" s="163">
        <f>SUM($D21:$AY21)</f>
        <v>41792.214966040643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292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306</v>
      </c>
      <c r="B23" s="130">
        <v>2000</v>
      </c>
      <c r="C23" s="106" t="s">
        <v>292</v>
      </c>
      <c r="D23" s="106">
        <f>D$21*$B$23</f>
        <v>0</v>
      </c>
      <c r="E23" s="106">
        <f t="shared" ref="E23:AY23" si="6">E$21*$B$23</f>
        <v>1919030.2790528876</v>
      </c>
      <c r="F23" s="106">
        <f t="shared" si="6"/>
        <v>1919030.2790528876</v>
      </c>
      <c r="G23" s="106">
        <f t="shared" si="6"/>
        <v>1919030.2790528876</v>
      </c>
      <c r="H23" s="106">
        <f t="shared" si="6"/>
        <v>1919030.2790528876</v>
      </c>
      <c r="I23" s="106">
        <f t="shared" si="6"/>
        <v>1705804.6924914557</v>
      </c>
      <c r="J23" s="106">
        <f t="shared" si="6"/>
        <v>1705804.6924914557</v>
      </c>
      <c r="K23" s="106">
        <f t="shared" si="6"/>
        <v>0</v>
      </c>
      <c r="L23" s="106">
        <f t="shared" si="6"/>
        <v>3411609.3849829114</v>
      </c>
      <c r="M23" s="106">
        <f t="shared" si="6"/>
        <v>1705804.6924914557</v>
      </c>
      <c r="N23" s="106">
        <f t="shared" si="6"/>
        <v>1705804.6924914557</v>
      </c>
      <c r="O23" s="106">
        <f t="shared" si="6"/>
        <v>1705804.6924914557</v>
      </c>
      <c r="P23" s="106">
        <f t="shared" si="6"/>
        <v>1705804.6924914557</v>
      </c>
      <c r="Q23" s="106">
        <f t="shared" si="6"/>
        <v>1919030.2790528876</v>
      </c>
      <c r="R23" s="106">
        <f t="shared" si="6"/>
        <v>1919030.2790528876</v>
      </c>
      <c r="S23" s="106">
        <f t="shared" si="6"/>
        <v>1919030.2790528876</v>
      </c>
      <c r="T23" s="106">
        <f t="shared" si="6"/>
        <v>1919030.2790528876</v>
      </c>
      <c r="U23" s="106">
        <f t="shared" si="6"/>
        <v>1705804.6924914557</v>
      </c>
      <c r="V23" s="106">
        <f t="shared" si="6"/>
        <v>1705804.6924914557</v>
      </c>
      <c r="W23" s="106">
        <f t="shared" si="6"/>
        <v>1705804.6924914557</v>
      </c>
      <c r="X23" s="106">
        <f t="shared" si="6"/>
        <v>1705804.6924914557</v>
      </c>
      <c r="Y23" s="106">
        <f t="shared" si="6"/>
        <v>1705804.6924914557</v>
      </c>
      <c r="Z23" s="106">
        <f t="shared" si="6"/>
        <v>1705804.6924914557</v>
      </c>
      <c r="AA23" s="106">
        <f t="shared" si="6"/>
        <v>0</v>
      </c>
      <c r="AB23" s="106">
        <f t="shared" si="6"/>
        <v>3411609.3849829114</v>
      </c>
      <c r="AC23" s="106">
        <f t="shared" si="6"/>
        <v>1919030.2790528876</v>
      </c>
      <c r="AD23" s="106">
        <f t="shared" si="6"/>
        <v>1919030.2790528876</v>
      </c>
      <c r="AE23" s="106">
        <f t="shared" si="6"/>
        <v>1919030.2790528876</v>
      </c>
      <c r="AF23" s="106">
        <f t="shared" si="6"/>
        <v>1919030.2790528876</v>
      </c>
      <c r="AG23" s="106">
        <f t="shared" si="6"/>
        <v>1705804.6924914557</v>
      </c>
      <c r="AH23" s="106">
        <f t="shared" si="6"/>
        <v>1705804.6924914557</v>
      </c>
      <c r="AI23" s="106">
        <f t="shared" si="6"/>
        <v>1705804.6924914557</v>
      </c>
      <c r="AJ23" s="106">
        <f t="shared" si="6"/>
        <v>1705804.6924914557</v>
      </c>
      <c r="AK23" s="106">
        <f t="shared" si="6"/>
        <v>1705804.6924914557</v>
      </c>
      <c r="AL23" s="106">
        <f t="shared" si="6"/>
        <v>1705804.6924914557</v>
      </c>
      <c r="AM23" s="106">
        <f t="shared" si="6"/>
        <v>1705804.6924914557</v>
      </c>
      <c r="AN23" s="106">
        <f t="shared" si="6"/>
        <v>1705804.6924914557</v>
      </c>
      <c r="AO23" s="106">
        <f t="shared" si="6"/>
        <v>1919030.2790528876</v>
      </c>
      <c r="AP23" s="106">
        <f t="shared" si="6"/>
        <v>0</v>
      </c>
      <c r="AQ23" s="106">
        <f t="shared" si="6"/>
        <v>3838060.5581057752</v>
      </c>
      <c r="AR23" s="106">
        <f t="shared" si="6"/>
        <v>1919030.2790528876</v>
      </c>
      <c r="AS23" s="106">
        <f t="shared" si="6"/>
        <v>1705804.6924914557</v>
      </c>
      <c r="AT23" s="106">
        <f t="shared" si="6"/>
        <v>1705804.6924914557</v>
      </c>
      <c r="AU23" s="106">
        <f t="shared" si="6"/>
        <v>1705804.6924914557</v>
      </c>
      <c r="AV23" s="106">
        <f t="shared" si="6"/>
        <v>1705804.6924914557</v>
      </c>
      <c r="AW23" s="106">
        <f t="shared" si="6"/>
        <v>1705804.6924914557</v>
      </c>
      <c r="AX23" s="106">
        <f t="shared" si="6"/>
        <v>1705804.6924914557</v>
      </c>
      <c r="AY23" s="106">
        <f t="shared" si="6"/>
        <v>1705804.6924914557</v>
      </c>
      <c r="AZ23" s="145">
        <f t="shared" si="5"/>
        <v>83584429.932081372</v>
      </c>
    </row>
    <row r="24" spans="1:52" s="116" customFormat="1" x14ac:dyDescent="0.2">
      <c r="A24" s="167" t="s">
        <v>307</v>
      </c>
      <c r="B24" s="168">
        <v>1000</v>
      </c>
      <c r="C24" s="162" t="s">
        <v>292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308</v>
      </c>
      <c r="C27" s="130">
        <v>155</v>
      </c>
      <c r="D27" s="130">
        <f>C$27-C$28+C$29</f>
        <v>155</v>
      </c>
      <c r="E27" s="130">
        <f t="shared" ref="E27:AY27" si="8">D27-D28+D29</f>
        <v>155</v>
      </c>
      <c r="F27" s="130">
        <f t="shared" si="8"/>
        <v>123</v>
      </c>
      <c r="G27" s="130">
        <f t="shared" si="8"/>
        <v>123</v>
      </c>
      <c r="H27" s="130">
        <f t="shared" si="8"/>
        <v>123</v>
      </c>
      <c r="I27" s="130">
        <f t="shared" si="8"/>
        <v>123</v>
      </c>
      <c r="J27" s="130">
        <f t="shared" si="8"/>
        <v>126</v>
      </c>
      <c r="K27" s="130">
        <f t="shared" si="8"/>
        <v>126</v>
      </c>
      <c r="L27" s="130">
        <f t="shared" si="8"/>
        <v>155</v>
      </c>
      <c r="M27" s="130">
        <f t="shared" si="8"/>
        <v>98</v>
      </c>
      <c r="N27" s="130">
        <f t="shared" si="8"/>
        <v>126</v>
      </c>
      <c r="O27" s="130">
        <f t="shared" si="8"/>
        <v>126</v>
      </c>
      <c r="P27" s="130">
        <f t="shared" si="8"/>
        <v>126</v>
      </c>
      <c r="Q27" s="130">
        <f t="shared" si="8"/>
        <v>126</v>
      </c>
      <c r="R27" s="130">
        <f t="shared" si="8"/>
        <v>123</v>
      </c>
      <c r="S27" s="130">
        <f t="shared" si="8"/>
        <v>123</v>
      </c>
      <c r="T27" s="130">
        <f t="shared" si="8"/>
        <v>123</v>
      </c>
      <c r="U27" s="130">
        <f t="shared" si="8"/>
        <v>123</v>
      </c>
      <c r="V27" s="130">
        <f t="shared" si="8"/>
        <v>126</v>
      </c>
      <c r="W27" s="130">
        <f t="shared" si="8"/>
        <v>126</v>
      </c>
      <c r="X27" s="130">
        <f t="shared" si="8"/>
        <v>126</v>
      </c>
      <c r="Y27" s="130">
        <f t="shared" si="8"/>
        <v>126</v>
      </c>
      <c r="Z27" s="130">
        <f t="shared" si="8"/>
        <v>126</v>
      </c>
      <c r="AA27" s="130">
        <f t="shared" si="8"/>
        <v>126</v>
      </c>
      <c r="AB27" s="130">
        <f t="shared" si="8"/>
        <v>155</v>
      </c>
      <c r="AC27" s="130">
        <f t="shared" si="8"/>
        <v>98</v>
      </c>
      <c r="AD27" s="130">
        <f t="shared" si="8"/>
        <v>123</v>
      </c>
      <c r="AE27" s="130">
        <f t="shared" si="8"/>
        <v>123</v>
      </c>
      <c r="AF27" s="130">
        <f t="shared" si="8"/>
        <v>123</v>
      </c>
      <c r="AG27" s="130">
        <f t="shared" si="8"/>
        <v>123</v>
      </c>
      <c r="AH27" s="130">
        <f t="shared" si="8"/>
        <v>126</v>
      </c>
      <c r="AI27" s="130">
        <f t="shared" si="8"/>
        <v>126</v>
      </c>
      <c r="AJ27" s="130">
        <f t="shared" si="8"/>
        <v>126</v>
      </c>
      <c r="AK27" s="130">
        <f t="shared" si="8"/>
        <v>126</v>
      </c>
      <c r="AL27" s="130">
        <f t="shared" si="8"/>
        <v>126</v>
      </c>
      <c r="AM27" s="130">
        <f t="shared" si="8"/>
        <v>126</v>
      </c>
      <c r="AN27" s="130">
        <f t="shared" si="8"/>
        <v>126</v>
      </c>
      <c r="AO27" s="130">
        <f t="shared" si="8"/>
        <v>126</v>
      </c>
      <c r="AP27" s="130">
        <f t="shared" si="8"/>
        <v>123</v>
      </c>
      <c r="AQ27" s="130">
        <f t="shared" si="8"/>
        <v>155</v>
      </c>
      <c r="AR27" s="130">
        <f t="shared" si="8"/>
        <v>91</v>
      </c>
      <c r="AS27" s="130">
        <f t="shared" si="8"/>
        <v>123</v>
      </c>
      <c r="AT27" s="130">
        <f t="shared" si="8"/>
        <v>126</v>
      </c>
      <c r="AU27" s="130">
        <f t="shared" si="8"/>
        <v>126</v>
      </c>
      <c r="AV27" s="130">
        <f t="shared" si="8"/>
        <v>126</v>
      </c>
      <c r="AW27" s="130">
        <f t="shared" si="8"/>
        <v>126</v>
      </c>
      <c r="AX27" s="130">
        <f t="shared" si="8"/>
        <v>126</v>
      </c>
      <c r="AY27" s="170">
        <f t="shared" si="8"/>
        <v>126</v>
      </c>
      <c r="AZ27" s="112"/>
    </row>
    <row r="28" spans="1:52" x14ac:dyDescent="0.2">
      <c r="B28" s="171" t="s">
        <v>309</v>
      </c>
      <c r="C28" s="116"/>
      <c r="D28" s="116">
        <v>0</v>
      </c>
      <c r="E28" s="116">
        <v>32</v>
      </c>
      <c r="F28" s="116">
        <v>32</v>
      </c>
      <c r="G28" s="116">
        <v>32</v>
      </c>
      <c r="H28" s="116">
        <v>32</v>
      </c>
      <c r="I28" s="116">
        <v>29</v>
      </c>
      <c r="J28" s="116">
        <v>29</v>
      </c>
      <c r="K28" s="116">
        <v>0</v>
      </c>
      <c r="L28" s="116">
        <v>57</v>
      </c>
      <c r="M28" s="116">
        <v>29</v>
      </c>
      <c r="N28" s="116">
        <v>29</v>
      </c>
      <c r="O28" s="116">
        <v>29</v>
      </c>
      <c r="P28" s="116">
        <v>29</v>
      </c>
      <c r="Q28" s="116">
        <v>32</v>
      </c>
      <c r="R28" s="116">
        <v>32</v>
      </c>
      <c r="S28" s="116">
        <v>32</v>
      </c>
      <c r="T28" s="116">
        <v>32</v>
      </c>
      <c r="U28" s="116">
        <v>29</v>
      </c>
      <c r="V28" s="116">
        <v>29</v>
      </c>
      <c r="W28" s="116">
        <v>29</v>
      </c>
      <c r="X28" s="116">
        <v>29</v>
      </c>
      <c r="Y28" s="116">
        <v>29</v>
      </c>
      <c r="Z28" s="116">
        <v>29</v>
      </c>
      <c r="AA28" s="116">
        <v>0</v>
      </c>
      <c r="AB28" s="116">
        <v>57</v>
      </c>
      <c r="AC28" s="116">
        <v>32</v>
      </c>
      <c r="AD28" s="116">
        <v>32</v>
      </c>
      <c r="AE28" s="116">
        <v>32</v>
      </c>
      <c r="AF28" s="116">
        <v>32</v>
      </c>
      <c r="AG28" s="116">
        <v>29</v>
      </c>
      <c r="AH28" s="116">
        <v>29</v>
      </c>
      <c r="AI28" s="116">
        <v>29</v>
      </c>
      <c r="AJ28" s="116">
        <v>29</v>
      </c>
      <c r="AK28" s="116">
        <v>29</v>
      </c>
      <c r="AL28" s="116">
        <v>29</v>
      </c>
      <c r="AM28" s="116">
        <v>29</v>
      </c>
      <c r="AN28" s="116">
        <v>29</v>
      </c>
      <c r="AO28" s="116">
        <v>32</v>
      </c>
      <c r="AP28" s="116">
        <v>0</v>
      </c>
      <c r="AQ28" s="116">
        <v>64</v>
      </c>
      <c r="AR28" s="116">
        <v>32</v>
      </c>
      <c r="AS28" s="116">
        <v>29</v>
      </c>
      <c r="AT28" s="116">
        <v>29</v>
      </c>
      <c r="AU28" s="116">
        <v>29</v>
      </c>
      <c r="AV28" s="116">
        <v>29</v>
      </c>
      <c r="AW28" s="116">
        <v>29</v>
      </c>
      <c r="AX28" s="116">
        <v>29</v>
      </c>
      <c r="AY28" s="172">
        <v>29</v>
      </c>
      <c r="AZ28" s="112"/>
    </row>
    <row r="29" spans="1:52" x14ac:dyDescent="0.2">
      <c r="B29" s="142" t="s">
        <v>310</v>
      </c>
      <c r="C29" s="131"/>
      <c r="D29" s="131">
        <f>C$28</f>
        <v>0</v>
      </c>
      <c r="E29" s="131">
        <f t="shared" ref="E29:AY29" si="9">D$28</f>
        <v>0</v>
      </c>
      <c r="F29" s="131">
        <f t="shared" si="9"/>
        <v>32</v>
      </c>
      <c r="G29" s="131">
        <f t="shared" si="9"/>
        <v>32</v>
      </c>
      <c r="H29" s="131">
        <f t="shared" si="9"/>
        <v>32</v>
      </c>
      <c r="I29" s="131">
        <f t="shared" si="9"/>
        <v>32</v>
      </c>
      <c r="J29" s="131">
        <f t="shared" si="9"/>
        <v>29</v>
      </c>
      <c r="K29" s="131">
        <f t="shared" si="9"/>
        <v>29</v>
      </c>
      <c r="L29" s="131">
        <f t="shared" si="9"/>
        <v>0</v>
      </c>
      <c r="M29" s="131">
        <f t="shared" si="9"/>
        <v>57</v>
      </c>
      <c r="N29" s="131">
        <f t="shared" si="9"/>
        <v>29</v>
      </c>
      <c r="O29" s="131">
        <f t="shared" si="9"/>
        <v>29</v>
      </c>
      <c r="P29" s="131">
        <f t="shared" si="9"/>
        <v>29</v>
      </c>
      <c r="Q29" s="131">
        <f t="shared" si="9"/>
        <v>29</v>
      </c>
      <c r="R29" s="131">
        <f t="shared" si="9"/>
        <v>32</v>
      </c>
      <c r="S29" s="131">
        <f t="shared" si="9"/>
        <v>32</v>
      </c>
      <c r="T29" s="131">
        <f t="shared" si="9"/>
        <v>32</v>
      </c>
      <c r="U29" s="131">
        <f t="shared" si="9"/>
        <v>32</v>
      </c>
      <c r="V29" s="131">
        <f t="shared" si="9"/>
        <v>29</v>
      </c>
      <c r="W29" s="131">
        <f t="shared" si="9"/>
        <v>29</v>
      </c>
      <c r="X29" s="131">
        <f t="shared" si="9"/>
        <v>29</v>
      </c>
      <c r="Y29" s="131">
        <f t="shared" si="9"/>
        <v>29</v>
      </c>
      <c r="Z29" s="131">
        <f t="shared" si="9"/>
        <v>29</v>
      </c>
      <c r="AA29" s="131">
        <f t="shared" si="9"/>
        <v>29</v>
      </c>
      <c r="AB29" s="131">
        <f t="shared" si="9"/>
        <v>0</v>
      </c>
      <c r="AC29" s="131">
        <f t="shared" si="9"/>
        <v>57</v>
      </c>
      <c r="AD29" s="131">
        <f t="shared" si="9"/>
        <v>32</v>
      </c>
      <c r="AE29" s="131">
        <f t="shared" si="9"/>
        <v>32</v>
      </c>
      <c r="AF29" s="131">
        <f t="shared" si="9"/>
        <v>32</v>
      </c>
      <c r="AG29" s="131">
        <f t="shared" si="9"/>
        <v>32</v>
      </c>
      <c r="AH29" s="131">
        <f t="shared" si="9"/>
        <v>29</v>
      </c>
      <c r="AI29" s="131">
        <f t="shared" si="9"/>
        <v>29</v>
      </c>
      <c r="AJ29" s="131">
        <f t="shared" si="9"/>
        <v>29</v>
      </c>
      <c r="AK29" s="131">
        <f t="shared" si="9"/>
        <v>29</v>
      </c>
      <c r="AL29" s="131">
        <f t="shared" si="9"/>
        <v>29</v>
      </c>
      <c r="AM29" s="131">
        <f t="shared" si="9"/>
        <v>29</v>
      </c>
      <c r="AN29" s="131">
        <f t="shared" si="9"/>
        <v>29</v>
      </c>
      <c r="AO29" s="131">
        <f t="shared" si="9"/>
        <v>29</v>
      </c>
      <c r="AP29" s="131">
        <f t="shared" si="9"/>
        <v>32</v>
      </c>
      <c r="AQ29" s="131">
        <f t="shared" si="9"/>
        <v>0</v>
      </c>
      <c r="AR29" s="131">
        <f t="shared" si="9"/>
        <v>64</v>
      </c>
      <c r="AS29" s="131">
        <f t="shared" si="9"/>
        <v>32</v>
      </c>
      <c r="AT29" s="131">
        <f t="shared" si="9"/>
        <v>29</v>
      </c>
      <c r="AU29" s="131">
        <f t="shared" si="9"/>
        <v>29</v>
      </c>
      <c r="AV29" s="131">
        <f t="shared" si="9"/>
        <v>29</v>
      </c>
      <c r="AW29" s="131">
        <f t="shared" si="9"/>
        <v>29</v>
      </c>
      <c r="AX29" s="131">
        <f t="shared" si="9"/>
        <v>29</v>
      </c>
      <c r="AY29" s="173">
        <f t="shared" si="9"/>
        <v>29</v>
      </c>
      <c r="AZ29" s="174"/>
    </row>
    <row r="30" spans="1:52" x14ac:dyDescent="0.2">
      <c r="A30" s="175" t="s">
        <v>311</v>
      </c>
      <c r="B30" s="150">
        <v>10</v>
      </c>
      <c r="C30" s="123" t="s">
        <v>292</v>
      </c>
      <c r="D30" s="123">
        <f>D$27*$B$30</f>
        <v>1550</v>
      </c>
      <c r="E30" s="123">
        <f t="shared" ref="E30:AY30" si="10">E$27*$B$30</f>
        <v>1550</v>
      </c>
      <c r="F30" s="123">
        <f t="shared" si="10"/>
        <v>1230</v>
      </c>
      <c r="G30" s="123">
        <f t="shared" si="10"/>
        <v>1230</v>
      </c>
      <c r="H30" s="123">
        <f t="shared" si="10"/>
        <v>1230</v>
      </c>
      <c r="I30" s="123">
        <f t="shared" si="10"/>
        <v>1230</v>
      </c>
      <c r="J30" s="123">
        <f t="shared" si="10"/>
        <v>1260</v>
      </c>
      <c r="K30" s="123">
        <f t="shared" si="10"/>
        <v>1260</v>
      </c>
      <c r="L30" s="123">
        <f t="shared" si="10"/>
        <v>1550</v>
      </c>
      <c r="M30" s="123">
        <f t="shared" si="10"/>
        <v>980</v>
      </c>
      <c r="N30" s="123">
        <f t="shared" si="10"/>
        <v>1260</v>
      </c>
      <c r="O30" s="123">
        <f t="shared" si="10"/>
        <v>1260</v>
      </c>
      <c r="P30" s="123">
        <f t="shared" si="10"/>
        <v>1260</v>
      </c>
      <c r="Q30" s="123">
        <f t="shared" si="10"/>
        <v>1260</v>
      </c>
      <c r="R30" s="123">
        <f>R$27*$B$30</f>
        <v>1230</v>
      </c>
      <c r="S30" s="123">
        <f t="shared" si="10"/>
        <v>1230</v>
      </c>
      <c r="T30" s="123">
        <f t="shared" si="10"/>
        <v>1230</v>
      </c>
      <c r="U30" s="123">
        <f t="shared" si="10"/>
        <v>1230</v>
      </c>
      <c r="V30" s="123">
        <f t="shared" si="10"/>
        <v>1260</v>
      </c>
      <c r="W30" s="123">
        <f t="shared" si="10"/>
        <v>1260</v>
      </c>
      <c r="X30" s="123">
        <f t="shared" si="10"/>
        <v>1260</v>
      </c>
      <c r="Y30" s="123">
        <f t="shared" si="10"/>
        <v>1260</v>
      </c>
      <c r="Z30" s="123">
        <f t="shared" si="10"/>
        <v>1260</v>
      </c>
      <c r="AA30" s="123">
        <f t="shared" si="10"/>
        <v>1260</v>
      </c>
      <c r="AB30" s="123">
        <f t="shared" si="10"/>
        <v>1550</v>
      </c>
      <c r="AC30" s="123">
        <f t="shared" si="10"/>
        <v>980</v>
      </c>
      <c r="AD30" s="123">
        <f t="shared" si="10"/>
        <v>1230</v>
      </c>
      <c r="AE30" s="123">
        <f>AE$27*$B$30</f>
        <v>1230</v>
      </c>
      <c r="AF30" s="123">
        <f t="shared" si="10"/>
        <v>1230</v>
      </c>
      <c r="AG30" s="123">
        <f t="shared" si="10"/>
        <v>1230</v>
      </c>
      <c r="AH30" s="123">
        <f t="shared" si="10"/>
        <v>1260</v>
      </c>
      <c r="AI30" s="123">
        <f t="shared" si="10"/>
        <v>1260</v>
      </c>
      <c r="AJ30" s="123">
        <f t="shared" si="10"/>
        <v>1260</v>
      </c>
      <c r="AK30" s="123">
        <f t="shared" si="10"/>
        <v>1260</v>
      </c>
      <c r="AL30" s="123">
        <f t="shared" si="10"/>
        <v>1260</v>
      </c>
      <c r="AM30" s="123">
        <f t="shared" si="10"/>
        <v>1260</v>
      </c>
      <c r="AN30" s="123">
        <f t="shared" si="10"/>
        <v>1260</v>
      </c>
      <c r="AO30" s="123">
        <f t="shared" si="10"/>
        <v>1260</v>
      </c>
      <c r="AP30" s="123">
        <f t="shared" si="10"/>
        <v>1230</v>
      </c>
      <c r="AQ30" s="123">
        <f t="shared" si="10"/>
        <v>1550</v>
      </c>
      <c r="AR30" s="123">
        <f t="shared" si="10"/>
        <v>910</v>
      </c>
      <c r="AS30" s="123">
        <f t="shared" si="10"/>
        <v>1230</v>
      </c>
      <c r="AT30" s="123">
        <f t="shared" si="10"/>
        <v>1260</v>
      </c>
      <c r="AU30" s="123">
        <f t="shared" si="10"/>
        <v>1260</v>
      </c>
      <c r="AV30" s="123">
        <f t="shared" si="10"/>
        <v>1260</v>
      </c>
      <c r="AW30" s="123">
        <f t="shared" si="10"/>
        <v>1260</v>
      </c>
      <c r="AX30" s="123">
        <f t="shared" si="10"/>
        <v>1260</v>
      </c>
      <c r="AY30" s="123">
        <f t="shared" si="10"/>
        <v>1260</v>
      </c>
      <c r="AZ30" s="147">
        <f t="shared" si="5"/>
        <v>60600</v>
      </c>
    </row>
    <row r="32" spans="1:52" x14ac:dyDescent="0.2">
      <c r="A32" s="108" t="s">
        <v>299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D$21*shipping_manufacturing!$H$27/100</f>
        <v>0</v>
      </c>
      <c r="E33" s="130">
        <f>E$21*shipping_manufacturing!$H$27/100</f>
        <v>0</v>
      </c>
      <c r="F33" s="130">
        <f>F$21*shipping_manufacturing!$H$27/100</f>
        <v>0</v>
      </c>
      <c r="G33" s="130">
        <f>G$21*shipping_manufacturing!$H$27/100</f>
        <v>0</v>
      </c>
      <c r="H33" s="130">
        <f>H$21*shipping_manufacturing!$H$27/100</f>
        <v>0</v>
      </c>
      <c r="I33" s="130">
        <f>I$21*shipping_manufacturing!$H$27/100</f>
        <v>0</v>
      </c>
      <c r="J33" s="130">
        <f>J$21*shipping_manufacturing!$H$27/100</f>
        <v>0</v>
      </c>
      <c r="K33" s="130">
        <f>K$21*shipping_manufacturing!$H$27/100</f>
        <v>0</v>
      </c>
      <c r="L33" s="130">
        <f>L$21*shipping_manufacturing!$H$27/100</f>
        <v>0</v>
      </c>
      <c r="M33" s="130">
        <f>M$21*shipping_manufacturing!$H$27/100</f>
        <v>0</v>
      </c>
      <c r="N33" s="130">
        <f>N$21*shipping_manufacturing!$H$27/100</f>
        <v>0</v>
      </c>
      <c r="O33" s="130">
        <f>O$21*shipping_manufacturing!$H$27/100</f>
        <v>0</v>
      </c>
      <c r="P33" s="130">
        <f>P$21*shipping_manufacturing!$H$27/100</f>
        <v>0</v>
      </c>
      <c r="Q33" s="130">
        <f>Q$21*shipping_manufacturing!$H$27/100</f>
        <v>0</v>
      </c>
      <c r="R33" s="130">
        <f>R$21*shipping_manufacturing!$H$27/100</f>
        <v>0</v>
      </c>
      <c r="S33" s="130">
        <f>S$21*shipping_manufacturing!$H$27/100</f>
        <v>0</v>
      </c>
      <c r="T33" s="130">
        <f>T$21*shipping_manufacturing!$H$27/100</f>
        <v>0</v>
      </c>
      <c r="U33" s="130">
        <f>U$21*shipping_manufacturing!$H$27/100</f>
        <v>0</v>
      </c>
      <c r="V33" s="130">
        <f>V$21*shipping_manufacturing!$H$27/100</f>
        <v>0</v>
      </c>
      <c r="W33" s="130">
        <f>W$21*shipping_manufacturing!$H$27/100</f>
        <v>0</v>
      </c>
      <c r="X33" s="130">
        <f>X$21*shipping_manufacturing!$H$27/100</f>
        <v>0</v>
      </c>
      <c r="Y33" s="130">
        <f>Y$21*shipping_manufacturing!$H$27/100</f>
        <v>0</v>
      </c>
      <c r="Z33" s="130">
        <f>Z$21*shipping_manufacturing!$H$27/100</f>
        <v>0</v>
      </c>
      <c r="AA33" s="130">
        <f>AA$21*shipping_manufacturing!$H$27/100</f>
        <v>0</v>
      </c>
      <c r="AB33" s="130">
        <f>AB$21*shipping_manufacturing!$H$27/100</f>
        <v>0</v>
      </c>
      <c r="AC33" s="130">
        <f>AC$21*shipping_manufacturing!$H$27/100</f>
        <v>0</v>
      </c>
      <c r="AD33" s="130">
        <f>AD$21*shipping_manufacturing!$H$27/100</f>
        <v>0</v>
      </c>
      <c r="AE33" s="130">
        <f>AE$21*shipping_manufacturing!$H$27/100</f>
        <v>0</v>
      </c>
      <c r="AF33" s="130">
        <f>AF$21*shipping_manufacturing!$H$27/100</f>
        <v>0</v>
      </c>
      <c r="AG33" s="130">
        <f>AG$21*shipping_manufacturing!$H$27/100</f>
        <v>0</v>
      </c>
      <c r="AH33" s="130">
        <f>AH$21*shipping_manufacturing!$H$27/100</f>
        <v>0</v>
      </c>
      <c r="AI33" s="130">
        <f>AI$21*shipping_manufacturing!$H$27/100</f>
        <v>0</v>
      </c>
      <c r="AJ33" s="130">
        <f>AJ$21*shipping_manufacturing!$H$27/100</f>
        <v>0</v>
      </c>
      <c r="AK33" s="130">
        <f>AK$21*shipping_manufacturing!$H$27/100</f>
        <v>0</v>
      </c>
      <c r="AL33" s="130">
        <f>AL$21*shipping_manufacturing!$H$27/100</f>
        <v>0</v>
      </c>
      <c r="AM33" s="130">
        <f>AM$21*shipping_manufacturing!$H$27/100</f>
        <v>0</v>
      </c>
      <c r="AN33" s="130">
        <f>AN$21*shipping_manufacturing!$H$27/100</f>
        <v>0</v>
      </c>
      <c r="AO33" s="130">
        <f>AO$21*shipping_manufacturing!$H$27/100</f>
        <v>0</v>
      </c>
      <c r="AP33" s="130">
        <f>AP$21*shipping_manufacturing!$H$27/100</f>
        <v>0</v>
      </c>
      <c r="AQ33" s="130">
        <f>AQ$21*shipping_manufacturing!$H$27/100</f>
        <v>0</v>
      </c>
      <c r="AR33" s="130">
        <f>AR$21*shipping_manufacturing!$H$27/100</f>
        <v>0</v>
      </c>
      <c r="AS33" s="130">
        <f>AS$21*shipping_manufacturing!$H$27/100</f>
        <v>0</v>
      </c>
      <c r="AT33" s="130">
        <f>AT$21*shipping_manufacturing!$H$27/100</f>
        <v>0</v>
      </c>
      <c r="AU33" s="130">
        <f>AU$21*shipping_manufacturing!$H$27/100</f>
        <v>0</v>
      </c>
      <c r="AV33" s="130">
        <f>AV$21*shipping_manufacturing!$H$27/100</f>
        <v>0</v>
      </c>
      <c r="AW33" s="130">
        <f>AW$21*shipping_manufacturing!$H$27/100</f>
        <v>0</v>
      </c>
      <c r="AX33" s="130">
        <f>AX$21*shipping_manufacturing!$H$27/100</f>
        <v>0</v>
      </c>
      <c r="AY33" s="130">
        <f>AY$21*shipping_manufacturing!$H$27/100</f>
        <v>0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343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344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345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348</v>
      </c>
      <c r="C41" s="116"/>
      <c r="D41" s="116">
        <v>2</v>
      </c>
      <c r="E41" s="116">
        <v>3</v>
      </c>
      <c r="F41" s="116">
        <v>1</v>
      </c>
      <c r="G41" s="116">
        <v>1</v>
      </c>
      <c r="H41" s="116">
        <v>1</v>
      </c>
      <c r="I41" s="116">
        <v>2</v>
      </c>
      <c r="J41" s="116">
        <v>1</v>
      </c>
      <c r="K41" s="116">
        <v>1</v>
      </c>
      <c r="L41" s="116">
        <v>1</v>
      </c>
      <c r="M41" s="116">
        <v>2</v>
      </c>
      <c r="N41" s="116">
        <v>2</v>
      </c>
      <c r="O41" s="116">
        <v>1</v>
      </c>
      <c r="P41" s="116">
        <v>1</v>
      </c>
      <c r="Q41" s="116">
        <v>1</v>
      </c>
      <c r="R41" s="116">
        <v>2</v>
      </c>
      <c r="S41" s="116">
        <v>1</v>
      </c>
      <c r="T41" s="116">
        <v>1</v>
      </c>
      <c r="U41" s="116">
        <v>1</v>
      </c>
      <c r="V41" s="116">
        <v>1</v>
      </c>
      <c r="W41" s="116">
        <v>1</v>
      </c>
      <c r="X41" s="116">
        <v>2</v>
      </c>
      <c r="Y41" s="116">
        <v>1</v>
      </c>
      <c r="Z41" s="116">
        <v>2</v>
      </c>
      <c r="AA41" s="116">
        <v>2</v>
      </c>
      <c r="AB41" s="116">
        <v>3</v>
      </c>
      <c r="AC41" s="116">
        <v>1</v>
      </c>
      <c r="AD41" s="116">
        <v>2</v>
      </c>
      <c r="AE41" s="116">
        <v>2</v>
      </c>
      <c r="AF41" s="116">
        <v>2</v>
      </c>
      <c r="AG41" s="116">
        <v>2</v>
      </c>
      <c r="AH41" s="116">
        <v>2</v>
      </c>
      <c r="AI41" s="116">
        <v>1</v>
      </c>
      <c r="AJ41" s="116">
        <v>1</v>
      </c>
      <c r="AK41" s="116">
        <v>1</v>
      </c>
      <c r="AL41" s="116">
        <v>1</v>
      </c>
      <c r="AM41" s="116">
        <v>2</v>
      </c>
      <c r="AN41" s="116">
        <v>1</v>
      </c>
      <c r="AO41" s="116">
        <v>1</v>
      </c>
      <c r="AP41" s="116">
        <v>1</v>
      </c>
      <c r="AQ41" s="116">
        <v>1</v>
      </c>
      <c r="AR41" s="116">
        <v>1</v>
      </c>
      <c r="AS41" s="116">
        <v>3</v>
      </c>
      <c r="AT41" s="116">
        <v>2</v>
      </c>
      <c r="AU41" s="116">
        <v>3</v>
      </c>
      <c r="AV41" s="116">
        <v>1</v>
      </c>
      <c r="AW41" s="116">
        <v>2</v>
      </c>
      <c r="AX41" s="116">
        <v>1</v>
      </c>
      <c r="AY41" s="116">
        <v>2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D$21*shipping_manufacturing!$H$28/100</f>
        <v>0</v>
      </c>
      <c r="E44" s="130">
        <f>E$21*shipping_manufacturing!$H$28/100</f>
        <v>959.51513952644382</v>
      </c>
      <c r="F44" s="130">
        <f>F$21*shipping_manufacturing!$H$28/100</f>
        <v>959.51513952644382</v>
      </c>
      <c r="G44" s="130">
        <f>G$21*shipping_manufacturing!$H$28/100</f>
        <v>959.51513952644382</v>
      </c>
      <c r="H44" s="130">
        <f>H$21*shipping_manufacturing!$H$28/100</f>
        <v>959.51513952644382</v>
      </c>
      <c r="I44" s="130">
        <f>I$21*shipping_manufacturing!$H$28/100</f>
        <v>852.90234624572781</v>
      </c>
      <c r="J44" s="130">
        <f>J$21*shipping_manufacturing!$H$28/100</f>
        <v>852.90234624572781</v>
      </c>
      <c r="K44" s="130">
        <f>K$21*shipping_manufacturing!$H$28/100</f>
        <v>0</v>
      </c>
      <c r="L44" s="130">
        <f>L$21*shipping_manufacturing!$H$28/100</f>
        <v>1705.8046924914556</v>
      </c>
      <c r="M44" s="130">
        <f>M$21*shipping_manufacturing!$H$28/100</f>
        <v>852.90234624572781</v>
      </c>
      <c r="N44" s="130">
        <f>N$21*shipping_manufacturing!$H$28/100</f>
        <v>852.90234624572781</v>
      </c>
      <c r="O44" s="130">
        <f>O$21*shipping_manufacturing!$H$28/100</f>
        <v>852.90234624572781</v>
      </c>
      <c r="P44" s="130">
        <f>P$21*shipping_manufacturing!$H$28/100</f>
        <v>852.90234624572781</v>
      </c>
      <c r="Q44" s="130">
        <f>Q$21*shipping_manufacturing!$H$28/100</f>
        <v>959.51513952644382</v>
      </c>
      <c r="R44" s="130">
        <f>R$21*shipping_manufacturing!$H$28/100</f>
        <v>959.51513952644382</v>
      </c>
      <c r="S44" s="130">
        <f>S$21*shipping_manufacturing!$H$28/100</f>
        <v>959.51513952644382</v>
      </c>
      <c r="T44" s="130">
        <f>T$21*shipping_manufacturing!$H$28/100</f>
        <v>959.51513952644382</v>
      </c>
      <c r="U44" s="130">
        <f>U$21*shipping_manufacturing!$H$28/100</f>
        <v>852.90234624572781</v>
      </c>
      <c r="V44" s="130">
        <f>V$21*shipping_manufacturing!$H$28/100</f>
        <v>852.90234624572781</v>
      </c>
      <c r="W44" s="130">
        <f>W$21*shipping_manufacturing!$H$28/100</f>
        <v>852.90234624572781</v>
      </c>
      <c r="X44" s="130">
        <f>X$21*shipping_manufacturing!$H$28/100</f>
        <v>852.90234624572781</v>
      </c>
      <c r="Y44" s="130">
        <f>Y$21*shipping_manufacturing!$H$28/100</f>
        <v>852.90234624572781</v>
      </c>
      <c r="Z44" s="130">
        <f>Z$21*shipping_manufacturing!$H$28/100</f>
        <v>852.90234624572781</v>
      </c>
      <c r="AA44" s="130">
        <f>AA$21*shipping_manufacturing!$H$28/100</f>
        <v>0</v>
      </c>
      <c r="AB44" s="130">
        <f>AB$21*shipping_manufacturing!$H$28/100</f>
        <v>1705.8046924914556</v>
      </c>
      <c r="AC44" s="130">
        <f>AC$21*shipping_manufacturing!$H$28/100</f>
        <v>959.51513952644382</v>
      </c>
      <c r="AD44" s="130">
        <f>AD$21*shipping_manufacturing!$H$28/100</f>
        <v>959.51513952644382</v>
      </c>
      <c r="AE44" s="130">
        <f>AE$21*shipping_manufacturing!$H$28/100</f>
        <v>959.51513952644382</v>
      </c>
      <c r="AF44" s="130">
        <f>AF$21*shipping_manufacturing!$H$28/100</f>
        <v>959.51513952644382</v>
      </c>
      <c r="AG44" s="130">
        <f>AG$21*shipping_manufacturing!$H$28/100</f>
        <v>852.90234624572781</v>
      </c>
      <c r="AH44" s="130">
        <f>AH$21*shipping_manufacturing!$H$28/100</f>
        <v>852.90234624572781</v>
      </c>
      <c r="AI44" s="130">
        <f>AI$21*shipping_manufacturing!$H$28/100</f>
        <v>852.90234624572781</v>
      </c>
      <c r="AJ44" s="130">
        <f>AJ$21*shipping_manufacturing!$H$28/100</f>
        <v>852.90234624572781</v>
      </c>
      <c r="AK44" s="130">
        <f>AK$21*shipping_manufacturing!$H$28/100</f>
        <v>852.90234624572781</v>
      </c>
      <c r="AL44" s="130">
        <f>AL$21*shipping_manufacturing!$H$28/100</f>
        <v>852.90234624572781</v>
      </c>
      <c r="AM44" s="130">
        <f>AM$21*shipping_manufacturing!$H$28/100</f>
        <v>852.90234624572781</v>
      </c>
      <c r="AN44" s="130">
        <f>AN$21*shipping_manufacturing!$H$28/100</f>
        <v>852.90234624572781</v>
      </c>
      <c r="AO44" s="130">
        <f>AO$21*shipping_manufacturing!$H$28/100</f>
        <v>959.51513952644382</v>
      </c>
      <c r="AP44" s="130">
        <f>AP$21*shipping_manufacturing!$H$28/100</f>
        <v>0</v>
      </c>
      <c r="AQ44" s="130">
        <f>AQ$21*shipping_manufacturing!$H$28/100</f>
        <v>1919.0302790528876</v>
      </c>
      <c r="AR44" s="130">
        <f>AR$21*shipping_manufacturing!$H$28/100</f>
        <v>959.51513952644382</v>
      </c>
      <c r="AS44" s="130">
        <f>AS$21*shipping_manufacturing!$H$28/100</f>
        <v>852.90234624572781</v>
      </c>
      <c r="AT44" s="130">
        <f>AT$21*shipping_manufacturing!$H$28/100</f>
        <v>852.90234624572781</v>
      </c>
      <c r="AU44" s="130">
        <f>AU$21*shipping_manufacturing!$H$28/100</f>
        <v>852.90234624572781</v>
      </c>
      <c r="AV44" s="130">
        <f>AV$21*shipping_manufacturing!$H$28/100</f>
        <v>852.90234624572781</v>
      </c>
      <c r="AW44" s="130">
        <f>AW$21*shipping_manufacturing!$H$28/100</f>
        <v>852.90234624572781</v>
      </c>
      <c r="AX44" s="130">
        <f>AX$21*shipping_manufacturing!$H$28/100</f>
        <v>852.90234624572781</v>
      </c>
      <c r="AY44" s="130">
        <f>AY$21*shipping_manufacturing!$H$28/100</f>
        <v>852.90234624572781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342</v>
      </c>
      <c r="C46" s="116"/>
      <c r="D46" s="116">
        <f>SUM(D44:D45)</f>
        <v>0</v>
      </c>
      <c r="E46" s="116">
        <f t="shared" ref="E46:AY46" si="14">SUM(E44:E45)</f>
        <v>959.51513952644382</v>
      </c>
      <c r="F46" s="116">
        <f t="shared" si="14"/>
        <v>959.51513952644382</v>
      </c>
      <c r="G46" s="116">
        <f t="shared" si="14"/>
        <v>959.51513952644382</v>
      </c>
      <c r="H46" s="116">
        <f t="shared" si="14"/>
        <v>959.51513952644382</v>
      </c>
      <c r="I46" s="116">
        <f t="shared" si="14"/>
        <v>852.90234624572781</v>
      </c>
      <c r="J46" s="116">
        <f t="shared" si="14"/>
        <v>852.90234624572781</v>
      </c>
      <c r="K46" s="116">
        <f t="shared" si="14"/>
        <v>0</v>
      </c>
      <c r="L46" s="116">
        <f t="shared" si="14"/>
        <v>1705.8046924914556</v>
      </c>
      <c r="M46" s="116">
        <f t="shared" si="14"/>
        <v>852.90234624572781</v>
      </c>
      <c r="N46" s="116">
        <f t="shared" si="14"/>
        <v>852.90234624572781</v>
      </c>
      <c r="O46" s="116">
        <f t="shared" si="14"/>
        <v>852.90234624572781</v>
      </c>
      <c r="P46" s="116">
        <f t="shared" si="14"/>
        <v>852.90234624572781</v>
      </c>
      <c r="Q46" s="116">
        <f t="shared" si="14"/>
        <v>959.51513952644382</v>
      </c>
      <c r="R46" s="116">
        <f t="shared" si="14"/>
        <v>959.51513952644382</v>
      </c>
      <c r="S46" s="116">
        <f t="shared" si="14"/>
        <v>959.51513952644382</v>
      </c>
      <c r="T46" s="116">
        <f t="shared" si="14"/>
        <v>959.51513952644382</v>
      </c>
      <c r="U46" s="116">
        <f t="shared" si="14"/>
        <v>852.90234624572781</v>
      </c>
      <c r="V46" s="116">
        <f t="shared" si="14"/>
        <v>852.90234624572781</v>
      </c>
      <c r="W46" s="116">
        <f t="shared" si="14"/>
        <v>852.90234624572781</v>
      </c>
      <c r="X46" s="116">
        <f t="shared" si="14"/>
        <v>852.90234624572781</v>
      </c>
      <c r="Y46" s="116">
        <f t="shared" si="14"/>
        <v>852.90234624572781</v>
      </c>
      <c r="Z46" s="116">
        <f t="shared" si="14"/>
        <v>852.90234624572781</v>
      </c>
      <c r="AA46" s="116">
        <f t="shared" si="14"/>
        <v>0</v>
      </c>
      <c r="AB46" s="116">
        <f t="shared" si="14"/>
        <v>1705.8046924914556</v>
      </c>
      <c r="AC46" s="116">
        <f t="shared" si="14"/>
        <v>959.51513952644382</v>
      </c>
      <c r="AD46" s="116">
        <f t="shared" si="14"/>
        <v>959.51513952644382</v>
      </c>
      <c r="AE46" s="116">
        <f t="shared" si="14"/>
        <v>959.51513952644382</v>
      </c>
      <c r="AF46" s="116">
        <f t="shared" si="14"/>
        <v>959.51513952644382</v>
      </c>
      <c r="AG46" s="116">
        <f t="shared" si="14"/>
        <v>852.90234624572781</v>
      </c>
      <c r="AH46" s="116">
        <f t="shared" si="14"/>
        <v>852.90234624572781</v>
      </c>
      <c r="AI46" s="116">
        <f t="shared" si="14"/>
        <v>852.90234624572781</v>
      </c>
      <c r="AJ46" s="116">
        <f t="shared" si="14"/>
        <v>852.90234624572781</v>
      </c>
      <c r="AK46" s="116">
        <f t="shared" si="14"/>
        <v>852.90234624572781</v>
      </c>
      <c r="AL46" s="116">
        <f t="shared" si="14"/>
        <v>852.90234624572781</v>
      </c>
      <c r="AM46" s="116">
        <f t="shared" si="14"/>
        <v>852.90234624572781</v>
      </c>
      <c r="AN46" s="116">
        <f t="shared" si="14"/>
        <v>852.90234624572781</v>
      </c>
      <c r="AO46" s="116">
        <f t="shared" si="14"/>
        <v>959.51513952644382</v>
      </c>
      <c r="AP46" s="116">
        <f t="shared" si="14"/>
        <v>0</v>
      </c>
      <c r="AQ46" s="116">
        <f t="shared" si="14"/>
        <v>1919.0302790528876</v>
      </c>
      <c r="AR46" s="116">
        <f t="shared" si="14"/>
        <v>959.51513952644382</v>
      </c>
      <c r="AS46" s="116">
        <f t="shared" si="14"/>
        <v>852.90234624572781</v>
      </c>
      <c r="AT46" s="116">
        <f t="shared" si="14"/>
        <v>852.90234624572781</v>
      </c>
      <c r="AU46" s="116">
        <f t="shared" si="14"/>
        <v>852.90234624572781</v>
      </c>
      <c r="AV46" s="116">
        <f t="shared" si="14"/>
        <v>852.90234624572781</v>
      </c>
      <c r="AW46" s="116">
        <f t="shared" si="14"/>
        <v>852.90234624572781</v>
      </c>
      <c r="AX46" s="116">
        <f t="shared" si="14"/>
        <v>852.90234624572781</v>
      </c>
      <c r="AY46" s="116">
        <f t="shared" si="14"/>
        <v>852.90234624572781</v>
      </c>
    </row>
    <row r="47" spans="1:52" x14ac:dyDescent="0.2">
      <c r="A47" s="116"/>
      <c r="B47" s="171" t="s">
        <v>343</v>
      </c>
      <c r="C47" s="116"/>
      <c r="D47" s="116"/>
      <c r="E47" s="116">
        <v>959.51513952644382</v>
      </c>
      <c r="F47" s="116">
        <v>959.51513952644382</v>
      </c>
      <c r="G47" s="116">
        <v>959.51513952644382</v>
      </c>
      <c r="H47" s="116">
        <v>959.51513952644382</v>
      </c>
      <c r="I47" s="116">
        <v>852.90234624572781</v>
      </c>
      <c r="J47" s="116">
        <v>852.90234624572781</v>
      </c>
      <c r="K47" s="116"/>
      <c r="L47" s="116">
        <v>1705.8046924914556</v>
      </c>
      <c r="M47" s="116">
        <v>852.90234624572781</v>
      </c>
      <c r="N47" s="116">
        <v>852.90234624572781</v>
      </c>
      <c r="O47" s="116">
        <v>852.90234624572781</v>
      </c>
      <c r="P47" s="116">
        <v>852.90234624572781</v>
      </c>
      <c r="Q47" s="116">
        <v>959.51513952644382</v>
      </c>
      <c r="R47" s="116">
        <v>959.51513952644382</v>
      </c>
      <c r="S47" s="116">
        <v>959.51513952644382</v>
      </c>
      <c r="T47" s="116">
        <v>959.51513952644382</v>
      </c>
      <c r="U47" s="116">
        <v>852.90234624572781</v>
      </c>
      <c r="V47" s="116">
        <v>852.90234624572781</v>
      </c>
      <c r="W47" s="116">
        <v>852.90234624572781</v>
      </c>
      <c r="X47" s="116">
        <v>852.90234624572781</v>
      </c>
      <c r="Y47" s="116">
        <v>852.90234624572781</v>
      </c>
      <c r="Z47" s="116">
        <v>852.90234624572781</v>
      </c>
      <c r="AA47" s="116"/>
      <c r="AB47" s="116">
        <v>1705.8046924914556</v>
      </c>
      <c r="AC47" s="116">
        <v>959.51513952644382</v>
      </c>
      <c r="AD47" s="116">
        <v>959.51513952644382</v>
      </c>
      <c r="AE47" s="116">
        <v>959.51513952644382</v>
      </c>
      <c r="AF47" s="116">
        <v>959.51513952644382</v>
      </c>
      <c r="AG47" s="116">
        <v>852.90234624572781</v>
      </c>
      <c r="AH47" s="116">
        <v>852.90234624572781</v>
      </c>
      <c r="AI47" s="116">
        <v>852.90234624572781</v>
      </c>
      <c r="AJ47" s="116">
        <v>852.90234624572781</v>
      </c>
      <c r="AK47" s="116">
        <v>852.90234624572781</v>
      </c>
      <c r="AL47" s="116">
        <v>852.90234624572781</v>
      </c>
      <c r="AM47" s="116">
        <v>852.90234624572781</v>
      </c>
      <c r="AN47" s="116">
        <v>852.90234624572781</v>
      </c>
      <c r="AO47" s="116">
        <v>959.51513952644382</v>
      </c>
      <c r="AP47" s="116"/>
      <c r="AQ47" s="116">
        <v>1919.0302790528876</v>
      </c>
      <c r="AR47" s="116">
        <v>959.51513952644382</v>
      </c>
      <c r="AS47" s="116">
        <v>852.90234624572781</v>
      </c>
      <c r="AT47" s="116">
        <v>852.90234624572781</v>
      </c>
      <c r="AU47" s="116">
        <v>852.90234624572781</v>
      </c>
      <c r="AV47" s="116">
        <v>852.90234624572781</v>
      </c>
      <c r="AW47" s="116">
        <v>852.90234624572781</v>
      </c>
      <c r="AX47" s="116">
        <v>852.90234624572781</v>
      </c>
      <c r="AY47" s="116">
        <v>852.90234624572781</v>
      </c>
    </row>
    <row r="48" spans="1:52" x14ac:dyDescent="0.2">
      <c r="A48" s="116"/>
      <c r="B48" s="171" t="s">
        <v>344</v>
      </c>
      <c r="C48" s="116"/>
      <c r="D48" s="116"/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/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/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/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2" x14ac:dyDescent="0.2">
      <c r="A49" s="116"/>
      <c r="B49" s="171" t="s">
        <v>345</v>
      </c>
      <c r="C49" s="116"/>
      <c r="D49" s="116"/>
      <c r="E49" s="116">
        <v>32</v>
      </c>
      <c r="F49" s="116">
        <v>32</v>
      </c>
      <c r="G49" s="116">
        <v>32</v>
      </c>
      <c r="H49" s="116">
        <v>32</v>
      </c>
      <c r="I49" s="116">
        <v>29</v>
      </c>
      <c r="J49" s="116">
        <v>29</v>
      </c>
      <c r="K49" s="116"/>
      <c r="L49" s="116">
        <v>57</v>
      </c>
      <c r="M49" s="116">
        <v>29</v>
      </c>
      <c r="N49" s="116">
        <v>29</v>
      </c>
      <c r="O49" s="116">
        <v>29</v>
      </c>
      <c r="P49" s="116">
        <v>29</v>
      </c>
      <c r="Q49" s="116">
        <v>32</v>
      </c>
      <c r="R49" s="116">
        <v>32</v>
      </c>
      <c r="S49" s="116">
        <v>32</v>
      </c>
      <c r="T49" s="116">
        <v>32</v>
      </c>
      <c r="U49" s="116">
        <v>29</v>
      </c>
      <c r="V49" s="116">
        <v>29</v>
      </c>
      <c r="W49" s="116">
        <v>29</v>
      </c>
      <c r="X49" s="116">
        <v>29</v>
      </c>
      <c r="Y49" s="116">
        <v>29</v>
      </c>
      <c r="Z49" s="116">
        <v>29</v>
      </c>
      <c r="AA49" s="116"/>
      <c r="AB49" s="116">
        <v>57</v>
      </c>
      <c r="AC49" s="116">
        <v>32</v>
      </c>
      <c r="AD49" s="116">
        <v>32</v>
      </c>
      <c r="AE49" s="116">
        <v>32</v>
      </c>
      <c r="AF49" s="116">
        <v>32</v>
      </c>
      <c r="AG49" s="116">
        <v>29</v>
      </c>
      <c r="AH49" s="116">
        <v>29</v>
      </c>
      <c r="AI49" s="116">
        <v>29</v>
      </c>
      <c r="AJ49" s="116">
        <v>29</v>
      </c>
      <c r="AK49" s="116">
        <v>29</v>
      </c>
      <c r="AL49" s="116">
        <v>29</v>
      </c>
      <c r="AM49" s="116">
        <v>29</v>
      </c>
      <c r="AN49" s="116">
        <v>29</v>
      </c>
      <c r="AO49" s="116">
        <v>32</v>
      </c>
      <c r="AP49" s="116"/>
      <c r="AQ49" s="116">
        <v>64</v>
      </c>
      <c r="AR49" s="116">
        <v>32</v>
      </c>
      <c r="AS49" s="116">
        <v>29</v>
      </c>
      <c r="AT49" s="116">
        <v>29</v>
      </c>
      <c r="AU49" s="116">
        <v>29</v>
      </c>
      <c r="AV49" s="116">
        <v>29</v>
      </c>
      <c r="AW49" s="116">
        <v>29</v>
      </c>
      <c r="AX49" s="116">
        <v>29</v>
      </c>
      <c r="AY49" s="116">
        <v>29</v>
      </c>
    </row>
    <row r="50" spans="1:52" x14ac:dyDescent="0.2">
      <c r="A50" s="116"/>
      <c r="B50" s="171" t="s">
        <v>346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348</v>
      </c>
      <c r="C52" s="116"/>
      <c r="D52" s="116">
        <v>1</v>
      </c>
      <c r="E52" s="116">
        <v>1</v>
      </c>
      <c r="F52" s="116">
        <v>1</v>
      </c>
      <c r="G52" s="116">
        <v>1</v>
      </c>
      <c r="H52" s="116">
        <v>1</v>
      </c>
      <c r="I52" s="116">
        <v>1</v>
      </c>
      <c r="J52" s="116">
        <v>1</v>
      </c>
      <c r="K52" s="116">
        <v>2</v>
      </c>
      <c r="L52" s="116">
        <v>3</v>
      </c>
      <c r="M52" s="116">
        <v>1</v>
      </c>
      <c r="N52" s="116">
        <v>2</v>
      </c>
      <c r="O52" s="116">
        <v>1</v>
      </c>
      <c r="P52" s="116">
        <v>1</v>
      </c>
      <c r="Q52" s="116">
        <v>1</v>
      </c>
      <c r="R52" s="116">
        <v>1</v>
      </c>
      <c r="S52" s="116">
        <v>1</v>
      </c>
      <c r="T52" s="116">
        <v>1</v>
      </c>
      <c r="U52" s="116">
        <v>1</v>
      </c>
      <c r="V52" s="116">
        <v>1</v>
      </c>
      <c r="W52" s="116">
        <v>1</v>
      </c>
      <c r="X52" s="116">
        <v>2</v>
      </c>
      <c r="Y52" s="116">
        <v>1</v>
      </c>
      <c r="Z52" s="116">
        <v>3</v>
      </c>
      <c r="AA52" s="116">
        <v>1</v>
      </c>
      <c r="AB52" s="116">
        <v>1</v>
      </c>
      <c r="AC52" s="116">
        <v>1</v>
      </c>
      <c r="AD52" s="116">
        <v>1</v>
      </c>
      <c r="AE52" s="116">
        <v>2</v>
      </c>
      <c r="AF52" s="116">
        <v>2</v>
      </c>
      <c r="AG52" s="116">
        <v>2</v>
      </c>
      <c r="AH52" s="116">
        <v>2</v>
      </c>
      <c r="AI52" s="116">
        <v>1</v>
      </c>
      <c r="AJ52" s="116">
        <v>3</v>
      </c>
      <c r="AK52" s="116">
        <v>1</v>
      </c>
      <c r="AL52" s="116">
        <v>1</v>
      </c>
      <c r="AM52" s="116">
        <v>1</v>
      </c>
      <c r="AN52" s="116">
        <v>2</v>
      </c>
      <c r="AO52" s="116">
        <v>3</v>
      </c>
      <c r="AP52" s="116">
        <v>1</v>
      </c>
      <c r="AQ52" s="116">
        <v>2</v>
      </c>
      <c r="AR52" s="116">
        <v>1</v>
      </c>
      <c r="AS52" s="116">
        <v>1</v>
      </c>
      <c r="AT52" s="116">
        <v>1</v>
      </c>
      <c r="AU52" s="116">
        <v>1</v>
      </c>
      <c r="AV52" s="116">
        <v>1</v>
      </c>
      <c r="AW52" s="116">
        <v>2</v>
      </c>
      <c r="AX52" s="116">
        <v>1</v>
      </c>
      <c r="AY52" s="116">
        <v>2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570240</v>
      </c>
      <c r="F53" s="116">
        <v>570240</v>
      </c>
      <c r="G53" s="116">
        <v>570240</v>
      </c>
      <c r="H53" s="116">
        <v>570240</v>
      </c>
      <c r="I53" s="116">
        <v>516780</v>
      </c>
      <c r="J53" s="116">
        <v>516780</v>
      </c>
      <c r="K53" s="116">
        <v>0</v>
      </c>
      <c r="L53" s="116">
        <v>1015740</v>
      </c>
      <c r="M53" s="116">
        <v>516780</v>
      </c>
      <c r="N53" s="116">
        <v>516780</v>
      </c>
      <c r="O53" s="116">
        <v>516780</v>
      </c>
      <c r="P53" s="116">
        <v>516780</v>
      </c>
      <c r="Q53" s="116">
        <v>570240</v>
      </c>
      <c r="R53" s="116">
        <v>570240</v>
      </c>
      <c r="S53" s="116">
        <v>570240</v>
      </c>
      <c r="T53" s="116">
        <v>570240</v>
      </c>
      <c r="U53" s="116">
        <v>516780</v>
      </c>
      <c r="V53" s="116">
        <v>516780</v>
      </c>
      <c r="W53" s="116">
        <v>516780</v>
      </c>
      <c r="X53" s="116">
        <v>516780</v>
      </c>
      <c r="Y53" s="116">
        <v>516780</v>
      </c>
      <c r="Z53" s="116">
        <v>516780</v>
      </c>
      <c r="AA53" s="116">
        <v>0</v>
      </c>
      <c r="AB53" s="116">
        <v>1015740</v>
      </c>
      <c r="AC53" s="116">
        <v>570240</v>
      </c>
      <c r="AD53" s="116">
        <v>570240</v>
      </c>
      <c r="AE53" s="116">
        <v>570240</v>
      </c>
      <c r="AF53" s="116">
        <v>570240</v>
      </c>
      <c r="AG53" s="116">
        <v>516780</v>
      </c>
      <c r="AH53" s="116">
        <v>516780</v>
      </c>
      <c r="AI53" s="116">
        <v>516780</v>
      </c>
      <c r="AJ53" s="116">
        <v>516780</v>
      </c>
      <c r="AK53" s="116">
        <v>516780</v>
      </c>
      <c r="AL53" s="116">
        <v>516780</v>
      </c>
      <c r="AM53" s="116">
        <v>516780</v>
      </c>
      <c r="AN53" s="116">
        <v>516780</v>
      </c>
      <c r="AO53" s="116">
        <v>570240</v>
      </c>
      <c r="AP53" s="116">
        <v>0</v>
      </c>
      <c r="AQ53" s="116">
        <v>1140480</v>
      </c>
      <c r="AR53" s="116">
        <v>570240</v>
      </c>
      <c r="AS53" s="116">
        <v>516780</v>
      </c>
      <c r="AT53" s="116">
        <v>516780</v>
      </c>
      <c r="AU53" s="116">
        <v>516780</v>
      </c>
      <c r="AV53" s="116">
        <v>516780</v>
      </c>
      <c r="AW53" s="116">
        <v>516780</v>
      </c>
      <c r="AX53" s="116">
        <v>516780</v>
      </c>
      <c r="AY53" s="116">
        <v>516780</v>
      </c>
      <c r="AZ53" s="106">
        <f>SUM($D$53:$AY$53)</f>
        <v>25108380</v>
      </c>
    </row>
    <row r="54" spans="1:52" x14ac:dyDescent="0.2">
      <c r="A54" s="131"/>
      <c r="B54" s="146" t="s">
        <v>350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283</v>
      </c>
    </row>
    <row r="2" spans="1:53" x14ac:dyDescent="0.2">
      <c r="A2" s="106" t="s">
        <v>284</v>
      </c>
      <c r="B2" s="113" t="s">
        <v>22</v>
      </c>
    </row>
    <row r="3" spans="1:53" x14ac:dyDescent="0.2">
      <c r="A3" s="106" t="s">
        <v>285</v>
      </c>
      <c r="B3" s="114">
        <v>50000</v>
      </c>
      <c r="C3" s="115"/>
    </row>
    <row r="4" spans="1:53" x14ac:dyDescent="0.2">
      <c r="B4" s="116"/>
      <c r="C4" s="116"/>
    </row>
    <row r="5" spans="1:53" x14ac:dyDescent="0.2">
      <c r="C5" s="117" t="s">
        <v>286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287</v>
      </c>
      <c r="D7" s="118" t="s">
        <v>288</v>
      </c>
      <c r="E7" s="118" t="s">
        <v>288</v>
      </c>
      <c r="F7" s="118" t="s">
        <v>288</v>
      </c>
      <c r="G7" s="118" t="s">
        <v>288</v>
      </c>
      <c r="H7" s="118" t="s">
        <v>288</v>
      </c>
      <c r="I7" s="118" t="s">
        <v>288</v>
      </c>
      <c r="J7" s="118" t="s">
        <v>288</v>
      </c>
      <c r="K7" s="118" t="s">
        <v>288</v>
      </c>
      <c r="L7" s="118" t="s">
        <v>288</v>
      </c>
      <c r="M7" s="118" t="s">
        <v>288</v>
      </c>
      <c r="N7" s="118" t="s">
        <v>288</v>
      </c>
      <c r="O7" s="118" t="s">
        <v>288</v>
      </c>
      <c r="P7" s="118" t="s">
        <v>288</v>
      </c>
      <c r="Q7" s="118" t="s">
        <v>288</v>
      </c>
      <c r="R7" s="118" t="s">
        <v>288</v>
      </c>
      <c r="S7" s="118" t="s">
        <v>288</v>
      </c>
      <c r="T7" s="118" t="s">
        <v>288</v>
      </c>
      <c r="U7" s="118" t="s">
        <v>288</v>
      </c>
      <c r="V7" s="118" t="s">
        <v>288</v>
      </c>
      <c r="W7" s="118" t="s">
        <v>288</v>
      </c>
      <c r="X7" s="118" t="s">
        <v>288</v>
      </c>
      <c r="Y7" s="118" t="s">
        <v>288</v>
      </c>
      <c r="Z7" s="118" t="s">
        <v>288</v>
      </c>
      <c r="AA7" s="118" t="s">
        <v>288</v>
      </c>
      <c r="AB7" s="118" t="s">
        <v>288</v>
      </c>
      <c r="AC7" s="118" t="s">
        <v>288</v>
      </c>
      <c r="AD7" s="118" t="s">
        <v>288</v>
      </c>
      <c r="AE7" s="118" t="s">
        <v>288</v>
      </c>
      <c r="AF7" s="118" t="s">
        <v>288</v>
      </c>
      <c r="AG7" s="118" t="s">
        <v>288</v>
      </c>
      <c r="AH7" s="118" t="s">
        <v>288</v>
      </c>
      <c r="AI7" s="118" t="s">
        <v>288</v>
      </c>
      <c r="AJ7" s="118" t="s">
        <v>288</v>
      </c>
      <c r="AK7" s="118" t="s">
        <v>288</v>
      </c>
      <c r="AL7" s="118" t="s">
        <v>288</v>
      </c>
      <c r="AM7" s="118" t="s">
        <v>288</v>
      </c>
      <c r="AN7" s="118" t="s">
        <v>288</v>
      </c>
      <c r="AO7" s="118" t="s">
        <v>288</v>
      </c>
      <c r="AP7" s="118" t="s">
        <v>288</v>
      </c>
      <c r="AQ7" s="118" t="s">
        <v>288</v>
      </c>
      <c r="AR7" s="118" t="s">
        <v>288</v>
      </c>
      <c r="AS7" s="118" t="s">
        <v>288</v>
      </c>
      <c r="AT7" s="118" t="s">
        <v>288</v>
      </c>
      <c r="AU7" s="118" t="s">
        <v>288</v>
      </c>
      <c r="AV7" s="118" t="s">
        <v>288</v>
      </c>
      <c r="AW7" s="118" t="s">
        <v>288</v>
      </c>
      <c r="AX7" s="118" t="s">
        <v>288</v>
      </c>
      <c r="AY7" s="117" t="s">
        <v>289</v>
      </c>
      <c r="AZ7" s="117" t="s">
        <v>290</v>
      </c>
    </row>
    <row r="8" spans="1:53" x14ac:dyDescent="0.2">
      <c r="A8" s="108" t="s">
        <v>291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292</v>
      </c>
      <c r="D9" s="123">
        <v>3342.7265635085287</v>
      </c>
      <c r="E9" s="123">
        <v>3342.7265635085287</v>
      </c>
      <c r="F9" s="123">
        <v>3342.7265635085287</v>
      </c>
      <c r="G9" s="123">
        <v>3342.7265635085287</v>
      </c>
      <c r="H9" s="123">
        <v>3124.846563508529</v>
      </c>
      <c r="I9" s="123">
        <v>3124.846563508529</v>
      </c>
      <c r="J9" s="123">
        <v>3124.846563508529</v>
      </c>
      <c r="K9" s="123">
        <v>3124.846563508529</v>
      </c>
      <c r="L9" s="123">
        <v>3124.846563508529</v>
      </c>
      <c r="M9" s="123">
        <v>3124.846563508529</v>
      </c>
      <c r="N9" s="123">
        <v>3124.846563508529</v>
      </c>
      <c r="O9" s="123">
        <v>3124.846563508529</v>
      </c>
      <c r="P9" s="123">
        <v>3342.7265635085287</v>
      </c>
      <c r="Q9" s="123">
        <v>3342.7265635085287</v>
      </c>
      <c r="R9" s="123">
        <v>3342.7265635085287</v>
      </c>
      <c r="S9" s="123">
        <v>3342.7265635085287</v>
      </c>
      <c r="T9" s="123">
        <v>3038.2833437762365</v>
      </c>
      <c r="U9" s="123">
        <v>3038.4532648722593</v>
      </c>
      <c r="V9" s="123">
        <v>3038.6227525809595</v>
      </c>
      <c r="W9" s="123">
        <v>3124.846563508529</v>
      </c>
      <c r="X9" s="123">
        <v>3124.846563508529</v>
      </c>
      <c r="Y9" s="123">
        <v>3124.846563508529</v>
      </c>
      <c r="Z9" s="123">
        <v>3124.846563508529</v>
      </c>
      <c r="AA9" s="123">
        <v>3124.846563508529</v>
      </c>
      <c r="AB9" s="123">
        <v>3342.7265635085287</v>
      </c>
      <c r="AC9" s="123">
        <v>3342.7265635085287</v>
      </c>
      <c r="AD9" s="123">
        <v>2997.603773139384</v>
      </c>
      <c r="AE9" s="123">
        <v>3342.7265635085287</v>
      </c>
      <c r="AF9" s="123">
        <v>3040.2878191929881</v>
      </c>
      <c r="AG9" s="123">
        <v>3124.846563508529</v>
      </c>
      <c r="AH9" s="123">
        <v>3124.846563508529</v>
      </c>
      <c r="AI9" s="123">
        <v>3124.846563508529</v>
      </c>
      <c r="AJ9" s="123">
        <v>3124.846563508529</v>
      </c>
      <c r="AK9" s="123">
        <v>3124.846563508529</v>
      </c>
      <c r="AL9" s="123">
        <v>3124.846563508529</v>
      </c>
      <c r="AM9" s="123">
        <v>3124.846563508529</v>
      </c>
      <c r="AN9" s="123">
        <v>3342.7265635085287</v>
      </c>
      <c r="AO9" s="123">
        <v>3342.7265635085287</v>
      </c>
      <c r="AP9" s="123">
        <v>3342.7265635085287</v>
      </c>
      <c r="AQ9" s="123">
        <v>3342.7265635085287</v>
      </c>
      <c r="AR9" s="123">
        <v>3124.846563508529</v>
      </c>
      <c r="AS9" s="123">
        <v>3124.846563508529</v>
      </c>
      <c r="AT9" s="123">
        <v>3124.846563508529</v>
      </c>
      <c r="AU9" s="123">
        <v>3124.846563508529</v>
      </c>
      <c r="AV9" s="123">
        <v>3124.846563508529</v>
      </c>
      <c r="AW9" s="123">
        <v>3124.846563508529</v>
      </c>
      <c r="AX9" s="123">
        <v>3124.846563508529</v>
      </c>
      <c r="AY9" s="123">
        <v>3124.846563508529</v>
      </c>
    </row>
    <row r="10" spans="1:53" x14ac:dyDescent="0.2">
      <c r="A10" s="124" t="s">
        <v>133</v>
      </c>
      <c r="B10" s="125">
        <v>1</v>
      </c>
      <c r="C10" s="112" t="s">
        <v>292</v>
      </c>
      <c r="E10" s="106">
        <v>0</v>
      </c>
      <c r="F10" s="106">
        <v>273.74765262492122</v>
      </c>
      <c r="G10" s="106">
        <v>273.74765262492122</v>
      </c>
      <c r="H10" s="106">
        <v>273.74765262492122</v>
      </c>
      <c r="I10" s="106">
        <v>273.74765262492122</v>
      </c>
      <c r="J10" s="106">
        <v>243.33124677770775</v>
      </c>
      <c r="K10" s="106">
        <v>243.33124677770775</v>
      </c>
      <c r="L10" s="106">
        <v>243.33124677770775</v>
      </c>
      <c r="M10" s="106">
        <v>243.33124677770775</v>
      </c>
      <c r="N10" s="106">
        <v>243.33124677770775</v>
      </c>
      <c r="O10" s="106">
        <v>243.33124677770775</v>
      </c>
      <c r="P10" s="106">
        <v>243.33124677770775</v>
      </c>
      <c r="Q10" s="106">
        <v>243.33124677770775</v>
      </c>
      <c r="R10" s="106">
        <v>273.74765262492122</v>
      </c>
      <c r="S10" s="106">
        <v>273.74765262492122</v>
      </c>
      <c r="T10" s="106">
        <v>273.74765262492122</v>
      </c>
      <c r="U10" s="106">
        <v>273.74765262492122</v>
      </c>
      <c r="V10" s="106">
        <v>243.33124677770775</v>
      </c>
      <c r="W10" s="106">
        <v>243.33124677770775</v>
      </c>
      <c r="X10" s="106">
        <v>243.33124677770775</v>
      </c>
      <c r="Y10" s="106">
        <v>243.33124677770775</v>
      </c>
      <c r="Z10" s="106">
        <v>243.33124677770775</v>
      </c>
      <c r="AA10" s="106">
        <v>243.33124677770775</v>
      </c>
      <c r="AB10" s="106">
        <v>243.33124677770775</v>
      </c>
      <c r="AC10" s="106">
        <v>243.33124677770775</v>
      </c>
      <c r="AD10" s="106">
        <v>273.74765262492122</v>
      </c>
      <c r="AE10" s="106">
        <v>273.74765262492122</v>
      </c>
      <c r="AF10" s="106">
        <v>273.74765262492122</v>
      </c>
      <c r="AG10" s="106">
        <v>273.74765262492122</v>
      </c>
      <c r="AH10" s="106">
        <v>243.33124677770775</v>
      </c>
      <c r="AI10" s="106">
        <v>243.33124677770775</v>
      </c>
      <c r="AJ10" s="106">
        <v>243.33124677770775</v>
      </c>
      <c r="AK10" s="106">
        <v>243.33124677770775</v>
      </c>
      <c r="AL10" s="106">
        <v>243.33124677770775</v>
      </c>
      <c r="AM10" s="106">
        <v>243.33124677770775</v>
      </c>
      <c r="AN10" s="106">
        <v>243.33124677770775</v>
      </c>
      <c r="AO10" s="106">
        <v>243.33124677770775</v>
      </c>
      <c r="AP10" s="106">
        <v>273.74765262492122</v>
      </c>
      <c r="AQ10" s="106">
        <v>273.74765262492122</v>
      </c>
      <c r="AR10" s="106">
        <v>273.74765262492122</v>
      </c>
      <c r="AS10" s="106">
        <v>273.74765262492122</v>
      </c>
      <c r="AT10" s="106">
        <v>243.33124677770775</v>
      </c>
      <c r="AU10" s="106">
        <v>0</v>
      </c>
      <c r="AV10" s="106">
        <v>486.66249355541549</v>
      </c>
      <c r="AW10" s="106">
        <v>243.33124677770775</v>
      </c>
      <c r="AX10" s="106">
        <v>243.33124677770775</v>
      </c>
      <c r="AY10" s="106">
        <v>243.33124677770775</v>
      </c>
      <c r="AZ10" s="106">
        <v>243.33124677770775</v>
      </c>
    </row>
    <row r="11" spans="1:53" x14ac:dyDescent="0.2">
      <c r="B11" s="125">
        <v>2</v>
      </c>
      <c r="C11" s="112" t="s">
        <v>292</v>
      </c>
      <c r="F11" s="106">
        <v>0</v>
      </c>
      <c r="G11" s="106">
        <v>0</v>
      </c>
      <c r="H11" s="106">
        <v>0</v>
      </c>
      <c r="I11" s="106">
        <v>0</v>
      </c>
      <c r="K11" s="106">
        <v>0</v>
      </c>
      <c r="M11" s="106">
        <v>0</v>
      </c>
      <c r="N11" s="106">
        <v>0</v>
      </c>
      <c r="O11" s="106">
        <v>0</v>
      </c>
      <c r="P11" s="106">
        <v>0</v>
      </c>
      <c r="T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B11" s="106">
        <v>0</v>
      </c>
      <c r="AC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O11" s="106">
        <v>0</v>
      </c>
      <c r="AR11" s="106">
        <v>0</v>
      </c>
      <c r="AS11" s="106">
        <v>0</v>
      </c>
      <c r="AU11" s="106">
        <v>0</v>
      </c>
      <c r="AV11" s="106">
        <v>0</v>
      </c>
      <c r="AX11" s="106">
        <v>0</v>
      </c>
      <c r="AY11" s="106">
        <v>0</v>
      </c>
      <c r="AZ11" s="106">
        <v>0</v>
      </c>
      <c r="BA11" s="106">
        <v>0</v>
      </c>
    </row>
    <row r="12" spans="1:53" x14ac:dyDescent="0.2">
      <c r="B12" s="126">
        <v>3</v>
      </c>
      <c r="C12" s="112" t="s">
        <v>292</v>
      </c>
      <c r="H12" s="106">
        <v>0</v>
      </c>
      <c r="J12" s="106">
        <v>0</v>
      </c>
      <c r="R12" s="106">
        <v>0</v>
      </c>
      <c r="AB12" s="106">
        <v>0</v>
      </c>
      <c r="AE12" s="106">
        <v>0</v>
      </c>
      <c r="AI12" s="106">
        <v>0</v>
      </c>
      <c r="AN12" s="106">
        <v>0</v>
      </c>
      <c r="AV12" s="106">
        <v>0</v>
      </c>
      <c r="AX12" s="106">
        <v>0</v>
      </c>
      <c r="AZ12" s="106">
        <v>0</v>
      </c>
    </row>
    <row r="13" spans="1:53" x14ac:dyDescent="0.2">
      <c r="B13" s="126">
        <v>4</v>
      </c>
      <c r="C13" s="112" t="s">
        <v>292</v>
      </c>
    </row>
    <row r="14" spans="1:53" x14ac:dyDescent="0.2">
      <c r="A14" s="121" t="s">
        <v>134</v>
      </c>
      <c r="B14" s="127">
        <v>1</v>
      </c>
      <c r="C14" s="123" t="s">
        <v>292</v>
      </c>
      <c r="D14" s="123"/>
      <c r="E14" s="123">
        <f t="shared" ref="E14:AZ14" si="0">D$172*SUM(D$122:D$169)</f>
        <v>707.98402747895568</v>
      </c>
      <c r="F14" s="123">
        <f t="shared" si="0"/>
        <v>1139.1919616628863</v>
      </c>
      <c r="G14" s="123">
        <f t="shared" si="0"/>
        <v>1419.6969293296293</v>
      </c>
      <c r="H14" s="123">
        <f t="shared" si="0"/>
        <v>1633.4647712411186</v>
      </c>
      <c r="I14" s="123">
        <f t="shared" si="0"/>
        <v>1685.859591363188</v>
      </c>
      <c r="J14" s="123">
        <f t="shared" si="0"/>
        <v>1726.6176291529143</v>
      </c>
      <c r="K14" s="123">
        <f t="shared" si="0"/>
        <v>1761.5049502525283</v>
      </c>
      <c r="L14" s="123">
        <f t="shared" si="0"/>
        <v>1767.8530942073344</v>
      </c>
      <c r="M14" s="123">
        <f t="shared" si="0"/>
        <v>1774.6254784734847</v>
      </c>
      <c r="N14" s="123">
        <f t="shared" si="0"/>
        <v>1846.4314579054058</v>
      </c>
      <c r="O14" s="123">
        <f t="shared" si="0"/>
        <v>1875.7359404187641</v>
      </c>
      <c r="P14" s="123">
        <f t="shared" si="0"/>
        <v>1902.7128809460708</v>
      </c>
      <c r="Q14" s="123">
        <f t="shared" si="0"/>
        <v>2019.9037198742558</v>
      </c>
      <c r="R14" s="123">
        <f t="shared" si="0"/>
        <v>2058.3105650722723</v>
      </c>
      <c r="S14" s="123">
        <f t="shared" si="0"/>
        <v>2090.0110729930293</v>
      </c>
      <c r="T14" s="123">
        <f t="shared" si="0"/>
        <v>2124.3789672849321</v>
      </c>
      <c r="U14" s="123">
        <f t="shared" si="0"/>
        <v>2071.9606165573068</v>
      </c>
      <c r="V14" s="123">
        <f t="shared" si="0"/>
        <v>1978.2916735719218</v>
      </c>
      <c r="W14" s="123">
        <f t="shared" si="0"/>
        <v>1934.7625252770454</v>
      </c>
      <c r="X14" s="123">
        <f t="shared" si="0"/>
        <v>1882.0418090248193</v>
      </c>
      <c r="Y14" s="123">
        <f t="shared" si="0"/>
        <v>1889.8531929737294</v>
      </c>
      <c r="Z14" s="123">
        <f t="shared" si="0"/>
        <v>1778.2605376801871</v>
      </c>
      <c r="AA14" s="123">
        <f t="shared" si="0"/>
        <v>1693.8372057987017</v>
      </c>
      <c r="AB14" s="123">
        <f t="shared" si="0"/>
        <v>1605.2046413041344</v>
      </c>
      <c r="AC14" s="123">
        <f t="shared" si="0"/>
        <v>1662.0780531524483</v>
      </c>
      <c r="AD14" s="123">
        <f t="shared" si="0"/>
        <v>1635.6531352009215</v>
      </c>
      <c r="AE14" s="123">
        <f t="shared" si="0"/>
        <v>1532.1186501893631</v>
      </c>
      <c r="AF14" s="123">
        <f t="shared" si="0"/>
        <v>1473.8751542622672</v>
      </c>
      <c r="AG14" s="123">
        <f t="shared" si="0"/>
        <v>1315.9784343153949</v>
      </c>
      <c r="AH14" s="123">
        <f t="shared" si="0"/>
        <v>1523.5944764060825</v>
      </c>
      <c r="AI14" s="123">
        <f t="shared" si="0"/>
        <v>1653.2615023316196</v>
      </c>
      <c r="AJ14" s="123">
        <f t="shared" si="0"/>
        <v>1761.0850486006002</v>
      </c>
      <c r="AK14" s="123">
        <f t="shared" si="0"/>
        <v>1836.0130635713685</v>
      </c>
      <c r="AL14" s="123">
        <f t="shared" si="0"/>
        <v>1885.7494792378907</v>
      </c>
      <c r="AM14" s="123">
        <f t="shared" si="0"/>
        <v>1919.8801664827881</v>
      </c>
      <c r="AN14" s="123">
        <f t="shared" si="0"/>
        <v>1966.0667704414693</v>
      </c>
      <c r="AO14" s="123">
        <f t="shared" si="0"/>
        <v>2054.2739739698154</v>
      </c>
      <c r="AP14" s="123">
        <f t="shared" si="0"/>
        <v>2077.618757708869</v>
      </c>
      <c r="AQ14" s="123">
        <f t="shared" si="0"/>
        <v>2087.9058281423008</v>
      </c>
      <c r="AR14" s="123">
        <f t="shared" si="0"/>
        <v>2099.8927431579036</v>
      </c>
      <c r="AS14" s="123">
        <f t="shared" si="0"/>
        <v>1998.7245800064384</v>
      </c>
      <c r="AT14" s="123">
        <f t="shared" si="0"/>
        <v>1955.4870037135588</v>
      </c>
      <c r="AU14" s="123">
        <f t="shared" si="0"/>
        <v>1867.0416952951057</v>
      </c>
      <c r="AV14" s="123">
        <f t="shared" si="0"/>
        <v>1856.1820571413384</v>
      </c>
      <c r="AW14" s="123">
        <f t="shared" si="0"/>
        <v>1796.3915595372864</v>
      </c>
      <c r="AX14" s="123">
        <f t="shared" si="0"/>
        <v>1857.7208931612722</v>
      </c>
      <c r="AY14" s="123">
        <f t="shared" si="0"/>
        <v>1899.9110075223714</v>
      </c>
      <c r="AZ14" s="116">
        <f t="shared" si="0"/>
        <v>1923.2368590191327</v>
      </c>
      <c r="BA14" s="113">
        <f>SUM($E14:$AZ14)</f>
        <v>86008.236132412218</v>
      </c>
    </row>
    <row r="15" spans="1:53" x14ac:dyDescent="0.2">
      <c r="A15" s="128" t="s">
        <v>123</v>
      </c>
      <c r="B15" s="129">
        <v>1</v>
      </c>
      <c r="C15" s="130" t="s">
        <v>292</v>
      </c>
      <c r="D15" s="130">
        <v>2570.71566715174</v>
      </c>
      <c r="E15" s="130">
        <v>2570.71566715174</v>
      </c>
      <c r="F15" s="130">
        <v>2570.71566715174</v>
      </c>
      <c r="G15" s="130">
        <v>2570.71566715174</v>
      </c>
      <c r="H15" s="130">
        <v>2285.0805930237689</v>
      </c>
      <c r="I15" s="130">
        <v>2285.0805930237689</v>
      </c>
      <c r="J15" s="130">
        <v>2285.0805930237689</v>
      </c>
      <c r="K15" s="130">
        <v>2285.0805930237689</v>
      </c>
      <c r="L15" s="130">
        <v>2285.0805930237689</v>
      </c>
      <c r="M15" s="130">
        <v>2285.0805930237689</v>
      </c>
      <c r="N15" s="130">
        <v>2285.0805930237689</v>
      </c>
      <c r="O15" s="130">
        <v>2285.0805930237689</v>
      </c>
      <c r="P15" s="130">
        <v>2570.71566715174</v>
      </c>
      <c r="Q15" s="130">
        <v>2570.71566715174</v>
      </c>
      <c r="R15" s="130">
        <v>2570.71566715174</v>
      </c>
      <c r="S15" s="130">
        <v>2570.71566715174</v>
      </c>
      <c r="T15" s="130">
        <v>2285.0805930237689</v>
      </c>
      <c r="U15" s="130">
        <v>2285.0805930237689</v>
      </c>
      <c r="V15" s="130">
        <v>2285.0805930237689</v>
      </c>
      <c r="W15" s="130">
        <v>2285.0805930237689</v>
      </c>
      <c r="X15" s="130">
        <v>2285.0805930237689</v>
      </c>
      <c r="Y15" s="130">
        <v>2285.0805930237689</v>
      </c>
      <c r="Z15" s="130">
        <v>2285.0805930237689</v>
      </c>
      <c r="AA15" s="130">
        <v>2285.0805930237689</v>
      </c>
      <c r="AB15" s="130">
        <v>2570.71566715174</v>
      </c>
      <c r="AC15" s="130">
        <v>2570.71566715174</v>
      </c>
      <c r="AD15" s="130">
        <v>2570.71566715174</v>
      </c>
      <c r="AE15" s="130">
        <v>2570.71566715174</v>
      </c>
      <c r="AF15" s="130">
        <v>2285.0805930237689</v>
      </c>
      <c r="AG15" s="130">
        <v>2285.0805930237689</v>
      </c>
      <c r="AH15" s="130">
        <v>2285.0805930237689</v>
      </c>
      <c r="AI15" s="130">
        <v>2285.0805930237689</v>
      </c>
      <c r="AJ15" s="130">
        <v>2285.0805930237689</v>
      </c>
      <c r="AK15" s="130">
        <v>2285.0805930237689</v>
      </c>
      <c r="AL15" s="130">
        <v>2285.0805930237689</v>
      </c>
      <c r="AM15" s="130">
        <v>2285.0805930237689</v>
      </c>
      <c r="AN15" s="130">
        <v>2570.71566715174</v>
      </c>
      <c r="AO15" s="130">
        <v>2570.71566715174</v>
      </c>
      <c r="AP15" s="130">
        <v>2570.71566715174</v>
      </c>
      <c r="AQ15" s="130">
        <v>2570.71566715174</v>
      </c>
      <c r="AR15" s="130">
        <v>2285.0805930237689</v>
      </c>
      <c r="AS15" s="130">
        <v>2285.0805930237689</v>
      </c>
      <c r="AT15" s="130">
        <v>2285.0805930237689</v>
      </c>
      <c r="AU15" s="130">
        <v>2285.0805930237689</v>
      </c>
      <c r="AV15" s="130">
        <v>2285.0805930237689</v>
      </c>
      <c r="AW15" s="130">
        <v>2285.0805930237689</v>
      </c>
      <c r="AX15" s="130">
        <v>2285.0805930237689</v>
      </c>
      <c r="AY15" s="130">
        <v>2285.0805930237689</v>
      </c>
      <c r="AZ15" s="106">
        <v>0</v>
      </c>
    </row>
    <row r="16" spans="1:53" x14ac:dyDescent="0.2">
      <c r="A16" s="116"/>
      <c r="B16" s="125">
        <v>2</v>
      </c>
      <c r="C16" s="115" t="s">
        <v>292</v>
      </c>
      <c r="D16" s="112"/>
      <c r="E16" s="116"/>
      <c r="F16" s="116">
        <v>0</v>
      </c>
      <c r="G16" s="116">
        <v>0</v>
      </c>
      <c r="H16" s="116">
        <v>0</v>
      </c>
      <c r="I16" s="116">
        <v>0</v>
      </c>
      <c r="J16" s="116"/>
      <c r="K16" s="116">
        <v>0</v>
      </c>
      <c r="L16" s="116"/>
      <c r="M16" s="116">
        <v>0</v>
      </c>
      <c r="N16" s="116">
        <v>0</v>
      </c>
      <c r="O16" s="116">
        <v>0</v>
      </c>
      <c r="P16" s="116">
        <v>0</v>
      </c>
      <c r="Q16" s="116"/>
      <c r="R16" s="116"/>
      <c r="S16" s="116"/>
      <c r="T16" s="116">
        <v>0</v>
      </c>
      <c r="U16" s="116"/>
      <c r="V16" s="116">
        <v>0</v>
      </c>
      <c r="W16" s="116">
        <v>0</v>
      </c>
      <c r="X16" s="116">
        <v>0</v>
      </c>
      <c r="Y16" s="116">
        <v>0</v>
      </c>
      <c r="Z16" s="116">
        <v>0</v>
      </c>
      <c r="AA16" s="116"/>
      <c r="AB16" s="116">
        <v>0</v>
      </c>
      <c r="AC16" s="116">
        <v>0</v>
      </c>
      <c r="AD16" s="116"/>
      <c r="AE16" s="116"/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/>
      <c r="AN16" s="116"/>
      <c r="AO16" s="116">
        <v>0</v>
      </c>
      <c r="AP16" s="116"/>
      <c r="AQ16" s="116"/>
      <c r="AR16" s="116">
        <v>0</v>
      </c>
      <c r="AS16" s="116">
        <v>0</v>
      </c>
      <c r="AT16" s="116"/>
      <c r="AU16" s="116">
        <v>0</v>
      </c>
      <c r="AV16" s="116">
        <v>0</v>
      </c>
      <c r="AW16" s="116"/>
      <c r="AX16" s="116">
        <v>0</v>
      </c>
      <c r="AY16" s="116">
        <v>0</v>
      </c>
      <c r="AZ16" s="106">
        <v>0</v>
      </c>
      <c r="BA16" s="106">
        <v>0</v>
      </c>
    </row>
    <row r="17" spans="1:52" x14ac:dyDescent="0.2">
      <c r="A17" s="116"/>
      <c r="B17" s="125">
        <v>3</v>
      </c>
      <c r="C17" s="115" t="s">
        <v>292</v>
      </c>
      <c r="D17" s="112"/>
      <c r="E17" s="116"/>
      <c r="F17" s="116"/>
      <c r="G17" s="116"/>
      <c r="H17" s="116">
        <v>0</v>
      </c>
      <c r="I17" s="116"/>
      <c r="J17" s="116">
        <v>0</v>
      </c>
      <c r="K17" s="116"/>
      <c r="L17" s="116"/>
      <c r="M17" s="116"/>
      <c r="N17" s="116"/>
      <c r="O17" s="116"/>
      <c r="P17" s="116"/>
      <c r="Q17" s="116"/>
      <c r="R17" s="116">
        <v>0</v>
      </c>
      <c r="S17" s="116"/>
      <c r="T17" s="116"/>
      <c r="U17" s="116"/>
      <c r="V17" s="116"/>
      <c r="W17" s="116"/>
      <c r="X17" s="116"/>
      <c r="Y17" s="116"/>
      <c r="Z17" s="116"/>
      <c r="AA17" s="116"/>
      <c r="AB17" s="116">
        <v>0</v>
      </c>
      <c r="AC17" s="116"/>
      <c r="AD17" s="116"/>
      <c r="AE17" s="116">
        <v>0</v>
      </c>
      <c r="AF17" s="116"/>
      <c r="AG17" s="116"/>
      <c r="AH17" s="116"/>
      <c r="AI17" s="116">
        <v>0</v>
      </c>
      <c r="AJ17" s="116"/>
      <c r="AK17" s="116"/>
      <c r="AL17" s="116"/>
      <c r="AM17" s="116"/>
      <c r="AN17" s="116">
        <v>0</v>
      </c>
      <c r="AO17" s="116"/>
      <c r="AP17" s="116"/>
      <c r="AQ17" s="116"/>
      <c r="AR17" s="116"/>
      <c r="AS17" s="116"/>
      <c r="AT17" s="116"/>
      <c r="AU17" s="116"/>
      <c r="AV17" s="116">
        <v>0</v>
      </c>
      <c r="AW17" s="116"/>
      <c r="AX17" s="116">
        <v>0</v>
      </c>
      <c r="AY17" s="116"/>
      <c r="AZ17" s="106">
        <v>0</v>
      </c>
    </row>
    <row r="18" spans="1:52" x14ac:dyDescent="0.2">
      <c r="A18" s="131"/>
      <c r="B18" s="122">
        <v>4</v>
      </c>
      <c r="C18" s="131" t="s">
        <v>292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2" x14ac:dyDescent="0.2">
      <c r="A20" s="108" t="s">
        <v>293</v>
      </c>
    </row>
    <row r="21" spans="1:52" x14ac:dyDescent="0.2">
      <c r="A21" s="132" t="s">
        <v>125</v>
      </c>
      <c r="B21" s="129">
        <v>1</v>
      </c>
      <c r="C21" s="130" t="s">
        <v>292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2" x14ac:dyDescent="0.2">
      <c r="A22" s="115"/>
      <c r="B22" s="126">
        <v>2</v>
      </c>
      <c r="C22" s="116" t="s">
        <v>292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2" x14ac:dyDescent="0.2">
      <c r="A23" s="115"/>
      <c r="B23" s="133">
        <v>3</v>
      </c>
      <c r="C23" s="116" t="s">
        <v>292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2" x14ac:dyDescent="0.2">
      <c r="A24" s="134"/>
      <c r="B24" s="135">
        <v>4</v>
      </c>
      <c r="C24" s="134" t="s">
        <v>292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2" x14ac:dyDescent="0.2">
      <c r="A25" s="132" t="s">
        <v>133</v>
      </c>
      <c r="B25" s="129">
        <v>1</v>
      </c>
      <c r="C25" s="115" t="s">
        <v>292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2" x14ac:dyDescent="0.2">
      <c r="A26" s="115"/>
      <c r="B26" s="125">
        <v>2</v>
      </c>
      <c r="C26" s="115" t="s">
        <v>292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2" x14ac:dyDescent="0.2">
      <c r="A27" s="115"/>
      <c r="B27" s="126">
        <v>3</v>
      </c>
      <c r="C27" s="115" t="s">
        <v>292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2" x14ac:dyDescent="0.2">
      <c r="A28" s="115"/>
      <c r="B28" s="126">
        <v>4</v>
      </c>
      <c r="C28" s="115" t="s">
        <v>292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2" x14ac:dyDescent="0.2">
      <c r="A29" s="115"/>
      <c r="B29" s="133">
        <v>5</v>
      </c>
      <c r="C29" s="115" t="s">
        <v>292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2" x14ac:dyDescent="0.2">
      <c r="A30" s="115"/>
      <c r="B30" s="133">
        <v>6</v>
      </c>
      <c r="C30" s="115" t="s">
        <v>292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2" x14ac:dyDescent="0.2">
      <c r="A31" s="115"/>
      <c r="B31" s="136">
        <v>7</v>
      </c>
      <c r="C31" s="115" t="s">
        <v>292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2" x14ac:dyDescent="0.2">
      <c r="A32" s="134"/>
      <c r="B32" s="135">
        <v>8</v>
      </c>
      <c r="C32" s="134" t="s">
        <v>292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292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292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292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292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292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292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292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292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292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292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292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292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292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292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292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292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292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292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292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292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292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292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292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292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292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292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292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292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292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292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292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292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292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292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292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292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292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292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292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292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292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292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292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292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292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292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292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292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292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292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292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292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292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292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292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292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292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292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292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294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/>
      <c r="D95" s="116">
        <v>3342.7265635085287</v>
      </c>
      <c r="E95" s="116">
        <v>3342.7265635085287</v>
      </c>
      <c r="F95" s="116">
        <v>3342.7265635085287</v>
      </c>
      <c r="G95" s="116">
        <v>3342.7265635085287</v>
      </c>
      <c r="H95" s="116">
        <v>3124.846563508529</v>
      </c>
      <c r="I95" s="116">
        <v>3124.846563508529</v>
      </c>
      <c r="J95" s="116">
        <v>3124.846563508529</v>
      </c>
      <c r="K95" s="116">
        <v>3124.846563508529</v>
      </c>
      <c r="L95" s="116">
        <v>3124.846563508529</v>
      </c>
      <c r="M95" s="116">
        <v>3124.846563508529</v>
      </c>
      <c r="N95" s="116">
        <v>3124.846563508529</v>
      </c>
      <c r="O95" s="116">
        <v>3124.846563508529</v>
      </c>
      <c r="P95" s="116">
        <v>3342.7265635085287</v>
      </c>
      <c r="Q95" s="116">
        <v>3342.7265635085287</v>
      </c>
      <c r="R95" s="116">
        <v>3342.7265635085287</v>
      </c>
      <c r="S95" s="116">
        <v>3342.7265635085287</v>
      </c>
      <c r="T95" s="116">
        <v>3038.2833437762365</v>
      </c>
      <c r="U95" s="116">
        <v>3038.4532648722593</v>
      </c>
      <c r="V95" s="116">
        <v>3038.6227525809595</v>
      </c>
      <c r="W95" s="116">
        <v>3124.846563508529</v>
      </c>
      <c r="X95" s="116">
        <v>3124.846563508529</v>
      </c>
      <c r="Y95" s="116">
        <v>3124.846563508529</v>
      </c>
      <c r="Z95" s="116">
        <v>3124.846563508529</v>
      </c>
      <c r="AA95" s="116">
        <v>3124.846563508529</v>
      </c>
      <c r="AB95" s="116">
        <v>3342.7265635085287</v>
      </c>
      <c r="AC95" s="116">
        <v>3342.7265635085287</v>
      </c>
      <c r="AD95" s="116">
        <v>2997.603773139384</v>
      </c>
      <c r="AE95" s="116">
        <v>3342.7265635085287</v>
      </c>
      <c r="AF95" s="116">
        <v>3040.2878191929881</v>
      </c>
      <c r="AG95" s="116">
        <v>3124.846563508529</v>
      </c>
      <c r="AH95" s="116">
        <v>3124.846563508529</v>
      </c>
      <c r="AI95" s="116">
        <v>3124.846563508529</v>
      </c>
      <c r="AJ95" s="116">
        <v>3124.846563508529</v>
      </c>
      <c r="AK95" s="116">
        <v>3124.846563508529</v>
      </c>
      <c r="AL95" s="116">
        <v>3124.846563508529</v>
      </c>
      <c r="AM95" s="116">
        <v>3124.846563508529</v>
      </c>
      <c r="AN95" s="116">
        <v>3342.7265635085287</v>
      </c>
      <c r="AO95" s="116">
        <v>3342.7265635085287</v>
      </c>
      <c r="AP95" s="116">
        <v>3342.7265635085287</v>
      </c>
      <c r="AQ95" s="116">
        <v>3342.7265635085287</v>
      </c>
      <c r="AR95" s="116">
        <v>3124.846563508529</v>
      </c>
      <c r="AS95" s="116">
        <v>3124.846563508529</v>
      </c>
      <c r="AT95" s="116">
        <v>3124.846563508529</v>
      </c>
      <c r="AU95" s="116">
        <v>3124.846563508529</v>
      </c>
      <c r="AV95" s="116">
        <v>3124.846563508529</v>
      </c>
      <c r="AW95" s="116">
        <v>3124.846563508529</v>
      </c>
      <c r="AX95" s="116">
        <v>3124.846563508529</v>
      </c>
      <c r="AY95" s="116">
        <v>3124.846563508529</v>
      </c>
    </row>
    <row r="96" spans="1:52" x14ac:dyDescent="0.2">
      <c r="A96" s="115"/>
      <c r="B96" s="126">
        <v>2</v>
      </c>
      <c r="C96" s="116"/>
      <c r="D96" s="116">
        <v>0</v>
      </c>
      <c r="E96" s="116">
        <v>2826.7265635085287</v>
      </c>
      <c r="F96" s="116">
        <v>3342.7265635085287</v>
      </c>
      <c r="G96" s="116">
        <v>3342.7265635085287</v>
      </c>
      <c r="H96" s="116">
        <v>3342.7265635085287</v>
      </c>
      <c r="I96" s="116">
        <v>3124.846563508529</v>
      </c>
      <c r="J96" s="116">
        <v>3124.846563508529</v>
      </c>
      <c r="K96" s="116">
        <v>3124.846563508529</v>
      </c>
      <c r="L96" s="116">
        <v>3124.846563508529</v>
      </c>
      <c r="M96" s="116">
        <v>3124.846563508529</v>
      </c>
      <c r="N96" s="116">
        <v>3124.846563508529</v>
      </c>
      <c r="O96" s="116">
        <v>3124.846563508529</v>
      </c>
      <c r="P96" s="116">
        <v>3124.846563508529</v>
      </c>
      <c r="Q96" s="116">
        <v>3342.7265635085287</v>
      </c>
      <c r="R96" s="116">
        <v>3342.7265635085287</v>
      </c>
      <c r="S96" s="116">
        <v>3342.7265635085287</v>
      </c>
      <c r="T96" s="116">
        <v>3342.7265635085287</v>
      </c>
      <c r="U96" s="116">
        <v>3038.2833437762365</v>
      </c>
      <c r="V96" s="116">
        <v>3038.4532648722593</v>
      </c>
      <c r="W96" s="116">
        <v>3038.6227525809595</v>
      </c>
      <c r="X96" s="116">
        <v>3124.846563508529</v>
      </c>
      <c r="Y96" s="116">
        <v>3124.846563508529</v>
      </c>
      <c r="Z96" s="116">
        <v>3124.846563508529</v>
      </c>
      <c r="AA96" s="116">
        <v>3124.846563508529</v>
      </c>
      <c r="AB96" s="116">
        <v>3124.846563508529</v>
      </c>
      <c r="AC96" s="116">
        <v>3342.7265635085287</v>
      </c>
      <c r="AD96" s="116">
        <v>3342.7265635085287</v>
      </c>
      <c r="AE96" s="116">
        <v>2997.603773139384</v>
      </c>
      <c r="AF96" s="116">
        <v>3342.7265635085287</v>
      </c>
      <c r="AG96" s="116">
        <v>3040.2878191929881</v>
      </c>
      <c r="AH96" s="116">
        <v>3124.846563508529</v>
      </c>
      <c r="AI96" s="116">
        <v>3124.846563508529</v>
      </c>
      <c r="AJ96" s="116">
        <v>3124.846563508529</v>
      </c>
      <c r="AK96" s="116">
        <v>3124.846563508529</v>
      </c>
      <c r="AL96" s="116">
        <v>3124.846563508529</v>
      </c>
      <c r="AM96" s="116">
        <v>3124.846563508529</v>
      </c>
      <c r="AN96" s="116">
        <v>3124.846563508529</v>
      </c>
      <c r="AO96" s="116">
        <v>3342.7265635085287</v>
      </c>
      <c r="AP96" s="116">
        <v>3342.7265635085287</v>
      </c>
      <c r="AQ96" s="116">
        <v>3342.7265635085287</v>
      </c>
      <c r="AR96" s="116">
        <v>3342.7265635085287</v>
      </c>
      <c r="AS96" s="116">
        <v>3124.846563508529</v>
      </c>
      <c r="AT96" s="116">
        <v>3124.846563508529</v>
      </c>
      <c r="AU96" s="116">
        <v>3124.846563508529</v>
      </c>
      <c r="AV96" s="116">
        <v>3124.846563508529</v>
      </c>
      <c r="AW96" s="116">
        <v>3124.846563508529</v>
      </c>
      <c r="AX96" s="116">
        <v>3124.846563508529</v>
      </c>
      <c r="AY96" s="116">
        <v>3124.846563508529</v>
      </c>
    </row>
    <row r="97" spans="1:52" x14ac:dyDescent="0.2">
      <c r="A97" s="115"/>
      <c r="B97" s="133">
        <v>3</v>
      </c>
      <c r="C97" s="116"/>
      <c r="D97" s="116">
        <v>0</v>
      </c>
      <c r="E97" s="116">
        <v>0</v>
      </c>
      <c r="F97" s="116">
        <v>2222.7265635085287</v>
      </c>
      <c r="G97" s="116">
        <v>3342.7265635085287</v>
      </c>
      <c r="H97" s="116">
        <v>3342.7265635085287</v>
      </c>
      <c r="I97" s="116">
        <v>3342.7265635085287</v>
      </c>
      <c r="J97" s="116">
        <v>3124.846563508529</v>
      </c>
      <c r="K97" s="116">
        <v>3124.846563508529</v>
      </c>
      <c r="L97" s="116">
        <v>3124.846563508529</v>
      </c>
      <c r="M97" s="116">
        <v>3124.846563508529</v>
      </c>
      <c r="N97" s="116">
        <v>3124.846563508529</v>
      </c>
      <c r="O97" s="116">
        <v>3124.846563508529</v>
      </c>
      <c r="P97" s="116">
        <v>3124.846563508529</v>
      </c>
      <c r="Q97" s="116">
        <v>3124.846563508529</v>
      </c>
      <c r="R97" s="116">
        <v>3342.7265635085287</v>
      </c>
      <c r="S97" s="116">
        <v>3342.7265635085287</v>
      </c>
      <c r="T97" s="116">
        <v>3342.7265635085287</v>
      </c>
      <c r="U97" s="116">
        <v>3342.7265635085287</v>
      </c>
      <c r="V97" s="116">
        <v>3038.2833437762365</v>
      </c>
      <c r="W97" s="116">
        <v>3038.4532648722593</v>
      </c>
      <c r="X97" s="116">
        <v>3038.6227525809595</v>
      </c>
      <c r="Y97" s="116">
        <v>3124.846563508529</v>
      </c>
      <c r="Z97" s="116">
        <v>3124.846563508529</v>
      </c>
      <c r="AA97" s="116">
        <v>3124.846563508529</v>
      </c>
      <c r="AB97" s="116">
        <v>3124.846563508529</v>
      </c>
      <c r="AC97" s="116">
        <v>3124.846563508529</v>
      </c>
      <c r="AD97" s="116">
        <v>3342.7265635085287</v>
      </c>
      <c r="AE97" s="116">
        <v>3342.7265635085287</v>
      </c>
      <c r="AF97" s="116">
        <v>2997.603773139384</v>
      </c>
      <c r="AG97" s="116">
        <v>3342.7265635085287</v>
      </c>
      <c r="AH97" s="116">
        <v>3040.2878191929881</v>
      </c>
      <c r="AI97" s="116">
        <v>3124.846563508529</v>
      </c>
      <c r="AJ97" s="116">
        <v>3124.846563508529</v>
      </c>
      <c r="AK97" s="116">
        <v>3124.846563508529</v>
      </c>
      <c r="AL97" s="116">
        <v>3124.846563508529</v>
      </c>
      <c r="AM97" s="116">
        <v>3124.846563508529</v>
      </c>
      <c r="AN97" s="116">
        <v>3124.846563508529</v>
      </c>
      <c r="AO97" s="116">
        <v>3124.846563508529</v>
      </c>
      <c r="AP97" s="116">
        <v>3342.7265635085287</v>
      </c>
      <c r="AQ97" s="116">
        <v>3342.7265635085287</v>
      </c>
      <c r="AR97" s="116">
        <v>3342.7265635085287</v>
      </c>
      <c r="AS97" s="116">
        <v>3342.7265635085287</v>
      </c>
      <c r="AT97" s="116">
        <v>3124.846563508529</v>
      </c>
      <c r="AU97" s="116">
        <v>3124.846563508529</v>
      </c>
      <c r="AV97" s="116">
        <v>3124.846563508529</v>
      </c>
      <c r="AW97" s="116">
        <v>3124.846563508529</v>
      </c>
      <c r="AX97" s="116">
        <v>3124.846563508529</v>
      </c>
      <c r="AY97" s="116">
        <v>3124.846563508529</v>
      </c>
    </row>
    <row r="98" spans="1:52" x14ac:dyDescent="0.2">
      <c r="A98" s="115"/>
      <c r="B98" s="136">
        <v>4</v>
      </c>
      <c r="C98" s="112"/>
      <c r="D98" s="116">
        <v>0</v>
      </c>
      <c r="E98" s="116">
        <v>0</v>
      </c>
      <c r="F98" s="116">
        <v>0</v>
      </c>
      <c r="G98" s="116">
        <v>1679.7265635085287</v>
      </c>
      <c r="H98" s="116">
        <v>3342.7265635085287</v>
      </c>
      <c r="I98" s="116">
        <v>3342.7265635085287</v>
      </c>
      <c r="J98" s="116">
        <v>3342.7265635085287</v>
      </c>
      <c r="K98" s="116">
        <v>3124.846563508529</v>
      </c>
      <c r="L98" s="116">
        <v>3124.846563508529</v>
      </c>
      <c r="M98" s="116">
        <v>3124.846563508529</v>
      </c>
      <c r="N98" s="116">
        <v>3124.846563508529</v>
      </c>
      <c r="O98" s="116">
        <v>3124.846563508529</v>
      </c>
      <c r="P98" s="116">
        <v>3124.846563508529</v>
      </c>
      <c r="Q98" s="116">
        <v>3124.846563508529</v>
      </c>
      <c r="R98" s="116">
        <v>3124.846563508529</v>
      </c>
      <c r="S98" s="116">
        <v>3342.7265635085287</v>
      </c>
      <c r="T98" s="116">
        <v>3342.7265635085287</v>
      </c>
      <c r="U98" s="116">
        <v>3342.7265635085287</v>
      </c>
      <c r="V98" s="116">
        <v>3342.7265635085287</v>
      </c>
      <c r="W98" s="116">
        <v>3038.2833437762365</v>
      </c>
      <c r="X98" s="116">
        <v>3038.4532648722593</v>
      </c>
      <c r="Y98" s="116">
        <v>3038.6227525809595</v>
      </c>
      <c r="Z98" s="116">
        <v>3124.846563508529</v>
      </c>
      <c r="AA98" s="116">
        <v>3124.846563508529</v>
      </c>
      <c r="AB98" s="116">
        <v>3124.846563508529</v>
      </c>
      <c r="AC98" s="116">
        <v>3124.846563508529</v>
      </c>
      <c r="AD98" s="116">
        <v>3124.846563508529</v>
      </c>
      <c r="AE98" s="116">
        <v>3342.7265635085287</v>
      </c>
      <c r="AF98" s="116">
        <v>3342.7265635085287</v>
      </c>
      <c r="AG98" s="116">
        <v>2997.603773139384</v>
      </c>
      <c r="AH98" s="116">
        <v>3342.7265635085287</v>
      </c>
      <c r="AI98" s="116">
        <v>3040.2878191929881</v>
      </c>
      <c r="AJ98" s="116">
        <v>3124.846563508529</v>
      </c>
      <c r="AK98" s="116">
        <v>3124.846563508529</v>
      </c>
      <c r="AL98" s="116">
        <v>3124.846563508529</v>
      </c>
      <c r="AM98" s="116">
        <v>3124.846563508529</v>
      </c>
      <c r="AN98" s="116">
        <v>3124.846563508529</v>
      </c>
      <c r="AO98" s="116">
        <v>3124.846563508529</v>
      </c>
      <c r="AP98" s="116">
        <v>3124.846563508529</v>
      </c>
      <c r="AQ98" s="116">
        <v>3342.7265635085287</v>
      </c>
      <c r="AR98" s="116">
        <v>3342.7265635085287</v>
      </c>
      <c r="AS98" s="116">
        <v>3342.7265635085287</v>
      </c>
      <c r="AT98" s="116">
        <v>3342.7265635085287</v>
      </c>
      <c r="AU98" s="116">
        <v>3124.846563508529</v>
      </c>
      <c r="AV98" s="116">
        <v>3124.846563508529</v>
      </c>
      <c r="AW98" s="116">
        <v>3124.846563508529</v>
      </c>
      <c r="AX98" s="116">
        <v>3124.846563508529</v>
      </c>
      <c r="AY98" s="116">
        <v>3124.846563508529</v>
      </c>
    </row>
    <row r="99" spans="1:52" x14ac:dyDescent="0.2">
      <c r="A99" s="134"/>
      <c r="B99" s="138" t="s">
        <v>295</v>
      </c>
      <c r="C99" s="131"/>
      <c r="D99" s="131">
        <v>0</v>
      </c>
      <c r="E99" s="131">
        <v>0</v>
      </c>
      <c r="F99" s="131">
        <v>0</v>
      </c>
      <c r="G99" s="131">
        <v>0</v>
      </c>
      <c r="H99" s="131">
        <v>1049.7265635085287</v>
      </c>
      <c r="I99" s="131">
        <v>2512.7265635085287</v>
      </c>
      <c r="J99" s="131">
        <v>2582.7265635085287</v>
      </c>
      <c r="K99" s="131">
        <v>2744.7265635085287</v>
      </c>
      <c r="L99" s="131">
        <v>2407.846563508529</v>
      </c>
      <c r="M99" s="131">
        <v>2502.846563508529</v>
      </c>
      <c r="N99" s="131">
        <v>2694.846563508529</v>
      </c>
      <c r="O99" s="131">
        <v>2642.846563508529</v>
      </c>
      <c r="P99" s="131">
        <v>2649.846563508529</v>
      </c>
      <c r="Q99" s="131">
        <v>2800.846563508529</v>
      </c>
      <c r="R99" s="131">
        <v>2780.846563508529</v>
      </c>
      <c r="S99" s="131">
        <v>2795.846563508529</v>
      </c>
      <c r="T99" s="131">
        <v>2930.7265635085287</v>
      </c>
      <c r="U99" s="131">
        <v>2877.7265635085287</v>
      </c>
      <c r="V99" s="131">
        <v>2892.7265635085287</v>
      </c>
      <c r="W99" s="131">
        <v>2795.7265635085287</v>
      </c>
      <c r="X99" s="131">
        <v>2583.2833437762365</v>
      </c>
      <c r="Y99" s="131">
        <v>2432.4532648722593</v>
      </c>
      <c r="Z99" s="131">
        <v>2459.6227525809595</v>
      </c>
      <c r="AA99" s="131">
        <v>2512.846563508529</v>
      </c>
      <c r="AB99" s="131">
        <v>2383.846563508529</v>
      </c>
      <c r="AC99" s="131">
        <v>2957.846563508529</v>
      </c>
      <c r="AD99" s="131">
        <v>2962.846563508529</v>
      </c>
      <c r="AE99" s="131">
        <v>2960.846563508529</v>
      </c>
      <c r="AF99" s="131">
        <v>3125.7265635085287</v>
      </c>
      <c r="AG99" s="131">
        <v>3090.7265635085287</v>
      </c>
      <c r="AH99" s="131">
        <v>2745.603773139384</v>
      </c>
      <c r="AI99" s="131">
        <v>3137.7265635085287</v>
      </c>
      <c r="AJ99" s="131">
        <v>2799.2878191929881</v>
      </c>
      <c r="AK99" s="131">
        <v>2888.846563508529</v>
      </c>
      <c r="AL99" s="131">
        <v>2879.846563508529</v>
      </c>
      <c r="AM99" s="131">
        <v>2889.846563508529</v>
      </c>
      <c r="AN99" s="131">
        <v>2850.846563508529</v>
      </c>
      <c r="AO99" s="131">
        <v>2716.846563508529</v>
      </c>
      <c r="AP99" s="131">
        <v>2661.846563508529</v>
      </c>
      <c r="AQ99" s="131">
        <v>2584.846563508529</v>
      </c>
      <c r="AR99" s="131">
        <v>2810.7265635085287</v>
      </c>
      <c r="AS99" s="131">
        <v>3027.7265635085287</v>
      </c>
      <c r="AT99" s="131">
        <v>3038.7265635085287</v>
      </c>
      <c r="AU99" s="131">
        <v>3087.7265635085287</v>
      </c>
      <c r="AV99" s="131">
        <v>2870.846563508529</v>
      </c>
      <c r="AW99" s="131">
        <v>2913.846563508529</v>
      </c>
      <c r="AX99" s="131">
        <v>2927.846563508529</v>
      </c>
      <c r="AY99" s="131">
        <v>2959.846563508529</v>
      </c>
      <c r="AZ99" s="113">
        <f>SUM($D99:$AY99)</f>
        <v>120925.46693039453</v>
      </c>
    </row>
    <row r="100" spans="1:52" x14ac:dyDescent="0.2">
      <c r="A100" s="137" t="s">
        <v>133</v>
      </c>
      <c r="B100" s="125">
        <v>1</v>
      </c>
      <c r="C100" s="112"/>
      <c r="D100" s="112">
        <v>0</v>
      </c>
      <c r="E100" s="112">
        <v>0</v>
      </c>
      <c r="F100" s="112">
        <v>273.74765262492122</v>
      </c>
      <c r="G100" s="112">
        <v>273.74765262492122</v>
      </c>
      <c r="H100" s="112">
        <v>273.74765262492122</v>
      </c>
      <c r="I100" s="112">
        <v>273.74765262492122</v>
      </c>
      <c r="J100" s="112">
        <v>243.33124677770775</v>
      </c>
      <c r="K100" s="112">
        <v>243.33124677770775</v>
      </c>
      <c r="L100" s="112">
        <v>243.33124677770775</v>
      </c>
      <c r="M100" s="112">
        <v>243.33124677770775</v>
      </c>
      <c r="N100" s="112">
        <v>243.33124677770775</v>
      </c>
      <c r="O100" s="112">
        <v>243.33124677770775</v>
      </c>
      <c r="P100" s="112">
        <v>243.33124677770775</v>
      </c>
      <c r="Q100" s="112">
        <v>243.33124677770775</v>
      </c>
      <c r="R100" s="112">
        <v>273.74765262492122</v>
      </c>
      <c r="S100" s="112">
        <v>273.74765262492122</v>
      </c>
      <c r="T100" s="112">
        <v>273.74765262492122</v>
      </c>
      <c r="U100" s="112">
        <v>273.74765262492122</v>
      </c>
      <c r="V100" s="112">
        <v>243.33124677770775</v>
      </c>
      <c r="W100" s="112">
        <v>243.33124677770775</v>
      </c>
      <c r="X100" s="112">
        <v>243.33124677770775</v>
      </c>
      <c r="Y100" s="112">
        <v>243.33124677770775</v>
      </c>
      <c r="Z100" s="112">
        <v>243.33124677770775</v>
      </c>
      <c r="AA100" s="112">
        <v>243.33124677770775</v>
      </c>
      <c r="AB100" s="112">
        <v>243.33124677770775</v>
      </c>
      <c r="AC100" s="112">
        <v>243.33124677770775</v>
      </c>
      <c r="AD100" s="112">
        <v>273.74765262492122</v>
      </c>
      <c r="AE100" s="112">
        <v>273.74765262492122</v>
      </c>
      <c r="AF100" s="112">
        <v>273.74765262492122</v>
      </c>
      <c r="AG100" s="112">
        <v>273.74765262492122</v>
      </c>
      <c r="AH100" s="112">
        <v>243.33124677770775</v>
      </c>
      <c r="AI100" s="112">
        <v>243.33124677770775</v>
      </c>
      <c r="AJ100" s="112">
        <v>243.33124677770775</v>
      </c>
      <c r="AK100" s="112">
        <v>243.33124677770775</v>
      </c>
      <c r="AL100" s="112">
        <v>243.33124677770775</v>
      </c>
      <c r="AM100" s="112">
        <v>243.33124677770775</v>
      </c>
      <c r="AN100" s="112">
        <v>243.33124677770775</v>
      </c>
      <c r="AO100" s="112">
        <v>243.33124677770775</v>
      </c>
      <c r="AP100" s="112">
        <v>273.74765262492122</v>
      </c>
      <c r="AQ100" s="112">
        <v>273.74765262492122</v>
      </c>
      <c r="AR100" s="112">
        <v>273.74765262492122</v>
      </c>
      <c r="AS100" s="112">
        <v>273.74765262492122</v>
      </c>
      <c r="AT100" s="112">
        <v>243.33124677770775</v>
      </c>
      <c r="AU100" s="112">
        <v>0</v>
      </c>
      <c r="AV100" s="112">
        <v>486.66249355541549</v>
      </c>
      <c r="AW100" s="112">
        <v>243.33124677770775</v>
      </c>
      <c r="AX100" s="112">
        <v>243.33124677770775</v>
      </c>
      <c r="AY100" s="112">
        <v>243.33124677770775</v>
      </c>
    </row>
    <row r="101" spans="1:52" x14ac:dyDescent="0.2">
      <c r="A101" s="115"/>
      <c r="B101" s="125">
        <v>2</v>
      </c>
      <c r="C101" s="112"/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/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/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/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/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/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/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295</v>
      </c>
      <c r="C108" s="120"/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/>
      <c r="D109" s="112">
        <v>0</v>
      </c>
      <c r="E109" s="112">
        <v>707.98402747895568</v>
      </c>
      <c r="F109" s="112">
        <v>1139.1919616628863</v>
      </c>
      <c r="G109" s="112">
        <v>1419.6969293296293</v>
      </c>
      <c r="H109" s="112">
        <v>1633.4647712411186</v>
      </c>
      <c r="I109" s="112">
        <v>1685.859591363188</v>
      </c>
      <c r="J109" s="112">
        <v>1726.6176291529143</v>
      </c>
      <c r="K109" s="112">
        <v>1761.5049502525283</v>
      </c>
      <c r="L109" s="112">
        <v>1767.8530942073344</v>
      </c>
      <c r="M109" s="112">
        <v>1774.6254784734847</v>
      </c>
      <c r="N109" s="112">
        <v>1846.4314579054058</v>
      </c>
      <c r="O109" s="112">
        <v>1875.7359404187641</v>
      </c>
      <c r="P109" s="112">
        <v>1902.7128809460708</v>
      </c>
      <c r="Q109" s="112">
        <v>2019.9037198742558</v>
      </c>
      <c r="R109" s="112">
        <v>2058.3105650722723</v>
      </c>
      <c r="S109" s="112">
        <v>2090.0110729930293</v>
      </c>
      <c r="T109" s="112">
        <v>2124.3789672849321</v>
      </c>
      <c r="U109" s="112">
        <v>2071.9606165573068</v>
      </c>
      <c r="V109" s="112">
        <v>1978.2916735719218</v>
      </c>
      <c r="W109" s="112">
        <v>1934.7625252770454</v>
      </c>
      <c r="X109" s="112">
        <v>1882.0418090248193</v>
      </c>
      <c r="Y109" s="112">
        <v>1889.8531929737294</v>
      </c>
      <c r="Z109" s="112">
        <v>1778.2605376801871</v>
      </c>
      <c r="AA109" s="112">
        <v>1693.8372057987017</v>
      </c>
      <c r="AB109" s="112">
        <v>1605.2046413041344</v>
      </c>
      <c r="AC109" s="112">
        <v>1662.0780531524483</v>
      </c>
      <c r="AD109" s="112">
        <v>1635.6531352009215</v>
      </c>
      <c r="AE109" s="112">
        <v>1532.1186501893631</v>
      </c>
      <c r="AF109" s="112">
        <v>1473.8751542622672</v>
      </c>
      <c r="AG109" s="112">
        <v>1315.9784343153949</v>
      </c>
      <c r="AH109" s="112">
        <v>1523.5944764060825</v>
      </c>
      <c r="AI109" s="112">
        <v>1653.2615023316196</v>
      </c>
      <c r="AJ109" s="112">
        <v>1761.0850486006002</v>
      </c>
      <c r="AK109" s="112">
        <v>1836.0130635713685</v>
      </c>
      <c r="AL109" s="112">
        <v>1885.7494792378907</v>
      </c>
      <c r="AM109" s="112">
        <v>1919.8801664827881</v>
      </c>
      <c r="AN109" s="112">
        <v>1966.0667704414693</v>
      </c>
      <c r="AO109" s="112">
        <v>2054.2739739698154</v>
      </c>
      <c r="AP109" s="112">
        <v>2077.618757708869</v>
      </c>
      <c r="AQ109" s="112">
        <v>2087.9058281423008</v>
      </c>
      <c r="AR109" s="112">
        <v>2099.8927431579036</v>
      </c>
      <c r="AS109" s="112">
        <v>1998.7245800064384</v>
      </c>
      <c r="AT109" s="112">
        <v>1955.4870037135588</v>
      </c>
      <c r="AU109" s="112">
        <v>1867.0416952951057</v>
      </c>
      <c r="AV109" s="112">
        <v>1856.1820571413384</v>
      </c>
      <c r="AW109" s="112">
        <v>1796.3915595372864</v>
      </c>
      <c r="AX109" s="112">
        <v>1857.7208931612722</v>
      </c>
      <c r="AY109" s="112">
        <v>1899.9110075223714</v>
      </c>
    </row>
    <row r="110" spans="1:52" x14ac:dyDescent="0.2">
      <c r="A110" s="115"/>
      <c r="B110" s="125">
        <v>2</v>
      </c>
      <c r="C110" s="112"/>
      <c r="D110" s="112">
        <v>0</v>
      </c>
      <c r="E110" s="112">
        <v>0</v>
      </c>
      <c r="F110" s="112">
        <v>373.98402747895568</v>
      </c>
      <c r="G110" s="112">
        <v>1139.1919616628863</v>
      </c>
      <c r="H110" s="112">
        <v>1419.6969293296293</v>
      </c>
      <c r="I110" s="112">
        <v>1633.4647712411186</v>
      </c>
      <c r="J110" s="112">
        <v>1685.859591363188</v>
      </c>
      <c r="K110" s="112">
        <v>1726.6176291529143</v>
      </c>
      <c r="L110" s="112">
        <v>1761.5049502525283</v>
      </c>
      <c r="M110" s="112">
        <v>1767.8530942073344</v>
      </c>
      <c r="N110" s="112">
        <v>1774.6254784734847</v>
      </c>
      <c r="O110" s="112">
        <v>1846.4314579054058</v>
      </c>
      <c r="P110" s="112">
        <v>1875.7359404187641</v>
      </c>
      <c r="Q110" s="112">
        <v>1902.7128809460708</v>
      </c>
      <c r="R110" s="112">
        <v>2019.9037198742558</v>
      </c>
      <c r="S110" s="112">
        <v>2058.3105650722723</v>
      </c>
      <c r="T110" s="112">
        <v>2090.0110729930293</v>
      </c>
      <c r="U110" s="112">
        <v>2124.3789672849321</v>
      </c>
      <c r="V110" s="112">
        <v>2071.9606165573068</v>
      </c>
      <c r="W110" s="112">
        <v>1978.2916735719218</v>
      </c>
      <c r="X110" s="112">
        <v>1934.7625252770454</v>
      </c>
      <c r="Y110" s="112">
        <v>1882.0418090248193</v>
      </c>
      <c r="Z110" s="112">
        <v>1889.8531929737294</v>
      </c>
      <c r="AA110" s="112">
        <v>1778.2605376801871</v>
      </c>
      <c r="AB110" s="112">
        <v>1693.8372057987017</v>
      </c>
      <c r="AC110" s="112">
        <v>1605.2046413041344</v>
      </c>
      <c r="AD110" s="112">
        <v>1662.0780531524483</v>
      </c>
      <c r="AE110" s="112">
        <v>1635.6531352009215</v>
      </c>
      <c r="AF110" s="112">
        <v>1532.1186501893631</v>
      </c>
      <c r="AG110" s="112">
        <v>1473.8751542622672</v>
      </c>
      <c r="AH110" s="112">
        <v>1315.9784343153949</v>
      </c>
      <c r="AI110" s="112">
        <v>1523.5944764060825</v>
      </c>
      <c r="AJ110" s="112">
        <v>1653.2615023316196</v>
      </c>
      <c r="AK110" s="112">
        <v>1761.0850486006002</v>
      </c>
      <c r="AL110" s="112">
        <v>1836.0130635713685</v>
      </c>
      <c r="AM110" s="112">
        <v>1885.7494792378907</v>
      </c>
      <c r="AN110" s="112">
        <v>1919.8801664827881</v>
      </c>
      <c r="AO110" s="112">
        <v>1966.0667704414693</v>
      </c>
      <c r="AP110" s="112">
        <v>2054.2739739698154</v>
      </c>
      <c r="AQ110" s="112">
        <v>2077.618757708869</v>
      </c>
      <c r="AR110" s="112">
        <v>2087.9058281423008</v>
      </c>
      <c r="AS110" s="112">
        <v>2099.8927431579036</v>
      </c>
      <c r="AT110" s="112">
        <v>1998.7245800064384</v>
      </c>
      <c r="AU110" s="112">
        <v>1955.4870037135588</v>
      </c>
      <c r="AV110" s="112">
        <v>1867.0416952951057</v>
      </c>
      <c r="AW110" s="112">
        <v>1856.1820571413384</v>
      </c>
      <c r="AX110" s="112">
        <v>1796.3915595372864</v>
      </c>
      <c r="AY110" s="112">
        <v>1857.7208931612722</v>
      </c>
    </row>
    <row r="111" spans="1:52" x14ac:dyDescent="0.2">
      <c r="A111" s="115"/>
      <c r="B111" s="125">
        <v>3</v>
      </c>
      <c r="C111" s="112"/>
      <c r="D111" s="112">
        <v>0</v>
      </c>
      <c r="E111" s="112">
        <v>0</v>
      </c>
      <c r="F111" s="112">
        <v>0</v>
      </c>
      <c r="G111" s="112">
        <v>48.164072406100672</v>
      </c>
      <c r="H111" s="112">
        <v>788.98770338443944</v>
      </c>
      <c r="I111" s="112">
        <v>1419.6969293296293</v>
      </c>
      <c r="J111" s="112">
        <v>1633.4647712411186</v>
      </c>
      <c r="K111" s="112">
        <v>1685.859591363188</v>
      </c>
      <c r="L111" s="112">
        <v>1726.6176291529143</v>
      </c>
      <c r="M111" s="112">
        <v>1761.5049502525283</v>
      </c>
      <c r="N111" s="112">
        <v>1767.8530942073344</v>
      </c>
      <c r="O111" s="112">
        <v>1774.6254784734847</v>
      </c>
      <c r="P111" s="112">
        <v>1846.4314579054058</v>
      </c>
      <c r="Q111" s="112">
        <v>1875.7359404187641</v>
      </c>
      <c r="R111" s="112">
        <v>1902.7128809460708</v>
      </c>
      <c r="S111" s="112">
        <v>2019.9037198742558</v>
      </c>
      <c r="T111" s="112">
        <v>2058.3105650722723</v>
      </c>
      <c r="U111" s="112">
        <v>2090.0110729930293</v>
      </c>
      <c r="V111" s="112">
        <v>2124.3789672849321</v>
      </c>
      <c r="W111" s="112">
        <v>2071.9606165573068</v>
      </c>
      <c r="X111" s="112">
        <v>1978.2916735719218</v>
      </c>
      <c r="Y111" s="112">
        <v>1934.7625252770454</v>
      </c>
      <c r="Z111" s="112">
        <v>1882.0418090248193</v>
      </c>
      <c r="AA111" s="112">
        <v>1889.8531929737294</v>
      </c>
      <c r="AB111" s="112">
        <v>1778.2605376801871</v>
      </c>
      <c r="AC111" s="112">
        <v>1693.8372057987017</v>
      </c>
      <c r="AD111" s="112">
        <v>1605.2046413041344</v>
      </c>
      <c r="AE111" s="112">
        <v>1662.0780531524483</v>
      </c>
      <c r="AF111" s="112">
        <v>1635.6531352009215</v>
      </c>
      <c r="AG111" s="112">
        <v>1532.1186501893631</v>
      </c>
      <c r="AH111" s="112">
        <v>1473.8751542622672</v>
      </c>
      <c r="AI111" s="112">
        <v>1315.9784343153949</v>
      </c>
      <c r="AJ111" s="112">
        <v>1523.5944764060825</v>
      </c>
      <c r="AK111" s="112">
        <v>1653.2615023316196</v>
      </c>
      <c r="AL111" s="112">
        <v>1761.0850486006002</v>
      </c>
      <c r="AM111" s="112">
        <v>1836.0130635713685</v>
      </c>
      <c r="AN111" s="112">
        <v>1885.7494792378907</v>
      </c>
      <c r="AO111" s="112">
        <v>1919.8801664827881</v>
      </c>
      <c r="AP111" s="112">
        <v>1966.0667704414693</v>
      </c>
      <c r="AQ111" s="112">
        <v>2054.2739739698154</v>
      </c>
      <c r="AR111" s="112">
        <v>2077.618757708869</v>
      </c>
      <c r="AS111" s="112">
        <v>2087.9058281423008</v>
      </c>
      <c r="AT111" s="112">
        <v>2099.8927431579036</v>
      </c>
      <c r="AU111" s="112">
        <v>1998.7245800064384</v>
      </c>
      <c r="AV111" s="112">
        <v>1955.4870037135588</v>
      </c>
      <c r="AW111" s="112">
        <v>1867.0416952951057</v>
      </c>
      <c r="AX111" s="112">
        <v>1856.1820571413384</v>
      </c>
      <c r="AY111" s="112">
        <v>1796.3915595372864</v>
      </c>
    </row>
    <row r="112" spans="1:52" x14ac:dyDescent="0.2">
      <c r="A112" s="115"/>
      <c r="B112" s="126">
        <v>4</v>
      </c>
      <c r="C112" s="112"/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330.76061435704486</v>
      </c>
      <c r="J112" s="112">
        <v>1315.6717073423956</v>
      </c>
      <c r="K112" s="112">
        <v>1633.4647712411186</v>
      </c>
      <c r="L112" s="112">
        <v>1685.859591363188</v>
      </c>
      <c r="M112" s="112">
        <v>1726.6176291529143</v>
      </c>
      <c r="N112" s="112">
        <v>1761.5049502525283</v>
      </c>
      <c r="O112" s="112">
        <v>1767.8530942073344</v>
      </c>
      <c r="P112" s="112">
        <v>1774.6254784734847</v>
      </c>
      <c r="Q112" s="112">
        <v>1846.4314579054058</v>
      </c>
      <c r="R112" s="112">
        <v>1875.7359404187641</v>
      </c>
      <c r="S112" s="112">
        <v>1902.7128809460708</v>
      </c>
      <c r="T112" s="112">
        <v>2019.9037198742558</v>
      </c>
      <c r="U112" s="112">
        <v>2058.3105650722723</v>
      </c>
      <c r="V112" s="112">
        <v>2090.0110729930293</v>
      </c>
      <c r="W112" s="112">
        <v>2124.3789672849321</v>
      </c>
      <c r="X112" s="112">
        <v>2071.9606165573068</v>
      </c>
      <c r="Y112" s="112">
        <v>1978.2916735719218</v>
      </c>
      <c r="Z112" s="112">
        <v>1934.7625252770454</v>
      </c>
      <c r="AA112" s="112">
        <v>1882.0418090248193</v>
      </c>
      <c r="AB112" s="112">
        <v>1889.8531929737294</v>
      </c>
      <c r="AC112" s="112">
        <v>1778.2605376801871</v>
      </c>
      <c r="AD112" s="112">
        <v>1693.8372057987017</v>
      </c>
      <c r="AE112" s="112">
        <v>1605.2046413041344</v>
      </c>
      <c r="AF112" s="112">
        <v>1662.0780531524483</v>
      </c>
      <c r="AG112" s="112">
        <v>1635.6531352009215</v>
      </c>
      <c r="AH112" s="112">
        <v>1532.1186501893631</v>
      </c>
      <c r="AI112" s="112">
        <v>1473.8751542622672</v>
      </c>
      <c r="AJ112" s="112">
        <v>1315.9784343153949</v>
      </c>
      <c r="AK112" s="112">
        <v>1523.5944764060825</v>
      </c>
      <c r="AL112" s="112">
        <v>1653.2615023316196</v>
      </c>
      <c r="AM112" s="112">
        <v>1761.0850486006002</v>
      </c>
      <c r="AN112" s="112">
        <v>1836.0130635713685</v>
      </c>
      <c r="AO112" s="112">
        <v>1885.7494792378907</v>
      </c>
      <c r="AP112" s="112">
        <v>1919.8801664827881</v>
      </c>
      <c r="AQ112" s="112">
        <v>1966.0667704414693</v>
      </c>
      <c r="AR112" s="112">
        <v>2054.2739739698154</v>
      </c>
      <c r="AS112" s="112">
        <v>2077.618757708869</v>
      </c>
      <c r="AT112" s="112">
        <v>2087.9058281423008</v>
      </c>
      <c r="AU112" s="112">
        <v>2099.8927431579036</v>
      </c>
      <c r="AV112" s="112">
        <v>1998.7245800064384</v>
      </c>
      <c r="AW112" s="112">
        <v>1955.4870037135588</v>
      </c>
      <c r="AX112" s="112">
        <v>1867.0416952951057</v>
      </c>
      <c r="AY112" s="112">
        <v>1856.1820571413384</v>
      </c>
    </row>
    <row r="113" spans="1:52" x14ac:dyDescent="0.2">
      <c r="A113" s="115"/>
      <c r="B113" s="126">
        <v>5</v>
      </c>
      <c r="C113" s="112"/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928.1464053819011</v>
      </c>
      <c r="L113" s="112">
        <v>1633.4647712411186</v>
      </c>
      <c r="M113" s="112">
        <v>1685.859591363188</v>
      </c>
      <c r="N113" s="112">
        <v>1726.6176291529143</v>
      </c>
      <c r="O113" s="112">
        <v>1761.5049502525283</v>
      </c>
      <c r="P113" s="112">
        <v>1767.8530942073344</v>
      </c>
      <c r="Q113" s="112">
        <v>1774.6254784734847</v>
      </c>
      <c r="R113" s="112">
        <v>1846.4314579054058</v>
      </c>
      <c r="S113" s="112">
        <v>1875.7359404187641</v>
      </c>
      <c r="T113" s="112">
        <v>1902.7128809460708</v>
      </c>
      <c r="U113" s="112">
        <v>2019.9037198742558</v>
      </c>
      <c r="V113" s="112">
        <v>2058.3105650722723</v>
      </c>
      <c r="W113" s="112">
        <v>2090.0110729930293</v>
      </c>
      <c r="X113" s="112">
        <v>2124.3789672849321</v>
      </c>
      <c r="Y113" s="112">
        <v>2071.9606165573068</v>
      </c>
      <c r="Z113" s="112">
        <v>1978.2916735719218</v>
      </c>
      <c r="AA113" s="112">
        <v>1934.7625252770454</v>
      </c>
      <c r="AB113" s="112">
        <v>1882.0418090248193</v>
      </c>
      <c r="AC113" s="112">
        <v>1889.8531929737294</v>
      </c>
      <c r="AD113" s="112">
        <v>1778.2605376801871</v>
      </c>
      <c r="AE113" s="112">
        <v>1693.8372057987017</v>
      </c>
      <c r="AF113" s="112">
        <v>1605.2046413041344</v>
      </c>
      <c r="AG113" s="112">
        <v>1662.0780531524483</v>
      </c>
      <c r="AH113" s="112">
        <v>1635.6531352009215</v>
      </c>
      <c r="AI113" s="112">
        <v>1532.1186501893631</v>
      </c>
      <c r="AJ113" s="112">
        <v>1473.8751542622672</v>
      </c>
      <c r="AK113" s="112">
        <v>1315.9784343153949</v>
      </c>
      <c r="AL113" s="112">
        <v>1523.5944764060825</v>
      </c>
      <c r="AM113" s="112">
        <v>1653.2615023316196</v>
      </c>
      <c r="AN113" s="112">
        <v>1761.0850486006002</v>
      </c>
      <c r="AO113" s="112">
        <v>1836.0130635713685</v>
      </c>
      <c r="AP113" s="112">
        <v>1885.7494792378907</v>
      </c>
      <c r="AQ113" s="112">
        <v>1919.8801664827881</v>
      </c>
      <c r="AR113" s="112">
        <v>1966.0667704414693</v>
      </c>
      <c r="AS113" s="112">
        <v>2054.2739739698154</v>
      </c>
      <c r="AT113" s="112">
        <v>2077.618757708869</v>
      </c>
      <c r="AU113" s="112">
        <v>2087.9058281423008</v>
      </c>
      <c r="AV113" s="112">
        <v>2099.8927431579036</v>
      </c>
      <c r="AW113" s="112">
        <v>1998.7245800064384</v>
      </c>
      <c r="AX113" s="112">
        <v>1955.4870037135588</v>
      </c>
      <c r="AY113" s="112">
        <v>1867.0416952951057</v>
      </c>
    </row>
    <row r="114" spans="1:52" x14ac:dyDescent="0.2">
      <c r="A114" s="115"/>
      <c r="B114" s="126">
        <v>6</v>
      </c>
      <c r="C114" s="112"/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593.50967932478784</v>
      </c>
      <c r="M114" s="112">
        <v>1338.2494501936603</v>
      </c>
      <c r="N114" s="112">
        <v>1685.859591363188</v>
      </c>
      <c r="O114" s="112">
        <v>1726.6176291529143</v>
      </c>
      <c r="P114" s="112">
        <v>1761.5049502525283</v>
      </c>
      <c r="Q114" s="112">
        <v>1767.8530942073344</v>
      </c>
      <c r="R114" s="112">
        <v>1774.6254784734847</v>
      </c>
      <c r="S114" s="112">
        <v>1846.4314579054058</v>
      </c>
      <c r="T114" s="112">
        <v>1875.7359404187641</v>
      </c>
      <c r="U114" s="112">
        <v>1902.7128809460708</v>
      </c>
      <c r="V114" s="112">
        <v>2019.9037198742558</v>
      </c>
      <c r="W114" s="112">
        <v>2058.3105650722723</v>
      </c>
      <c r="X114" s="112">
        <v>2090.0110729930293</v>
      </c>
      <c r="Y114" s="112">
        <v>2124.3789672849321</v>
      </c>
      <c r="Z114" s="112">
        <v>2071.9606165573068</v>
      </c>
      <c r="AA114" s="112">
        <v>1978.2916735719218</v>
      </c>
      <c r="AB114" s="112">
        <v>1934.7625252770454</v>
      </c>
      <c r="AC114" s="112">
        <v>1882.0418090248193</v>
      </c>
      <c r="AD114" s="112">
        <v>1889.8531929737294</v>
      </c>
      <c r="AE114" s="112">
        <v>1778.2605376801871</v>
      </c>
      <c r="AF114" s="112">
        <v>1693.8372057987017</v>
      </c>
      <c r="AG114" s="112">
        <v>1605.2046413041344</v>
      </c>
      <c r="AH114" s="112">
        <v>1662.0780531524483</v>
      </c>
      <c r="AI114" s="112">
        <v>1635.6531352009215</v>
      </c>
      <c r="AJ114" s="112">
        <v>1532.1186501893631</v>
      </c>
      <c r="AK114" s="112">
        <v>1473.8751542622672</v>
      </c>
      <c r="AL114" s="112">
        <v>1315.9784343153949</v>
      </c>
      <c r="AM114" s="112">
        <v>1523.5944764060825</v>
      </c>
      <c r="AN114" s="112">
        <v>1653.2615023316196</v>
      </c>
      <c r="AO114" s="112">
        <v>1761.0850486006002</v>
      </c>
      <c r="AP114" s="112">
        <v>1836.0130635713685</v>
      </c>
      <c r="AQ114" s="112">
        <v>1885.7494792378907</v>
      </c>
      <c r="AR114" s="112">
        <v>1919.8801664827881</v>
      </c>
      <c r="AS114" s="112">
        <v>1966.0667704414693</v>
      </c>
      <c r="AT114" s="112">
        <v>2054.2739739698154</v>
      </c>
      <c r="AU114" s="112">
        <v>2077.618757708869</v>
      </c>
      <c r="AV114" s="112">
        <v>2087.9058281423008</v>
      </c>
      <c r="AW114" s="112">
        <v>2099.8927431579036</v>
      </c>
      <c r="AX114" s="112">
        <v>1998.7245800064384</v>
      </c>
      <c r="AY114" s="112">
        <v>1955.4870037135588</v>
      </c>
    </row>
    <row r="115" spans="1:52" x14ac:dyDescent="0.2">
      <c r="A115" s="115"/>
      <c r="B115" s="133">
        <v>7</v>
      </c>
      <c r="C115" s="112"/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469.00595332552371</v>
      </c>
      <c r="O115" s="112">
        <v>1147.4751410126187</v>
      </c>
      <c r="P115" s="112">
        <v>1726.6176291529143</v>
      </c>
      <c r="Q115" s="112">
        <v>1761.5049502525283</v>
      </c>
      <c r="R115" s="112">
        <v>1767.8530942073344</v>
      </c>
      <c r="S115" s="112">
        <v>1774.6254784734847</v>
      </c>
      <c r="T115" s="112">
        <v>1846.4314579054058</v>
      </c>
      <c r="U115" s="112">
        <v>1875.7359404187641</v>
      </c>
      <c r="V115" s="112">
        <v>1902.7128809460708</v>
      </c>
      <c r="W115" s="112">
        <v>2019.9037198742558</v>
      </c>
      <c r="X115" s="112">
        <v>2058.3105650722723</v>
      </c>
      <c r="Y115" s="112">
        <v>2090.0110729930293</v>
      </c>
      <c r="Z115" s="112">
        <v>2124.3789672849321</v>
      </c>
      <c r="AA115" s="112">
        <v>2071.9606165573068</v>
      </c>
      <c r="AB115" s="112">
        <v>1978.2916735719218</v>
      </c>
      <c r="AC115" s="112">
        <v>1934.7625252770454</v>
      </c>
      <c r="AD115" s="112">
        <v>1882.0418090248193</v>
      </c>
      <c r="AE115" s="112">
        <v>1889.8531929737294</v>
      </c>
      <c r="AF115" s="112">
        <v>1778.2605376801871</v>
      </c>
      <c r="AG115" s="112">
        <v>1693.8372057987017</v>
      </c>
      <c r="AH115" s="112">
        <v>1605.2046413041344</v>
      </c>
      <c r="AI115" s="112">
        <v>1662.0780531524483</v>
      </c>
      <c r="AJ115" s="112">
        <v>1635.6531352009215</v>
      </c>
      <c r="AK115" s="112">
        <v>1532.1186501893631</v>
      </c>
      <c r="AL115" s="112">
        <v>1473.8751542622672</v>
      </c>
      <c r="AM115" s="112">
        <v>1315.9784343153949</v>
      </c>
      <c r="AN115" s="112">
        <v>1523.5944764060825</v>
      </c>
      <c r="AO115" s="112">
        <v>1653.2615023316196</v>
      </c>
      <c r="AP115" s="112">
        <v>1761.0850486006002</v>
      </c>
      <c r="AQ115" s="112">
        <v>1836.0130635713685</v>
      </c>
      <c r="AR115" s="112">
        <v>1885.7494792378907</v>
      </c>
      <c r="AS115" s="112">
        <v>1919.8801664827881</v>
      </c>
      <c r="AT115" s="112">
        <v>1966.0667704414693</v>
      </c>
      <c r="AU115" s="112">
        <v>2054.2739739698154</v>
      </c>
      <c r="AV115" s="112">
        <v>2077.618757708869</v>
      </c>
      <c r="AW115" s="112">
        <v>2087.9058281423008</v>
      </c>
      <c r="AX115" s="112">
        <v>2099.8927431579036</v>
      </c>
      <c r="AY115" s="112">
        <v>1998.7245800064384</v>
      </c>
    </row>
    <row r="116" spans="1:52" x14ac:dyDescent="0.2">
      <c r="A116" s="115"/>
      <c r="B116" s="133">
        <v>8</v>
      </c>
      <c r="C116" s="112"/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320.99653895006804</v>
      </c>
      <c r="Q116" s="112">
        <v>1195.258867930926</v>
      </c>
      <c r="R116" s="112">
        <v>1761.5049502525283</v>
      </c>
      <c r="S116" s="112">
        <v>1767.8530942073344</v>
      </c>
      <c r="T116" s="112">
        <v>1774.6254784734847</v>
      </c>
      <c r="U116" s="112">
        <v>1846.4314579054058</v>
      </c>
      <c r="V116" s="112">
        <v>1875.7359404187641</v>
      </c>
      <c r="W116" s="112">
        <v>1902.7128809460708</v>
      </c>
      <c r="X116" s="112">
        <v>2019.9037198742558</v>
      </c>
      <c r="Y116" s="112">
        <v>2058.3105650722723</v>
      </c>
      <c r="Z116" s="112">
        <v>2090.0110729930293</v>
      </c>
      <c r="AA116" s="112">
        <v>2124.3789672849321</v>
      </c>
      <c r="AB116" s="112">
        <v>2071.9606165573068</v>
      </c>
      <c r="AC116" s="112">
        <v>1978.2916735719218</v>
      </c>
      <c r="AD116" s="112">
        <v>1934.7625252770454</v>
      </c>
      <c r="AE116" s="112">
        <v>1882.0418090248193</v>
      </c>
      <c r="AF116" s="112">
        <v>1889.8531929737294</v>
      </c>
      <c r="AG116" s="112">
        <v>1778.2605376801871</v>
      </c>
      <c r="AH116" s="112">
        <v>1693.8372057987017</v>
      </c>
      <c r="AI116" s="112">
        <v>1605.2046413041344</v>
      </c>
      <c r="AJ116" s="112">
        <v>1662.0780531524483</v>
      </c>
      <c r="AK116" s="112">
        <v>1635.6531352009215</v>
      </c>
      <c r="AL116" s="112">
        <v>1532.1186501893631</v>
      </c>
      <c r="AM116" s="112">
        <v>1473.8751542622672</v>
      </c>
      <c r="AN116" s="112">
        <v>1315.9784343153949</v>
      </c>
      <c r="AO116" s="112">
        <v>1523.5944764060825</v>
      </c>
      <c r="AP116" s="112">
        <v>1653.2615023316196</v>
      </c>
      <c r="AQ116" s="112">
        <v>1761.0850486006002</v>
      </c>
      <c r="AR116" s="112">
        <v>1836.0130635713685</v>
      </c>
      <c r="AS116" s="112">
        <v>1885.7494792378907</v>
      </c>
      <c r="AT116" s="112">
        <v>1919.8801664827881</v>
      </c>
      <c r="AU116" s="112">
        <v>1966.0667704414693</v>
      </c>
      <c r="AV116" s="112">
        <v>2054.2739739698154</v>
      </c>
      <c r="AW116" s="112">
        <v>2077.618757708869</v>
      </c>
      <c r="AX116" s="112">
        <v>2087.9058281423008</v>
      </c>
      <c r="AY116" s="112">
        <v>2099.8927431579036</v>
      </c>
    </row>
    <row r="117" spans="1:52" x14ac:dyDescent="0.2">
      <c r="A117" s="115"/>
      <c r="B117" s="133">
        <v>9</v>
      </c>
      <c r="C117" s="112"/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413.9594592083314</v>
      </c>
      <c r="S117" s="112">
        <v>1521.5508852614705</v>
      </c>
      <c r="T117" s="112">
        <v>1767.8530942073344</v>
      </c>
      <c r="U117" s="112">
        <v>1774.6254784734847</v>
      </c>
      <c r="V117" s="112">
        <v>1846.4314579054058</v>
      </c>
      <c r="W117" s="112">
        <v>1875.7359404187641</v>
      </c>
      <c r="X117" s="112">
        <v>1902.7128809460708</v>
      </c>
      <c r="Y117" s="112">
        <v>2019.9037198742558</v>
      </c>
      <c r="Z117" s="112">
        <v>2058.3105650722723</v>
      </c>
      <c r="AA117" s="112">
        <v>2090.0110729930293</v>
      </c>
      <c r="AB117" s="112">
        <v>2124.3789672849321</v>
      </c>
      <c r="AC117" s="112">
        <v>2071.9606165573068</v>
      </c>
      <c r="AD117" s="112">
        <v>1978.2916735719218</v>
      </c>
      <c r="AE117" s="112">
        <v>1934.7625252770454</v>
      </c>
      <c r="AF117" s="112">
        <v>1882.0418090248193</v>
      </c>
      <c r="AG117" s="112">
        <v>1889.8531929737294</v>
      </c>
      <c r="AH117" s="112">
        <v>1778.2605376801871</v>
      </c>
      <c r="AI117" s="112">
        <v>1693.8372057987017</v>
      </c>
      <c r="AJ117" s="112">
        <v>1605.2046413041344</v>
      </c>
      <c r="AK117" s="112">
        <v>1662.0780531524483</v>
      </c>
      <c r="AL117" s="112">
        <v>1635.6531352009215</v>
      </c>
      <c r="AM117" s="112">
        <v>1532.1186501893631</v>
      </c>
      <c r="AN117" s="112">
        <v>1473.8751542622672</v>
      </c>
      <c r="AO117" s="112">
        <v>1315.9784343153949</v>
      </c>
      <c r="AP117" s="112">
        <v>1523.5944764060825</v>
      </c>
      <c r="AQ117" s="112">
        <v>1653.2615023316196</v>
      </c>
      <c r="AR117" s="112">
        <v>1761.0850486006002</v>
      </c>
      <c r="AS117" s="112">
        <v>1836.0130635713685</v>
      </c>
      <c r="AT117" s="112">
        <v>1885.7494792378907</v>
      </c>
      <c r="AU117" s="112">
        <v>1919.8801664827881</v>
      </c>
      <c r="AV117" s="112">
        <v>1966.0667704414693</v>
      </c>
      <c r="AW117" s="112">
        <v>2054.2739739698154</v>
      </c>
      <c r="AX117" s="112">
        <v>2077.618757708869</v>
      </c>
      <c r="AY117" s="112">
        <v>2087.9058281423008</v>
      </c>
    </row>
    <row r="118" spans="1:52" x14ac:dyDescent="0.2">
      <c r="A118" s="115"/>
      <c r="B118" s="136">
        <v>10</v>
      </c>
      <c r="C118" s="112"/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905.51632794280863</v>
      </c>
      <c r="U118" s="112">
        <v>1767.8530942073344</v>
      </c>
      <c r="V118" s="112">
        <v>1774.6254784734847</v>
      </c>
      <c r="W118" s="112">
        <v>1846.4314579054058</v>
      </c>
      <c r="X118" s="112">
        <v>1875.7359404187641</v>
      </c>
      <c r="Y118" s="112">
        <v>1902.7128809460708</v>
      </c>
      <c r="Z118" s="112">
        <v>2019.9037198742558</v>
      </c>
      <c r="AA118" s="112">
        <v>2058.3105650722723</v>
      </c>
      <c r="AB118" s="112">
        <v>2090.0110729930293</v>
      </c>
      <c r="AC118" s="112">
        <v>2124.3789672849321</v>
      </c>
      <c r="AD118" s="112">
        <v>2071.9606165573068</v>
      </c>
      <c r="AE118" s="112">
        <v>1978.2916735719218</v>
      </c>
      <c r="AF118" s="112">
        <v>1934.7625252770454</v>
      </c>
      <c r="AG118" s="112">
        <v>1882.0418090248193</v>
      </c>
      <c r="AH118" s="112">
        <v>1889.8531929737294</v>
      </c>
      <c r="AI118" s="112">
        <v>1778.2605376801871</v>
      </c>
      <c r="AJ118" s="112">
        <v>1693.8372057987017</v>
      </c>
      <c r="AK118" s="112">
        <v>1605.2046413041344</v>
      </c>
      <c r="AL118" s="112">
        <v>1662.0780531524483</v>
      </c>
      <c r="AM118" s="112">
        <v>1635.6531352009215</v>
      </c>
      <c r="AN118" s="112">
        <v>1532.1186501893631</v>
      </c>
      <c r="AO118" s="112">
        <v>1473.8751542622672</v>
      </c>
      <c r="AP118" s="112">
        <v>1315.9784343153949</v>
      </c>
      <c r="AQ118" s="112">
        <v>1523.5944764060825</v>
      </c>
      <c r="AR118" s="112">
        <v>1653.2615023316196</v>
      </c>
      <c r="AS118" s="112">
        <v>1761.0850486006002</v>
      </c>
      <c r="AT118" s="112">
        <v>1836.0130635713685</v>
      </c>
      <c r="AU118" s="112">
        <v>1885.7494792378907</v>
      </c>
      <c r="AV118" s="112">
        <v>1919.8801664827881</v>
      </c>
      <c r="AW118" s="112">
        <v>1966.0667704414693</v>
      </c>
      <c r="AX118" s="112">
        <v>2054.2739739698154</v>
      </c>
      <c r="AY118" s="112">
        <v>2077.618757708869</v>
      </c>
    </row>
    <row r="119" spans="1:52" x14ac:dyDescent="0.2">
      <c r="A119" s="115"/>
      <c r="B119" s="136">
        <v>11</v>
      </c>
      <c r="C119" s="112"/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513.28102413553404</v>
      </c>
      <c r="V119" s="112">
        <v>1767.8530942073344</v>
      </c>
      <c r="W119" s="112">
        <v>1774.6254784734847</v>
      </c>
      <c r="X119" s="112">
        <v>1846.4314579054058</v>
      </c>
      <c r="Y119" s="112">
        <v>1875.7359404187641</v>
      </c>
      <c r="Z119" s="112">
        <v>1902.7128809460708</v>
      </c>
      <c r="AA119" s="112">
        <v>2019.9037198742558</v>
      </c>
      <c r="AB119" s="112">
        <v>2058.3105650722723</v>
      </c>
      <c r="AC119" s="112">
        <v>2090.0110729930293</v>
      </c>
      <c r="AD119" s="112">
        <v>2124.3789672849321</v>
      </c>
      <c r="AE119" s="112">
        <v>2071.9606165573068</v>
      </c>
      <c r="AF119" s="112">
        <v>1978.2916735719218</v>
      </c>
      <c r="AG119" s="112">
        <v>1934.7625252770454</v>
      </c>
      <c r="AH119" s="112">
        <v>1882.0418090248193</v>
      </c>
      <c r="AI119" s="112">
        <v>1889.8531929737294</v>
      </c>
      <c r="AJ119" s="112">
        <v>1778.2605376801871</v>
      </c>
      <c r="AK119" s="112">
        <v>1693.8372057987017</v>
      </c>
      <c r="AL119" s="112">
        <v>1605.2046413041344</v>
      </c>
      <c r="AM119" s="112">
        <v>1662.0780531524483</v>
      </c>
      <c r="AN119" s="112">
        <v>1635.6531352009215</v>
      </c>
      <c r="AO119" s="112">
        <v>1532.1186501893631</v>
      </c>
      <c r="AP119" s="112">
        <v>1473.8751542622672</v>
      </c>
      <c r="AQ119" s="112">
        <v>1315.9784343153949</v>
      </c>
      <c r="AR119" s="112">
        <v>1523.5944764060825</v>
      </c>
      <c r="AS119" s="112">
        <v>1653.2615023316196</v>
      </c>
      <c r="AT119" s="112">
        <v>1761.0850486006002</v>
      </c>
      <c r="AU119" s="112">
        <v>1836.0130635713685</v>
      </c>
      <c r="AV119" s="112">
        <v>1885.7494792378907</v>
      </c>
      <c r="AW119" s="112">
        <v>1919.8801664827881</v>
      </c>
      <c r="AX119" s="112">
        <v>1966.0667704414693</v>
      </c>
      <c r="AY119" s="112">
        <v>2054.2739739698154</v>
      </c>
    </row>
    <row r="120" spans="1:52" x14ac:dyDescent="0.2">
      <c r="A120" s="115"/>
      <c r="B120" s="136">
        <v>12</v>
      </c>
      <c r="C120" s="112"/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37.436189357634476</v>
      </c>
      <c r="W120" s="112">
        <v>1484.5403840582908</v>
      </c>
      <c r="X120" s="112">
        <v>1774.6254784734847</v>
      </c>
      <c r="Y120" s="112">
        <v>1846.4314579054058</v>
      </c>
      <c r="Z120" s="112">
        <v>1875.7359404187641</v>
      </c>
      <c r="AA120" s="112">
        <v>1902.7128809460708</v>
      </c>
      <c r="AB120" s="112">
        <v>2019.9037198742558</v>
      </c>
      <c r="AC120" s="112">
        <v>2058.3105650722723</v>
      </c>
      <c r="AD120" s="112">
        <v>2090.0110729930293</v>
      </c>
      <c r="AE120" s="112">
        <v>2124.3789672849321</v>
      </c>
      <c r="AF120" s="112">
        <v>2071.9606165573068</v>
      </c>
      <c r="AG120" s="112">
        <v>1978.2916735719218</v>
      </c>
      <c r="AH120" s="112">
        <v>1934.7625252770454</v>
      </c>
      <c r="AI120" s="112">
        <v>1882.0418090248193</v>
      </c>
      <c r="AJ120" s="112">
        <v>1889.8531929737294</v>
      </c>
      <c r="AK120" s="112">
        <v>1778.2605376801871</v>
      </c>
      <c r="AL120" s="112">
        <v>1693.8372057987017</v>
      </c>
      <c r="AM120" s="112">
        <v>1605.2046413041344</v>
      </c>
      <c r="AN120" s="112">
        <v>1662.0780531524483</v>
      </c>
      <c r="AO120" s="112">
        <v>1635.6531352009215</v>
      </c>
      <c r="AP120" s="112">
        <v>1532.1186501893631</v>
      </c>
      <c r="AQ120" s="112">
        <v>1473.8751542622672</v>
      </c>
      <c r="AR120" s="112">
        <v>1315.9784343153949</v>
      </c>
      <c r="AS120" s="112">
        <v>1523.5944764060825</v>
      </c>
      <c r="AT120" s="112">
        <v>1653.2615023316196</v>
      </c>
      <c r="AU120" s="112">
        <v>1761.0850486006002</v>
      </c>
      <c r="AV120" s="112">
        <v>1836.0130635713685</v>
      </c>
      <c r="AW120" s="112">
        <v>1885.7494792378907</v>
      </c>
      <c r="AX120" s="112">
        <v>1919.8801664827881</v>
      </c>
      <c r="AY120" s="112">
        <v>1966.0667704414693</v>
      </c>
    </row>
    <row r="121" spans="1:52" x14ac:dyDescent="0.2">
      <c r="A121" s="134"/>
      <c r="B121" s="138" t="s">
        <v>295</v>
      </c>
      <c r="C121" s="120"/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1062.8650183289683</v>
      </c>
      <c r="Y121" s="131">
        <v>812.20110198360533</v>
      </c>
      <c r="Z121" s="131">
        <v>1139.067224279022</v>
      </c>
      <c r="AA121" s="131">
        <v>917.66449871432633</v>
      </c>
      <c r="AB121" s="131">
        <v>1199.7112750968986</v>
      </c>
      <c r="AC121" s="131">
        <v>1531.3162709287108</v>
      </c>
      <c r="AD121" s="131">
        <v>1502.3105650722723</v>
      </c>
      <c r="AE121" s="131">
        <v>1642.929811078636</v>
      </c>
      <c r="AF121" s="131">
        <v>1534.8448148733755</v>
      </c>
      <c r="AG121" s="131">
        <v>1316.7198324551987</v>
      </c>
      <c r="AH121" s="131">
        <v>1231.6312283280949</v>
      </c>
      <c r="AI121" s="131">
        <v>1226.4546395319146</v>
      </c>
      <c r="AJ121" s="131">
        <v>1217.112602990421</v>
      </c>
      <c r="AK121" s="131">
        <v>1220.3803916781021</v>
      </c>
      <c r="AL121" s="131">
        <v>1075.8591864675491</v>
      </c>
      <c r="AM121" s="131">
        <v>1046.3420124278909</v>
      </c>
      <c r="AN121" s="131">
        <v>901.83929798617874</v>
      </c>
      <c r="AO121" s="131">
        <v>1034.4021159409681</v>
      </c>
      <c r="AP121" s="131">
        <v>968.90895139295515</v>
      </c>
      <c r="AQ121" s="131">
        <v>939.83373410954778</v>
      </c>
      <c r="AR121" s="131">
        <v>842.34203679689301</v>
      </c>
      <c r="AS121" s="131">
        <v>654.62521448031873</v>
      </c>
      <c r="AT121" s="131">
        <v>979.85276621662877</v>
      </c>
      <c r="AU121" s="131">
        <v>1013.7908648207773</v>
      </c>
      <c r="AV121" s="131">
        <v>1253.0850486006002</v>
      </c>
      <c r="AW121" s="131">
        <v>934.01306357136855</v>
      </c>
      <c r="AX121" s="131">
        <v>574.58361394989674</v>
      </c>
      <c r="AY121" s="131">
        <v>531.4075932938058</v>
      </c>
      <c r="AZ121" s="113">
        <f>SUM($D121:$AY121)</f>
        <v>30306.094775394922</v>
      </c>
    </row>
    <row r="122" spans="1:52" x14ac:dyDescent="0.2">
      <c r="A122" s="137" t="s">
        <v>123</v>
      </c>
      <c r="B122" s="125">
        <v>1</v>
      </c>
      <c r="C122" s="112"/>
      <c r="D122" s="112">
        <v>2570.71566715174</v>
      </c>
      <c r="E122" s="112">
        <v>2570.71566715174</v>
      </c>
      <c r="F122" s="112">
        <v>2570.71566715174</v>
      </c>
      <c r="G122" s="112">
        <v>2570.71566715174</v>
      </c>
      <c r="H122" s="112">
        <v>2285.0805930237689</v>
      </c>
      <c r="I122" s="112">
        <v>2285.0805930237689</v>
      </c>
      <c r="J122" s="112">
        <v>2285.0805930237689</v>
      </c>
      <c r="K122" s="112">
        <v>2285.0805930237689</v>
      </c>
      <c r="L122" s="112">
        <v>2285.0805930237689</v>
      </c>
      <c r="M122" s="112">
        <v>2285.0805930237689</v>
      </c>
      <c r="N122" s="112">
        <v>2285.0805930237689</v>
      </c>
      <c r="O122" s="112">
        <v>2285.0805930237689</v>
      </c>
      <c r="P122" s="112">
        <v>2570.71566715174</v>
      </c>
      <c r="Q122" s="112">
        <v>2570.71566715174</v>
      </c>
      <c r="R122" s="112">
        <v>2570.71566715174</v>
      </c>
      <c r="S122" s="112">
        <v>2570.71566715174</v>
      </c>
      <c r="T122" s="112">
        <v>2285.0805930237689</v>
      </c>
      <c r="U122" s="112">
        <v>2285.0805930237689</v>
      </c>
      <c r="V122" s="112">
        <v>2285.0805930237689</v>
      </c>
      <c r="W122" s="112">
        <v>2285.0805930237689</v>
      </c>
      <c r="X122" s="112">
        <v>2285.0805930237689</v>
      </c>
      <c r="Y122" s="112">
        <v>2285.0805930237689</v>
      </c>
      <c r="Z122" s="112">
        <v>2285.0805930237689</v>
      </c>
      <c r="AA122" s="112">
        <v>2285.0805930237689</v>
      </c>
      <c r="AB122" s="112">
        <v>2570.71566715174</v>
      </c>
      <c r="AC122" s="112">
        <v>2570.71566715174</v>
      </c>
      <c r="AD122" s="112">
        <v>2570.71566715174</v>
      </c>
      <c r="AE122" s="112">
        <v>2570.71566715174</v>
      </c>
      <c r="AF122" s="112">
        <v>2285.0805930237689</v>
      </c>
      <c r="AG122" s="112">
        <v>2285.0805930237689</v>
      </c>
      <c r="AH122" s="112">
        <v>2285.0805930237689</v>
      </c>
      <c r="AI122" s="112">
        <v>2285.0805930237689</v>
      </c>
      <c r="AJ122" s="112">
        <v>2285.0805930237689</v>
      </c>
      <c r="AK122" s="112">
        <v>2285.0805930237689</v>
      </c>
      <c r="AL122" s="112">
        <v>2285.0805930237689</v>
      </c>
      <c r="AM122" s="112">
        <v>2285.0805930237689</v>
      </c>
      <c r="AN122" s="112">
        <v>2570.71566715174</v>
      </c>
      <c r="AO122" s="112">
        <v>2570.71566715174</v>
      </c>
      <c r="AP122" s="112">
        <v>2570.71566715174</v>
      </c>
      <c r="AQ122" s="112">
        <v>2570.71566715174</v>
      </c>
      <c r="AR122" s="112">
        <v>2285.0805930237689</v>
      </c>
      <c r="AS122" s="112">
        <v>2285.0805930237689</v>
      </c>
      <c r="AT122" s="112">
        <v>2285.0805930237689</v>
      </c>
      <c r="AU122" s="112">
        <v>2285.0805930237689</v>
      </c>
      <c r="AV122" s="112">
        <v>2285.0805930237689</v>
      </c>
      <c r="AW122" s="112">
        <v>2285.0805930237689</v>
      </c>
      <c r="AX122" s="112">
        <v>2285.0805930237689</v>
      </c>
      <c r="AY122" s="112">
        <v>2285.0805930237689</v>
      </c>
    </row>
    <row r="123" spans="1:52" x14ac:dyDescent="0.2">
      <c r="A123" s="115"/>
      <c r="B123" s="125">
        <v>2</v>
      </c>
      <c r="C123" s="112"/>
      <c r="D123" s="112">
        <v>0</v>
      </c>
      <c r="E123" s="112">
        <v>1565.7316396727845</v>
      </c>
      <c r="F123" s="112">
        <v>1862.7316396727845</v>
      </c>
      <c r="G123" s="112">
        <v>1862.7316396727845</v>
      </c>
      <c r="H123" s="112">
        <v>1862.7316396727845</v>
      </c>
      <c r="I123" s="112">
        <v>1655.7614574869194</v>
      </c>
      <c r="J123" s="112">
        <v>1655.7614574869194</v>
      </c>
      <c r="K123" s="112">
        <v>1655.7614574869194</v>
      </c>
      <c r="L123" s="112">
        <v>1655.7614574869194</v>
      </c>
      <c r="M123" s="112">
        <v>1655.7614574869194</v>
      </c>
      <c r="N123" s="112">
        <v>1655.7614574869194</v>
      </c>
      <c r="O123" s="112">
        <v>1655.7614574869194</v>
      </c>
      <c r="P123" s="112">
        <v>1655.7614574869194</v>
      </c>
      <c r="Q123" s="112">
        <v>1862.7316396727845</v>
      </c>
      <c r="R123" s="112">
        <v>1862.7316396727845</v>
      </c>
      <c r="S123" s="112">
        <v>1862.7316396727845</v>
      </c>
      <c r="T123" s="112">
        <v>1862.7316396727845</v>
      </c>
      <c r="U123" s="112">
        <v>1655.7614574869194</v>
      </c>
      <c r="V123" s="112">
        <v>1655.7614574869194</v>
      </c>
      <c r="W123" s="112">
        <v>1655.7614574869194</v>
      </c>
      <c r="X123" s="112">
        <v>1655.7614574869194</v>
      </c>
      <c r="Y123" s="112">
        <v>1655.7614574869194</v>
      </c>
      <c r="Z123" s="112">
        <v>1655.7614574869194</v>
      </c>
      <c r="AA123" s="112">
        <v>1655.7614574869194</v>
      </c>
      <c r="AB123" s="112">
        <v>1655.7614574869194</v>
      </c>
      <c r="AC123" s="112">
        <v>1862.7316396727845</v>
      </c>
      <c r="AD123" s="112">
        <v>1862.7316396727845</v>
      </c>
      <c r="AE123" s="112">
        <v>1862.7316396727845</v>
      </c>
      <c r="AF123" s="112">
        <v>1862.7316396727845</v>
      </c>
      <c r="AG123" s="112">
        <v>1655.7614574869194</v>
      </c>
      <c r="AH123" s="112">
        <v>1655.7614574869194</v>
      </c>
      <c r="AI123" s="112">
        <v>1655.7614574869194</v>
      </c>
      <c r="AJ123" s="112">
        <v>1655.7614574869194</v>
      </c>
      <c r="AK123" s="112">
        <v>1655.7614574869194</v>
      </c>
      <c r="AL123" s="112">
        <v>1655.7614574869194</v>
      </c>
      <c r="AM123" s="112">
        <v>1655.7614574869194</v>
      </c>
      <c r="AN123" s="112">
        <v>1655.7614574869194</v>
      </c>
      <c r="AO123" s="112">
        <v>1862.7316396727845</v>
      </c>
      <c r="AP123" s="112">
        <v>1862.7316396727845</v>
      </c>
      <c r="AQ123" s="112">
        <v>1862.7316396727845</v>
      </c>
      <c r="AR123" s="112">
        <v>1862.7316396727845</v>
      </c>
      <c r="AS123" s="112">
        <v>1655.7614574869194</v>
      </c>
      <c r="AT123" s="112">
        <v>1655.7614574869194</v>
      </c>
      <c r="AU123" s="112">
        <v>1655.7614574869194</v>
      </c>
      <c r="AV123" s="112">
        <v>1655.7614574869194</v>
      </c>
      <c r="AW123" s="112">
        <v>1655.7614574869194</v>
      </c>
      <c r="AX123" s="112">
        <v>1655.7614574869194</v>
      </c>
      <c r="AY123" s="112">
        <v>1655.7614574869194</v>
      </c>
    </row>
    <row r="124" spans="1:52" x14ac:dyDescent="0.2">
      <c r="A124" s="115"/>
      <c r="B124" s="125">
        <v>3</v>
      </c>
      <c r="C124" s="112"/>
      <c r="D124" s="112">
        <v>0</v>
      </c>
      <c r="E124" s="112">
        <v>0</v>
      </c>
      <c r="F124" s="112">
        <v>721.52370548885392</v>
      </c>
      <c r="G124" s="112">
        <v>1349.7288734706467</v>
      </c>
      <c r="H124" s="112">
        <v>1349.7288734706467</v>
      </c>
      <c r="I124" s="112">
        <v>1349.7288734706467</v>
      </c>
      <c r="J124" s="112">
        <v>1199.7589986405749</v>
      </c>
      <c r="K124" s="112">
        <v>1199.7589986405749</v>
      </c>
      <c r="L124" s="112">
        <v>1199.7589986405749</v>
      </c>
      <c r="M124" s="112">
        <v>1199.7589986405749</v>
      </c>
      <c r="N124" s="112">
        <v>1199.7589986405749</v>
      </c>
      <c r="O124" s="112">
        <v>1199.7589986405749</v>
      </c>
      <c r="P124" s="112">
        <v>1199.7589986405749</v>
      </c>
      <c r="Q124" s="112">
        <v>1199.7589986405749</v>
      </c>
      <c r="R124" s="112">
        <v>1349.7288734706467</v>
      </c>
      <c r="S124" s="112">
        <v>1349.7288734706467</v>
      </c>
      <c r="T124" s="112">
        <v>1349.7288734706467</v>
      </c>
      <c r="U124" s="112">
        <v>1349.7288734706467</v>
      </c>
      <c r="V124" s="112">
        <v>1199.7589986405749</v>
      </c>
      <c r="W124" s="112">
        <v>1199.7589986405749</v>
      </c>
      <c r="X124" s="112">
        <v>1199.7589986405749</v>
      </c>
      <c r="Y124" s="112">
        <v>1199.7589986405749</v>
      </c>
      <c r="Z124" s="112">
        <v>1199.7589986405749</v>
      </c>
      <c r="AA124" s="112">
        <v>1199.7589986405749</v>
      </c>
      <c r="AB124" s="112">
        <v>1199.7589986405749</v>
      </c>
      <c r="AC124" s="112">
        <v>1199.7589986405749</v>
      </c>
      <c r="AD124" s="112">
        <v>1129.7310490519367</v>
      </c>
      <c r="AE124" s="112">
        <v>918.24680409992061</v>
      </c>
      <c r="AF124" s="112">
        <v>630.55316457783726</v>
      </c>
      <c r="AG124" s="112">
        <v>1349.7288734706467</v>
      </c>
      <c r="AH124" s="112">
        <v>1199.7589986405749</v>
      </c>
      <c r="AI124" s="112">
        <v>1199.7589986405749</v>
      </c>
      <c r="AJ124" s="112">
        <v>1199.7589986405749</v>
      </c>
      <c r="AK124" s="112">
        <v>1199.7589986405749</v>
      </c>
      <c r="AL124" s="112">
        <v>1199.7589986405749</v>
      </c>
      <c r="AM124" s="112">
        <v>1199.7589986405749</v>
      </c>
      <c r="AN124" s="112">
        <v>1199.7589986405749</v>
      </c>
      <c r="AO124" s="112">
        <v>1199.7589986405749</v>
      </c>
      <c r="AP124" s="112">
        <v>1349.7288734706467</v>
      </c>
      <c r="AQ124" s="112">
        <v>1349.7288734706467</v>
      </c>
      <c r="AR124" s="112">
        <v>1349.7288734706467</v>
      </c>
      <c r="AS124" s="112">
        <v>1349.7288734706467</v>
      </c>
      <c r="AT124" s="112">
        <v>1199.7589986405749</v>
      </c>
      <c r="AU124" s="112">
        <v>1199.7589986405749</v>
      </c>
      <c r="AV124" s="112">
        <v>1199.7589986405749</v>
      </c>
      <c r="AW124" s="112">
        <v>1199.7589986405749</v>
      </c>
      <c r="AX124" s="112">
        <v>1199.7589986405749</v>
      </c>
      <c r="AY124" s="112">
        <v>1199.7589986405749</v>
      </c>
    </row>
    <row r="125" spans="1:52" x14ac:dyDescent="0.2">
      <c r="A125" s="115"/>
      <c r="B125" s="125">
        <v>4</v>
      </c>
      <c r="C125" s="112"/>
      <c r="D125" s="112">
        <v>0</v>
      </c>
      <c r="E125" s="112">
        <v>0</v>
      </c>
      <c r="F125" s="112">
        <v>0</v>
      </c>
      <c r="G125" s="112">
        <v>147.9936147674631</v>
      </c>
      <c r="H125" s="112">
        <v>623.87617999353745</v>
      </c>
      <c r="I125" s="112">
        <v>978.00885166709293</v>
      </c>
      <c r="J125" s="112">
        <v>978.00885166709293</v>
      </c>
      <c r="K125" s="112">
        <v>869.34120148186048</v>
      </c>
      <c r="L125" s="112">
        <v>869.34120148186048</v>
      </c>
      <c r="M125" s="112">
        <v>869.34120148186048</v>
      </c>
      <c r="N125" s="112">
        <v>869.34120148186048</v>
      </c>
      <c r="O125" s="112">
        <v>869.34120148186048</v>
      </c>
      <c r="P125" s="112">
        <v>869.34120148186048</v>
      </c>
      <c r="Q125" s="112">
        <v>869.34120148186048</v>
      </c>
      <c r="R125" s="112">
        <v>869.34120148186048</v>
      </c>
      <c r="S125" s="112">
        <v>978.00885166709293</v>
      </c>
      <c r="T125" s="112">
        <v>978.00885166709293</v>
      </c>
      <c r="U125" s="112">
        <v>978.00885166709293</v>
      </c>
      <c r="V125" s="112">
        <v>978.00885166709293</v>
      </c>
      <c r="W125" s="112">
        <v>869.34120148186048</v>
      </c>
      <c r="X125" s="112">
        <v>869.34120148186048</v>
      </c>
      <c r="Y125" s="112">
        <v>869.34120148186048</v>
      </c>
      <c r="Z125" s="112">
        <v>869.34120148186048</v>
      </c>
      <c r="AA125" s="112">
        <v>687.95518972219861</v>
      </c>
      <c r="AB125" s="112">
        <v>608.82953559266139</v>
      </c>
      <c r="AC125" s="112">
        <v>305.90951846054304</v>
      </c>
      <c r="AD125" s="112">
        <v>0</v>
      </c>
      <c r="AE125" s="112">
        <v>0</v>
      </c>
      <c r="AF125" s="112">
        <v>0</v>
      </c>
      <c r="AG125" s="112">
        <v>241.6558478993214</v>
      </c>
      <c r="AH125" s="112">
        <v>862.4513941032526</v>
      </c>
      <c r="AI125" s="112">
        <v>869.34120148186048</v>
      </c>
      <c r="AJ125" s="112">
        <v>869.34120148186048</v>
      </c>
      <c r="AK125" s="112">
        <v>869.34120148186048</v>
      </c>
      <c r="AL125" s="112">
        <v>869.34120148186048</v>
      </c>
      <c r="AM125" s="112">
        <v>869.34120148186048</v>
      </c>
      <c r="AN125" s="112">
        <v>869.34120148186048</v>
      </c>
      <c r="AO125" s="112">
        <v>869.34120148186048</v>
      </c>
      <c r="AP125" s="112">
        <v>869.34120148186048</v>
      </c>
      <c r="AQ125" s="112">
        <v>978.00885166709293</v>
      </c>
      <c r="AR125" s="112">
        <v>978.00885166709293</v>
      </c>
      <c r="AS125" s="112">
        <v>978.00885166709293</v>
      </c>
      <c r="AT125" s="112">
        <v>978.00885166709293</v>
      </c>
      <c r="AU125" s="112">
        <v>869.34120148186048</v>
      </c>
      <c r="AV125" s="112">
        <v>869.34120148186048</v>
      </c>
      <c r="AW125" s="112">
        <v>869.34120148186048</v>
      </c>
      <c r="AX125" s="112">
        <v>869.34120148186048</v>
      </c>
      <c r="AY125" s="112">
        <v>869.34120148186048</v>
      </c>
    </row>
    <row r="126" spans="1:52" x14ac:dyDescent="0.2">
      <c r="A126" s="115"/>
      <c r="B126" s="125">
        <v>5</v>
      </c>
      <c r="C126" s="112"/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0.83142314549593266</v>
      </c>
      <c r="J126" s="112">
        <v>277.47842550214398</v>
      </c>
      <c r="K126" s="112">
        <v>409.19641649812297</v>
      </c>
      <c r="L126" s="112">
        <v>433.78718925744465</v>
      </c>
      <c r="M126" s="112">
        <v>629.92161379931804</v>
      </c>
      <c r="N126" s="112">
        <v>629.92161379931804</v>
      </c>
      <c r="O126" s="112">
        <v>629.92161379931804</v>
      </c>
      <c r="P126" s="112">
        <v>629.92161379931804</v>
      </c>
      <c r="Q126" s="112">
        <v>629.92161379931804</v>
      </c>
      <c r="R126" s="112">
        <v>629.92161379931804</v>
      </c>
      <c r="S126" s="112">
        <v>629.92161379931804</v>
      </c>
      <c r="T126" s="112">
        <v>708.66181552423268</v>
      </c>
      <c r="U126" s="112">
        <v>708.66181552423268</v>
      </c>
      <c r="V126" s="112">
        <v>708.66181552423268</v>
      </c>
      <c r="W126" s="112">
        <v>708.66181552423268</v>
      </c>
      <c r="X126" s="112">
        <v>629.92161379931804</v>
      </c>
      <c r="Y126" s="112">
        <v>446.98622100251015</v>
      </c>
      <c r="Z126" s="112">
        <v>140.44204271970852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384.62139756841106</v>
      </c>
      <c r="AJ126" s="112">
        <v>629.92161379931804</v>
      </c>
      <c r="AK126" s="112">
        <v>629.92161379931804</v>
      </c>
      <c r="AL126" s="112">
        <v>629.92161379931804</v>
      </c>
      <c r="AM126" s="112">
        <v>629.92161379931804</v>
      </c>
      <c r="AN126" s="112">
        <v>629.92161379931804</v>
      </c>
      <c r="AO126" s="112">
        <v>629.92161379931804</v>
      </c>
      <c r="AP126" s="112">
        <v>629.92161379931804</v>
      </c>
      <c r="AQ126" s="112">
        <v>629.92161379931804</v>
      </c>
      <c r="AR126" s="112">
        <v>708.66181552423268</v>
      </c>
      <c r="AS126" s="112">
        <v>708.66181552423268</v>
      </c>
      <c r="AT126" s="112">
        <v>660.68617230292534</v>
      </c>
      <c r="AU126" s="112">
        <v>708.66181552423268</v>
      </c>
      <c r="AV126" s="112">
        <v>512.82061858841007</v>
      </c>
      <c r="AW126" s="112">
        <v>629.92161379931804</v>
      </c>
      <c r="AX126" s="112">
        <v>629.92161379931804</v>
      </c>
      <c r="AY126" s="112">
        <v>629.92161379931804</v>
      </c>
    </row>
    <row r="127" spans="1:52" x14ac:dyDescent="0.2">
      <c r="A127" s="115"/>
      <c r="B127" s="125">
        <v>6</v>
      </c>
      <c r="C127" s="112"/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64.595689636165247</v>
      </c>
      <c r="N127" s="112">
        <v>171.00132788639206</v>
      </c>
      <c r="O127" s="112">
        <v>268.95557681530414</v>
      </c>
      <c r="P127" s="112">
        <v>408.84468683045225</v>
      </c>
      <c r="Q127" s="112">
        <v>341.33115175001524</v>
      </c>
      <c r="R127" s="112">
        <v>306.46697027681671</v>
      </c>
      <c r="S127" s="112">
        <v>322.59039005090642</v>
      </c>
      <c r="T127" s="112">
        <v>339.15233087413856</v>
      </c>
      <c r="U127" s="112">
        <v>206.00718571919145</v>
      </c>
      <c r="V127" s="112">
        <v>197.92114522321094</v>
      </c>
      <c r="W127" s="112">
        <v>115.15796364848939</v>
      </c>
      <c r="X127" s="112">
        <v>222.26158364303166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26.76612215786389</v>
      </c>
      <c r="AK127" s="112">
        <v>207.36085031463739</v>
      </c>
      <c r="AL127" s="112">
        <v>331.29061288787807</v>
      </c>
      <c r="AM127" s="112">
        <v>456.43901250183268</v>
      </c>
      <c r="AN127" s="112">
        <v>456.43901250183268</v>
      </c>
      <c r="AO127" s="112">
        <v>411.43989910697235</v>
      </c>
      <c r="AP127" s="112">
        <v>298.82274991180543</v>
      </c>
      <c r="AQ127" s="112">
        <v>233.68002265619705</v>
      </c>
      <c r="AR127" s="112">
        <v>73.229627459744904</v>
      </c>
      <c r="AS127" s="112">
        <v>123.20260282786438</v>
      </c>
      <c r="AT127" s="112">
        <v>0</v>
      </c>
      <c r="AU127" s="112">
        <v>21.260267181746315</v>
      </c>
      <c r="AV127" s="112">
        <v>0</v>
      </c>
      <c r="AW127" s="112">
        <v>105.58803827557483</v>
      </c>
      <c r="AX127" s="112">
        <v>258.78187285007812</v>
      </c>
      <c r="AY127" s="112">
        <v>343.47888516249367</v>
      </c>
    </row>
    <row r="128" spans="1:52" x14ac:dyDescent="0.2">
      <c r="A128" s="115"/>
      <c r="B128" s="125">
        <v>7</v>
      </c>
      <c r="C128" s="112"/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42.556833556215992</v>
      </c>
      <c r="AN128" s="112">
        <v>77.205312820560238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/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/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/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/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/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/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/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/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/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/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/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/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/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/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/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/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/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/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/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/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/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/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/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/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/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/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/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/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/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/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/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/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/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/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/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/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/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/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/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/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/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295</v>
      </c>
      <c r="C170" s="120"/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296</v>
      </c>
      <c r="C172" s="140"/>
      <c r="D172" s="140">
        <v>0.27540347480877819</v>
      </c>
      <c r="E172" s="140">
        <v>0.27540347480877819</v>
      </c>
      <c r="F172" s="140">
        <v>0.27540347480877819</v>
      </c>
      <c r="G172" s="140">
        <v>0.27540347480877819</v>
      </c>
      <c r="H172" s="140">
        <v>0.27540347480877819</v>
      </c>
      <c r="I172" s="140">
        <v>0.27540347480877819</v>
      </c>
      <c r="J172" s="140">
        <v>0.27540347480877819</v>
      </c>
      <c r="K172" s="140">
        <v>0.27540347480877819</v>
      </c>
      <c r="L172" s="140">
        <v>0.27540347480877819</v>
      </c>
      <c r="M172" s="140">
        <v>0.27540347480877819</v>
      </c>
      <c r="N172" s="140">
        <v>0.27540347480877819</v>
      </c>
      <c r="O172" s="140">
        <v>0.27540347480877819</v>
      </c>
      <c r="P172" s="140">
        <v>0.27540347480877819</v>
      </c>
      <c r="Q172" s="140">
        <v>0.27540347480877819</v>
      </c>
      <c r="R172" s="140">
        <v>0.27540347480877819</v>
      </c>
      <c r="S172" s="140">
        <v>0.27540347480877819</v>
      </c>
      <c r="T172" s="140">
        <v>0.27540347480877819</v>
      </c>
      <c r="U172" s="140">
        <v>0.27540347480877819</v>
      </c>
      <c r="V172" s="140">
        <v>0.27540347480877819</v>
      </c>
      <c r="W172" s="140">
        <v>0.27540347480877819</v>
      </c>
      <c r="X172" s="140">
        <v>0.27540347480877819</v>
      </c>
      <c r="Y172" s="140">
        <v>0.27540347480877819</v>
      </c>
      <c r="Z172" s="140">
        <v>0.27540347480877819</v>
      </c>
      <c r="AA172" s="140">
        <v>0.27540347480877819</v>
      </c>
      <c r="AB172" s="140">
        <v>0.27540347480877819</v>
      </c>
      <c r="AC172" s="140">
        <v>0.27540347480877819</v>
      </c>
      <c r="AD172" s="140">
        <v>0.27540347480877819</v>
      </c>
      <c r="AE172" s="140">
        <v>0.27540347480877819</v>
      </c>
      <c r="AF172" s="140">
        <v>0.27540347480877819</v>
      </c>
      <c r="AG172" s="140">
        <v>0.27540347480877819</v>
      </c>
      <c r="AH172" s="140">
        <v>0.27540347480877819</v>
      </c>
      <c r="AI172" s="140">
        <v>0.27540347480877819</v>
      </c>
      <c r="AJ172" s="140">
        <v>0.27540347480877819</v>
      </c>
      <c r="AK172" s="140">
        <v>0.27540347480877819</v>
      </c>
      <c r="AL172" s="140">
        <v>0.27540347480877819</v>
      </c>
      <c r="AM172" s="140">
        <v>0.27540347480877819</v>
      </c>
      <c r="AN172" s="140">
        <v>0.27540347480877819</v>
      </c>
      <c r="AO172" s="140">
        <v>0.27540347480877819</v>
      </c>
      <c r="AP172" s="140">
        <v>0.27540347480877819</v>
      </c>
      <c r="AQ172" s="140">
        <v>0.27540347480877819</v>
      </c>
      <c r="AR172" s="140">
        <v>0.27540347480877819</v>
      </c>
      <c r="AS172" s="140">
        <v>0.27540347480877819</v>
      </c>
      <c r="AT172" s="140">
        <v>0.27540347480877819</v>
      </c>
      <c r="AU172" s="140">
        <v>0.27540347480877819</v>
      </c>
      <c r="AV172" s="140">
        <v>0.27540347480877819</v>
      </c>
      <c r="AW172" s="140">
        <v>0.27540347480877819</v>
      </c>
      <c r="AX172" s="140">
        <v>0.27540347480877819</v>
      </c>
      <c r="AY172" s="140">
        <v>0.27540347480877819</v>
      </c>
    </row>
    <row r="174" spans="1:52" x14ac:dyDescent="0.2">
      <c r="A174" s="108" t="s">
        <v>271</v>
      </c>
    </row>
    <row r="175" spans="1:52" x14ac:dyDescent="0.2">
      <c r="A175" s="141" t="s">
        <v>125</v>
      </c>
      <c r="B175" s="141" t="s">
        <v>297</v>
      </c>
      <c r="C175" s="130" t="s">
        <v>292</v>
      </c>
      <c r="D175" s="130">
        <f t="shared" ref="D175:AY175" si="1">SUM(D95:D98)</f>
        <v>3342.7265635085287</v>
      </c>
      <c r="E175" s="130">
        <f t="shared" si="1"/>
        <v>6169.4531270170573</v>
      </c>
      <c r="F175" s="130">
        <f t="shared" si="1"/>
        <v>8908.1796905255869</v>
      </c>
      <c r="G175" s="130">
        <f t="shared" si="1"/>
        <v>11707.906254034115</v>
      </c>
      <c r="H175" s="130">
        <f t="shared" si="1"/>
        <v>13153.026254034114</v>
      </c>
      <c r="I175" s="130">
        <f t="shared" si="1"/>
        <v>12935.146254034116</v>
      </c>
      <c r="J175" s="130">
        <f t="shared" si="1"/>
        <v>12717.266254034115</v>
      </c>
      <c r="K175" s="130">
        <f t="shared" si="1"/>
        <v>12499.386254034116</v>
      </c>
      <c r="L175" s="130">
        <f t="shared" si="1"/>
        <v>12499.386254034116</v>
      </c>
      <c r="M175" s="130">
        <f t="shared" si="1"/>
        <v>12499.386254034116</v>
      </c>
      <c r="N175" s="130">
        <f t="shared" si="1"/>
        <v>12499.386254034116</v>
      </c>
      <c r="O175" s="130">
        <f t="shared" si="1"/>
        <v>12499.386254034116</v>
      </c>
      <c r="P175" s="130">
        <f t="shared" si="1"/>
        <v>12717.266254034115</v>
      </c>
      <c r="Q175" s="130">
        <f t="shared" si="1"/>
        <v>12935.146254034114</v>
      </c>
      <c r="R175" s="130">
        <f t="shared" si="1"/>
        <v>13153.026254034115</v>
      </c>
      <c r="S175" s="130">
        <f t="shared" si="1"/>
        <v>13370.906254034115</v>
      </c>
      <c r="T175" s="130">
        <f t="shared" si="1"/>
        <v>13066.463034301822</v>
      </c>
      <c r="U175" s="130">
        <f t="shared" si="1"/>
        <v>12762.189735665554</v>
      </c>
      <c r="V175" s="130">
        <f t="shared" si="1"/>
        <v>12458.085924737985</v>
      </c>
      <c r="W175" s="130">
        <f t="shared" si="1"/>
        <v>12240.205924737984</v>
      </c>
      <c r="X175" s="130">
        <f t="shared" si="1"/>
        <v>12326.769144470278</v>
      </c>
      <c r="Y175" s="130">
        <f t="shared" si="1"/>
        <v>12413.162443106547</v>
      </c>
      <c r="Z175" s="130">
        <f t="shared" si="1"/>
        <v>12499.386254034116</v>
      </c>
      <c r="AA175" s="130">
        <f t="shared" si="1"/>
        <v>12499.386254034116</v>
      </c>
      <c r="AB175" s="130">
        <f t="shared" si="1"/>
        <v>12717.266254034115</v>
      </c>
      <c r="AC175" s="130">
        <f t="shared" si="1"/>
        <v>12935.146254034114</v>
      </c>
      <c r="AD175" s="130">
        <f t="shared" si="1"/>
        <v>12807.903463664969</v>
      </c>
      <c r="AE175" s="130">
        <f t="shared" si="1"/>
        <v>13025.783463664968</v>
      </c>
      <c r="AF175" s="130">
        <f t="shared" si="1"/>
        <v>12723.344719349428</v>
      </c>
      <c r="AG175" s="130">
        <f t="shared" si="1"/>
        <v>12505.464719349431</v>
      </c>
      <c r="AH175" s="130">
        <f t="shared" si="1"/>
        <v>12632.707509718573</v>
      </c>
      <c r="AI175" s="130">
        <f t="shared" si="1"/>
        <v>12414.827509718576</v>
      </c>
      <c r="AJ175" s="130">
        <f t="shared" si="1"/>
        <v>12499.386254034116</v>
      </c>
      <c r="AK175" s="130">
        <f t="shared" si="1"/>
        <v>12499.386254034116</v>
      </c>
      <c r="AL175" s="130">
        <f t="shared" si="1"/>
        <v>12499.386254034116</v>
      </c>
      <c r="AM175" s="130">
        <f t="shared" si="1"/>
        <v>12499.386254034116</v>
      </c>
      <c r="AN175" s="130">
        <f t="shared" si="1"/>
        <v>12717.266254034115</v>
      </c>
      <c r="AO175" s="130">
        <f t="shared" si="1"/>
        <v>12935.146254034114</v>
      </c>
      <c r="AP175" s="130">
        <f t="shared" si="1"/>
        <v>13153.026254034115</v>
      </c>
      <c r="AQ175" s="130">
        <f t="shared" si="1"/>
        <v>13370.906254034115</v>
      </c>
      <c r="AR175" s="130">
        <f t="shared" si="1"/>
        <v>13153.026254034114</v>
      </c>
      <c r="AS175" s="130">
        <f t="shared" si="1"/>
        <v>12935.146254034116</v>
      </c>
      <c r="AT175" s="130">
        <f t="shared" si="1"/>
        <v>12717.266254034115</v>
      </c>
      <c r="AU175" s="130">
        <f t="shared" si="1"/>
        <v>12499.386254034116</v>
      </c>
      <c r="AV175" s="130">
        <f t="shared" si="1"/>
        <v>12499.386254034116</v>
      </c>
      <c r="AW175" s="130">
        <f t="shared" si="1"/>
        <v>12499.386254034116</v>
      </c>
      <c r="AX175" s="130">
        <f t="shared" si="1"/>
        <v>12499.386254034116</v>
      </c>
      <c r="AY175" s="130">
        <f t="shared" si="1"/>
        <v>12499.386254034116</v>
      </c>
    </row>
    <row r="176" spans="1:52" x14ac:dyDescent="0.2">
      <c r="A176" s="131"/>
      <c r="B176" s="142" t="s">
        <v>298</v>
      </c>
      <c r="C176" s="131" t="s">
        <v>292</v>
      </c>
      <c r="D176" s="131">
        <v>516</v>
      </c>
      <c r="E176" s="131">
        <v>604</v>
      </c>
      <c r="F176" s="131">
        <v>543</v>
      </c>
      <c r="G176" s="131">
        <v>630</v>
      </c>
      <c r="H176" s="131">
        <v>830</v>
      </c>
      <c r="I176" s="131">
        <v>760</v>
      </c>
      <c r="J176" s="131">
        <v>598</v>
      </c>
      <c r="K176" s="131">
        <v>717</v>
      </c>
      <c r="L176" s="131">
        <v>622</v>
      </c>
      <c r="M176" s="131">
        <v>430</v>
      </c>
      <c r="N176" s="131">
        <v>482</v>
      </c>
      <c r="O176" s="131">
        <v>475</v>
      </c>
      <c r="P176" s="131">
        <v>324</v>
      </c>
      <c r="Q176" s="131">
        <v>344</v>
      </c>
      <c r="R176" s="131">
        <v>329</v>
      </c>
      <c r="S176" s="131">
        <v>412</v>
      </c>
      <c r="T176" s="131">
        <v>465</v>
      </c>
      <c r="U176" s="131">
        <v>450</v>
      </c>
      <c r="V176" s="131">
        <v>547</v>
      </c>
      <c r="W176" s="131">
        <v>455</v>
      </c>
      <c r="X176" s="131">
        <v>606</v>
      </c>
      <c r="Y176" s="131">
        <v>579</v>
      </c>
      <c r="Z176" s="131">
        <v>612</v>
      </c>
      <c r="AA176" s="131">
        <v>741</v>
      </c>
      <c r="AB176" s="131">
        <v>167</v>
      </c>
      <c r="AC176" s="131">
        <v>162</v>
      </c>
      <c r="AD176" s="131">
        <v>164</v>
      </c>
      <c r="AE176" s="131">
        <v>217</v>
      </c>
      <c r="AF176" s="131">
        <v>252</v>
      </c>
      <c r="AG176" s="131">
        <v>252</v>
      </c>
      <c r="AH176" s="131">
        <v>205</v>
      </c>
      <c r="AI176" s="131">
        <v>241</v>
      </c>
      <c r="AJ176" s="131">
        <v>236</v>
      </c>
      <c r="AK176" s="131">
        <v>245</v>
      </c>
      <c r="AL176" s="131">
        <v>235</v>
      </c>
      <c r="AM176" s="131">
        <v>274</v>
      </c>
      <c r="AN176" s="131">
        <v>408</v>
      </c>
      <c r="AO176" s="131">
        <v>463</v>
      </c>
      <c r="AP176" s="131">
        <v>540</v>
      </c>
      <c r="AQ176" s="131">
        <v>532</v>
      </c>
      <c r="AR176" s="131">
        <v>315</v>
      </c>
      <c r="AS176" s="131">
        <v>304</v>
      </c>
      <c r="AT176" s="131">
        <v>255</v>
      </c>
      <c r="AU176" s="131">
        <v>254</v>
      </c>
      <c r="AV176" s="131">
        <v>211</v>
      </c>
      <c r="AW176" s="131">
        <v>197</v>
      </c>
      <c r="AX176" s="131">
        <v>165</v>
      </c>
      <c r="AY176" s="131">
        <v>217</v>
      </c>
    </row>
    <row r="177" spans="1:51" x14ac:dyDescent="0.2">
      <c r="A177" s="141" t="s">
        <v>133</v>
      </c>
      <c r="B177" s="141" t="s">
        <v>297</v>
      </c>
      <c r="C177" s="130" t="s">
        <v>292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273.74765262492122</v>
      </c>
      <c r="G177" s="130">
        <f t="shared" si="2"/>
        <v>273.74765262492122</v>
      </c>
      <c r="H177" s="130">
        <f t="shared" si="2"/>
        <v>273.74765262492122</v>
      </c>
      <c r="I177" s="130">
        <f t="shared" si="2"/>
        <v>273.74765262492122</v>
      </c>
      <c r="J177" s="130">
        <f t="shared" si="2"/>
        <v>243.33124677770775</v>
      </c>
      <c r="K177" s="130">
        <f t="shared" si="2"/>
        <v>243.33124677770775</v>
      </c>
      <c r="L177" s="130">
        <f t="shared" si="2"/>
        <v>243.33124677770775</v>
      </c>
      <c r="M177" s="130">
        <f t="shared" si="2"/>
        <v>243.33124677770775</v>
      </c>
      <c r="N177" s="130">
        <f t="shared" si="2"/>
        <v>243.33124677770775</v>
      </c>
      <c r="O177" s="130">
        <f t="shared" si="2"/>
        <v>243.33124677770775</v>
      </c>
      <c r="P177" s="130">
        <f t="shared" si="2"/>
        <v>243.33124677770775</v>
      </c>
      <c r="Q177" s="130">
        <f t="shared" si="2"/>
        <v>243.33124677770775</v>
      </c>
      <c r="R177" s="130">
        <f t="shared" si="2"/>
        <v>273.74765262492122</v>
      </c>
      <c r="S177" s="130">
        <f t="shared" si="2"/>
        <v>273.74765262492122</v>
      </c>
      <c r="T177" s="130">
        <f t="shared" si="2"/>
        <v>273.74765262492122</v>
      </c>
      <c r="U177" s="130">
        <f t="shared" si="2"/>
        <v>273.74765262492122</v>
      </c>
      <c r="V177" s="130">
        <f t="shared" si="2"/>
        <v>243.33124677770775</v>
      </c>
      <c r="W177" s="130">
        <f t="shared" si="2"/>
        <v>243.33124677770775</v>
      </c>
      <c r="X177" s="130">
        <f t="shared" si="2"/>
        <v>243.33124677770775</v>
      </c>
      <c r="Y177" s="130">
        <f t="shared" si="2"/>
        <v>243.33124677770775</v>
      </c>
      <c r="Z177" s="130">
        <f t="shared" si="2"/>
        <v>243.33124677770775</v>
      </c>
      <c r="AA177" s="130">
        <f t="shared" si="2"/>
        <v>243.33124677770775</v>
      </c>
      <c r="AB177" s="130">
        <f t="shared" si="2"/>
        <v>243.33124677770775</v>
      </c>
      <c r="AC177" s="130">
        <f t="shared" si="2"/>
        <v>243.33124677770775</v>
      </c>
      <c r="AD177" s="130">
        <f t="shared" si="2"/>
        <v>273.74765262492122</v>
      </c>
      <c r="AE177" s="130">
        <f t="shared" si="2"/>
        <v>273.74765262492122</v>
      </c>
      <c r="AF177" s="130">
        <f t="shared" si="2"/>
        <v>273.74765262492122</v>
      </c>
      <c r="AG177" s="130">
        <f t="shared" si="2"/>
        <v>273.74765262492122</v>
      </c>
      <c r="AH177" s="130">
        <f t="shared" si="2"/>
        <v>243.33124677770775</v>
      </c>
      <c r="AI177" s="130">
        <f t="shared" si="2"/>
        <v>243.33124677770775</v>
      </c>
      <c r="AJ177" s="130">
        <f t="shared" si="2"/>
        <v>243.33124677770775</v>
      </c>
      <c r="AK177" s="130">
        <f t="shared" si="2"/>
        <v>243.33124677770775</v>
      </c>
      <c r="AL177" s="130">
        <f t="shared" si="2"/>
        <v>243.33124677770775</v>
      </c>
      <c r="AM177" s="130">
        <f t="shared" si="2"/>
        <v>243.33124677770775</v>
      </c>
      <c r="AN177" s="130">
        <f t="shared" si="2"/>
        <v>243.33124677770775</v>
      </c>
      <c r="AO177" s="130">
        <f t="shared" si="2"/>
        <v>243.33124677770775</v>
      </c>
      <c r="AP177" s="130">
        <f t="shared" si="2"/>
        <v>273.74765262492122</v>
      </c>
      <c r="AQ177" s="130">
        <f t="shared" si="2"/>
        <v>273.74765262492122</v>
      </c>
      <c r="AR177" s="130">
        <f t="shared" si="2"/>
        <v>273.74765262492122</v>
      </c>
      <c r="AS177" s="130">
        <f t="shared" si="2"/>
        <v>273.74765262492122</v>
      </c>
      <c r="AT177" s="130">
        <f t="shared" si="2"/>
        <v>243.33124677770775</v>
      </c>
      <c r="AU177" s="130">
        <f t="shared" si="2"/>
        <v>0</v>
      </c>
      <c r="AV177" s="130">
        <f t="shared" si="2"/>
        <v>486.66249355541549</v>
      </c>
      <c r="AW177" s="130">
        <f t="shared" si="2"/>
        <v>243.33124677770775</v>
      </c>
      <c r="AX177" s="130">
        <f t="shared" si="2"/>
        <v>243.33124677770775</v>
      </c>
      <c r="AY177" s="130">
        <f t="shared" si="2"/>
        <v>243.33124677770775</v>
      </c>
    </row>
    <row r="178" spans="1:51" x14ac:dyDescent="0.2">
      <c r="A178" s="131"/>
      <c r="B178" s="142" t="s">
        <v>298</v>
      </c>
      <c r="C178" s="131" t="s">
        <v>292</v>
      </c>
      <c r="D178" s="131">
        <v>0</v>
      </c>
      <c r="E178" s="131">
        <v>0</v>
      </c>
      <c r="F178" s="131">
        <v>273.74765262492122</v>
      </c>
      <c r="G178" s="131">
        <v>273.74765262492122</v>
      </c>
      <c r="H178" s="131">
        <v>273.74765262492122</v>
      </c>
      <c r="I178" s="131">
        <v>273.74765262492122</v>
      </c>
      <c r="J178" s="131">
        <v>243.33124677770775</v>
      </c>
      <c r="K178" s="131">
        <v>243.33124677770775</v>
      </c>
      <c r="L178" s="131">
        <v>243.33124677770775</v>
      </c>
      <c r="M178" s="131">
        <v>243.33124677770775</v>
      </c>
      <c r="N178" s="131">
        <v>243.33124677770775</v>
      </c>
      <c r="O178" s="131">
        <v>243.33124677770775</v>
      </c>
      <c r="P178" s="131">
        <v>243.33124677770775</v>
      </c>
      <c r="Q178" s="131">
        <v>243.33124677770775</v>
      </c>
      <c r="R178" s="131">
        <v>273.74765262492122</v>
      </c>
      <c r="S178" s="131">
        <v>273.74765262492122</v>
      </c>
      <c r="T178" s="131">
        <v>273.74765262492122</v>
      </c>
      <c r="U178" s="131">
        <v>273.74765262492122</v>
      </c>
      <c r="V178" s="131">
        <v>243.33124677770775</v>
      </c>
      <c r="W178" s="131">
        <v>243.33124677770775</v>
      </c>
      <c r="X178" s="131">
        <v>243.33124677770775</v>
      </c>
      <c r="Y178" s="131">
        <v>243.33124677770775</v>
      </c>
      <c r="Z178" s="131">
        <v>243.33124677770775</v>
      </c>
      <c r="AA178" s="131">
        <v>243.33124677770775</v>
      </c>
      <c r="AB178" s="131">
        <v>243.33124677770775</v>
      </c>
      <c r="AC178" s="131">
        <v>243.33124677770775</v>
      </c>
      <c r="AD178" s="131">
        <v>273.74765262492122</v>
      </c>
      <c r="AE178" s="131">
        <v>273.74765262492122</v>
      </c>
      <c r="AF178" s="131">
        <v>273.74765262492122</v>
      </c>
      <c r="AG178" s="131">
        <v>273.74765262492122</v>
      </c>
      <c r="AH178" s="131">
        <v>243.33124677770775</v>
      </c>
      <c r="AI178" s="131">
        <v>243.33124677770775</v>
      </c>
      <c r="AJ178" s="131">
        <v>243.33124677770775</v>
      </c>
      <c r="AK178" s="131">
        <v>243.33124677770775</v>
      </c>
      <c r="AL178" s="131">
        <v>243.33124677770775</v>
      </c>
      <c r="AM178" s="131">
        <v>243.33124677770775</v>
      </c>
      <c r="AN178" s="131">
        <v>243.33124677770775</v>
      </c>
      <c r="AO178" s="131">
        <v>243.33124677770775</v>
      </c>
      <c r="AP178" s="131">
        <v>273.74765262492122</v>
      </c>
      <c r="AQ178" s="131">
        <v>273.74765262492122</v>
      </c>
      <c r="AR178" s="131">
        <v>273.74765262492122</v>
      </c>
      <c r="AS178" s="131">
        <v>273.74765262492122</v>
      </c>
      <c r="AT178" s="131">
        <v>243.33124677770775</v>
      </c>
      <c r="AU178" s="131">
        <v>0</v>
      </c>
      <c r="AV178" s="131">
        <v>486.66249355541549</v>
      </c>
      <c r="AW178" s="131">
        <v>243.33124677770775</v>
      </c>
      <c r="AX178" s="131">
        <v>243.33124677770775</v>
      </c>
      <c r="AY178" s="131">
        <v>243.33124677770775</v>
      </c>
    </row>
    <row r="179" spans="1:51" x14ac:dyDescent="0.2">
      <c r="A179" s="141" t="s">
        <v>134</v>
      </c>
      <c r="B179" s="141" t="s">
        <v>297</v>
      </c>
      <c r="C179" s="130" t="s">
        <v>292</v>
      </c>
      <c r="D179" s="130">
        <f t="shared" ref="D179:AY179" si="3">SUM(D109:D120)</f>
        <v>0</v>
      </c>
      <c r="E179" s="130">
        <f t="shared" si="3"/>
        <v>707.98402747895568</v>
      </c>
      <c r="F179" s="130">
        <f t="shared" si="3"/>
        <v>1513.1759891418419</v>
      </c>
      <c r="G179" s="130">
        <f t="shared" si="3"/>
        <v>2607.0529633986162</v>
      </c>
      <c r="H179" s="130">
        <f t="shared" si="3"/>
        <v>3842.1494039551872</v>
      </c>
      <c r="I179" s="130">
        <f t="shared" si="3"/>
        <v>5069.7819062909803</v>
      </c>
      <c r="J179" s="130">
        <f t="shared" si="3"/>
        <v>6361.6136990996165</v>
      </c>
      <c r="K179" s="130">
        <f t="shared" si="3"/>
        <v>7735.5933473916502</v>
      </c>
      <c r="L179" s="130">
        <f t="shared" si="3"/>
        <v>9168.8097155418727</v>
      </c>
      <c r="M179" s="130">
        <f t="shared" si="3"/>
        <v>10054.71019364311</v>
      </c>
      <c r="N179" s="130">
        <f t="shared" si="3"/>
        <v>11031.898154680379</v>
      </c>
      <c r="O179" s="130">
        <f t="shared" si="3"/>
        <v>11900.243691423051</v>
      </c>
      <c r="P179" s="130">
        <f t="shared" si="3"/>
        <v>12976.477970306571</v>
      </c>
      <c r="Q179" s="130">
        <f t="shared" si="3"/>
        <v>14144.02639000877</v>
      </c>
      <c r="R179" s="130">
        <f t="shared" si="3"/>
        <v>15421.03754635845</v>
      </c>
      <c r="S179" s="130">
        <f t="shared" si="3"/>
        <v>16857.135095152087</v>
      </c>
      <c r="T179" s="130">
        <f t="shared" si="3"/>
        <v>18365.479505118357</v>
      </c>
      <c r="U179" s="130">
        <f t="shared" si="3"/>
        <v>20045.204817868387</v>
      </c>
      <c r="V179" s="130">
        <f t="shared" si="3"/>
        <v>21547.651656662412</v>
      </c>
      <c r="W179" s="130">
        <f t="shared" si="3"/>
        <v>23161.665282432776</v>
      </c>
      <c r="X179" s="130">
        <f t="shared" si="3"/>
        <v>23559.166707399305</v>
      </c>
      <c r="Y179" s="130">
        <f t="shared" si="3"/>
        <v>23674.394421899549</v>
      </c>
      <c r="Z179" s="130">
        <f t="shared" si="3"/>
        <v>23606.223501674333</v>
      </c>
      <c r="AA179" s="130">
        <f t="shared" si="3"/>
        <v>23424.32476705427</v>
      </c>
      <c r="AB179" s="130">
        <f t="shared" si="3"/>
        <v>23126.816527412328</v>
      </c>
      <c r="AC179" s="130">
        <f t="shared" si="3"/>
        <v>22768.990860690523</v>
      </c>
      <c r="AD179" s="130">
        <f t="shared" si="3"/>
        <v>22346.333430819177</v>
      </c>
      <c r="AE179" s="130">
        <f t="shared" si="3"/>
        <v>21788.441008015507</v>
      </c>
      <c r="AF179" s="130">
        <f t="shared" si="3"/>
        <v>21137.937194992846</v>
      </c>
      <c r="AG179" s="130">
        <f t="shared" si="3"/>
        <v>20381.955012750932</v>
      </c>
      <c r="AH179" s="130">
        <f t="shared" si="3"/>
        <v>19927.257815585093</v>
      </c>
      <c r="AI179" s="130">
        <f t="shared" si="3"/>
        <v>19645.75679263967</v>
      </c>
      <c r="AJ179" s="130">
        <f t="shared" si="3"/>
        <v>19524.800032215448</v>
      </c>
      <c r="AK179" s="130">
        <f t="shared" si="3"/>
        <v>19470.959902813091</v>
      </c>
      <c r="AL179" s="130">
        <f t="shared" si="3"/>
        <v>19578.448844370789</v>
      </c>
      <c r="AM179" s="130">
        <f t="shared" si="3"/>
        <v>19804.491805054877</v>
      </c>
      <c r="AN179" s="130">
        <f t="shared" si="3"/>
        <v>20165.353934192215</v>
      </c>
      <c r="AO179" s="130">
        <f t="shared" si="3"/>
        <v>20557.549855009584</v>
      </c>
      <c r="AP179" s="130">
        <f t="shared" si="3"/>
        <v>20999.515477517529</v>
      </c>
      <c r="AQ179" s="130">
        <f t="shared" si="3"/>
        <v>21555.30265547047</v>
      </c>
      <c r="AR179" s="130">
        <f t="shared" si="3"/>
        <v>22181.320244366107</v>
      </c>
      <c r="AS179" s="130">
        <f t="shared" si="3"/>
        <v>22864.066390057149</v>
      </c>
      <c r="AT179" s="130">
        <f t="shared" si="3"/>
        <v>23295.958917364627</v>
      </c>
      <c r="AU179" s="130">
        <f t="shared" si="3"/>
        <v>23509.739110328112</v>
      </c>
      <c r="AV179" s="130">
        <f t="shared" si="3"/>
        <v>23604.836118868847</v>
      </c>
      <c r="AW179" s="130">
        <f t="shared" si="3"/>
        <v>23565.214614834764</v>
      </c>
      <c r="AX179" s="130">
        <f t="shared" si="3"/>
        <v>23537.186028758144</v>
      </c>
      <c r="AY179" s="130">
        <f t="shared" si="3"/>
        <v>23517.216869797729</v>
      </c>
    </row>
    <row r="180" spans="1:51" x14ac:dyDescent="0.2">
      <c r="A180" s="131"/>
      <c r="B180" s="142" t="s">
        <v>298</v>
      </c>
      <c r="C180" s="131" t="s">
        <v>292</v>
      </c>
      <c r="D180" s="131">
        <v>0</v>
      </c>
      <c r="E180" s="131">
        <v>334</v>
      </c>
      <c r="F180" s="131">
        <v>325.81995507285501</v>
      </c>
      <c r="G180" s="131">
        <v>398.36833068454757</v>
      </c>
      <c r="H180" s="131">
        <v>458.22708902739458</v>
      </c>
      <c r="I180" s="131">
        <v>434.78583634427861</v>
      </c>
      <c r="J180" s="131">
        <v>387.52530196049452</v>
      </c>
      <c r="K180" s="131">
        <v>334.63672605711326</v>
      </c>
      <c r="L180" s="131">
        <v>888.72500037224609</v>
      </c>
      <c r="M180" s="131">
        <v>869.24349686813662</v>
      </c>
      <c r="N180" s="131">
        <v>1007.390403676093</v>
      </c>
      <c r="O180" s="131">
        <v>826.47860206255064</v>
      </c>
      <c r="P180" s="131">
        <v>852.35530017205645</v>
      </c>
      <c r="Q180" s="131">
        <v>781.29940872259465</v>
      </c>
      <c r="R180" s="131">
        <v>653.91352419938914</v>
      </c>
      <c r="S180" s="131">
        <v>616.03455731866188</v>
      </c>
      <c r="T180" s="131">
        <v>392.23530380727459</v>
      </c>
      <c r="U180" s="131">
        <v>475.84483477789956</v>
      </c>
      <c r="V180" s="131">
        <v>320.74889950667819</v>
      </c>
      <c r="W180" s="131">
        <v>421.67536572932249</v>
      </c>
      <c r="X180" s="131">
        <v>962.42437648987936</v>
      </c>
      <c r="Y180" s="131">
        <v>707.36423362638391</v>
      </c>
      <c r="Z180" s="131">
        <v>958.0714417044378</v>
      </c>
      <c r="AA180" s="131">
        <v>703.00160584917205</v>
      </c>
      <c r="AB180" s="131">
        <v>488.58744894554513</v>
      </c>
      <c r="AC180" s="131">
        <v>556</v>
      </c>
      <c r="AD180" s="131">
        <v>447.08126191439328</v>
      </c>
      <c r="AE180" s="131">
        <v>589.53415241155653</v>
      </c>
      <c r="AF180" s="131">
        <v>755.24078410210814</v>
      </c>
      <c r="AG180" s="131">
        <v>746.66044524382698</v>
      </c>
      <c r="AH180" s="131">
        <v>708.30788574513076</v>
      </c>
      <c r="AI180" s="131">
        <v>664.92920603439825</v>
      </c>
      <c r="AJ180" s="131">
        <v>669.47280129562728</v>
      </c>
      <c r="AK180" s="131">
        <v>702.40135121263791</v>
      </c>
      <c r="AL180" s="131">
        <v>647.49519337081074</v>
      </c>
      <c r="AM180" s="131">
        <v>703.36534331795565</v>
      </c>
      <c r="AN180" s="131">
        <v>627.67593721148023</v>
      </c>
      <c r="AO180" s="131">
        <v>666.74418380796635</v>
      </c>
      <c r="AP180" s="131">
        <v>592.28491607981528</v>
      </c>
      <c r="AQ180" s="131">
        <v>631.53311746537418</v>
      </c>
      <c r="AR180" s="131">
        <v>661.35321983507617</v>
      </c>
      <c r="AS180" s="131">
        <v>543.74171018945378</v>
      </c>
      <c r="AT180" s="131">
        <v>639.47063751084227</v>
      </c>
      <c r="AU180" s="131">
        <v>508</v>
      </c>
      <c r="AV180" s="131">
        <v>902</v>
      </c>
      <c r="AW180" s="131">
        <v>1311.1658652879939</v>
      </c>
      <c r="AX180" s="131">
        <v>1388.4725731889823</v>
      </c>
      <c r="AY180" s="131">
        <v>974.33129438784852</v>
      </c>
    </row>
    <row r="181" spans="1:51" x14ac:dyDescent="0.2">
      <c r="A181" s="141" t="s">
        <v>123</v>
      </c>
      <c r="B181" s="141" t="s">
        <v>297</v>
      </c>
      <c r="C181" s="130" t="s">
        <v>292</v>
      </c>
      <c r="D181" s="130">
        <f t="shared" ref="D181:AY181" si="4">(1-D172)*SUM(D122:D169)</f>
        <v>1862.7316396727845</v>
      </c>
      <c r="E181" s="130">
        <f t="shared" si="4"/>
        <v>2997.2553451616382</v>
      </c>
      <c r="F181" s="130">
        <f t="shared" si="4"/>
        <v>3735.2740829837494</v>
      </c>
      <c r="G181" s="130">
        <f t="shared" si="4"/>
        <v>4297.705023821517</v>
      </c>
      <c r="H181" s="130">
        <f t="shared" si="4"/>
        <v>4435.5576947975496</v>
      </c>
      <c r="I181" s="130">
        <f t="shared" si="4"/>
        <v>4542.7935696410104</v>
      </c>
      <c r="J181" s="130">
        <f t="shared" si="4"/>
        <v>4634.5833760679725</v>
      </c>
      <c r="K181" s="130">
        <f t="shared" si="4"/>
        <v>4651.2855729239127</v>
      </c>
      <c r="L181" s="130">
        <f t="shared" si="4"/>
        <v>4669.1039614170841</v>
      </c>
      <c r="M181" s="130">
        <f t="shared" si="4"/>
        <v>4858.0280961632016</v>
      </c>
      <c r="N181" s="130">
        <f t="shared" si="4"/>
        <v>4935.1292519000699</v>
      </c>
      <c r="O181" s="130">
        <f t="shared" si="4"/>
        <v>5006.1065603016759</v>
      </c>
      <c r="P181" s="130">
        <f t="shared" si="4"/>
        <v>5314.4399055166086</v>
      </c>
      <c r="Q181" s="130">
        <f t="shared" si="4"/>
        <v>5415.4897074240207</v>
      </c>
      <c r="R181" s="130">
        <f t="shared" si="4"/>
        <v>5498.8948928601385</v>
      </c>
      <c r="S181" s="130">
        <f t="shared" si="4"/>
        <v>5589.3180685275574</v>
      </c>
      <c r="T181" s="130">
        <f t="shared" si="4"/>
        <v>5451.4034876753585</v>
      </c>
      <c r="U181" s="130">
        <f t="shared" si="4"/>
        <v>5204.95710331993</v>
      </c>
      <c r="V181" s="130">
        <f t="shared" si="4"/>
        <v>5090.4303362887558</v>
      </c>
      <c r="W181" s="130">
        <f t="shared" si="4"/>
        <v>4951.7202207810278</v>
      </c>
      <c r="X181" s="130">
        <f t="shared" si="4"/>
        <v>4972.2722551017441</v>
      </c>
      <c r="Y181" s="130">
        <f t="shared" si="4"/>
        <v>4678.6679339554476</v>
      </c>
      <c r="Z181" s="130">
        <f t="shared" si="4"/>
        <v>4456.5470875541305</v>
      </c>
      <c r="AA181" s="130">
        <f t="shared" si="4"/>
        <v>4223.3515975693272</v>
      </c>
      <c r="AB181" s="130">
        <f t="shared" si="4"/>
        <v>4372.9876057194469</v>
      </c>
      <c r="AC181" s="130">
        <f t="shared" si="4"/>
        <v>4303.4626887247205</v>
      </c>
      <c r="AD181" s="130">
        <f t="shared" si="4"/>
        <v>4031.0597056870984</v>
      </c>
      <c r="AE181" s="130">
        <f t="shared" si="4"/>
        <v>3877.8189566621786</v>
      </c>
      <c r="AF181" s="130">
        <f t="shared" si="4"/>
        <v>3462.3869629589958</v>
      </c>
      <c r="AG181" s="130">
        <f t="shared" si="4"/>
        <v>4008.6322954745738</v>
      </c>
      <c r="AH181" s="130">
        <f t="shared" si="4"/>
        <v>4349.7909409228969</v>
      </c>
      <c r="AI181" s="130">
        <f t="shared" si="4"/>
        <v>4633.478599600935</v>
      </c>
      <c r="AJ181" s="130">
        <f t="shared" si="4"/>
        <v>4830.6169230189371</v>
      </c>
      <c r="AK181" s="130">
        <f t="shared" si="4"/>
        <v>4961.4752355091887</v>
      </c>
      <c r="AL181" s="130">
        <f t="shared" si="4"/>
        <v>5051.2743108375325</v>
      </c>
      <c r="AM181" s="130">
        <f t="shared" si="4"/>
        <v>5172.7929400490211</v>
      </c>
      <c r="AN181" s="130">
        <f t="shared" si="4"/>
        <v>5404.8692899129892</v>
      </c>
      <c r="AO181" s="130">
        <f t="shared" si="4"/>
        <v>5466.2902621443809</v>
      </c>
      <c r="AP181" s="130">
        <f t="shared" si="4"/>
        <v>5493.3559173458552</v>
      </c>
      <c r="AQ181" s="130">
        <f t="shared" si="4"/>
        <v>5524.8939252598766</v>
      </c>
      <c r="AR181" s="130">
        <f t="shared" si="4"/>
        <v>5258.7168208118319</v>
      </c>
      <c r="AS181" s="130">
        <f t="shared" si="4"/>
        <v>5144.9571902869657</v>
      </c>
      <c r="AT181" s="130">
        <f t="shared" si="4"/>
        <v>4912.2543778261761</v>
      </c>
      <c r="AU181" s="130">
        <f t="shared" si="4"/>
        <v>4883.6822761977655</v>
      </c>
      <c r="AV181" s="130">
        <f t="shared" si="4"/>
        <v>4726.3713096842475</v>
      </c>
      <c r="AW181" s="130">
        <f t="shared" si="4"/>
        <v>4887.7310095467446</v>
      </c>
      <c r="AX181" s="130">
        <f t="shared" si="4"/>
        <v>4998.7347297601491</v>
      </c>
      <c r="AY181" s="130">
        <f t="shared" si="4"/>
        <v>5060.1058905758027</v>
      </c>
    </row>
    <row r="182" spans="1:51" x14ac:dyDescent="0.2">
      <c r="A182" s="131"/>
      <c r="B182" s="142" t="s">
        <v>298</v>
      </c>
      <c r="C182" s="131" t="s">
        <v>292</v>
      </c>
      <c r="D182" s="131">
        <v>297</v>
      </c>
      <c r="E182" s="131">
        <v>413</v>
      </c>
      <c r="F182" s="131">
        <v>374.81995507285501</v>
      </c>
      <c r="G182" s="131">
        <v>461.36833068454757</v>
      </c>
      <c r="H182" s="131">
        <v>451.22708902739458</v>
      </c>
      <c r="I182" s="131">
        <v>431.78583634427861</v>
      </c>
      <c r="J182" s="131">
        <v>500.52530196049452</v>
      </c>
      <c r="K182" s="131">
        <v>492.63672605711326</v>
      </c>
      <c r="L182" s="131">
        <v>249.72500037224606</v>
      </c>
      <c r="M182" s="131">
        <v>332.24349686813656</v>
      </c>
      <c r="N182" s="131">
        <v>311.390403676093</v>
      </c>
      <c r="O182" s="131">
        <v>242.47860206255061</v>
      </c>
      <c r="P182" s="131">
        <v>411.35530017205645</v>
      </c>
      <c r="Q182" s="131">
        <v>397.29940872259465</v>
      </c>
      <c r="R182" s="131">
        <v>355.91352419938909</v>
      </c>
      <c r="S182" s="131">
        <v>351.03455731866183</v>
      </c>
      <c r="T182" s="131">
        <v>553.23530380727459</v>
      </c>
      <c r="U182" s="131">
        <v>464.84483477789956</v>
      </c>
      <c r="V182" s="131">
        <v>541.74889950667819</v>
      </c>
      <c r="W182" s="131">
        <v>374.67536572932249</v>
      </c>
      <c r="X182" s="131">
        <v>800.42437648987936</v>
      </c>
      <c r="Y182" s="131">
        <v>813.36423362638391</v>
      </c>
      <c r="Z182" s="131">
        <v>913.0714417044378</v>
      </c>
      <c r="AA182" s="131">
        <v>759.00160584917205</v>
      </c>
      <c r="AB182" s="131">
        <v>1004.5874489455451</v>
      </c>
      <c r="AC182" s="131">
        <v>1311</v>
      </c>
      <c r="AD182" s="131">
        <v>1250.0812619143933</v>
      </c>
      <c r="AE182" s="131">
        <v>1384.5341524115565</v>
      </c>
      <c r="AF182" s="131">
        <v>215.24078410210811</v>
      </c>
      <c r="AG182" s="131">
        <v>290.66044524382704</v>
      </c>
      <c r="AH182" s="131">
        <v>240.30788574513082</v>
      </c>
      <c r="AI182" s="131">
        <v>251.92920603439825</v>
      </c>
      <c r="AJ182" s="131">
        <v>268.47280129562722</v>
      </c>
      <c r="AK182" s="131">
        <v>275.40135121263791</v>
      </c>
      <c r="AL182" s="131">
        <v>197.49519337081068</v>
      </c>
      <c r="AM182" s="131">
        <v>284.36534331795571</v>
      </c>
      <c r="AN182" s="131">
        <v>431.67593721148023</v>
      </c>
      <c r="AO182" s="131">
        <v>455.74418380796629</v>
      </c>
      <c r="AP182" s="131">
        <v>439.28491607981533</v>
      </c>
      <c r="AQ182" s="131">
        <v>552.53311746537418</v>
      </c>
      <c r="AR182" s="131">
        <v>443.35321983507617</v>
      </c>
      <c r="AS182" s="131">
        <v>650.74171018945378</v>
      </c>
      <c r="AT182" s="131">
        <v>457.47063751084227</v>
      </c>
      <c r="AU182" s="131">
        <v>646</v>
      </c>
      <c r="AV182" s="131">
        <v>266</v>
      </c>
      <c r="AW182" s="131">
        <v>274.16586528799382</v>
      </c>
      <c r="AX182" s="131">
        <v>300.47257318898221</v>
      </c>
      <c r="AY182" s="131">
        <v>333.33129438784857</v>
      </c>
    </row>
    <row r="184" spans="1:51" x14ac:dyDescent="0.2">
      <c r="A184" s="108" t="s">
        <v>299</v>
      </c>
    </row>
    <row r="185" spans="1:51" x14ac:dyDescent="0.2">
      <c r="A185" s="132" t="s">
        <v>125</v>
      </c>
      <c r="B185" s="129">
        <v>1</v>
      </c>
      <c r="C185" s="130"/>
      <c r="D185" s="130">
        <v>516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/>
      <c r="D186" s="112">
        <v>0</v>
      </c>
      <c r="E186" s="112">
        <v>604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/>
      <c r="D187" s="112">
        <v>0</v>
      </c>
      <c r="E187" s="112">
        <v>0</v>
      </c>
      <c r="F187" s="112">
        <v>543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/>
      <c r="D188" s="112">
        <v>0</v>
      </c>
      <c r="E188" s="112">
        <v>0</v>
      </c>
      <c r="F188" s="112">
        <v>0</v>
      </c>
      <c r="G188" s="112">
        <v>630</v>
      </c>
      <c r="H188" s="112">
        <v>830</v>
      </c>
      <c r="I188" s="112">
        <v>760</v>
      </c>
      <c r="J188" s="112">
        <v>598</v>
      </c>
      <c r="K188" s="112">
        <v>717</v>
      </c>
      <c r="L188" s="112">
        <v>622</v>
      </c>
      <c r="M188" s="112">
        <v>430</v>
      </c>
      <c r="N188" s="112">
        <v>482</v>
      </c>
      <c r="O188" s="112">
        <v>475</v>
      </c>
      <c r="P188" s="112">
        <v>324</v>
      </c>
      <c r="Q188" s="112">
        <v>344</v>
      </c>
      <c r="R188" s="112">
        <v>329</v>
      </c>
      <c r="S188" s="112">
        <v>412</v>
      </c>
      <c r="T188" s="112">
        <v>465</v>
      </c>
      <c r="U188" s="112">
        <v>450</v>
      </c>
      <c r="V188" s="112">
        <v>547</v>
      </c>
      <c r="W188" s="112">
        <v>455</v>
      </c>
      <c r="X188" s="112">
        <v>606</v>
      </c>
      <c r="Y188" s="112">
        <v>579</v>
      </c>
      <c r="Z188" s="112">
        <v>612</v>
      </c>
      <c r="AA188" s="112">
        <v>741</v>
      </c>
      <c r="AB188" s="112">
        <v>167</v>
      </c>
      <c r="AC188" s="112">
        <v>162</v>
      </c>
      <c r="AD188" s="112">
        <v>164</v>
      </c>
      <c r="AE188" s="112">
        <v>217</v>
      </c>
      <c r="AF188" s="112">
        <v>252</v>
      </c>
      <c r="AG188" s="112">
        <v>252</v>
      </c>
      <c r="AH188" s="112">
        <v>205</v>
      </c>
      <c r="AI188" s="112">
        <v>241</v>
      </c>
      <c r="AJ188" s="112">
        <v>236</v>
      </c>
      <c r="AK188" s="112">
        <v>245</v>
      </c>
      <c r="AL188" s="112">
        <v>235</v>
      </c>
      <c r="AM188" s="112">
        <v>274</v>
      </c>
      <c r="AN188" s="112">
        <v>408</v>
      </c>
      <c r="AO188" s="112">
        <v>463</v>
      </c>
      <c r="AP188" s="112">
        <v>540</v>
      </c>
      <c r="AQ188" s="112">
        <v>532</v>
      </c>
      <c r="AR188" s="112">
        <v>315</v>
      </c>
      <c r="AS188" s="112">
        <v>304</v>
      </c>
      <c r="AT188" s="112">
        <v>255</v>
      </c>
      <c r="AU188" s="112">
        <v>254</v>
      </c>
      <c r="AV188" s="112">
        <v>211</v>
      </c>
      <c r="AW188" s="112">
        <v>197</v>
      </c>
      <c r="AX188" s="112">
        <v>165</v>
      </c>
      <c r="AY188" s="112">
        <v>217</v>
      </c>
    </row>
    <row r="189" spans="1:51" x14ac:dyDescent="0.2">
      <c r="A189" s="132" t="s">
        <v>133</v>
      </c>
      <c r="B189" s="129">
        <v>1</v>
      </c>
      <c r="C189" s="130"/>
      <c r="D189" s="130">
        <v>0</v>
      </c>
      <c r="E189" s="130">
        <v>0</v>
      </c>
      <c r="F189" s="130">
        <v>273.74765262492122</v>
      </c>
      <c r="G189" s="130">
        <v>273.74765262492122</v>
      </c>
      <c r="H189" s="130">
        <v>273.74765262492122</v>
      </c>
      <c r="I189" s="130">
        <v>273.74765262492122</v>
      </c>
      <c r="J189" s="130">
        <v>243.33124677770775</v>
      </c>
      <c r="K189" s="130">
        <v>243.33124677770775</v>
      </c>
      <c r="L189" s="130">
        <v>243.33124677770775</v>
      </c>
      <c r="M189" s="130">
        <v>243.33124677770775</v>
      </c>
      <c r="N189" s="130">
        <v>243.33124677770775</v>
      </c>
      <c r="O189" s="130">
        <v>243.33124677770775</v>
      </c>
      <c r="P189" s="130">
        <v>243.33124677770775</v>
      </c>
      <c r="Q189" s="130">
        <v>243.33124677770775</v>
      </c>
      <c r="R189" s="130">
        <v>273.74765262492122</v>
      </c>
      <c r="S189" s="130">
        <v>273.74765262492122</v>
      </c>
      <c r="T189" s="130">
        <v>273.74765262492122</v>
      </c>
      <c r="U189" s="130">
        <v>273.74765262492122</v>
      </c>
      <c r="V189" s="130">
        <v>243.33124677770775</v>
      </c>
      <c r="W189" s="130">
        <v>243.33124677770775</v>
      </c>
      <c r="X189" s="130">
        <v>243.33124677770775</v>
      </c>
      <c r="Y189" s="130">
        <v>243.33124677770775</v>
      </c>
      <c r="Z189" s="130">
        <v>243.33124677770775</v>
      </c>
      <c r="AA189" s="130">
        <v>243.33124677770775</v>
      </c>
      <c r="AB189" s="130">
        <v>243.33124677770775</v>
      </c>
      <c r="AC189" s="130">
        <v>243.33124677770775</v>
      </c>
      <c r="AD189" s="130">
        <v>273.74765262492122</v>
      </c>
      <c r="AE189" s="130">
        <v>273.74765262492122</v>
      </c>
      <c r="AF189" s="130">
        <v>273.74765262492122</v>
      </c>
      <c r="AG189" s="130">
        <v>273.74765262492122</v>
      </c>
      <c r="AH189" s="130">
        <v>243.33124677770775</v>
      </c>
      <c r="AI189" s="130">
        <v>243.33124677770775</v>
      </c>
      <c r="AJ189" s="130">
        <v>243.33124677770775</v>
      </c>
      <c r="AK189" s="130">
        <v>243.33124677770775</v>
      </c>
      <c r="AL189" s="130">
        <v>243.33124677770775</v>
      </c>
      <c r="AM189" s="130">
        <v>243.33124677770775</v>
      </c>
      <c r="AN189" s="130">
        <v>243.33124677770775</v>
      </c>
      <c r="AO189" s="130">
        <v>243.33124677770775</v>
      </c>
      <c r="AP189" s="130">
        <v>273.74765262492122</v>
      </c>
      <c r="AQ189" s="130">
        <v>273.74765262492122</v>
      </c>
      <c r="AR189" s="130">
        <v>273.74765262492122</v>
      </c>
      <c r="AS189" s="130">
        <v>273.74765262492122</v>
      </c>
      <c r="AT189" s="130">
        <v>243.33124677770775</v>
      </c>
      <c r="AU189" s="130">
        <v>0</v>
      </c>
      <c r="AV189" s="130">
        <v>486.66249355541549</v>
      </c>
      <c r="AW189" s="130">
        <v>243.33124677770775</v>
      </c>
      <c r="AX189" s="130">
        <v>243.33124677770775</v>
      </c>
      <c r="AY189" s="130">
        <v>243.33124677770775</v>
      </c>
    </row>
    <row r="190" spans="1:51" x14ac:dyDescent="0.2">
      <c r="A190" s="115"/>
      <c r="B190" s="125">
        <v>2</v>
      </c>
      <c r="C190" s="112"/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/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/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/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/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/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/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/>
      <c r="D197" s="112">
        <v>0</v>
      </c>
      <c r="E197" s="112">
        <v>334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/>
      <c r="D198" s="112">
        <v>0</v>
      </c>
      <c r="E198" s="112">
        <v>0</v>
      </c>
      <c r="F198" s="112">
        <v>325.81995507285501</v>
      </c>
      <c r="G198" s="112">
        <v>350.2042582784469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/>
      <c r="D199" s="112">
        <v>0</v>
      </c>
      <c r="E199" s="112">
        <v>0</v>
      </c>
      <c r="F199" s="112">
        <v>0</v>
      </c>
      <c r="G199" s="112">
        <v>48.164072406100672</v>
      </c>
      <c r="H199" s="112">
        <v>458.22708902739458</v>
      </c>
      <c r="I199" s="112">
        <v>104.02522198723375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/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330.76061435704486</v>
      </c>
      <c r="J200" s="112">
        <v>387.52530196049452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/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334.63672605711326</v>
      </c>
      <c r="L201" s="112">
        <v>295.21532104745825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/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593.50967932478784</v>
      </c>
      <c r="M202" s="112">
        <v>869.24349686813662</v>
      </c>
      <c r="N202" s="112">
        <v>538.3844503505693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/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469.00595332552371</v>
      </c>
      <c r="O203" s="112">
        <v>826.47860206255064</v>
      </c>
      <c r="P203" s="112">
        <v>531.3587612219884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/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320.99653895006804</v>
      </c>
      <c r="Q204" s="112">
        <v>781.29940872259465</v>
      </c>
      <c r="R204" s="112">
        <v>239.95406499105775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/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413.9594592083314</v>
      </c>
      <c r="S205" s="112">
        <v>616.03455731866188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/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392.23530380727459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/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475.84483477789956</v>
      </c>
      <c r="V207" s="112">
        <v>283.31271014904371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/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37.436189357634476</v>
      </c>
      <c r="W208" s="112">
        <v>421.67536572932249</v>
      </c>
      <c r="X208" s="112">
        <v>962.42437648987936</v>
      </c>
      <c r="Y208" s="112">
        <v>707.36423362638391</v>
      </c>
      <c r="Z208" s="112">
        <v>958.0714417044378</v>
      </c>
      <c r="AA208" s="112">
        <v>703.00160584917205</v>
      </c>
      <c r="AB208" s="112">
        <v>488.58744894554513</v>
      </c>
      <c r="AC208" s="112">
        <v>556</v>
      </c>
      <c r="AD208" s="112">
        <v>447.08126191439328</v>
      </c>
      <c r="AE208" s="112">
        <v>589.53415241155653</v>
      </c>
      <c r="AF208" s="112">
        <v>755.24078410210814</v>
      </c>
      <c r="AG208" s="112">
        <v>746.66044524382698</v>
      </c>
      <c r="AH208" s="112">
        <v>708.30788574513076</v>
      </c>
      <c r="AI208" s="112">
        <v>664.92920603439825</v>
      </c>
      <c r="AJ208" s="112">
        <v>669.47280129562728</v>
      </c>
      <c r="AK208" s="112">
        <v>702.40135121263791</v>
      </c>
      <c r="AL208" s="112">
        <v>647.49519337081074</v>
      </c>
      <c r="AM208" s="112">
        <v>703.36534331795565</v>
      </c>
      <c r="AN208" s="112">
        <v>627.67593721148023</v>
      </c>
      <c r="AO208" s="112">
        <v>666.74418380796635</v>
      </c>
      <c r="AP208" s="112">
        <v>592.28491607981528</v>
      </c>
      <c r="AQ208" s="112">
        <v>631.53311746537418</v>
      </c>
      <c r="AR208" s="112">
        <v>661.35321983507617</v>
      </c>
      <c r="AS208" s="112">
        <v>543.74171018945378</v>
      </c>
      <c r="AT208" s="112">
        <v>639.47063751084227</v>
      </c>
      <c r="AU208" s="112">
        <v>508</v>
      </c>
      <c r="AV208" s="112">
        <v>902</v>
      </c>
      <c r="AW208" s="112">
        <v>1311.1658652879939</v>
      </c>
      <c r="AX208" s="112">
        <v>1388.4725731889823</v>
      </c>
      <c r="AY208" s="112">
        <v>974.33129438784852</v>
      </c>
    </row>
    <row r="209" spans="1:51" x14ac:dyDescent="0.2">
      <c r="A209" s="132" t="s">
        <v>123</v>
      </c>
      <c r="B209" s="129">
        <v>1</v>
      </c>
      <c r="C209" s="130"/>
      <c r="D209" s="130">
        <v>297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/>
      <c r="D210" s="116">
        <v>0</v>
      </c>
      <c r="E210" s="116">
        <v>413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219.99782441871002</v>
      </c>
      <c r="AD210" s="116">
        <v>431.48206937072609</v>
      </c>
      <c r="AE210" s="116">
        <v>719.17570889280944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/>
      <c r="D211" s="116">
        <v>0</v>
      </c>
      <c r="E211" s="116">
        <v>0</v>
      </c>
      <c r="F211" s="116">
        <v>374.81995507285501</v>
      </c>
      <c r="G211" s="116">
        <v>354.13267167355548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181.38601175966187</v>
      </c>
      <c r="AA211" s="116">
        <v>260.51166588919915</v>
      </c>
      <c r="AB211" s="116">
        <v>563.43168302131744</v>
      </c>
      <c r="AC211" s="116">
        <v>869.34120148186048</v>
      </c>
      <c r="AD211" s="116">
        <v>818.59919254366719</v>
      </c>
      <c r="AE211" s="116">
        <v>665.35844351874709</v>
      </c>
      <c r="AF211" s="116">
        <v>215.24078410210811</v>
      </c>
      <c r="AG211" s="116">
        <v>115.55745756384033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/>
      <c r="D212" s="116">
        <v>0</v>
      </c>
      <c r="E212" s="116">
        <v>0</v>
      </c>
      <c r="F212" s="116">
        <v>0</v>
      </c>
      <c r="G212" s="116">
        <v>107.23565901099207</v>
      </c>
      <c r="H212" s="116">
        <v>451.22708902739458</v>
      </c>
      <c r="I212" s="116">
        <v>431.1833900220887</v>
      </c>
      <c r="J212" s="116">
        <v>299.46539902610971</v>
      </c>
      <c r="K212" s="116">
        <v>196.13442454187339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182.93539279680789</v>
      </c>
      <c r="Y212" s="116">
        <v>489.47957107960951</v>
      </c>
      <c r="Z212" s="116">
        <v>629.92161379931804</v>
      </c>
      <c r="AA212" s="116">
        <v>498.4899399599729</v>
      </c>
      <c r="AB212" s="116">
        <v>441.15576592422775</v>
      </c>
      <c r="AC212" s="116">
        <v>221.66097409942944</v>
      </c>
      <c r="AD212" s="116">
        <v>0</v>
      </c>
      <c r="AE212" s="116">
        <v>0</v>
      </c>
      <c r="AF212" s="116">
        <v>0</v>
      </c>
      <c r="AG212" s="116">
        <v>175.10298767998671</v>
      </c>
      <c r="AH212" s="116">
        <v>240.30788574513082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47.975643221307337</v>
      </c>
      <c r="AT212" s="116">
        <v>0</v>
      </c>
      <c r="AU212" s="116">
        <v>117.10099521090797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/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0.60244632218990846</v>
      </c>
      <c r="J213" s="116">
        <v>201.05990293438484</v>
      </c>
      <c r="K213" s="116">
        <v>296.50230151523988</v>
      </c>
      <c r="L213" s="116">
        <v>249.72500037224606</v>
      </c>
      <c r="M213" s="116">
        <v>285.43768461544062</v>
      </c>
      <c r="N213" s="116">
        <v>187.48343568652854</v>
      </c>
      <c r="O213" s="116">
        <v>47.59432567138046</v>
      </c>
      <c r="P213" s="116">
        <v>115.10786075181744</v>
      </c>
      <c r="Q213" s="116">
        <v>149.97204222501597</v>
      </c>
      <c r="R213" s="116">
        <v>133.84862245092623</v>
      </c>
      <c r="S213" s="116">
        <v>117.28668162769412</v>
      </c>
      <c r="T213" s="116">
        <v>307.48670334537024</v>
      </c>
      <c r="U213" s="116">
        <v>315.57274384135076</v>
      </c>
      <c r="V213" s="116">
        <v>398.33592541607231</v>
      </c>
      <c r="W213" s="116">
        <v>291.23230542153004</v>
      </c>
      <c r="X213" s="116">
        <v>456.43901250183268</v>
      </c>
      <c r="Y213" s="116">
        <v>323.88466254677439</v>
      </c>
      <c r="Z213" s="116">
        <v>101.76381614545794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251.92920603439825</v>
      </c>
      <c r="AJ213" s="116">
        <v>249.07816218719529</v>
      </c>
      <c r="AK213" s="116">
        <v>125.14839961395458</v>
      </c>
      <c r="AL213" s="116">
        <v>0</v>
      </c>
      <c r="AM213" s="116">
        <v>0</v>
      </c>
      <c r="AN213" s="116">
        <v>44.999113394860331</v>
      </c>
      <c r="AO213" s="116">
        <v>157.61626259002725</v>
      </c>
      <c r="AP213" s="116">
        <v>222.75898984563563</v>
      </c>
      <c r="AQ213" s="116">
        <v>383.20938504208777</v>
      </c>
      <c r="AR213" s="116">
        <v>390.29128623669732</v>
      </c>
      <c r="AS213" s="116">
        <v>513.4938890645617</v>
      </c>
      <c r="AT213" s="116">
        <v>457.47063751084227</v>
      </c>
      <c r="AU213" s="116">
        <v>513.4938890645617</v>
      </c>
      <c r="AV213" s="116">
        <v>266</v>
      </c>
      <c r="AW213" s="116">
        <v>197.65713965175456</v>
      </c>
      <c r="AX213" s="116">
        <v>112.96012733933901</v>
      </c>
      <c r="AY213" s="116">
        <v>84.447687722550938</v>
      </c>
    </row>
    <row r="214" spans="1:51" x14ac:dyDescent="0.2">
      <c r="A214" s="115"/>
      <c r="B214" s="125">
        <v>6</v>
      </c>
      <c r="C214" s="112"/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46.805812252695958</v>
      </c>
      <c r="N214" s="116">
        <v>123.90696798956448</v>
      </c>
      <c r="O214" s="116">
        <v>194.88427639117015</v>
      </c>
      <c r="P214" s="116">
        <v>296.247439420239</v>
      </c>
      <c r="Q214" s="116">
        <v>247.32736649757868</v>
      </c>
      <c r="R214" s="116">
        <v>222.06490174846286</v>
      </c>
      <c r="S214" s="116">
        <v>233.7478756909677</v>
      </c>
      <c r="T214" s="116">
        <v>245.74860046190435</v>
      </c>
      <c r="U214" s="116">
        <v>149.27209093654884</v>
      </c>
      <c r="V214" s="116">
        <v>143.41297409060584</v>
      </c>
      <c r="W214" s="116">
        <v>83.44306030779245</v>
      </c>
      <c r="X214" s="116">
        <v>161.04997119123885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19.394639108431942</v>
      </c>
      <c r="AK214" s="116">
        <v>150.25295159868332</v>
      </c>
      <c r="AL214" s="116">
        <v>197.49519337081068</v>
      </c>
      <c r="AM214" s="116">
        <v>253.52880959998041</v>
      </c>
      <c r="AN214" s="116">
        <v>330.73412242054064</v>
      </c>
      <c r="AO214" s="116">
        <v>298.12792121793905</v>
      </c>
      <c r="AP214" s="116">
        <v>216.52592623417971</v>
      </c>
      <c r="AQ214" s="116">
        <v>169.32373242328637</v>
      </c>
      <c r="AR214" s="116">
        <v>53.061933598378843</v>
      </c>
      <c r="AS214" s="116">
        <v>89.272177903584733</v>
      </c>
      <c r="AT214" s="116">
        <v>0</v>
      </c>
      <c r="AU214" s="116">
        <v>15.405115724530351</v>
      </c>
      <c r="AV214" s="116">
        <v>0</v>
      </c>
      <c r="AW214" s="116">
        <v>76.508725636239262</v>
      </c>
      <c r="AX214" s="116">
        <v>187.5124458496432</v>
      </c>
      <c r="AY214" s="116">
        <v>248.88360666529763</v>
      </c>
    </row>
    <row r="215" spans="1:51" x14ac:dyDescent="0.2">
      <c r="A215" s="115"/>
      <c r="B215" s="125">
        <v>7</v>
      </c>
      <c r="C215" s="112"/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30.836533717975296</v>
      </c>
      <c r="AN215" s="116">
        <v>55.942701396079244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/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/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/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/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/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/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/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/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/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/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/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/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/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/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/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/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/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/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/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/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/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/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/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/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/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/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/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/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/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/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/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/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/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/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/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/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/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/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/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/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/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300</v>
      </c>
    </row>
    <row r="259" spans="1:52" x14ac:dyDescent="0.2">
      <c r="A259" s="143" t="s">
        <v>124</v>
      </c>
      <c r="B259" s="144">
        <v>650</v>
      </c>
      <c r="C259" s="130" t="s">
        <v>292</v>
      </c>
      <c r="D259" s="130">
        <f>E$14*$B$259</f>
        <v>460189.6178613212</v>
      </c>
      <c r="E259" s="130">
        <f t="shared" ref="E259:AX259" si="5">F$14*$B$259</f>
        <v>740474.77508087608</v>
      </c>
      <c r="F259" s="130">
        <f t="shared" si="5"/>
        <v>922803.004064259</v>
      </c>
      <c r="G259" s="130">
        <f t="shared" si="5"/>
        <v>1061752.1013067272</v>
      </c>
      <c r="H259" s="130">
        <f t="shared" si="5"/>
        <v>1095808.7343860723</v>
      </c>
      <c r="I259" s="130">
        <f t="shared" si="5"/>
        <v>1122301.4589493943</v>
      </c>
      <c r="J259" s="130">
        <f t="shared" si="5"/>
        <v>1144978.2176641433</v>
      </c>
      <c r="K259" s="130">
        <f t="shared" si="5"/>
        <v>1149104.5112347673</v>
      </c>
      <c r="L259" s="130">
        <f t="shared" si="5"/>
        <v>1153506.5610077651</v>
      </c>
      <c r="M259" s="130">
        <f t="shared" si="5"/>
        <v>1200180.4476385138</v>
      </c>
      <c r="N259" s="130">
        <f t="shared" si="5"/>
        <v>1219228.3612721968</v>
      </c>
      <c r="O259" s="130">
        <f t="shared" si="5"/>
        <v>1236763.372614946</v>
      </c>
      <c r="P259" s="130">
        <f t="shared" si="5"/>
        <v>1312937.4179182663</v>
      </c>
      <c r="Q259" s="130">
        <f t="shared" si="5"/>
        <v>1337901.867296977</v>
      </c>
      <c r="R259" s="130">
        <f t="shared" si="5"/>
        <v>1358507.197445469</v>
      </c>
      <c r="S259" s="130">
        <f t="shared" si="5"/>
        <v>1380846.3287352058</v>
      </c>
      <c r="T259" s="130">
        <f t="shared" si="5"/>
        <v>1346774.4007622495</v>
      </c>
      <c r="U259" s="130">
        <f t="shared" si="5"/>
        <v>1285889.5878217493</v>
      </c>
      <c r="V259" s="130">
        <f t="shared" si="5"/>
        <v>1257595.6414300795</v>
      </c>
      <c r="W259" s="130">
        <f t="shared" si="5"/>
        <v>1223327.1758661326</v>
      </c>
      <c r="X259" s="130">
        <f t="shared" si="5"/>
        <v>1228404.5754329241</v>
      </c>
      <c r="Y259" s="130">
        <f t="shared" si="5"/>
        <v>1155869.3494921217</v>
      </c>
      <c r="Z259" s="130">
        <f t="shared" si="5"/>
        <v>1100994.183769156</v>
      </c>
      <c r="AA259" s="130">
        <f t="shared" si="5"/>
        <v>1043383.0168476873</v>
      </c>
      <c r="AB259" s="130">
        <f t="shared" si="5"/>
        <v>1080350.7345490914</v>
      </c>
      <c r="AC259" s="130">
        <f t="shared" si="5"/>
        <v>1063174.537880599</v>
      </c>
      <c r="AD259" s="130">
        <f t="shared" si="5"/>
        <v>995877.12262308598</v>
      </c>
      <c r="AE259" s="130">
        <f t="shared" si="5"/>
        <v>958018.85027047363</v>
      </c>
      <c r="AF259" s="130">
        <f t="shared" si="5"/>
        <v>855385.98230500671</v>
      </c>
      <c r="AG259" s="130">
        <f t="shared" si="5"/>
        <v>990336.4096639537</v>
      </c>
      <c r="AH259" s="130">
        <f t="shared" si="5"/>
        <v>1074619.9765155527</v>
      </c>
      <c r="AI259" s="130">
        <f t="shared" si="5"/>
        <v>1144705.28159039</v>
      </c>
      <c r="AJ259" s="130">
        <f t="shared" si="5"/>
        <v>1193408.4913213896</v>
      </c>
      <c r="AK259" s="130">
        <f t="shared" si="5"/>
        <v>1225737.1615046288</v>
      </c>
      <c r="AL259" s="130">
        <f t="shared" si="5"/>
        <v>1247922.1082138123</v>
      </c>
      <c r="AM259" s="130">
        <f t="shared" si="5"/>
        <v>1277943.4007869551</v>
      </c>
      <c r="AN259" s="130">
        <f t="shared" si="5"/>
        <v>1335278.08308038</v>
      </c>
      <c r="AO259" s="130">
        <f t="shared" si="5"/>
        <v>1350452.1925107648</v>
      </c>
      <c r="AP259" s="130">
        <f t="shared" si="5"/>
        <v>1357138.7882924955</v>
      </c>
      <c r="AQ259" s="130">
        <f t="shared" si="5"/>
        <v>1364930.2830526372</v>
      </c>
      <c r="AR259" s="130">
        <f t="shared" si="5"/>
        <v>1299170.9770041849</v>
      </c>
      <c r="AS259" s="130">
        <f t="shared" si="5"/>
        <v>1271066.5524138133</v>
      </c>
      <c r="AT259" s="130">
        <f t="shared" si="5"/>
        <v>1213577.1019418186</v>
      </c>
      <c r="AU259" s="130">
        <f t="shared" si="5"/>
        <v>1206518.3371418701</v>
      </c>
      <c r="AV259" s="130">
        <f t="shared" si="5"/>
        <v>1167654.5136992361</v>
      </c>
      <c r="AW259" s="130">
        <f t="shared" si="5"/>
        <v>1207518.5805548269</v>
      </c>
      <c r="AX259" s="130">
        <f t="shared" si="5"/>
        <v>1234942.1548895414</v>
      </c>
      <c r="AY259" s="130">
        <f>AZ$14*$B$259</f>
        <v>1250103.9583624362</v>
      </c>
      <c r="AZ259" s="145">
        <f>SUM($D259:$AY259)</f>
        <v>55905353.486067936</v>
      </c>
    </row>
    <row r="260" spans="1:52" x14ac:dyDescent="0.2">
      <c r="A260" s="146" t="s">
        <v>301</v>
      </c>
      <c r="B260" s="120">
        <v>60</v>
      </c>
      <c r="C260" s="131" t="s">
        <v>292</v>
      </c>
      <c r="D260" s="131">
        <f>(D$175-D$176+D$177-D$178+D$179-D$180+D$181-D$182)*$B$260</f>
        <v>263547.49219087878</v>
      </c>
      <c r="E260" s="131">
        <f t="shared" ref="E260:AY260" si="6">(E$175-E$176+E$177-E$178+E$179-E$180+E$181-E$182)*$B$260</f>
        <v>511421.54997945903</v>
      </c>
      <c r="F260" s="131">
        <f t="shared" si="6"/>
        <v>774779.3911503281</v>
      </c>
      <c r="G260" s="131">
        <f t="shared" si="6"/>
        <v>1027375.6547931092</v>
      </c>
      <c r="H260" s="131">
        <f t="shared" si="6"/>
        <v>1181476.7504839238</v>
      </c>
      <c r="I260" s="131">
        <f t="shared" si="6"/>
        <v>1255269.0034366529</v>
      </c>
      <c r="J260" s="131">
        <f t="shared" si="6"/>
        <v>1333644.7635168429</v>
      </c>
      <c r="K260" s="131">
        <f t="shared" si="6"/>
        <v>1400519.5033341271</v>
      </c>
      <c r="L260" s="131">
        <f t="shared" si="6"/>
        <v>1474610.9958149148</v>
      </c>
      <c r="M260" s="131">
        <f t="shared" si="6"/>
        <v>1546838.2530062492</v>
      </c>
      <c r="N260" s="131">
        <f t="shared" si="6"/>
        <v>1599937.971195743</v>
      </c>
      <c r="O260" s="131">
        <f t="shared" si="6"/>
        <v>1671706.7580980246</v>
      </c>
      <c r="P260" s="131">
        <f t="shared" si="6"/>
        <v>1765228.4117707906</v>
      </c>
      <c r="Q260" s="131">
        <f t="shared" si="6"/>
        <v>1858323.8120413029</v>
      </c>
      <c r="R260" s="131">
        <f t="shared" si="6"/>
        <v>1964047.8986912351</v>
      </c>
      <c r="S260" s="131">
        <f t="shared" si="6"/>
        <v>2066297.4181845861</v>
      </c>
      <c r="T260" s="131">
        <f t="shared" si="6"/>
        <v>2128372.5251688594</v>
      </c>
      <c r="U260" s="131">
        <f t="shared" si="6"/>
        <v>2197299.7192378845</v>
      </c>
      <c r="V260" s="131">
        <f t="shared" si="6"/>
        <v>2261200.2071205475</v>
      </c>
      <c r="W260" s="131">
        <f t="shared" si="6"/>
        <v>2346134.441789588</v>
      </c>
      <c r="X260" s="131">
        <f t="shared" si="6"/>
        <v>2309361.561239494</v>
      </c>
      <c r="Y260" s="131">
        <f t="shared" si="6"/>
        <v>2319989.7799025262</v>
      </c>
      <c r="Z260" s="131">
        <f t="shared" si="6"/>
        <v>2284740.8375912225</v>
      </c>
      <c r="AA260" s="131">
        <f t="shared" si="6"/>
        <v>2276643.564417562</v>
      </c>
      <c r="AB260" s="131">
        <f t="shared" si="6"/>
        <v>2313413.7293564882</v>
      </c>
      <c r="AC260" s="131">
        <f t="shared" si="6"/>
        <v>2278715.9882069617</v>
      </c>
      <c r="AD260" s="131">
        <f t="shared" si="6"/>
        <v>2239448.0445805476</v>
      </c>
      <c r="AE260" s="131">
        <f t="shared" si="6"/>
        <v>2190058.5074111721</v>
      </c>
      <c r="AF260" s="131">
        <f t="shared" si="6"/>
        <v>2166071.2385458238</v>
      </c>
      <c r="AG260" s="131">
        <f t="shared" si="6"/>
        <v>2136403.8682252369</v>
      </c>
      <c r="AH260" s="131">
        <f t="shared" si="6"/>
        <v>2145368.4296841784</v>
      </c>
      <c r="AI260" s="131">
        <f t="shared" si="6"/>
        <v>2132172.2693934231</v>
      </c>
      <c r="AJ260" s="131">
        <f t="shared" si="6"/>
        <v>2140851.4564006352</v>
      </c>
      <c r="AK260" s="131">
        <f t="shared" si="6"/>
        <v>2142541.1213958673</v>
      </c>
      <c r="AL260" s="131">
        <f t="shared" si="6"/>
        <v>2162947.1413500491</v>
      </c>
      <c r="AM260" s="131">
        <f t="shared" si="6"/>
        <v>2172896.4187501264</v>
      </c>
      <c r="AN260" s="131">
        <f t="shared" si="6"/>
        <v>2209208.2562229815</v>
      </c>
      <c r="AO260" s="131">
        <f t="shared" si="6"/>
        <v>2242409.8802143289</v>
      </c>
      <c r="AP260" s="131">
        <f t="shared" si="6"/>
        <v>2284459.6690042727</v>
      </c>
      <c r="AQ260" s="131">
        <f t="shared" si="6"/>
        <v>2324102.1959900223</v>
      </c>
      <c r="AR260" s="131">
        <f t="shared" si="6"/>
        <v>2350401.4127725144</v>
      </c>
      <c r="AS260" s="131">
        <f t="shared" si="6"/>
        <v>2366741.1848399597</v>
      </c>
      <c r="AT260" s="131">
        <f t="shared" si="6"/>
        <v>2374412.296452194</v>
      </c>
      <c r="AU260" s="131">
        <f t="shared" si="6"/>
        <v>2369088.4584335997</v>
      </c>
      <c r="AV260" s="131">
        <f t="shared" si="6"/>
        <v>2367095.6209552325</v>
      </c>
      <c r="AW260" s="131">
        <f t="shared" si="6"/>
        <v>2350200.0088703786</v>
      </c>
      <c r="AX260" s="131">
        <f t="shared" si="6"/>
        <v>2350881.7119704662</v>
      </c>
      <c r="AY260" s="131">
        <f t="shared" si="6"/>
        <v>2373122.7855379172</v>
      </c>
      <c r="AZ260" s="147">
        <f>SUM($D260:$AY260)</f>
        <v>94001779.958720252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283</v>
      </c>
    </row>
    <row r="2" spans="1:53" x14ac:dyDescent="0.2">
      <c r="A2" s="106" t="s">
        <v>284</v>
      </c>
      <c r="B2" s="113" t="s">
        <v>59</v>
      </c>
    </row>
    <row r="3" spans="1:53" x14ac:dyDescent="0.2">
      <c r="A3" s="106" t="s">
        <v>285</v>
      </c>
      <c r="B3" s="114">
        <v>51000</v>
      </c>
      <c r="C3" s="115"/>
    </row>
    <row r="4" spans="1:53" x14ac:dyDescent="0.2">
      <c r="B4" s="116"/>
      <c r="C4" s="116"/>
    </row>
    <row r="5" spans="1:53" x14ac:dyDescent="0.2">
      <c r="C5" s="117" t="s">
        <v>286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287</v>
      </c>
      <c r="D7" s="118" t="s">
        <v>288</v>
      </c>
      <c r="E7" s="118" t="s">
        <v>288</v>
      </c>
      <c r="F7" s="118" t="s">
        <v>288</v>
      </c>
      <c r="G7" s="118" t="s">
        <v>288</v>
      </c>
      <c r="H7" s="118" t="s">
        <v>288</v>
      </c>
      <c r="I7" s="118" t="s">
        <v>288</v>
      </c>
      <c r="J7" s="118" t="s">
        <v>288</v>
      </c>
      <c r="K7" s="118" t="s">
        <v>288</v>
      </c>
      <c r="L7" s="118" t="s">
        <v>288</v>
      </c>
      <c r="M7" s="118" t="s">
        <v>288</v>
      </c>
      <c r="N7" s="118" t="s">
        <v>288</v>
      </c>
      <c r="O7" s="118" t="s">
        <v>288</v>
      </c>
      <c r="P7" s="118" t="s">
        <v>288</v>
      </c>
      <c r="Q7" s="118" t="s">
        <v>288</v>
      </c>
      <c r="R7" s="118" t="s">
        <v>288</v>
      </c>
      <c r="S7" s="118" t="s">
        <v>288</v>
      </c>
      <c r="T7" s="118" t="s">
        <v>288</v>
      </c>
      <c r="U7" s="118" t="s">
        <v>288</v>
      </c>
      <c r="V7" s="118" t="s">
        <v>288</v>
      </c>
      <c r="W7" s="118" t="s">
        <v>288</v>
      </c>
      <c r="X7" s="118" t="s">
        <v>288</v>
      </c>
      <c r="Y7" s="118" t="s">
        <v>288</v>
      </c>
      <c r="Z7" s="118" t="s">
        <v>288</v>
      </c>
      <c r="AA7" s="118" t="s">
        <v>288</v>
      </c>
      <c r="AB7" s="118" t="s">
        <v>288</v>
      </c>
      <c r="AC7" s="118" t="s">
        <v>288</v>
      </c>
      <c r="AD7" s="118" t="s">
        <v>288</v>
      </c>
      <c r="AE7" s="118" t="s">
        <v>288</v>
      </c>
      <c r="AF7" s="118" t="s">
        <v>288</v>
      </c>
      <c r="AG7" s="118" t="s">
        <v>288</v>
      </c>
      <c r="AH7" s="118" t="s">
        <v>288</v>
      </c>
      <c r="AI7" s="118" t="s">
        <v>288</v>
      </c>
      <c r="AJ7" s="118" t="s">
        <v>288</v>
      </c>
      <c r="AK7" s="118" t="s">
        <v>288</v>
      </c>
      <c r="AL7" s="118" t="s">
        <v>288</v>
      </c>
      <c r="AM7" s="118" t="s">
        <v>288</v>
      </c>
      <c r="AN7" s="118" t="s">
        <v>288</v>
      </c>
      <c r="AO7" s="118" t="s">
        <v>288</v>
      </c>
      <c r="AP7" s="118" t="s">
        <v>288</v>
      </c>
      <c r="AQ7" s="118" t="s">
        <v>288</v>
      </c>
      <c r="AR7" s="118" t="s">
        <v>288</v>
      </c>
      <c r="AS7" s="118" t="s">
        <v>288</v>
      </c>
      <c r="AT7" s="118" t="s">
        <v>288</v>
      </c>
      <c r="AU7" s="118" t="s">
        <v>288</v>
      </c>
      <c r="AV7" s="118" t="s">
        <v>288</v>
      </c>
      <c r="AW7" s="118" t="s">
        <v>288</v>
      </c>
      <c r="AX7" s="118" t="s">
        <v>288</v>
      </c>
      <c r="AY7" s="117" t="s">
        <v>289</v>
      </c>
      <c r="AZ7" s="117" t="s">
        <v>290</v>
      </c>
    </row>
    <row r="8" spans="1:53" x14ac:dyDescent="0.2">
      <c r="A8" s="108" t="s">
        <v>291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292</v>
      </c>
      <c r="D9" s="123">
        <v>4754.0556038556606</v>
      </c>
      <c r="E9" s="123">
        <v>4754.0556038556606</v>
      </c>
      <c r="F9" s="123">
        <v>4754.0556038556606</v>
      </c>
      <c r="G9" s="123">
        <v>4754.0556038556606</v>
      </c>
      <c r="H9" s="123">
        <v>4608.9648029835898</v>
      </c>
      <c r="I9" s="123">
        <v>4608.9648029835898</v>
      </c>
      <c r="J9" s="123">
        <v>4608.9648029835898</v>
      </c>
      <c r="K9" s="123">
        <v>4608.9648029835898</v>
      </c>
      <c r="L9" s="123">
        <v>4608.9648029835898</v>
      </c>
      <c r="M9" s="123">
        <v>4608.9648029835898</v>
      </c>
      <c r="N9" s="123">
        <v>4608.9648029835898</v>
      </c>
      <c r="O9" s="123">
        <v>4608.9648029835898</v>
      </c>
      <c r="P9" s="123">
        <v>4754.0556038556606</v>
      </c>
      <c r="Q9" s="123">
        <v>4754.0556038556606</v>
      </c>
      <c r="R9" s="123">
        <v>4754.0556038556606</v>
      </c>
      <c r="S9" s="123">
        <v>4754.0556038556606</v>
      </c>
      <c r="T9" s="123">
        <v>3530.1904508145658</v>
      </c>
      <c r="U9" s="123">
        <v>3532.3080536584635</v>
      </c>
      <c r="V9" s="123">
        <v>3534.4202555118527</v>
      </c>
      <c r="W9" s="123">
        <v>4608.9648029835898</v>
      </c>
      <c r="X9" s="123">
        <v>4608.9648029835898</v>
      </c>
      <c r="Y9" s="123">
        <v>4608.9648029835898</v>
      </c>
      <c r="Z9" s="123">
        <v>4608.9648029835898</v>
      </c>
      <c r="AA9" s="123">
        <v>4608.9648029835898</v>
      </c>
      <c r="AB9" s="123">
        <v>4754.0556038556606</v>
      </c>
      <c r="AC9" s="123">
        <v>4754.0556038556606</v>
      </c>
      <c r="AD9" s="123">
        <v>4369.8656446029891</v>
      </c>
      <c r="AE9" s="123">
        <v>4754.0556038556606</v>
      </c>
      <c r="AF9" s="123">
        <v>3555.1707678110074</v>
      </c>
      <c r="AG9" s="123">
        <v>4608.9648029835898</v>
      </c>
      <c r="AH9" s="123">
        <v>4608.9648029835898</v>
      </c>
      <c r="AI9" s="123">
        <v>4608.9648029835898</v>
      </c>
      <c r="AJ9" s="123">
        <v>4608.9648029835898</v>
      </c>
      <c r="AK9" s="123">
        <v>4608.9648029835898</v>
      </c>
      <c r="AL9" s="123">
        <v>4608.9648029835898</v>
      </c>
      <c r="AM9" s="123">
        <v>4608.9648029835898</v>
      </c>
      <c r="AN9" s="123">
        <v>4754.0556038556606</v>
      </c>
      <c r="AO9" s="123">
        <v>4754.0556038556606</v>
      </c>
      <c r="AP9" s="123">
        <v>4754.0556038556606</v>
      </c>
      <c r="AQ9" s="123">
        <v>4754.0556038556606</v>
      </c>
      <c r="AR9" s="123">
        <v>4608.9648029835898</v>
      </c>
      <c r="AS9" s="123">
        <v>4608.9648029835898</v>
      </c>
      <c r="AT9" s="123">
        <v>4608.9648029835898</v>
      </c>
      <c r="AU9" s="123">
        <v>4608.9648029835898</v>
      </c>
      <c r="AV9" s="123">
        <v>4608.9648029835898</v>
      </c>
      <c r="AW9" s="123">
        <v>4608.9648029835898</v>
      </c>
      <c r="AX9" s="123">
        <v>4608.9648029835898</v>
      </c>
      <c r="AY9" s="123">
        <v>4608.9648029835898</v>
      </c>
    </row>
    <row r="10" spans="1:53" x14ac:dyDescent="0.2">
      <c r="A10" s="124" t="s">
        <v>133</v>
      </c>
      <c r="B10" s="125">
        <v>1</v>
      </c>
      <c r="C10" s="112" t="s">
        <v>292</v>
      </c>
      <c r="E10" s="106">
        <v>0</v>
      </c>
      <c r="F10" s="106">
        <v>2291.0367068297519</v>
      </c>
      <c r="G10" s="106">
        <v>2291.0367068297519</v>
      </c>
      <c r="H10" s="106">
        <v>2291.0367068297519</v>
      </c>
      <c r="I10" s="106">
        <v>2291.0367068297519</v>
      </c>
      <c r="J10" s="106">
        <v>2184.4239135490361</v>
      </c>
      <c r="K10" s="106">
        <v>2184.4239135490361</v>
      </c>
      <c r="L10" s="106">
        <v>1331.5215673033081</v>
      </c>
      <c r="M10" s="106">
        <v>3037.3262597947637</v>
      </c>
      <c r="N10" s="106">
        <v>2184.4239135490361</v>
      </c>
      <c r="O10" s="106">
        <v>2184.4239135490361</v>
      </c>
      <c r="P10" s="106">
        <v>2184.4239135490361</v>
      </c>
      <c r="Q10" s="106">
        <v>2184.4239135490361</v>
      </c>
      <c r="R10" s="106">
        <v>959.51513952644382</v>
      </c>
      <c r="S10" s="106">
        <v>3413.5151395264438</v>
      </c>
      <c r="T10" s="106">
        <v>1229.5151395264438</v>
      </c>
      <c r="U10" s="106">
        <v>959.51513952644382</v>
      </c>
      <c r="V10" s="106">
        <v>3033.6201196835036</v>
      </c>
      <c r="W10" s="106">
        <v>1392.9023462457278</v>
      </c>
      <c r="X10" s="106">
        <v>1703.989719030747</v>
      </c>
      <c r="Y10" s="106">
        <v>2184.4239135490361</v>
      </c>
      <c r="Z10" s="106">
        <v>2184.4239135490361</v>
      </c>
      <c r="AA10" s="106">
        <v>2184.4239135490361</v>
      </c>
      <c r="AB10" s="106">
        <v>1331.5215673033081</v>
      </c>
      <c r="AC10" s="106">
        <v>3037.3262597947637</v>
      </c>
      <c r="AD10" s="106">
        <v>2291.0367068297519</v>
      </c>
      <c r="AE10" s="106">
        <v>2291.0367068297519</v>
      </c>
      <c r="AF10" s="106">
        <v>2179.0452930637712</v>
      </c>
      <c r="AG10" s="106">
        <v>2291.0367068297519</v>
      </c>
      <c r="AH10" s="106">
        <v>1713.2673759559464</v>
      </c>
      <c r="AI10" s="106">
        <v>2184.4239135490361</v>
      </c>
      <c r="AJ10" s="106">
        <v>2184.4239135490361</v>
      </c>
      <c r="AK10" s="106">
        <v>2184.4239135490361</v>
      </c>
      <c r="AL10" s="106">
        <v>2184.4239135490361</v>
      </c>
      <c r="AM10" s="106">
        <v>2184.4239135490361</v>
      </c>
      <c r="AN10" s="106">
        <v>2184.4239135490361</v>
      </c>
      <c r="AO10" s="106">
        <v>2184.4239135490361</v>
      </c>
      <c r="AP10" s="106">
        <v>2291.0367068297519</v>
      </c>
      <c r="AQ10" s="106">
        <v>1331.5215673033081</v>
      </c>
      <c r="AR10" s="106">
        <v>3250.5518463561957</v>
      </c>
      <c r="AS10" s="106">
        <v>2291.0367068297519</v>
      </c>
      <c r="AT10" s="106">
        <v>2184.4239135490361</v>
      </c>
      <c r="AU10" s="106">
        <v>2184.4239135490361</v>
      </c>
      <c r="AV10" s="106">
        <v>2184.4239135490361</v>
      </c>
      <c r="AW10" s="106">
        <v>2184.4239135490361</v>
      </c>
      <c r="AX10" s="106">
        <v>2184.4239135490361</v>
      </c>
      <c r="AY10" s="106">
        <v>2184.4239135490361</v>
      </c>
      <c r="AZ10" s="106">
        <v>852.90234624572781</v>
      </c>
    </row>
    <row r="11" spans="1:53" x14ac:dyDescent="0.2">
      <c r="B11" s="125">
        <v>2</v>
      </c>
      <c r="C11" s="112" t="s">
        <v>292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U11" s="106">
        <v>1061.5215673033081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</row>
    <row r="12" spans="1:53" x14ac:dyDescent="0.2">
      <c r="B12" s="126">
        <v>3</v>
      </c>
      <c r="C12" s="112" t="s">
        <v>292</v>
      </c>
      <c r="O12" s="106">
        <v>0</v>
      </c>
      <c r="Q12" s="106">
        <v>0</v>
      </c>
      <c r="S12" s="106">
        <v>0</v>
      </c>
      <c r="T12" s="106">
        <v>0</v>
      </c>
      <c r="U12" s="106">
        <v>0</v>
      </c>
      <c r="X12" s="106">
        <v>0</v>
      </c>
      <c r="Y12" s="106">
        <v>310.14299686456002</v>
      </c>
      <c r="AC12" s="106">
        <v>0</v>
      </c>
      <c r="AM12" s="106">
        <v>0</v>
      </c>
      <c r="AN12" s="106">
        <v>0</v>
      </c>
      <c r="AP12" s="106">
        <v>0</v>
      </c>
      <c r="AQ12" s="106">
        <v>0</v>
      </c>
      <c r="AR12" s="106">
        <v>0</v>
      </c>
      <c r="AT12" s="106">
        <v>0</v>
      </c>
      <c r="AV12" s="106">
        <v>0</v>
      </c>
      <c r="AW12" s="106">
        <v>0</v>
      </c>
      <c r="AZ12" s="106">
        <v>0</v>
      </c>
    </row>
    <row r="13" spans="1:53" x14ac:dyDescent="0.2">
      <c r="B13" s="126">
        <v>4</v>
      </c>
      <c r="C13" s="112" t="s">
        <v>292</v>
      </c>
      <c r="AB13" s="106">
        <v>0</v>
      </c>
      <c r="AD13" s="106">
        <v>0</v>
      </c>
    </row>
    <row r="14" spans="1:53" x14ac:dyDescent="0.2">
      <c r="A14" s="121" t="s">
        <v>134</v>
      </c>
      <c r="B14" s="127">
        <v>1</v>
      </c>
      <c r="C14" s="123" t="s">
        <v>292</v>
      </c>
      <c r="D14" s="123"/>
      <c r="E14" s="123">
        <f t="shared" ref="E14:AZ14" si="0">D$172*SUM(D$122:D$169)</f>
        <v>9551.0528740276495</v>
      </c>
      <c r="F14" s="123">
        <f t="shared" si="0"/>
        <v>14854.78477568058</v>
      </c>
      <c r="G14" s="123">
        <f t="shared" si="0"/>
        <v>17855.195233997958</v>
      </c>
      <c r="H14" s="123">
        <f t="shared" si="0"/>
        <v>19558.373052439249</v>
      </c>
      <c r="I14" s="123">
        <f t="shared" si="0"/>
        <v>19465.592368949317</v>
      </c>
      <c r="J14" s="123">
        <f t="shared" si="0"/>
        <v>18778.879238443573</v>
      </c>
      <c r="K14" s="123">
        <f t="shared" si="0"/>
        <v>18576.500697655134</v>
      </c>
      <c r="L14" s="123">
        <f t="shared" si="0"/>
        <v>18296.771867808955</v>
      </c>
      <c r="M14" s="123">
        <f t="shared" si="0"/>
        <v>18296.404773074777</v>
      </c>
      <c r="N14" s="123">
        <f t="shared" si="0"/>
        <v>18809.075427594325</v>
      </c>
      <c r="O14" s="123">
        <f t="shared" si="0"/>
        <v>19085.90297282461</v>
      </c>
      <c r="P14" s="123">
        <f t="shared" si="0"/>
        <v>19246.96546179982</v>
      </c>
      <c r="Q14" s="123">
        <f t="shared" si="0"/>
        <v>20404.63472174084</v>
      </c>
      <c r="R14" s="123">
        <f t="shared" si="0"/>
        <v>20659.847094083962</v>
      </c>
      <c r="S14" s="123">
        <f t="shared" si="0"/>
        <v>20633.336356460091</v>
      </c>
      <c r="T14" s="123">
        <f t="shared" si="0"/>
        <v>20697.477740673101</v>
      </c>
      <c r="U14" s="123">
        <f t="shared" si="0"/>
        <v>19624.969990918569</v>
      </c>
      <c r="V14" s="123">
        <f t="shared" si="0"/>
        <v>19168.911627100111</v>
      </c>
      <c r="W14" s="123">
        <f t="shared" si="0"/>
        <v>18888.575209491933</v>
      </c>
      <c r="X14" s="123">
        <f t="shared" si="0"/>
        <v>18894.321613831286</v>
      </c>
      <c r="Y14" s="123">
        <f t="shared" si="0"/>
        <v>18798.979304658253</v>
      </c>
      <c r="Z14" s="123">
        <f t="shared" si="0"/>
        <v>18797.230993177942</v>
      </c>
      <c r="AA14" s="123">
        <f t="shared" si="0"/>
        <v>18711.832185131661</v>
      </c>
      <c r="AB14" s="123">
        <f t="shared" si="0"/>
        <v>18828.139695226393</v>
      </c>
      <c r="AC14" s="123">
        <f t="shared" si="0"/>
        <v>19866.449569217591</v>
      </c>
      <c r="AD14" s="123">
        <f t="shared" si="0"/>
        <v>20714.718417670472</v>
      </c>
      <c r="AE14" s="123">
        <f t="shared" si="0"/>
        <v>21208.032830450797</v>
      </c>
      <c r="AF14" s="123">
        <f t="shared" si="0"/>
        <v>21489.772790971321</v>
      </c>
      <c r="AG14" s="123">
        <f t="shared" si="0"/>
        <v>20594.55731467743</v>
      </c>
      <c r="AH14" s="123">
        <f t="shared" si="0"/>
        <v>19645.605948356992</v>
      </c>
      <c r="AI14" s="123">
        <f t="shared" si="0"/>
        <v>19119.511752660412</v>
      </c>
      <c r="AJ14" s="123">
        <f t="shared" si="0"/>
        <v>18926.334680388147</v>
      </c>
      <c r="AK14" s="123">
        <f t="shared" si="0"/>
        <v>18775.435546133063</v>
      </c>
      <c r="AL14" s="123">
        <f t="shared" si="0"/>
        <v>18813.539301904821</v>
      </c>
      <c r="AM14" s="123">
        <f t="shared" si="0"/>
        <v>18841.69390018109</v>
      </c>
      <c r="AN14" s="123">
        <f t="shared" si="0"/>
        <v>18791.407365133357</v>
      </c>
      <c r="AO14" s="123">
        <f t="shared" si="0"/>
        <v>19782.232733773883</v>
      </c>
      <c r="AP14" s="123">
        <f t="shared" si="0"/>
        <v>20041.924508408643</v>
      </c>
      <c r="AQ14" s="123">
        <f t="shared" si="0"/>
        <v>20390.458679364183</v>
      </c>
      <c r="AR14" s="123">
        <f t="shared" si="0"/>
        <v>20562.635378102987</v>
      </c>
      <c r="AS14" s="123">
        <f t="shared" si="0"/>
        <v>19318.669226435159</v>
      </c>
      <c r="AT14" s="123">
        <f t="shared" si="0"/>
        <v>18881.257446738189</v>
      </c>
      <c r="AU14" s="123">
        <f t="shared" si="0"/>
        <v>18578.379377938989</v>
      </c>
      <c r="AV14" s="123">
        <f t="shared" si="0"/>
        <v>18417.556518397243</v>
      </c>
      <c r="AW14" s="123">
        <f t="shared" si="0"/>
        <v>18429.770413327868</v>
      </c>
      <c r="AX14" s="123">
        <f t="shared" si="0"/>
        <v>18725.246372761347</v>
      </c>
      <c r="AY14" s="123">
        <f t="shared" si="0"/>
        <v>18933.099592976669</v>
      </c>
      <c r="AZ14" s="116">
        <f t="shared" si="0"/>
        <v>19046.277543273925</v>
      </c>
      <c r="BA14" s="113">
        <f>SUM($E14:$AZ14)</f>
        <v>914378.32248603459</v>
      </c>
    </row>
    <row r="15" spans="1:53" x14ac:dyDescent="0.2">
      <c r="A15" s="128" t="s">
        <v>123</v>
      </c>
      <c r="B15" s="129">
        <v>1</v>
      </c>
      <c r="C15" s="130" t="s">
        <v>292</v>
      </c>
      <c r="D15" s="130">
        <v>22179.28433284826</v>
      </c>
      <c r="E15" s="130">
        <v>22179.28433284826</v>
      </c>
      <c r="F15" s="130">
        <v>22179.28433284826</v>
      </c>
      <c r="G15" s="130">
        <v>22179.28433284826</v>
      </c>
      <c r="H15" s="130">
        <v>19714.919406976231</v>
      </c>
      <c r="I15" s="130">
        <v>19714.919406976231</v>
      </c>
      <c r="J15" s="130">
        <v>19714.919406976231</v>
      </c>
      <c r="K15" s="130">
        <v>19714.919406976231</v>
      </c>
      <c r="L15" s="130">
        <v>19714.919406976231</v>
      </c>
      <c r="M15" s="130">
        <v>19714.919406976231</v>
      </c>
      <c r="N15" s="130">
        <v>19714.919406976231</v>
      </c>
      <c r="O15" s="130">
        <v>19714.919406976231</v>
      </c>
      <c r="P15" s="130">
        <v>22179.28433284826</v>
      </c>
      <c r="Q15" s="130">
        <v>22179.28433284826</v>
      </c>
      <c r="R15" s="130">
        <v>22179.28433284826</v>
      </c>
      <c r="S15" s="130">
        <v>22179.28433284826</v>
      </c>
      <c r="T15" s="130">
        <v>19714.919406976231</v>
      </c>
      <c r="U15" s="130">
        <v>19714.919406976231</v>
      </c>
      <c r="V15" s="130">
        <v>19714.919406976231</v>
      </c>
      <c r="W15" s="130">
        <v>19714.919406976231</v>
      </c>
      <c r="X15" s="130">
        <v>19714.919406976231</v>
      </c>
      <c r="Y15" s="130">
        <v>19714.919406976231</v>
      </c>
      <c r="Z15" s="130">
        <v>19714.919406976231</v>
      </c>
      <c r="AA15" s="130">
        <v>19714.919406976231</v>
      </c>
      <c r="AB15" s="130">
        <v>22179.28433284826</v>
      </c>
      <c r="AC15" s="130">
        <v>22179.28433284826</v>
      </c>
      <c r="AD15" s="130">
        <v>22179.28433284826</v>
      </c>
      <c r="AE15" s="130">
        <v>22179.28433284826</v>
      </c>
      <c r="AF15" s="130">
        <v>19714.919406976231</v>
      </c>
      <c r="AG15" s="130">
        <v>19714.919406976231</v>
      </c>
      <c r="AH15" s="130">
        <v>19714.919406976231</v>
      </c>
      <c r="AI15" s="130">
        <v>19714.919406976231</v>
      </c>
      <c r="AJ15" s="130">
        <v>19714.919406976231</v>
      </c>
      <c r="AK15" s="130">
        <v>19714.919406976231</v>
      </c>
      <c r="AL15" s="130">
        <v>19714.919406976231</v>
      </c>
      <c r="AM15" s="130">
        <v>19714.919406976231</v>
      </c>
      <c r="AN15" s="130">
        <v>22179.28433284826</v>
      </c>
      <c r="AO15" s="130">
        <v>22179.28433284826</v>
      </c>
      <c r="AP15" s="130">
        <v>22179.28433284826</v>
      </c>
      <c r="AQ15" s="130">
        <v>22179.28433284826</v>
      </c>
      <c r="AR15" s="130">
        <v>19714.919406976231</v>
      </c>
      <c r="AS15" s="130">
        <v>19714.919406976231</v>
      </c>
      <c r="AT15" s="130">
        <v>19714.919406976231</v>
      </c>
      <c r="AU15" s="130">
        <v>19714.919406976231</v>
      </c>
      <c r="AV15" s="130">
        <v>19714.919406976231</v>
      </c>
      <c r="AW15" s="130">
        <v>19714.919406976231</v>
      </c>
      <c r="AX15" s="130">
        <v>19714.919406976231</v>
      </c>
      <c r="AY15" s="130">
        <v>19714.919406976231</v>
      </c>
      <c r="AZ15" s="106">
        <v>0</v>
      </c>
    </row>
    <row r="16" spans="1:53" x14ac:dyDescent="0.2">
      <c r="A16" s="116"/>
      <c r="B16" s="125">
        <v>2</v>
      </c>
      <c r="C16" s="115" t="s">
        <v>292</v>
      </c>
      <c r="D16" s="112"/>
      <c r="E16" s="116"/>
      <c r="F16" s="116">
        <v>0</v>
      </c>
      <c r="G16" s="116">
        <v>0</v>
      </c>
      <c r="H16" s="116">
        <v>0</v>
      </c>
      <c r="I16" s="116">
        <v>0</v>
      </c>
      <c r="J16" s="116">
        <v>0</v>
      </c>
      <c r="K16" s="116">
        <v>0</v>
      </c>
      <c r="L16" s="116">
        <v>0</v>
      </c>
      <c r="M16" s="116">
        <v>0</v>
      </c>
      <c r="N16" s="116">
        <v>0</v>
      </c>
      <c r="O16" s="116">
        <v>0</v>
      </c>
      <c r="P16" s="116">
        <v>0</v>
      </c>
      <c r="Q16" s="116">
        <v>0</v>
      </c>
      <c r="R16" s="116"/>
      <c r="S16" s="116"/>
      <c r="T16" s="116"/>
      <c r="U16" s="116">
        <v>0</v>
      </c>
      <c r="V16" s="116">
        <v>0</v>
      </c>
      <c r="W16" s="116">
        <v>0</v>
      </c>
      <c r="X16" s="116">
        <v>0</v>
      </c>
      <c r="Y16" s="116">
        <v>0</v>
      </c>
      <c r="Z16" s="116">
        <v>0</v>
      </c>
      <c r="AA16" s="116">
        <v>0</v>
      </c>
      <c r="AB16" s="116"/>
      <c r="AC16" s="116">
        <v>0</v>
      </c>
      <c r="AD16" s="116">
        <v>0</v>
      </c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>
        <v>0</v>
      </c>
      <c r="AO16" s="116"/>
      <c r="AP16" s="116">
        <v>0</v>
      </c>
      <c r="AQ16" s="116">
        <v>0</v>
      </c>
      <c r="AR16" s="116">
        <v>0</v>
      </c>
      <c r="AS16" s="116">
        <v>0</v>
      </c>
      <c r="AT16" s="116">
        <v>0</v>
      </c>
      <c r="AU16" s="116"/>
      <c r="AV16" s="116">
        <v>0</v>
      </c>
      <c r="AW16" s="116">
        <v>0</v>
      </c>
      <c r="AX16" s="116">
        <v>0</v>
      </c>
      <c r="AY16" s="116">
        <v>0</v>
      </c>
      <c r="AZ16" s="106">
        <v>0</v>
      </c>
      <c r="BA16" s="106">
        <v>0</v>
      </c>
    </row>
    <row r="17" spans="1:52" x14ac:dyDescent="0.2">
      <c r="A17" s="116"/>
      <c r="B17" s="125">
        <v>3</v>
      </c>
      <c r="C17" s="115" t="s">
        <v>292</v>
      </c>
      <c r="D17" s="112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>
        <v>0</v>
      </c>
      <c r="P17" s="116"/>
      <c r="Q17" s="116">
        <v>0</v>
      </c>
      <c r="R17" s="116"/>
      <c r="S17" s="116">
        <v>0</v>
      </c>
      <c r="T17" s="116">
        <v>0</v>
      </c>
      <c r="U17" s="116">
        <v>0</v>
      </c>
      <c r="V17" s="116"/>
      <c r="W17" s="116"/>
      <c r="X17" s="116">
        <v>0</v>
      </c>
      <c r="Y17" s="116">
        <v>0</v>
      </c>
      <c r="Z17" s="116"/>
      <c r="AA17" s="116"/>
      <c r="AB17" s="116"/>
      <c r="AC17" s="116">
        <v>0</v>
      </c>
      <c r="AD17" s="116"/>
      <c r="AE17" s="116"/>
      <c r="AF17" s="116"/>
      <c r="AG17" s="116"/>
      <c r="AH17" s="116"/>
      <c r="AI17" s="116"/>
      <c r="AJ17" s="116"/>
      <c r="AK17" s="116"/>
      <c r="AL17" s="116"/>
      <c r="AM17" s="116">
        <v>0</v>
      </c>
      <c r="AN17" s="116">
        <v>0</v>
      </c>
      <c r="AO17" s="116"/>
      <c r="AP17" s="116">
        <v>0</v>
      </c>
      <c r="AQ17" s="116">
        <v>0</v>
      </c>
      <c r="AR17" s="116">
        <v>0</v>
      </c>
      <c r="AS17" s="116"/>
      <c r="AT17" s="116">
        <v>0</v>
      </c>
      <c r="AU17" s="116"/>
      <c r="AV17" s="116">
        <v>0</v>
      </c>
      <c r="AW17" s="116">
        <v>0</v>
      </c>
      <c r="AX17" s="116"/>
      <c r="AY17" s="116"/>
      <c r="AZ17" s="106">
        <v>0</v>
      </c>
    </row>
    <row r="18" spans="1:52" x14ac:dyDescent="0.2">
      <c r="A18" s="131"/>
      <c r="B18" s="122">
        <v>4</v>
      </c>
      <c r="C18" s="131" t="s">
        <v>292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>
        <v>0</v>
      </c>
      <c r="AC18" s="131"/>
      <c r="AD18" s="131">
        <v>0</v>
      </c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2" x14ac:dyDescent="0.2">
      <c r="A20" s="108" t="s">
        <v>293</v>
      </c>
    </row>
    <row r="21" spans="1:52" x14ac:dyDescent="0.2">
      <c r="A21" s="132" t="s">
        <v>125</v>
      </c>
      <c r="B21" s="129">
        <v>1</v>
      </c>
      <c r="C21" s="130" t="s">
        <v>292</v>
      </c>
      <c r="D21" s="130"/>
      <c r="E21" s="130"/>
      <c r="F21" s="130">
        <v>4754.0556038556606</v>
      </c>
      <c r="G21" s="130">
        <v>4754.0556038556606</v>
      </c>
      <c r="H21" s="130">
        <v>4608.9648029835898</v>
      </c>
      <c r="I21" s="130">
        <v>4608.9648029835898</v>
      </c>
      <c r="J21" s="130">
        <v>4608.9648029835898</v>
      </c>
      <c r="K21" s="130">
        <v>4608.9648029835898</v>
      </c>
      <c r="L21" s="130">
        <v>4608.9648029835898</v>
      </c>
      <c r="M21" s="130">
        <v>4608.9648029835898</v>
      </c>
      <c r="N21" s="130">
        <v>4608.9648029835898</v>
      </c>
      <c r="O21" s="130">
        <v>4608.9648029835898</v>
      </c>
      <c r="P21" s="130">
        <v>4754.0556038556606</v>
      </c>
      <c r="Q21" s="130">
        <v>4754.0556038556606</v>
      </c>
      <c r="R21" s="130">
        <v>4754.0556038556606</v>
      </c>
      <c r="S21" s="130">
        <v>4754.0556038556606</v>
      </c>
      <c r="T21" s="130">
        <v>3530.1904508145658</v>
      </c>
      <c r="U21" s="130">
        <v>3532.3080536584635</v>
      </c>
      <c r="V21" s="130">
        <v>3534.4202555118527</v>
      </c>
      <c r="W21" s="130">
        <v>4608.9648029835898</v>
      </c>
      <c r="X21" s="130">
        <v>4608.9648029835898</v>
      </c>
      <c r="Y21" s="130">
        <v>4608.9648029835898</v>
      </c>
      <c r="Z21" s="130">
        <v>4608.9648029835898</v>
      </c>
      <c r="AA21" s="130">
        <v>4608.9648029835898</v>
      </c>
      <c r="AB21" s="130">
        <v>4754.0556038556606</v>
      </c>
      <c r="AC21" s="130">
        <v>4754.0556038556606</v>
      </c>
      <c r="AD21" s="130">
        <v>4369.8656446029891</v>
      </c>
      <c r="AE21" s="130">
        <v>4754.0556038556606</v>
      </c>
      <c r="AF21" s="130">
        <v>3555.1707678110074</v>
      </c>
      <c r="AG21" s="130">
        <v>4608.9648029835898</v>
      </c>
      <c r="AH21" s="130">
        <v>4608.9648029835898</v>
      </c>
      <c r="AI21" s="130">
        <v>4608.9648029835898</v>
      </c>
      <c r="AJ21" s="130">
        <v>4608.9648029835898</v>
      </c>
      <c r="AK21" s="130">
        <v>4608.9648029835898</v>
      </c>
      <c r="AL21" s="130">
        <v>4608.9648029835898</v>
      </c>
      <c r="AM21" s="130">
        <v>4608.9648029835898</v>
      </c>
      <c r="AN21" s="130">
        <v>4754.0556038556606</v>
      </c>
      <c r="AO21" s="130">
        <v>4754.0556038556606</v>
      </c>
      <c r="AP21" s="130">
        <v>4754.0556038556606</v>
      </c>
      <c r="AQ21" s="130">
        <v>4754.0556038556606</v>
      </c>
      <c r="AR21" s="130">
        <v>4608.9648029835898</v>
      </c>
      <c r="AS21" s="130">
        <v>4608.9648029835898</v>
      </c>
      <c r="AT21" s="130">
        <v>4608.9648029835898</v>
      </c>
      <c r="AU21" s="130">
        <v>4608.9648029835898</v>
      </c>
      <c r="AV21" s="130">
        <v>4608.9648029835898</v>
      </c>
      <c r="AW21" s="130">
        <v>4608.9648029835898</v>
      </c>
      <c r="AX21" s="130">
        <v>4608.9648029835898</v>
      </c>
      <c r="AY21" s="130">
        <v>4608.9648029835898</v>
      </c>
    </row>
    <row r="22" spans="1:52" x14ac:dyDescent="0.2">
      <c r="A22" s="115"/>
      <c r="B22" s="126">
        <v>2</v>
      </c>
      <c r="C22" s="116" t="s">
        <v>292</v>
      </c>
      <c r="D22" s="116"/>
      <c r="E22" s="116">
        <v>2240.6798734078402</v>
      </c>
      <c r="F22" s="116">
        <v>4754.0556038556606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2" x14ac:dyDescent="0.2">
      <c r="A23" s="115"/>
      <c r="B23" s="133">
        <v>3</v>
      </c>
      <c r="C23" s="116" t="s">
        <v>292</v>
      </c>
      <c r="D23" s="116"/>
      <c r="E23" s="116">
        <v>0</v>
      </c>
      <c r="F23" s="116">
        <v>1941.3757304478204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2" x14ac:dyDescent="0.2">
      <c r="A24" s="134"/>
      <c r="B24" s="135">
        <v>4</v>
      </c>
      <c r="C24" s="134" t="s">
        <v>292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2" x14ac:dyDescent="0.2">
      <c r="A25" s="132" t="s">
        <v>133</v>
      </c>
      <c r="B25" s="129">
        <v>1</v>
      </c>
      <c r="C25" s="115" t="s">
        <v>292</v>
      </c>
      <c r="D25" s="116"/>
      <c r="E25" s="116"/>
      <c r="F25" s="116">
        <v>2291.0367068297519</v>
      </c>
      <c r="G25" s="116">
        <v>2291.0367068297519</v>
      </c>
      <c r="H25" s="116">
        <v>2291.0367068297519</v>
      </c>
      <c r="I25" s="116">
        <v>2291.0367068297519</v>
      </c>
      <c r="J25" s="116">
        <v>2184.4239135490361</v>
      </c>
      <c r="K25" s="116">
        <v>2184.4239135490361</v>
      </c>
      <c r="L25" s="116">
        <v>1331.5215673033081</v>
      </c>
      <c r="M25" s="116">
        <v>3037.3262597947637</v>
      </c>
      <c r="N25" s="116">
        <v>2184.4239135490361</v>
      </c>
      <c r="O25" s="116">
        <v>2184.4239135490361</v>
      </c>
      <c r="P25" s="116">
        <v>2184.4239135490361</v>
      </c>
      <c r="Q25" s="116">
        <v>2184.4239135490361</v>
      </c>
      <c r="R25" s="116">
        <v>959.51513952644382</v>
      </c>
      <c r="S25" s="116">
        <v>3413.5151395264438</v>
      </c>
      <c r="T25" s="116">
        <v>1229.5151395264438</v>
      </c>
      <c r="U25" s="116">
        <v>959.51513952644382</v>
      </c>
      <c r="V25" s="116">
        <v>3033.6201196835036</v>
      </c>
      <c r="W25" s="116">
        <v>1392.9023462457278</v>
      </c>
      <c r="X25" s="116">
        <v>1703.989719030747</v>
      </c>
      <c r="Y25" s="116">
        <v>2184.4239135490361</v>
      </c>
      <c r="Z25" s="116">
        <v>2184.4239135490361</v>
      </c>
      <c r="AA25" s="116">
        <v>2184.4239135490361</v>
      </c>
      <c r="AB25" s="116">
        <v>1331.5215673033081</v>
      </c>
      <c r="AC25" s="116">
        <v>3037.3262597947637</v>
      </c>
      <c r="AD25" s="116">
        <v>2291.0367068297519</v>
      </c>
      <c r="AE25" s="116">
        <v>2291.0367068297519</v>
      </c>
      <c r="AF25" s="116">
        <v>2179.0452930637712</v>
      </c>
      <c r="AG25" s="116">
        <v>2291.0367068297519</v>
      </c>
      <c r="AH25" s="116">
        <v>1713.2673759559464</v>
      </c>
      <c r="AI25" s="116">
        <v>2184.4239135490361</v>
      </c>
      <c r="AJ25" s="116">
        <v>2184.4239135490361</v>
      </c>
      <c r="AK25" s="116">
        <v>2184.4239135490361</v>
      </c>
      <c r="AL25" s="116">
        <v>2184.4239135490361</v>
      </c>
      <c r="AM25" s="116">
        <v>2184.4239135490361</v>
      </c>
      <c r="AN25" s="116">
        <v>2184.4239135490361</v>
      </c>
      <c r="AO25" s="116">
        <v>2184.4239135490361</v>
      </c>
      <c r="AP25" s="116">
        <v>2291.0367068297519</v>
      </c>
      <c r="AQ25" s="116">
        <v>1331.5215673033081</v>
      </c>
      <c r="AR25" s="116">
        <v>3250.5518463561957</v>
      </c>
      <c r="AS25" s="116">
        <v>2291.0367068297519</v>
      </c>
      <c r="AT25" s="116">
        <v>2184.4239135490361</v>
      </c>
      <c r="AU25" s="116">
        <v>2184.4239135490361</v>
      </c>
      <c r="AV25" s="116">
        <v>2184.4239135490361</v>
      </c>
      <c r="AW25" s="116">
        <v>2184.4239135490361</v>
      </c>
      <c r="AX25" s="116">
        <v>2184.4239135490361</v>
      </c>
      <c r="AY25" s="116">
        <v>2184.4239135490361</v>
      </c>
    </row>
    <row r="26" spans="1:52" x14ac:dyDescent="0.2">
      <c r="A26" s="115"/>
      <c r="B26" s="125">
        <v>2</v>
      </c>
      <c r="C26" s="115" t="s">
        <v>292</v>
      </c>
      <c r="D26" s="116"/>
      <c r="E26" s="116"/>
      <c r="F26" s="116">
        <v>0</v>
      </c>
      <c r="G26" s="116">
        <v>0</v>
      </c>
      <c r="H26" s="116">
        <v>0</v>
      </c>
      <c r="I26" s="116">
        <v>0</v>
      </c>
      <c r="J26" s="116">
        <v>0</v>
      </c>
      <c r="K26" s="116">
        <v>0</v>
      </c>
      <c r="L26" s="116">
        <v>0</v>
      </c>
      <c r="M26" s="116">
        <v>0</v>
      </c>
      <c r="N26" s="116">
        <v>0</v>
      </c>
      <c r="O26" s="116">
        <v>0</v>
      </c>
      <c r="P26" s="116">
        <v>0</v>
      </c>
      <c r="Q26" s="116">
        <v>0</v>
      </c>
      <c r="R26" s="116">
        <v>0</v>
      </c>
      <c r="S26" s="116">
        <v>0</v>
      </c>
      <c r="T26" s="116">
        <v>0</v>
      </c>
      <c r="U26" s="116">
        <v>1061.5215673033081</v>
      </c>
      <c r="V26" s="116">
        <v>0</v>
      </c>
      <c r="W26" s="116">
        <v>0</v>
      </c>
      <c r="X26" s="116">
        <v>0</v>
      </c>
      <c r="Y26" s="116">
        <v>0</v>
      </c>
      <c r="Z26" s="116">
        <v>0</v>
      </c>
      <c r="AA26" s="116">
        <v>0</v>
      </c>
      <c r="AB26" s="116">
        <v>0</v>
      </c>
      <c r="AC26" s="116">
        <v>0</v>
      </c>
      <c r="AD26" s="116">
        <v>0</v>
      </c>
      <c r="AE26" s="116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116">
        <v>0</v>
      </c>
      <c r="AO26" s="116">
        <v>0</v>
      </c>
      <c r="AP26" s="116">
        <v>0</v>
      </c>
      <c r="AQ26" s="116">
        <v>0</v>
      </c>
      <c r="AR26" s="116">
        <v>0</v>
      </c>
      <c r="AS26" s="116">
        <v>0</v>
      </c>
      <c r="AT26" s="116">
        <v>0</v>
      </c>
      <c r="AU26" s="116">
        <v>0</v>
      </c>
      <c r="AV26" s="116">
        <v>0</v>
      </c>
      <c r="AW26" s="116">
        <v>0</v>
      </c>
      <c r="AX26" s="116">
        <v>0</v>
      </c>
      <c r="AY26" s="116">
        <v>0</v>
      </c>
    </row>
    <row r="27" spans="1:52" x14ac:dyDescent="0.2">
      <c r="A27" s="115"/>
      <c r="B27" s="126">
        <v>3</v>
      </c>
      <c r="C27" s="115" t="s">
        <v>292</v>
      </c>
      <c r="D27" s="116"/>
      <c r="E27" s="116"/>
      <c r="F27" s="116">
        <v>0</v>
      </c>
      <c r="G27" s="116">
        <v>0</v>
      </c>
      <c r="H27" s="116">
        <v>0</v>
      </c>
      <c r="I27" s="116">
        <v>0</v>
      </c>
      <c r="J27" s="116">
        <v>0</v>
      </c>
      <c r="K27" s="116">
        <v>0</v>
      </c>
      <c r="L27" s="116">
        <v>0</v>
      </c>
      <c r="M27" s="116">
        <v>0</v>
      </c>
      <c r="N27" s="116">
        <v>0</v>
      </c>
      <c r="O27" s="116">
        <v>0</v>
      </c>
      <c r="P27" s="116">
        <v>0</v>
      </c>
      <c r="Q27" s="116">
        <v>0</v>
      </c>
      <c r="R27" s="116">
        <v>0</v>
      </c>
      <c r="S27" s="116">
        <v>0</v>
      </c>
      <c r="T27" s="116">
        <v>0</v>
      </c>
      <c r="U27" s="116">
        <v>0</v>
      </c>
      <c r="V27" s="116">
        <v>0</v>
      </c>
      <c r="W27" s="116">
        <v>0</v>
      </c>
      <c r="X27" s="116">
        <v>0</v>
      </c>
      <c r="Y27" s="116">
        <v>310.14299686456002</v>
      </c>
      <c r="Z27" s="116">
        <v>0</v>
      </c>
      <c r="AA27" s="116">
        <v>0</v>
      </c>
      <c r="AB27" s="116">
        <v>0</v>
      </c>
      <c r="AC27" s="116">
        <v>0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116">
        <v>0</v>
      </c>
      <c r="AO27" s="116">
        <v>0</v>
      </c>
      <c r="AP27" s="116">
        <v>0</v>
      </c>
      <c r="AQ27" s="116">
        <v>0</v>
      </c>
      <c r="AR27" s="116">
        <v>0</v>
      </c>
      <c r="AS27" s="116">
        <v>0</v>
      </c>
      <c r="AT27" s="116">
        <v>0</v>
      </c>
      <c r="AU27" s="116">
        <v>0</v>
      </c>
      <c r="AV27" s="116">
        <v>0</v>
      </c>
      <c r="AW27" s="116">
        <v>0</v>
      </c>
      <c r="AX27" s="116">
        <v>0</v>
      </c>
      <c r="AY27" s="116">
        <v>0</v>
      </c>
    </row>
    <row r="28" spans="1:52" x14ac:dyDescent="0.2">
      <c r="A28" s="115"/>
      <c r="B28" s="126">
        <v>4</v>
      </c>
      <c r="C28" s="115" t="s">
        <v>292</v>
      </c>
      <c r="D28" s="116"/>
      <c r="E28" s="116"/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</row>
    <row r="29" spans="1:52" x14ac:dyDescent="0.2">
      <c r="A29" s="115"/>
      <c r="B29" s="133">
        <v>5</v>
      </c>
      <c r="C29" s="115" t="s">
        <v>292</v>
      </c>
      <c r="D29" s="116"/>
      <c r="E29" s="116"/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2" x14ac:dyDescent="0.2">
      <c r="A30" s="115"/>
      <c r="B30" s="133">
        <v>6</v>
      </c>
      <c r="C30" s="115" t="s">
        <v>292</v>
      </c>
      <c r="D30" s="116"/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2" x14ac:dyDescent="0.2">
      <c r="A31" s="115"/>
      <c r="B31" s="136">
        <v>7</v>
      </c>
      <c r="C31" s="115" t="s">
        <v>292</v>
      </c>
      <c r="D31" s="116"/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2" x14ac:dyDescent="0.2">
      <c r="A32" s="134"/>
      <c r="B32" s="135">
        <v>8</v>
      </c>
      <c r="C32" s="134" t="s">
        <v>292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292</v>
      </c>
      <c r="D33" s="112"/>
      <c r="E33" s="112"/>
      <c r="F33" s="112">
        <v>5317.800124517129</v>
      </c>
      <c r="G33" s="112">
        <v>12273.299681684808</v>
      </c>
      <c r="H33" s="112">
        <v>13761.02385466307</v>
      </c>
      <c r="I33" s="112">
        <v>12073.570209200056</v>
      </c>
      <c r="J33" s="112">
        <v>10916.897247226976</v>
      </c>
      <c r="K33" s="112">
        <v>10064.937415759627</v>
      </c>
      <c r="L33" s="112">
        <v>9784.3561250807161</v>
      </c>
      <c r="M33" s="112">
        <v>10974.503664247995</v>
      </c>
      <c r="N33" s="112">
        <v>12130.018298149442</v>
      </c>
      <c r="O33" s="112">
        <v>12780.862277531354</v>
      </c>
      <c r="P33" s="112">
        <v>15630.243637554993</v>
      </c>
      <c r="Q33" s="112">
        <v>17380.562508603434</v>
      </c>
      <c r="R33" s="112">
        <v>17574.212119710839</v>
      </c>
      <c r="S33" s="112">
        <v>17696.649358475137</v>
      </c>
      <c r="T33" s="112">
        <v>15270.232408991273</v>
      </c>
      <c r="U33" s="112">
        <v>13138.67407529441</v>
      </c>
      <c r="V33" s="112">
        <v>12031.623491352071</v>
      </c>
      <c r="W33" s="112">
        <v>11764.631271228183</v>
      </c>
      <c r="X33" s="112">
        <v>11548.975468712481</v>
      </c>
      <c r="Y33" s="112">
        <v>11449.573261857426</v>
      </c>
      <c r="Z33" s="112">
        <v>11249.513364175411</v>
      </c>
      <c r="AA33" s="112">
        <v>11434.201777973693</v>
      </c>
      <c r="AB33" s="112">
        <v>13961.65392569028</v>
      </c>
      <c r="AC33" s="112">
        <v>16969.798563312146</v>
      </c>
      <c r="AD33" s="112">
        <v>18963.633326942811</v>
      </c>
      <c r="AE33" s="112">
        <v>20111.199242120583</v>
      </c>
      <c r="AF33" s="112">
        <v>18314.085818646025</v>
      </c>
      <c r="AG33" s="112">
        <v>15215.232434650938</v>
      </c>
      <c r="AH33" s="112">
        <v>13044.594526949739</v>
      </c>
      <c r="AI33" s="112">
        <v>12069.907985568971</v>
      </c>
      <c r="AJ33" s="112">
        <v>11526.315639884797</v>
      </c>
      <c r="AK33" s="112">
        <v>11463.900366472873</v>
      </c>
      <c r="AL33" s="112">
        <v>11567.384227316048</v>
      </c>
      <c r="AM33" s="112">
        <v>11478.764332387451</v>
      </c>
      <c r="AN33" s="112">
        <v>13729.35476505461</v>
      </c>
      <c r="AO33" s="112">
        <v>15323.231732769516</v>
      </c>
      <c r="AP33" s="112">
        <v>16392.283331843879</v>
      </c>
      <c r="AQ33" s="112">
        <v>17140.643156283499</v>
      </c>
      <c r="AR33" s="112">
        <v>14424.103883895561</v>
      </c>
      <c r="AS33" s="112">
        <v>12164.387912768794</v>
      </c>
      <c r="AT33" s="112">
        <v>11023.638093309874</v>
      </c>
      <c r="AU33" s="112">
        <v>10347.300053547908</v>
      </c>
      <c r="AV33" s="112">
        <v>10214.840082585157</v>
      </c>
      <c r="AW33" s="112">
        <v>10913.202971164123</v>
      </c>
      <c r="AX33" s="112">
        <v>11691.351964812493</v>
      </c>
      <c r="AY33" s="112">
        <v>12162.02499902737</v>
      </c>
    </row>
    <row r="34" spans="1:51" x14ac:dyDescent="0.2">
      <c r="A34" s="115"/>
      <c r="B34" s="125">
        <v>2</v>
      </c>
      <c r="C34" s="115" t="s">
        <v>292</v>
      </c>
      <c r="D34" s="112"/>
      <c r="E34" s="112"/>
      <c r="F34" s="112">
        <v>7469.0528740276495</v>
      </c>
      <c r="G34" s="112">
        <v>7260.9846511634514</v>
      </c>
      <c r="H34" s="112">
        <v>3811.8955523131499</v>
      </c>
      <c r="I34" s="112">
        <v>3539.3491977761787</v>
      </c>
      <c r="J34" s="112">
        <v>5391.0221597492618</v>
      </c>
      <c r="K34" s="112">
        <v>5985.9819912165967</v>
      </c>
      <c r="L34" s="112">
        <v>6353.5632818955073</v>
      </c>
      <c r="M34" s="112">
        <v>7560.4157427282389</v>
      </c>
      <c r="N34" s="112">
        <v>6430.9011088267816</v>
      </c>
      <c r="O34" s="112">
        <v>5719.0571294448837</v>
      </c>
      <c r="P34" s="112">
        <v>5390.0406952932553</v>
      </c>
      <c r="Q34" s="112">
        <v>3122.7218242448271</v>
      </c>
      <c r="R34" s="112">
        <v>2395.0722131374059</v>
      </c>
      <c r="S34" s="112">
        <v>2483.6349743731225</v>
      </c>
      <c r="T34" s="112">
        <v>2415.6869979849544</v>
      </c>
      <c r="U34" s="112">
        <v>4886.2453316818282</v>
      </c>
      <c r="V34" s="112">
        <v>5899.2959156241595</v>
      </c>
      <c r="W34" s="112">
        <v>6692.2881357480401</v>
      </c>
      <c r="X34" s="112">
        <v>6566.9439382637502</v>
      </c>
      <c r="Y34" s="112">
        <v>6761.346145118805</v>
      </c>
      <c r="Z34" s="112">
        <v>6746.406042800827</v>
      </c>
      <c r="AA34" s="112">
        <v>6982.7176290025309</v>
      </c>
      <c r="AB34" s="112">
        <v>6659.6304071579689</v>
      </c>
      <c r="AC34" s="112">
        <v>2979.4857695361134</v>
      </c>
      <c r="AD34" s="112">
        <v>1187.6510059054453</v>
      </c>
      <c r="AE34" s="112">
        <v>191.08509072766174</v>
      </c>
      <c r="AF34" s="112">
        <v>0</v>
      </c>
      <c r="AG34" s="112">
        <v>1317.6869723252967</v>
      </c>
      <c r="AH34" s="112">
        <v>3472.3248800264919</v>
      </c>
      <c r="AI34" s="112">
        <v>5163.0114214072528</v>
      </c>
      <c r="AJ34" s="112">
        <v>5495.6037670914411</v>
      </c>
      <c r="AK34" s="112">
        <v>6796.01904050335</v>
      </c>
      <c r="AL34" s="112">
        <v>6455.5351796601899</v>
      </c>
      <c r="AM34" s="112">
        <v>6517.1550745887725</v>
      </c>
      <c r="AN34" s="112">
        <v>6558.9295677936389</v>
      </c>
      <c r="AO34" s="112">
        <v>3328.0526000787468</v>
      </c>
      <c r="AP34" s="112">
        <v>2634.0010010043661</v>
      </c>
      <c r="AQ34" s="112">
        <v>2121.6411765647645</v>
      </c>
      <c r="AR34" s="112">
        <v>1574.8155230806842</v>
      </c>
      <c r="AS34" s="112">
        <v>3325.5314942074256</v>
      </c>
      <c r="AT34" s="112">
        <v>4473.2813136663644</v>
      </c>
      <c r="AU34" s="112">
        <v>5679.6193534283157</v>
      </c>
      <c r="AV34" s="112">
        <v>5992.0793243910812</v>
      </c>
      <c r="AW34" s="112">
        <v>6780.7164358120863</v>
      </c>
      <c r="AX34" s="112">
        <v>5875.567442163745</v>
      </c>
      <c r="AY34" s="112">
        <v>5058.8944079488538</v>
      </c>
    </row>
    <row r="35" spans="1:51" x14ac:dyDescent="0.2">
      <c r="A35" s="115"/>
      <c r="B35" s="125">
        <v>3</v>
      </c>
      <c r="C35" s="115" t="s">
        <v>292</v>
      </c>
      <c r="D35" s="112"/>
      <c r="E35" s="112"/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</row>
    <row r="36" spans="1:51" x14ac:dyDescent="0.2">
      <c r="A36" s="115"/>
      <c r="B36" s="126">
        <v>4</v>
      </c>
      <c r="C36" s="115" t="s">
        <v>292</v>
      </c>
      <c r="D36" s="112"/>
      <c r="E36" s="112"/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</row>
    <row r="37" spans="1:51" x14ac:dyDescent="0.2">
      <c r="A37" s="115"/>
      <c r="B37" s="126">
        <v>5</v>
      </c>
      <c r="C37" s="115" t="s">
        <v>292</v>
      </c>
      <c r="D37" s="112"/>
      <c r="E37" s="112"/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</row>
    <row r="38" spans="1:51" x14ac:dyDescent="0.2">
      <c r="A38" s="115"/>
      <c r="B38" s="126">
        <v>6</v>
      </c>
      <c r="C38" s="115" t="s">
        <v>292</v>
      </c>
      <c r="D38" s="112"/>
      <c r="E38" s="112"/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</row>
    <row r="39" spans="1:51" x14ac:dyDescent="0.2">
      <c r="A39" s="115"/>
      <c r="B39" s="133">
        <v>7</v>
      </c>
      <c r="C39" s="115" t="s">
        <v>292</v>
      </c>
      <c r="D39" s="112"/>
      <c r="E39" s="112"/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</row>
    <row r="40" spans="1:51" x14ac:dyDescent="0.2">
      <c r="A40" s="115"/>
      <c r="B40" s="133">
        <v>8</v>
      </c>
      <c r="C40" s="115" t="s">
        <v>292</v>
      </c>
      <c r="D40" s="112"/>
      <c r="E40" s="112"/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</row>
    <row r="41" spans="1:51" x14ac:dyDescent="0.2">
      <c r="A41" s="115"/>
      <c r="B41" s="133">
        <v>9</v>
      </c>
      <c r="C41" s="115" t="s">
        <v>292</v>
      </c>
      <c r="D41" s="112"/>
      <c r="E41" s="112"/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292</v>
      </c>
      <c r="D42" s="112"/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292</v>
      </c>
      <c r="D43" s="112"/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292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292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292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292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292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292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292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292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292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292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292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292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292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292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292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292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292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292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292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292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292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292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292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292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292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292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292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292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292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292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292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292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292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292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292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292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292</v>
      </c>
      <c r="D81" s="116"/>
      <c r="E81" s="116"/>
      <c r="F81" s="116">
        <v>0</v>
      </c>
      <c r="G81" s="116">
        <v>0</v>
      </c>
      <c r="H81" s="116">
        <v>0</v>
      </c>
      <c r="I81" s="116">
        <v>0</v>
      </c>
      <c r="J81" s="116">
        <v>0</v>
      </c>
      <c r="K81" s="116">
        <v>0</v>
      </c>
      <c r="L81" s="116">
        <v>0</v>
      </c>
      <c r="M81" s="116">
        <v>0</v>
      </c>
      <c r="N81" s="116">
        <v>0</v>
      </c>
      <c r="O81" s="116">
        <v>0</v>
      </c>
      <c r="P81" s="116">
        <v>0</v>
      </c>
      <c r="Q81" s="116">
        <v>0</v>
      </c>
      <c r="R81" s="116">
        <v>0</v>
      </c>
      <c r="S81" s="116">
        <v>0</v>
      </c>
      <c r="T81" s="116">
        <v>0</v>
      </c>
      <c r="U81" s="116">
        <v>0</v>
      </c>
      <c r="V81" s="116">
        <v>0</v>
      </c>
      <c r="W81" s="116">
        <v>0</v>
      </c>
      <c r="X81" s="116">
        <v>0</v>
      </c>
      <c r="Y81" s="116">
        <v>0</v>
      </c>
      <c r="Z81" s="116">
        <v>0</v>
      </c>
      <c r="AA81" s="116">
        <v>0</v>
      </c>
      <c r="AB81" s="116">
        <v>0</v>
      </c>
      <c r="AC81" s="116">
        <v>0</v>
      </c>
      <c r="AD81" s="116">
        <v>0</v>
      </c>
      <c r="AE81" s="116">
        <v>0</v>
      </c>
      <c r="AF81" s="116">
        <v>0</v>
      </c>
      <c r="AG81" s="116">
        <v>0</v>
      </c>
      <c r="AH81" s="116">
        <v>0</v>
      </c>
      <c r="AI81" s="116">
        <v>0</v>
      </c>
      <c r="AJ81" s="116">
        <v>0</v>
      </c>
      <c r="AK81" s="116">
        <v>0</v>
      </c>
      <c r="AL81" s="116">
        <v>0</v>
      </c>
      <c r="AM81" s="116">
        <v>0</v>
      </c>
      <c r="AN81" s="116">
        <v>0</v>
      </c>
      <c r="AO81" s="116">
        <v>0</v>
      </c>
      <c r="AP81" s="116">
        <v>0</v>
      </c>
      <c r="AQ81" s="116">
        <v>0</v>
      </c>
      <c r="AR81" s="116">
        <v>0</v>
      </c>
      <c r="AS81" s="116">
        <v>0</v>
      </c>
      <c r="AT81" s="116">
        <v>0</v>
      </c>
      <c r="AU81" s="116">
        <v>0</v>
      </c>
      <c r="AV81" s="116">
        <v>0</v>
      </c>
      <c r="AW81" s="116">
        <v>0</v>
      </c>
      <c r="AX81" s="116">
        <v>0</v>
      </c>
      <c r="AY81" s="116">
        <v>0</v>
      </c>
    </row>
    <row r="82" spans="1:52" x14ac:dyDescent="0.2">
      <c r="A82" s="115"/>
      <c r="B82" s="136">
        <v>38</v>
      </c>
      <c r="C82" s="115" t="s">
        <v>292</v>
      </c>
      <c r="D82" s="116"/>
      <c r="E82" s="116"/>
      <c r="F82" s="116">
        <v>0</v>
      </c>
      <c r="G82" s="116">
        <v>0</v>
      </c>
      <c r="H82" s="116">
        <v>0</v>
      </c>
      <c r="I82" s="116">
        <v>0</v>
      </c>
      <c r="J82" s="116">
        <v>0</v>
      </c>
      <c r="K82" s="116">
        <v>0</v>
      </c>
      <c r="L82" s="116">
        <v>0</v>
      </c>
      <c r="M82" s="116">
        <v>0</v>
      </c>
      <c r="N82" s="116">
        <v>0</v>
      </c>
      <c r="O82" s="116">
        <v>0</v>
      </c>
      <c r="P82" s="116">
        <v>0</v>
      </c>
      <c r="Q82" s="116">
        <v>0</v>
      </c>
      <c r="R82" s="116">
        <v>0</v>
      </c>
      <c r="S82" s="116">
        <v>0</v>
      </c>
      <c r="T82" s="116">
        <v>0</v>
      </c>
      <c r="U82" s="116">
        <v>0</v>
      </c>
      <c r="V82" s="116">
        <v>0</v>
      </c>
      <c r="W82" s="116">
        <v>0</v>
      </c>
      <c r="X82" s="116">
        <v>0</v>
      </c>
      <c r="Y82" s="116">
        <v>0</v>
      </c>
      <c r="Z82" s="116">
        <v>0</v>
      </c>
      <c r="AA82" s="116">
        <v>0</v>
      </c>
      <c r="AB82" s="116">
        <v>0</v>
      </c>
      <c r="AC82" s="116">
        <v>0</v>
      </c>
      <c r="AD82" s="116">
        <v>0</v>
      </c>
      <c r="AE82" s="116">
        <v>0</v>
      </c>
      <c r="AF82" s="116">
        <v>0</v>
      </c>
      <c r="AG82" s="116">
        <v>0</v>
      </c>
      <c r="AH82" s="116">
        <v>0</v>
      </c>
      <c r="AI82" s="116">
        <v>0</v>
      </c>
      <c r="AJ82" s="116">
        <v>0</v>
      </c>
      <c r="AK82" s="116">
        <v>0</v>
      </c>
      <c r="AL82" s="116">
        <v>0</v>
      </c>
      <c r="AM82" s="116">
        <v>0</v>
      </c>
      <c r="AN82" s="116">
        <v>0</v>
      </c>
      <c r="AO82" s="116">
        <v>0</v>
      </c>
      <c r="AP82" s="116">
        <v>0</v>
      </c>
      <c r="AQ82" s="116">
        <v>0</v>
      </c>
      <c r="AR82" s="116">
        <v>0</v>
      </c>
      <c r="AS82" s="116">
        <v>0</v>
      </c>
      <c r="AT82" s="116">
        <v>0</v>
      </c>
      <c r="AU82" s="116">
        <v>0</v>
      </c>
      <c r="AV82" s="116">
        <v>0</v>
      </c>
      <c r="AW82" s="116">
        <v>0</v>
      </c>
      <c r="AX82" s="116">
        <v>0</v>
      </c>
      <c r="AY82" s="116">
        <v>0</v>
      </c>
    </row>
    <row r="83" spans="1:52" x14ac:dyDescent="0.2">
      <c r="A83" s="115"/>
      <c r="B83" s="136">
        <v>39</v>
      </c>
      <c r="C83" s="115" t="s">
        <v>292</v>
      </c>
      <c r="D83" s="116"/>
      <c r="E83" s="116"/>
      <c r="F83" s="116">
        <v>0</v>
      </c>
      <c r="G83" s="116">
        <v>0</v>
      </c>
      <c r="H83" s="116">
        <v>0</v>
      </c>
      <c r="I83" s="116">
        <v>0</v>
      </c>
      <c r="J83" s="116">
        <v>0</v>
      </c>
      <c r="K83" s="116">
        <v>0</v>
      </c>
      <c r="L83" s="116">
        <v>0</v>
      </c>
      <c r="M83" s="116">
        <v>0</v>
      </c>
      <c r="N83" s="116">
        <v>0</v>
      </c>
      <c r="O83" s="116">
        <v>0</v>
      </c>
      <c r="P83" s="116">
        <v>0</v>
      </c>
      <c r="Q83" s="116">
        <v>0</v>
      </c>
      <c r="R83" s="116">
        <v>0</v>
      </c>
      <c r="S83" s="116">
        <v>0</v>
      </c>
      <c r="T83" s="116">
        <v>0</v>
      </c>
      <c r="U83" s="116">
        <v>0</v>
      </c>
      <c r="V83" s="116">
        <v>0</v>
      </c>
      <c r="W83" s="116">
        <v>0</v>
      </c>
      <c r="X83" s="116">
        <v>0</v>
      </c>
      <c r="Y83" s="116">
        <v>0</v>
      </c>
      <c r="Z83" s="116">
        <v>0</v>
      </c>
      <c r="AA83" s="116">
        <v>0</v>
      </c>
      <c r="AB83" s="116">
        <v>0</v>
      </c>
      <c r="AC83" s="116">
        <v>0</v>
      </c>
      <c r="AD83" s="116">
        <v>0</v>
      </c>
      <c r="AE83" s="116">
        <v>0</v>
      </c>
      <c r="AF83" s="116">
        <v>0</v>
      </c>
      <c r="AG83" s="116">
        <v>0</v>
      </c>
      <c r="AH83" s="116">
        <v>0</v>
      </c>
      <c r="AI83" s="116">
        <v>0</v>
      </c>
      <c r="AJ83" s="116">
        <v>0</v>
      </c>
      <c r="AK83" s="116">
        <v>0</v>
      </c>
      <c r="AL83" s="116">
        <v>0</v>
      </c>
      <c r="AM83" s="116">
        <v>0</v>
      </c>
      <c r="AN83" s="116">
        <v>0</v>
      </c>
      <c r="AO83" s="116">
        <v>0</v>
      </c>
      <c r="AP83" s="116">
        <v>0</v>
      </c>
      <c r="AQ83" s="116">
        <v>0</v>
      </c>
      <c r="AR83" s="116">
        <v>0</v>
      </c>
      <c r="AS83" s="116">
        <v>0</v>
      </c>
      <c r="AT83" s="116">
        <v>0</v>
      </c>
      <c r="AU83" s="116">
        <v>0</v>
      </c>
      <c r="AV83" s="116">
        <v>0</v>
      </c>
      <c r="AW83" s="116">
        <v>0</v>
      </c>
      <c r="AX83" s="116">
        <v>0</v>
      </c>
      <c r="AY83" s="116">
        <v>0</v>
      </c>
    </row>
    <row r="84" spans="1:52" x14ac:dyDescent="0.2">
      <c r="A84" s="115"/>
      <c r="B84" s="136">
        <v>40</v>
      </c>
      <c r="C84" s="115" t="s">
        <v>292</v>
      </c>
      <c r="D84" s="116"/>
      <c r="E84" s="116"/>
      <c r="F84" s="116">
        <v>0</v>
      </c>
      <c r="G84" s="116">
        <v>0</v>
      </c>
      <c r="H84" s="116">
        <v>0</v>
      </c>
      <c r="I84" s="116">
        <v>0</v>
      </c>
      <c r="J84" s="116">
        <v>0</v>
      </c>
      <c r="K84" s="116">
        <v>0</v>
      </c>
      <c r="L84" s="116">
        <v>0</v>
      </c>
      <c r="M84" s="116">
        <v>0</v>
      </c>
      <c r="N84" s="116">
        <v>0</v>
      </c>
      <c r="O84" s="116">
        <v>0</v>
      </c>
      <c r="P84" s="116">
        <v>0</v>
      </c>
      <c r="Q84" s="116">
        <v>0</v>
      </c>
      <c r="R84" s="116">
        <v>0</v>
      </c>
      <c r="S84" s="116">
        <v>0</v>
      </c>
      <c r="T84" s="116">
        <v>0</v>
      </c>
      <c r="U84" s="116">
        <v>0</v>
      </c>
      <c r="V84" s="116">
        <v>0</v>
      </c>
      <c r="W84" s="116">
        <v>0</v>
      </c>
      <c r="X84" s="116">
        <v>0</v>
      </c>
      <c r="Y84" s="116">
        <v>0</v>
      </c>
      <c r="Z84" s="116">
        <v>0</v>
      </c>
      <c r="AA84" s="116">
        <v>0</v>
      </c>
      <c r="AB84" s="116">
        <v>0</v>
      </c>
      <c r="AC84" s="116">
        <v>0</v>
      </c>
      <c r="AD84" s="116">
        <v>0</v>
      </c>
      <c r="AE84" s="116">
        <v>0</v>
      </c>
      <c r="AF84" s="116">
        <v>0</v>
      </c>
      <c r="AG84" s="116">
        <v>0</v>
      </c>
      <c r="AH84" s="116">
        <v>0</v>
      </c>
      <c r="AI84" s="116">
        <v>0</v>
      </c>
      <c r="AJ84" s="116">
        <v>0</v>
      </c>
      <c r="AK84" s="116">
        <v>0</v>
      </c>
      <c r="AL84" s="116">
        <v>0</v>
      </c>
      <c r="AM84" s="116">
        <v>0</v>
      </c>
      <c r="AN84" s="116">
        <v>0</v>
      </c>
      <c r="AO84" s="116">
        <v>0</v>
      </c>
      <c r="AP84" s="116">
        <v>0</v>
      </c>
      <c r="AQ84" s="116">
        <v>0</v>
      </c>
      <c r="AR84" s="116">
        <v>0</v>
      </c>
      <c r="AS84" s="116">
        <v>0</v>
      </c>
      <c r="AT84" s="116">
        <v>0</v>
      </c>
      <c r="AU84" s="116">
        <v>0</v>
      </c>
      <c r="AV84" s="116">
        <v>0</v>
      </c>
      <c r="AW84" s="116">
        <v>0</v>
      </c>
      <c r="AX84" s="116">
        <v>0</v>
      </c>
      <c r="AY84" s="116">
        <v>0</v>
      </c>
    </row>
    <row r="85" spans="1:52" x14ac:dyDescent="0.2">
      <c r="A85" s="115"/>
      <c r="B85" s="136">
        <v>41</v>
      </c>
      <c r="C85" s="115" t="s">
        <v>292</v>
      </c>
      <c r="D85" s="116"/>
      <c r="E85" s="116"/>
      <c r="F85" s="116">
        <v>0</v>
      </c>
      <c r="G85" s="116">
        <v>0</v>
      </c>
      <c r="H85" s="116">
        <v>0</v>
      </c>
      <c r="I85" s="116">
        <v>0</v>
      </c>
      <c r="J85" s="116">
        <v>0</v>
      </c>
      <c r="K85" s="116">
        <v>0</v>
      </c>
      <c r="L85" s="116">
        <v>0</v>
      </c>
      <c r="M85" s="116">
        <v>0</v>
      </c>
      <c r="N85" s="116">
        <v>0</v>
      </c>
      <c r="O85" s="116">
        <v>0</v>
      </c>
      <c r="P85" s="116">
        <v>0</v>
      </c>
      <c r="Q85" s="116">
        <v>0</v>
      </c>
      <c r="R85" s="116">
        <v>0</v>
      </c>
      <c r="S85" s="116">
        <v>0</v>
      </c>
      <c r="T85" s="116">
        <v>0</v>
      </c>
      <c r="U85" s="116">
        <v>0</v>
      </c>
      <c r="V85" s="116">
        <v>0</v>
      </c>
      <c r="W85" s="116">
        <v>0</v>
      </c>
      <c r="X85" s="116">
        <v>0</v>
      </c>
      <c r="Y85" s="116">
        <v>0</v>
      </c>
      <c r="Z85" s="116">
        <v>0</v>
      </c>
      <c r="AA85" s="116">
        <v>0</v>
      </c>
      <c r="AB85" s="116">
        <v>0</v>
      </c>
      <c r="AC85" s="116">
        <v>0</v>
      </c>
      <c r="AD85" s="116">
        <v>0</v>
      </c>
      <c r="AE85" s="116">
        <v>0</v>
      </c>
      <c r="AF85" s="116">
        <v>0</v>
      </c>
      <c r="AG85" s="116">
        <v>0</v>
      </c>
      <c r="AH85" s="116">
        <v>0</v>
      </c>
      <c r="AI85" s="116">
        <v>0</v>
      </c>
      <c r="AJ85" s="116">
        <v>0</v>
      </c>
      <c r="AK85" s="116">
        <v>0</v>
      </c>
      <c r="AL85" s="116">
        <v>0</v>
      </c>
      <c r="AM85" s="116">
        <v>0</v>
      </c>
      <c r="AN85" s="116">
        <v>0</v>
      </c>
      <c r="AO85" s="116">
        <v>0</v>
      </c>
      <c r="AP85" s="116">
        <v>0</v>
      </c>
      <c r="AQ85" s="116">
        <v>0</v>
      </c>
      <c r="AR85" s="116">
        <v>0</v>
      </c>
      <c r="AS85" s="116">
        <v>0</v>
      </c>
      <c r="AT85" s="116">
        <v>0</v>
      </c>
      <c r="AU85" s="116">
        <v>0</v>
      </c>
      <c r="AV85" s="116">
        <v>0</v>
      </c>
      <c r="AW85" s="116">
        <v>0</v>
      </c>
      <c r="AX85" s="116">
        <v>0</v>
      </c>
      <c r="AY85" s="116">
        <v>0</v>
      </c>
    </row>
    <row r="86" spans="1:52" x14ac:dyDescent="0.2">
      <c r="A86" s="115"/>
      <c r="B86" s="136">
        <v>42</v>
      </c>
      <c r="C86" s="115" t="s">
        <v>292</v>
      </c>
      <c r="D86" s="116"/>
      <c r="E86" s="116"/>
      <c r="F86" s="116">
        <v>0</v>
      </c>
      <c r="G86" s="116">
        <v>0</v>
      </c>
      <c r="H86" s="116">
        <v>0</v>
      </c>
      <c r="I86" s="116">
        <v>0</v>
      </c>
      <c r="J86" s="116">
        <v>0</v>
      </c>
      <c r="K86" s="116">
        <v>0</v>
      </c>
      <c r="L86" s="116">
        <v>0</v>
      </c>
      <c r="M86" s="116">
        <v>0</v>
      </c>
      <c r="N86" s="116">
        <v>0</v>
      </c>
      <c r="O86" s="116">
        <v>0</v>
      </c>
      <c r="P86" s="116">
        <v>0</v>
      </c>
      <c r="Q86" s="116">
        <v>0</v>
      </c>
      <c r="R86" s="116">
        <v>0</v>
      </c>
      <c r="S86" s="116">
        <v>0</v>
      </c>
      <c r="T86" s="116">
        <v>0</v>
      </c>
      <c r="U86" s="116">
        <v>0</v>
      </c>
      <c r="V86" s="116">
        <v>0</v>
      </c>
      <c r="W86" s="116">
        <v>0</v>
      </c>
      <c r="X86" s="116">
        <v>0</v>
      </c>
      <c r="Y86" s="116">
        <v>0</v>
      </c>
      <c r="Z86" s="116">
        <v>0</v>
      </c>
      <c r="AA86" s="116">
        <v>0</v>
      </c>
      <c r="AB86" s="116">
        <v>0</v>
      </c>
      <c r="AC86" s="116">
        <v>0</v>
      </c>
      <c r="AD86" s="116">
        <v>0</v>
      </c>
      <c r="AE86" s="116">
        <v>0</v>
      </c>
      <c r="AF86" s="116">
        <v>0</v>
      </c>
      <c r="AG86" s="116">
        <v>0</v>
      </c>
      <c r="AH86" s="116">
        <v>0</v>
      </c>
      <c r="AI86" s="116">
        <v>0</v>
      </c>
      <c r="AJ86" s="116">
        <v>0</v>
      </c>
      <c r="AK86" s="116">
        <v>0</v>
      </c>
      <c r="AL86" s="116">
        <v>0</v>
      </c>
      <c r="AM86" s="116">
        <v>0</v>
      </c>
      <c r="AN86" s="116">
        <v>0</v>
      </c>
      <c r="AO86" s="116">
        <v>0</v>
      </c>
      <c r="AP86" s="116">
        <v>0</v>
      </c>
      <c r="AQ86" s="116">
        <v>0</v>
      </c>
      <c r="AR86" s="116">
        <v>0</v>
      </c>
      <c r="AS86" s="116">
        <v>0</v>
      </c>
      <c r="AT86" s="116">
        <v>0</v>
      </c>
      <c r="AU86" s="116">
        <v>0</v>
      </c>
      <c r="AV86" s="116">
        <v>0</v>
      </c>
      <c r="AW86" s="116">
        <v>0</v>
      </c>
      <c r="AX86" s="116">
        <v>0</v>
      </c>
      <c r="AY86" s="116">
        <v>0</v>
      </c>
    </row>
    <row r="87" spans="1:52" x14ac:dyDescent="0.2">
      <c r="A87" s="115"/>
      <c r="B87" s="136">
        <v>43</v>
      </c>
      <c r="C87" s="115" t="s">
        <v>292</v>
      </c>
      <c r="D87" s="116"/>
      <c r="E87" s="116"/>
      <c r="F87" s="116">
        <v>0</v>
      </c>
      <c r="G87" s="116">
        <v>0</v>
      </c>
      <c r="H87" s="116">
        <v>0</v>
      </c>
      <c r="I87" s="116">
        <v>0</v>
      </c>
      <c r="J87" s="116">
        <v>0</v>
      </c>
      <c r="K87" s="116">
        <v>0</v>
      </c>
      <c r="L87" s="116">
        <v>0</v>
      </c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>
        <v>0</v>
      </c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292</v>
      </c>
      <c r="D88" s="116"/>
      <c r="E88" s="116"/>
      <c r="F88" s="116">
        <v>0</v>
      </c>
      <c r="G88" s="116">
        <v>0</v>
      </c>
      <c r="H88" s="116">
        <v>0</v>
      </c>
      <c r="I88" s="116">
        <v>0</v>
      </c>
      <c r="J88" s="116">
        <v>0</v>
      </c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292</v>
      </c>
      <c r="D89" s="116"/>
      <c r="E89" s="116"/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292</v>
      </c>
      <c r="D90" s="116"/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292</v>
      </c>
      <c r="D91" s="116"/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292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1144226.9159779118</v>
      </c>
    </row>
    <row r="94" spans="1:52" x14ac:dyDescent="0.2">
      <c r="A94" s="108" t="s">
        <v>294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/>
      <c r="D95" s="116">
        <v>4754.0556038556606</v>
      </c>
      <c r="E95" s="116">
        <v>4754.0556038556606</v>
      </c>
      <c r="F95" s="116">
        <v>0</v>
      </c>
      <c r="G95" s="116">
        <v>0</v>
      </c>
      <c r="H95" s="116">
        <v>0</v>
      </c>
      <c r="I95" s="116">
        <v>0</v>
      </c>
      <c r="J95" s="116">
        <v>0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/>
      <c r="D96" s="116">
        <v>0</v>
      </c>
      <c r="E96" s="116">
        <v>2199.3757304478204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/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/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295</v>
      </c>
      <c r="C99" s="131"/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/>
      <c r="D100" s="112">
        <v>0</v>
      </c>
      <c r="E100" s="112">
        <v>0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0</v>
      </c>
      <c r="N100" s="112">
        <v>0</v>
      </c>
      <c r="O100" s="112">
        <v>0</v>
      </c>
      <c r="P100" s="112">
        <v>0</v>
      </c>
      <c r="Q100" s="112">
        <v>0</v>
      </c>
      <c r="R100" s="112">
        <v>0</v>
      </c>
      <c r="S100" s="112">
        <v>0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0</v>
      </c>
      <c r="AI100" s="112">
        <v>0</v>
      </c>
      <c r="AJ100" s="112">
        <v>0</v>
      </c>
      <c r="AK100" s="112">
        <v>0</v>
      </c>
      <c r="AL100" s="112">
        <v>0</v>
      </c>
      <c r="AM100" s="112">
        <v>0</v>
      </c>
      <c r="AN100" s="112">
        <v>0</v>
      </c>
      <c r="AO100" s="112">
        <v>0</v>
      </c>
      <c r="AP100" s="112">
        <v>0</v>
      </c>
      <c r="AQ100" s="112">
        <v>0</v>
      </c>
      <c r="AR100" s="112">
        <v>0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/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/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/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/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/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/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/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295</v>
      </c>
      <c r="C108" s="120"/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/>
      <c r="D109" s="112">
        <v>0</v>
      </c>
      <c r="E109" s="112">
        <v>9551.0528740276495</v>
      </c>
      <c r="F109" s="112">
        <v>9536.9846511634514</v>
      </c>
      <c r="G109" s="112">
        <v>5581.8955523131499</v>
      </c>
      <c r="H109" s="112">
        <v>5797.3491977761787</v>
      </c>
      <c r="I109" s="112">
        <v>7392.0221597492618</v>
      </c>
      <c r="J109" s="112">
        <v>7861.9819912165967</v>
      </c>
      <c r="K109" s="112">
        <v>8511.5632818955073</v>
      </c>
      <c r="L109" s="112">
        <v>8512.4157427282389</v>
      </c>
      <c r="M109" s="112">
        <v>7321.9011088267816</v>
      </c>
      <c r="N109" s="112">
        <v>6679.0571294448837</v>
      </c>
      <c r="O109" s="112">
        <v>6305.0406952932553</v>
      </c>
      <c r="P109" s="112">
        <v>3616.7218242448271</v>
      </c>
      <c r="Q109" s="112">
        <v>3024.0722131374059</v>
      </c>
      <c r="R109" s="112">
        <v>3085.6349743731225</v>
      </c>
      <c r="S109" s="112">
        <v>2936.6869979849544</v>
      </c>
      <c r="T109" s="112">
        <v>5427.2453316818282</v>
      </c>
      <c r="U109" s="112">
        <v>6486.2959156241595</v>
      </c>
      <c r="V109" s="112">
        <v>7137.2881357480401</v>
      </c>
      <c r="W109" s="112">
        <v>7123.9439382637502</v>
      </c>
      <c r="X109" s="112">
        <v>7345.346145118805</v>
      </c>
      <c r="Y109" s="112">
        <v>7349.406042800827</v>
      </c>
      <c r="Z109" s="112">
        <v>7547.7176290025309</v>
      </c>
      <c r="AA109" s="112">
        <v>7277.6304071579689</v>
      </c>
      <c r="AB109" s="112">
        <v>4866.4857695361134</v>
      </c>
      <c r="AC109" s="112">
        <v>2896.6510059054453</v>
      </c>
      <c r="AD109" s="112">
        <v>1751.0850907276617</v>
      </c>
      <c r="AE109" s="112">
        <v>1096.8335883302134</v>
      </c>
      <c r="AF109" s="112">
        <v>3175.6869723252967</v>
      </c>
      <c r="AG109" s="112">
        <v>5379.3248800264919</v>
      </c>
      <c r="AH109" s="112">
        <v>6601.0114214072528</v>
      </c>
      <c r="AI109" s="112">
        <v>7049.6037670914411</v>
      </c>
      <c r="AJ109" s="112">
        <v>7400.01904050335</v>
      </c>
      <c r="AK109" s="112">
        <v>7311.5351796601899</v>
      </c>
      <c r="AL109" s="112">
        <v>7246.1550745887725</v>
      </c>
      <c r="AM109" s="112">
        <v>7362.9295677936389</v>
      </c>
      <c r="AN109" s="112">
        <v>5062.0526000787468</v>
      </c>
      <c r="AO109" s="112">
        <v>4459.0010010043661</v>
      </c>
      <c r="AP109" s="112">
        <v>3649.6411765647645</v>
      </c>
      <c r="AQ109" s="112">
        <v>3249.8155230806842</v>
      </c>
      <c r="AR109" s="112">
        <v>6138.5314942074256</v>
      </c>
      <c r="AS109" s="112">
        <v>7154.2813136663644</v>
      </c>
      <c r="AT109" s="112">
        <v>7857.6193534283157</v>
      </c>
      <c r="AU109" s="112">
        <v>8231.0793243910812</v>
      </c>
      <c r="AV109" s="112">
        <v>8202.7164358120863</v>
      </c>
      <c r="AW109" s="112">
        <v>7516.567442163745</v>
      </c>
      <c r="AX109" s="112">
        <v>7033.8944079488538</v>
      </c>
      <c r="AY109" s="112">
        <v>6771.074593949299</v>
      </c>
    </row>
    <row r="110" spans="1:52" x14ac:dyDescent="0.2">
      <c r="A110" s="115"/>
      <c r="B110" s="125">
        <v>2</v>
      </c>
      <c r="C110" s="112"/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/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/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/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/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/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/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/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/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/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/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295</v>
      </c>
      <c r="C121" s="120"/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/>
      <c r="D122" s="112">
        <v>22179.28433284826</v>
      </c>
      <c r="E122" s="112">
        <v>22179.28433284826</v>
      </c>
      <c r="F122" s="112">
        <v>22179.28433284826</v>
      </c>
      <c r="G122" s="112">
        <v>22179.28433284826</v>
      </c>
      <c r="H122" s="112">
        <v>19714.919406976231</v>
      </c>
      <c r="I122" s="112">
        <v>19714.919406976231</v>
      </c>
      <c r="J122" s="112">
        <v>19714.919406976231</v>
      </c>
      <c r="K122" s="112">
        <v>19714.919406976231</v>
      </c>
      <c r="L122" s="112">
        <v>19714.919406976231</v>
      </c>
      <c r="M122" s="112">
        <v>19714.919406976231</v>
      </c>
      <c r="N122" s="112">
        <v>19714.919406976231</v>
      </c>
      <c r="O122" s="112">
        <v>19714.919406976231</v>
      </c>
      <c r="P122" s="112">
        <v>22179.28433284826</v>
      </c>
      <c r="Q122" s="112">
        <v>22179.28433284826</v>
      </c>
      <c r="R122" s="112">
        <v>22179.28433284826</v>
      </c>
      <c r="S122" s="112">
        <v>22179.28433284826</v>
      </c>
      <c r="T122" s="112">
        <v>19714.919406976231</v>
      </c>
      <c r="U122" s="112">
        <v>19714.919406976231</v>
      </c>
      <c r="V122" s="112">
        <v>19714.919406976231</v>
      </c>
      <c r="W122" s="112">
        <v>19714.919406976231</v>
      </c>
      <c r="X122" s="112">
        <v>19714.919406976231</v>
      </c>
      <c r="Y122" s="112">
        <v>19714.919406976231</v>
      </c>
      <c r="Z122" s="112">
        <v>19714.919406976231</v>
      </c>
      <c r="AA122" s="112">
        <v>19714.919406976231</v>
      </c>
      <c r="AB122" s="112">
        <v>22179.28433284826</v>
      </c>
      <c r="AC122" s="112">
        <v>22179.28433284826</v>
      </c>
      <c r="AD122" s="112">
        <v>22179.28433284826</v>
      </c>
      <c r="AE122" s="112">
        <v>22179.28433284826</v>
      </c>
      <c r="AF122" s="112">
        <v>19714.919406976231</v>
      </c>
      <c r="AG122" s="112">
        <v>19714.919406976231</v>
      </c>
      <c r="AH122" s="112">
        <v>19714.919406976231</v>
      </c>
      <c r="AI122" s="112">
        <v>19714.919406976231</v>
      </c>
      <c r="AJ122" s="112">
        <v>19714.919406976231</v>
      </c>
      <c r="AK122" s="112">
        <v>19714.919406976231</v>
      </c>
      <c r="AL122" s="112">
        <v>19714.919406976231</v>
      </c>
      <c r="AM122" s="112">
        <v>19714.919406976231</v>
      </c>
      <c r="AN122" s="112">
        <v>22179.28433284826</v>
      </c>
      <c r="AO122" s="112">
        <v>22179.28433284826</v>
      </c>
      <c r="AP122" s="112">
        <v>22179.28433284826</v>
      </c>
      <c r="AQ122" s="112">
        <v>22179.28433284826</v>
      </c>
      <c r="AR122" s="112">
        <v>19714.919406976231</v>
      </c>
      <c r="AS122" s="112">
        <v>19714.919406976231</v>
      </c>
      <c r="AT122" s="112">
        <v>19714.919406976231</v>
      </c>
      <c r="AU122" s="112">
        <v>19714.919406976231</v>
      </c>
      <c r="AV122" s="112">
        <v>19714.919406976231</v>
      </c>
      <c r="AW122" s="112">
        <v>19714.919406976231</v>
      </c>
      <c r="AX122" s="112">
        <v>19714.919406976231</v>
      </c>
      <c r="AY122" s="112">
        <v>19714.919406976231</v>
      </c>
    </row>
    <row r="123" spans="1:52" x14ac:dyDescent="0.2">
      <c r="A123" s="115"/>
      <c r="B123" s="125">
        <v>2</v>
      </c>
      <c r="C123" s="112"/>
      <c r="D123" s="112">
        <v>0</v>
      </c>
      <c r="E123" s="112">
        <v>12316.231458820608</v>
      </c>
      <c r="F123" s="112">
        <v>12628.231458820608</v>
      </c>
      <c r="G123" s="112">
        <v>12628.231458820608</v>
      </c>
      <c r="H123" s="112">
        <v>12628.231458820608</v>
      </c>
      <c r="I123" s="112">
        <v>11225.09463006276</v>
      </c>
      <c r="J123" s="112">
        <v>11225.09463006276</v>
      </c>
      <c r="K123" s="112">
        <v>11225.09463006276</v>
      </c>
      <c r="L123" s="112">
        <v>11225.09463006276</v>
      </c>
      <c r="M123" s="112">
        <v>11225.09463006276</v>
      </c>
      <c r="N123" s="112">
        <v>11225.09463006276</v>
      </c>
      <c r="O123" s="112">
        <v>11225.09463006276</v>
      </c>
      <c r="P123" s="112">
        <v>11225.09463006276</v>
      </c>
      <c r="Q123" s="112">
        <v>12628.231458820606</v>
      </c>
      <c r="R123" s="112">
        <v>12628.231458820606</v>
      </c>
      <c r="S123" s="112">
        <v>12628.231458820606</v>
      </c>
      <c r="T123" s="112">
        <v>12628.231458820606</v>
      </c>
      <c r="U123" s="112">
        <v>11225.09463006276</v>
      </c>
      <c r="V123" s="112">
        <v>11225.09463006276</v>
      </c>
      <c r="W123" s="112">
        <v>11225.09463006276</v>
      </c>
      <c r="X123" s="112">
        <v>11225.09463006276</v>
      </c>
      <c r="Y123" s="112">
        <v>11225.09463006276</v>
      </c>
      <c r="Z123" s="112">
        <v>11225.09463006276</v>
      </c>
      <c r="AA123" s="112">
        <v>11225.09463006276</v>
      </c>
      <c r="AB123" s="112">
        <v>11225.09463006276</v>
      </c>
      <c r="AC123" s="112">
        <v>12628.231458820606</v>
      </c>
      <c r="AD123" s="112">
        <v>12628.231458820606</v>
      </c>
      <c r="AE123" s="112">
        <v>12628.231458820606</v>
      </c>
      <c r="AF123" s="112">
        <v>12628.231458820606</v>
      </c>
      <c r="AG123" s="112">
        <v>11225.09463006276</v>
      </c>
      <c r="AH123" s="112">
        <v>11225.09463006276</v>
      </c>
      <c r="AI123" s="112">
        <v>11225.09463006276</v>
      </c>
      <c r="AJ123" s="112">
        <v>11225.09463006276</v>
      </c>
      <c r="AK123" s="112">
        <v>11225.09463006276</v>
      </c>
      <c r="AL123" s="112">
        <v>11225.09463006276</v>
      </c>
      <c r="AM123" s="112">
        <v>11225.09463006276</v>
      </c>
      <c r="AN123" s="112">
        <v>11225.09463006276</v>
      </c>
      <c r="AO123" s="112">
        <v>12628.231458820606</v>
      </c>
      <c r="AP123" s="112">
        <v>12628.231458820606</v>
      </c>
      <c r="AQ123" s="112">
        <v>12628.231458820606</v>
      </c>
      <c r="AR123" s="112">
        <v>12628.231458820606</v>
      </c>
      <c r="AS123" s="112">
        <v>11225.09463006276</v>
      </c>
      <c r="AT123" s="112">
        <v>11225.09463006276</v>
      </c>
      <c r="AU123" s="112">
        <v>11225.09463006276</v>
      </c>
      <c r="AV123" s="112">
        <v>11225.09463006276</v>
      </c>
      <c r="AW123" s="112">
        <v>11225.094630062764</v>
      </c>
      <c r="AX123" s="112">
        <v>11225.094630062764</v>
      </c>
      <c r="AY123" s="112">
        <v>11225.094630062764</v>
      </c>
    </row>
    <row r="124" spans="1:52" x14ac:dyDescent="0.2">
      <c r="A124" s="115"/>
      <c r="B124" s="125">
        <v>3</v>
      </c>
      <c r="C124" s="112"/>
      <c r="D124" s="112">
        <v>0</v>
      </c>
      <c r="E124" s="112">
        <v>0</v>
      </c>
      <c r="F124" s="112">
        <v>6655.4995571676782</v>
      </c>
      <c r="G124" s="112">
        <v>7190.1431707317433</v>
      </c>
      <c r="H124" s="112">
        <v>7190.1431707317433</v>
      </c>
      <c r="I124" s="112">
        <v>7190.1431707317424</v>
      </c>
      <c r="J124" s="112">
        <v>6391.2383739837696</v>
      </c>
      <c r="K124" s="112">
        <v>6391.2383739837696</v>
      </c>
      <c r="L124" s="112">
        <v>6391.2383739837696</v>
      </c>
      <c r="M124" s="112">
        <v>6391.2383739837696</v>
      </c>
      <c r="N124" s="112">
        <v>6391.2383739837696</v>
      </c>
      <c r="O124" s="112">
        <v>6391.2383739837696</v>
      </c>
      <c r="P124" s="112">
        <v>6391.2383739837696</v>
      </c>
      <c r="Q124" s="112">
        <v>6391.2383739837696</v>
      </c>
      <c r="R124" s="112">
        <v>7190.1431707317415</v>
      </c>
      <c r="S124" s="112">
        <v>7190.1431707317415</v>
      </c>
      <c r="T124" s="112">
        <v>7190.1431707317415</v>
      </c>
      <c r="U124" s="112">
        <v>7190.1431707317415</v>
      </c>
      <c r="V124" s="112">
        <v>6391.2383739837696</v>
      </c>
      <c r="W124" s="112">
        <v>6391.2383739837696</v>
      </c>
      <c r="X124" s="112">
        <v>6391.2383739837696</v>
      </c>
      <c r="Y124" s="112">
        <v>6391.2383739837696</v>
      </c>
      <c r="Z124" s="112">
        <v>6391.2383739837696</v>
      </c>
      <c r="AA124" s="112">
        <v>6391.2383739837696</v>
      </c>
      <c r="AB124" s="112">
        <v>6391.2383739837696</v>
      </c>
      <c r="AC124" s="112">
        <v>6391.2383739837696</v>
      </c>
      <c r="AD124" s="112">
        <v>7190.1431707317415</v>
      </c>
      <c r="AE124" s="112">
        <v>7190.1431707317415</v>
      </c>
      <c r="AF124" s="112">
        <v>7190.1431707317415</v>
      </c>
      <c r="AG124" s="112">
        <v>7190.1431707317415</v>
      </c>
      <c r="AH124" s="112">
        <v>6391.2383739837696</v>
      </c>
      <c r="AI124" s="112">
        <v>6391.2383739837696</v>
      </c>
      <c r="AJ124" s="112">
        <v>6391.2383739837696</v>
      </c>
      <c r="AK124" s="112">
        <v>6391.2383739837696</v>
      </c>
      <c r="AL124" s="112">
        <v>6391.2383739837696</v>
      </c>
      <c r="AM124" s="112">
        <v>6391.2383739837696</v>
      </c>
      <c r="AN124" s="112">
        <v>6391.2383739837696</v>
      </c>
      <c r="AO124" s="112">
        <v>6391.2383739837696</v>
      </c>
      <c r="AP124" s="112">
        <v>7190.1431707317415</v>
      </c>
      <c r="AQ124" s="112">
        <v>7190.1431707317415</v>
      </c>
      <c r="AR124" s="112">
        <v>7190.1431707317415</v>
      </c>
      <c r="AS124" s="112">
        <v>7190.1431707317415</v>
      </c>
      <c r="AT124" s="112">
        <v>6391.2383739837696</v>
      </c>
      <c r="AU124" s="112">
        <v>6391.2383739837696</v>
      </c>
      <c r="AV124" s="112">
        <v>6391.2383739837696</v>
      </c>
      <c r="AW124" s="112">
        <v>6391.2383739837705</v>
      </c>
      <c r="AX124" s="112">
        <v>6391.2383739837724</v>
      </c>
      <c r="AY124" s="112">
        <v>6391.2383739837724</v>
      </c>
    </row>
    <row r="125" spans="1:52" x14ac:dyDescent="0.2">
      <c r="A125" s="115"/>
      <c r="B125" s="125">
        <v>4</v>
      </c>
      <c r="C125" s="112"/>
      <c r="D125" s="112">
        <v>0</v>
      </c>
      <c r="E125" s="112">
        <v>0</v>
      </c>
      <c r="F125" s="112">
        <v>0</v>
      </c>
      <c r="G125" s="112">
        <v>3420.4454852862323</v>
      </c>
      <c r="H125" s="112">
        <v>4093.8558169608168</v>
      </c>
      <c r="I125" s="112">
        <v>4093.8558169608164</v>
      </c>
      <c r="J125" s="112">
        <v>4093.8558169608154</v>
      </c>
      <c r="K125" s="112">
        <v>3638.9829484096131</v>
      </c>
      <c r="L125" s="112">
        <v>3638.9829484096131</v>
      </c>
      <c r="M125" s="112">
        <v>3638.9829484096131</v>
      </c>
      <c r="N125" s="112">
        <v>3638.9829484096131</v>
      </c>
      <c r="O125" s="112">
        <v>3638.9829484096131</v>
      </c>
      <c r="P125" s="112">
        <v>3638.9829484096131</v>
      </c>
      <c r="Q125" s="112">
        <v>3638.9829484096131</v>
      </c>
      <c r="R125" s="112">
        <v>3638.9829484096131</v>
      </c>
      <c r="S125" s="112">
        <v>4093.855816960815</v>
      </c>
      <c r="T125" s="112">
        <v>4093.855816960815</v>
      </c>
      <c r="U125" s="112">
        <v>4093.855816960815</v>
      </c>
      <c r="V125" s="112">
        <v>4093.855816960815</v>
      </c>
      <c r="W125" s="112">
        <v>3638.9829484096131</v>
      </c>
      <c r="X125" s="112">
        <v>3638.9829484096131</v>
      </c>
      <c r="Y125" s="112">
        <v>3638.9829484096131</v>
      </c>
      <c r="Z125" s="112">
        <v>3638.9829484096131</v>
      </c>
      <c r="AA125" s="112">
        <v>3638.9829484096131</v>
      </c>
      <c r="AB125" s="112">
        <v>3638.9829484096131</v>
      </c>
      <c r="AC125" s="112">
        <v>3638.9829484096131</v>
      </c>
      <c r="AD125" s="112">
        <v>3638.9829484096131</v>
      </c>
      <c r="AE125" s="112">
        <v>4093.855816960815</v>
      </c>
      <c r="AF125" s="112">
        <v>4093.855816960815</v>
      </c>
      <c r="AG125" s="112">
        <v>4093.855816960815</v>
      </c>
      <c r="AH125" s="112">
        <v>4093.855816960815</v>
      </c>
      <c r="AI125" s="112">
        <v>3638.9829484096131</v>
      </c>
      <c r="AJ125" s="112">
        <v>3638.9829484096131</v>
      </c>
      <c r="AK125" s="112">
        <v>3638.9829484096131</v>
      </c>
      <c r="AL125" s="112">
        <v>3638.9829484096131</v>
      </c>
      <c r="AM125" s="112">
        <v>3638.9829484096131</v>
      </c>
      <c r="AN125" s="112">
        <v>3638.9829484096131</v>
      </c>
      <c r="AO125" s="112">
        <v>3638.9829484096131</v>
      </c>
      <c r="AP125" s="112">
        <v>3638.9829484096131</v>
      </c>
      <c r="AQ125" s="112">
        <v>4093.855816960815</v>
      </c>
      <c r="AR125" s="112">
        <v>4093.855816960815</v>
      </c>
      <c r="AS125" s="112">
        <v>4093.855816960815</v>
      </c>
      <c r="AT125" s="112">
        <v>4093.855816960815</v>
      </c>
      <c r="AU125" s="112">
        <v>3638.9829484096131</v>
      </c>
      <c r="AV125" s="112">
        <v>3638.9829484096131</v>
      </c>
      <c r="AW125" s="112">
        <v>3638.982948409614</v>
      </c>
      <c r="AX125" s="112">
        <v>3638.9829484096144</v>
      </c>
      <c r="AY125" s="112">
        <v>3638.9829484096153</v>
      </c>
    </row>
    <row r="126" spans="1:52" x14ac:dyDescent="0.2">
      <c r="A126" s="115"/>
      <c r="B126" s="125">
        <v>5</v>
      </c>
      <c r="C126" s="112"/>
      <c r="D126" s="112">
        <v>0</v>
      </c>
      <c r="E126" s="112">
        <v>0</v>
      </c>
      <c r="F126" s="112">
        <v>0</v>
      </c>
      <c r="G126" s="112">
        <v>0</v>
      </c>
      <c r="H126" s="112">
        <v>1575.5009487344234</v>
      </c>
      <c r="I126" s="112">
        <v>1383.9648155191849</v>
      </c>
      <c r="J126" s="112">
        <v>1712.9097807998155</v>
      </c>
      <c r="K126" s="112">
        <v>1518.2013586721137</v>
      </c>
      <c r="L126" s="112">
        <v>1517.3488978393887</v>
      </c>
      <c r="M126" s="112">
        <v>2071.9297456842983</v>
      </c>
      <c r="N126" s="112">
        <v>2071.9297456842983</v>
      </c>
      <c r="O126" s="112">
        <v>2071.9297456842983</v>
      </c>
      <c r="P126" s="112">
        <v>2071.9297456842983</v>
      </c>
      <c r="Q126" s="112">
        <v>2071.9297456842983</v>
      </c>
      <c r="R126" s="112">
        <v>2071.9297456842983</v>
      </c>
      <c r="S126" s="112">
        <v>1971.7982226536312</v>
      </c>
      <c r="T126" s="112">
        <v>1945.6048148287875</v>
      </c>
      <c r="U126" s="112">
        <v>2289.6910596442922</v>
      </c>
      <c r="V126" s="112">
        <v>2330.9209638948359</v>
      </c>
      <c r="W126" s="112">
        <v>2330.9209638948359</v>
      </c>
      <c r="X126" s="112">
        <v>2071.9297456842983</v>
      </c>
      <c r="Y126" s="112">
        <v>2071.9297456842983</v>
      </c>
      <c r="Z126" s="112">
        <v>2071.9297456842983</v>
      </c>
      <c r="AA126" s="112">
        <v>2071.9297456842983</v>
      </c>
      <c r="AB126" s="112">
        <v>2071.9297456842983</v>
      </c>
      <c r="AC126" s="112">
        <v>2071.9297456842983</v>
      </c>
      <c r="AD126" s="112">
        <v>2071.9297456842983</v>
      </c>
      <c r="AE126" s="112">
        <v>2071.9297456842983</v>
      </c>
      <c r="AF126" s="112">
        <v>2330.9209638948359</v>
      </c>
      <c r="AG126" s="112">
        <v>2330.9209638948359</v>
      </c>
      <c r="AH126" s="112">
        <v>2330.9209638948359</v>
      </c>
      <c r="AI126" s="112">
        <v>2330.9209638948359</v>
      </c>
      <c r="AJ126" s="112">
        <v>2071.9297456842983</v>
      </c>
      <c r="AK126" s="112">
        <v>2071.9297456842983</v>
      </c>
      <c r="AL126" s="112">
        <v>2071.9297456842983</v>
      </c>
      <c r="AM126" s="112">
        <v>2071.9297456842983</v>
      </c>
      <c r="AN126" s="112">
        <v>2071.9297456842983</v>
      </c>
      <c r="AO126" s="112">
        <v>1703.2618849333862</v>
      </c>
      <c r="AP126" s="112">
        <v>1713.7169126250301</v>
      </c>
      <c r="AQ126" s="112">
        <v>1658.6696975579018</v>
      </c>
      <c r="AR126" s="112">
        <v>1234.3186523031736</v>
      </c>
      <c r="AS126" s="112">
        <v>1621.7056616020895</v>
      </c>
      <c r="AT126" s="112">
        <v>1717.2724185881013</v>
      </c>
      <c r="AU126" s="112">
        <v>1798.6853161765439</v>
      </c>
      <c r="AV126" s="112">
        <v>1827.0482047555322</v>
      </c>
      <c r="AW126" s="112">
        <v>2071.9297456842987</v>
      </c>
      <c r="AX126" s="112">
        <v>2071.9297456842992</v>
      </c>
      <c r="AY126" s="112">
        <v>2071.9297456842996</v>
      </c>
    </row>
    <row r="127" spans="1:52" x14ac:dyDescent="0.2">
      <c r="A127" s="115"/>
      <c r="B127" s="125">
        <v>6</v>
      </c>
      <c r="C127" s="112"/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635.93378605654198</v>
      </c>
      <c r="N127" s="112">
        <v>1179.6957919045963</v>
      </c>
      <c r="O127" s="112">
        <v>1179.6957919045963</v>
      </c>
      <c r="P127" s="112">
        <v>1179.6957919045963</v>
      </c>
      <c r="Q127" s="112">
        <v>1066.2609271160479</v>
      </c>
      <c r="R127" s="112">
        <v>205.79336913237012</v>
      </c>
      <c r="S127" s="112">
        <v>0</v>
      </c>
      <c r="T127" s="112">
        <v>0</v>
      </c>
      <c r="U127" s="112">
        <v>0</v>
      </c>
      <c r="V127" s="112">
        <v>106.68267237354598</v>
      </c>
      <c r="W127" s="112">
        <v>574.89973840904281</v>
      </c>
      <c r="X127" s="112">
        <v>612.48874976452475</v>
      </c>
      <c r="Y127" s="112">
        <v>608.42885208250289</v>
      </c>
      <c r="Z127" s="112">
        <v>410.11726588078898</v>
      </c>
      <c r="AA127" s="112">
        <v>680.20448772535906</v>
      </c>
      <c r="AB127" s="112">
        <v>626.98419947519506</v>
      </c>
      <c r="AC127" s="112">
        <v>1179.6957919045963</v>
      </c>
      <c r="AD127" s="112">
        <v>1179.6957919045963</v>
      </c>
      <c r="AE127" s="112">
        <v>1179.6957919045963</v>
      </c>
      <c r="AF127" s="112">
        <v>1179.6957919045963</v>
      </c>
      <c r="AG127" s="112">
        <v>1065.7411313471243</v>
      </c>
      <c r="AH127" s="112">
        <v>642.95938671433305</v>
      </c>
      <c r="AI127" s="112">
        <v>649.2399095813555</v>
      </c>
      <c r="AJ127" s="112">
        <v>557.81585437997603</v>
      </c>
      <c r="AK127" s="112">
        <v>646.29971522313963</v>
      </c>
      <c r="AL127" s="112">
        <v>711.67982029454822</v>
      </c>
      <c r="AM127" s="112">
        <v>594.90532708968703</v>
      </c>
      <c r="AN127" s="112">
        <v>431.41736893255893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441.26745271958816</v>
      </c>
      <c r="AX127" s="112">
        <v>923.94048693446234</v>
      </c>
      <c r="AY127" s="112">
        <v>1179.6957919045969</v>
      </c>
    </row>
    <row r="128" spans="1:52" x14ac:dyDescent="0.2">
      <c r="A128" s="115"/>
      <c r="B128" s="125">
        <v>7</v>
      </c>
      <c r="C128" s="112"/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99.081973533850828</v>
      </c>
      <c r="O128" s="112">
        <v>473.09840768547025</v>
      </c>
      <c r="P128" s="112">
        <v>671.68404929568703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13.98634244341838</v>
      </c>
      <c r="AD128" s="112">
        <v>360.64746087322965</v>
      </c>
      <c r="AE128" s="112">
        <v>560.02609471948654</v>
      </c>
      <c r="AF128" s="112">
        <v>671.68404929568703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7.0645090294236752</v>
      </c>
    </row>
    <row r="129" spans="1:51" x14ac:dyDescent="0.2">
      <c r="A129" s="115"/>
      <c r="B129" s="125">
        <v>8</v>
      </c>
      <c r="C129" s="112"/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25.368303566193617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14.862369090196239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/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/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/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/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/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/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/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/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/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/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/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/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/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/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/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/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/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/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/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/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/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/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/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/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/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/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/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/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/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/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/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/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/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/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/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/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/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/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/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/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295</v>
      </c>
      <c r="C170" s="120"/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296</v>
      </c>
      <c r="C172" s="140"/>
      <c r="D172" s="140">
        <v>0.43062944370491801</v>
      </c>
      <c r="E172" s="140">
        <v>0.43062944370491801</v>
      </c>
      <c r="F172" s="140">
        <v>0.43062944370491801</v>
      </c>
      <c r="G172" s="140">
        <v>0.43062944370491801</v>
      </c>
      <c r="H172" s="140">
        <v>0.43062944370491818</v>
      </c>
      <c r="I172" s="140">
        <v>0.43062944370491818</v>
      </c>
      <c r="J172" s="140">
        <v>0.43062944370491818</v>
      </c>
      <c r="K172" s="140">
        <v>0.43062944370491818</v>
      </c>
      <c r="L172" s="140">
        <v>0.43062944370491818</v>
      </c>
      <c r="M172" s="140">
        <v>0.43062944370491818</v>
      </c>
      <c r="N172" s="140">
        <v>0.43062944370491818</v>
      </c>
      <c r="O172" s="140">
        <v>0.43062944370491818</v>
      </c>
      <c r="P172" s="140">
        <v>0.43062944370491818</v>
      </c>
      <c r="Q172" s="140">
        <v>0.43062944370491818</v>
      </c>
      <c r="R172" s="140">
        <v>0.43062944370491818</v>
      </c>
      <c r="S172" s="140">
        <v>0.43062944370491818</v>
      </c>
      <c r="T172" s="140">
        <v>0.43062944370491818</v>
      </c>
      <c r="U172" s="140">
        <v>0.43062944370491818</v>
      </c>
      <c r="V172" s="140">
        <v>0.43062944370491818</v>
      </c>
      <c r="W172" s="140">
        <v>0.43062944370491818</v>
      </c>
      <c r="X172" s="140">
        <v>0.43062944370491818</v>
      </c>
      <c r="Y172" s="140">
        <v>0.43062944370491818</v>
      </c>
      <c r="Z172" s="140">
        <v>0.43062944370491818</v>
      </c>
      <c r="AA172" s="140">
        <v>0.43062944370491818</v>
      </c>
      <c r="AB172" s="140">
        <v>0.43062944370491818</v>
      </c>
      <c r="AC172" s="140">
        <v>0.43062944370491818</v>
      </c>
      <c r="AD172" s="140">
        <v>0.43062944370491818</v>
      </c>
      <c r="AE172" s="140">
        <v>0.43062944370491818</v>
      </c>
      <c r="AF172" s="140">
        <v>0.43062944370491818</v>
      </c>
      <c r="AG172" s="140">
        <v>0.43062944370491818</v>
      </c>
      <c r="AH172" s="140">
        <v>0.43062944370491818</v>
      </c>
      <c r="AI172" s="140">
        <v>0.43062944370491818</v>
      </c>
      <c r="AJ172" s="140">
        <v>0.43062944370491818</v>
      </c>
      <c r="AK172" s="140">
        <v>0.43062944370491818</v>
      </c>
      <c r="AL172" s="140">
        <v>0.43062944370491818</v>
      </c>
      <c r="AM172" s="140">
        <v>0.43062944370491818</v>
      </c>
      <c r="AN172" s="140">
        <v>0.43062944370491818</v>
      </c>
      <c r="AO172" s="140">
        <v>0.43062944370491818</v>
      </c>
      <c r="AP172" s="140">
        <v>0.43062944370491818</v>
      </c>
      <c r="AQ172" s="140">
        <v>0.43062944370491818</v>
      </c>
      <c r="AR172" s="140">
        <v>0.43062944370491818</v>
      </c>
      <c r="AS172" s="140">
        <v>0.43062944370491818</v>
      </c>
      <c r="AT172" s="140">
        <v>0.43062944370491818</v>
      </c>
      <c r="AU172" s="140">
        <v>0.43062944370491818</v>
      </c>
      <c r="AV172" s="140">
        <v>0.43062944370491801</v>
      </c>
      <c r="AW172" s="140">
        <v>0.43062944370491801</v>
      </c>
      <c r="AX172" s="140">
        <v>0.43062944370491801</v>
      </c>
      <c r="AY172" s="140">
        <v>0.43062944370491801</v>
      </c>
    </row>
    <row r="174" spans="1:52" x14ac:dyDescent="0.2">
      <c r="A174" s="108" t="s">
        <v>271</v>
      </c>
    </row>
    <row r="175" spans="1:52" x14ac:dyDescent="0.2">
      <c r="A175" s="141" t="s">
        <v>125</v>
      </c>
      <c r="B175" s="141" t="s">
        <v>297</v>
      </c>
      <c r="C175" s="130" t="s">
        <v>292</v>
      </c>
      <c r="D175" s="130">
        <f t="shared" ref="D175:AY175" si="1">SUM(D95:D98)</f>
        <v>4754.0556038556606</v>
      </c>
      <c r="E175" s="130">
        <f t="shared" si="1"/>
        <v>6953.431334303481</v>
      </c>
      <c r="F175" s="130">
        <f t="shared" si="1"/>
        <v>0</v>
      </c>
      <c r="G175" s="130">
        <f t="shared" si="1"/>
        <v>0</v>
      </c>
      <c r="H175" s="130">
        <f t="shared" si="1"/>
        <v>0</v>
      </c>
      <c r="I175" s="130">
        <f t="shared" si="1"/>
        <v>0</v>
      </c>
      <c r="J175" s="130">
        <f t="shared" si="1"/>
        <v>0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298</v>
      </c>
      <c r="C176" s="131" t="s">
        <v>292</v>
      </c>
      <c r="D176" s="131">
        <v>314</v>
      </c>
      <c r="E176" s="131">
        <v>258</v>
      </c>
      <c r="F176" s="131">
        <v>0</v>
      </c>
      <c r="G176" s="131">
        <v>0</v>
      </c>
      <c r="H176" s="131">
        <v>0</v>
      </c>
      <c r="I176" s="131">
        <v>0</v>
      </c>
      <c r="J176" s="131">
        <v>0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297</v>
      </c>
      <c r="C177" s="130" t="s">
        <v>292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0</v>
      </c>
      <c r="I177" s="130">
        <f t="shared" si="2"/>
        <v>0</v>
      </c>
      <c r="J177" s="130">
        <f t="shared" si="2"/>
        <v>0</v>
      </c>
      <c r="K177" s="130">
        <f t="shared" si="2"/>
        <v>0</v>
      </c>
      <c r="L177" s="130">
        <f t="shared" si="2"/>
        <v>0</v>
      </c>
      <c r="M177" s="130">
        <f t="shared" si="2"/>
        <v>0</v>
      </c>
      <c r="N177" s="130">
        <f t="shared" si="2"/>
        <v>0</v>
      </c>
      <c r="O177" s="130">
        <f t="shared" si="2"/>
        <v>0</v>
      </c>
      <c r="P177" s="130">
        <f t="shared" si="2"/>
        <v>0</v>
      </c>
      <c r="Q177" s="130">
        <f t="shared" si="2"/>
        <v>0</v>
      </c>
      <c r="R177" s="130">
        <f t="shared" si="2"/>
        <v>0</v>
      </c>
      <c r="S177" s="130">
        <f t="shared" si="2"/>
        <v>0</v>
      </c>
      <c r="T177" s="130">
        <f t="shared" si="2"/>
        <v>0</v>
      </c>
      <c r="U177" s="130">
        <f t="shared" si="2"/>
        <v>0</v>
      </c>
      <c r="V177" s="130">
        <f t="shared" si="2"/>
        <v>0</v>
      </c>
      <c r="W177" s="130">
        <f t="shared" si="2"/>
        <v>0</v>
      </c>
      <c r="X177" s="130">
        <f t="shared" si="2"/>
        <v>0</v>
      </c>
      <c r="Y177" s="130">
        <f t="shared" si="2"/>
        <v>0</v>
      </c>
      <c r="Z177" s="130">
        <f t="shared" si="2"/>
        <v>0</v>
      </c>
      <c r="AA177" s="130">
        <f t="shared" si="2"/>
        <v>0</v>
      </c>
      <c r="AB177" s="130">
        <f t="shared" si="2"/>
        <v>0</v>
      </c>
      <c r="AC177" s="130">
        <f t="shared" si="2"/>
        <v>0</v>
      </c>
      <c r="AD177" s="130">
        <f t="shared" si="2"/>
        <v>0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0</v>
      </c>
      <c r="AI177" s="130">
        <f t="shared" si="2"/>
        <v>0</v>
      </c>
      <c r="AJ177" s="130">
        <f t="shared" si="2"/>
        <v>0</v>
      </c>
      <c r="AK177" s="130">
        <f t="shared" si="2"/>
        <v>0</v>
      </c>
      <c r="AL177" s="130">
        <f t="shared" si="2"/>
        <v>0</v>
      </c>
      <c r="AM177" s="130">
        <f t="shared" si="2"/>
        <v>0</v>
      </c>
      <c r="AN177" s="130">
        <f t="shared" si="2"/>
        <v>0</v>
      </c>
      <c r="AO177" s="130">
        <f t="shared" si="2"/>
        <v>0</v>
      </c>
      <c r="AP177" s="130">
        <f t="shared" si="2"/>
        <v>0</v>
      </c>
      <c r="AQ177" s="130">
        <f t="shared" si="2"/>
        <v>0</v>
      </c>
      <c r="AR177" s="130">
        <f t="shared" si="2"/>
        <v>0</v>
      </c>
      <c r="AS177" s="130">
        <f t="shared" si="2"/>
        <v>0</v>
      </c>
      <c r="AT177" s="130">
        <f t="shared" si="2"/>
        <v>0</v>
      </c>
      <c r="AU177" s="130">
        <f t="shared" si="2"/>
        <v>0</v>
      </c>
      <c r="AV177" s="130">
        <f t="shared" si="2"/>
        <v>0</v>
      </c>
      <c r="AW177" s="130">
        <f t="shared" si="2"/>
        <v>0</v>
      </c>
      <c r="AX177" s="130">
        <f t="shared" si="2"/>
        <v>0</v>
      </c>
      <c r="AY177" s="130">
        <f t="shared" si="2"/>
        <v>0</v>
      </c>
    </row>
    <row r="178" spans="1:51" x14ac:dyDescent="0.2">
      <c r="A178" s="131"/>
      <c r="B178" s="142" t="s">
        <v>298</v>
      </c>
      <c r="C178" s="131" t="s">
        <v>292</v>
      </c>
      <c r="D178" s="131">
        <v>0</v>
      </c>
      <c r="E178" s="131">
        <v>0</v>
      </c>
      <c r="F178" s="131">
        <v>0</v>
      </c>
      <c r="G178" s="131">
        <v>0</v>
      </c>
      <c r="H178" s="131">
        <v>0</v>
      </c>
      <c r="I178" s="131">
        <v>0</v>
      </c>
      <c r="J178" s="131">
        <v>0</v>
      </c>
      <c r="K178" s="131">
        <v>0</v>
      </c>
      <c r="L178" s="131">
        <v>0</v>
      </c>
      <c r="M178" s="131">
        <v>0</v>
      </c>
      <c r="N178" s="131">
        <v>0</v>
      </c>
      <c r="O178" s="131">
        <v>0</v>
      </c>
      <c r="P178" s="131">
        <v>0</v>
      </c>
      <c r="Q178" s="131">
        <v>0</v>
      </c>
      <c r="R178" s="131">
        <v>0</v>
      </c>
      <c r="S178" s="131">
        <v>0</v>
      </c>
      <c r="T178" s="131">
        <v>0</v>
      </c>
      <c r="U178" s="131">
        <v>0</v>
      </c>
      <c r="V178" s="131">
        <v>0</v>
      </c>
      <c r="W178" s="131">
        <v>0</v>
      </c>
      <c r="X178" s="131">
        <v>0</v>
      </c>
      <c r="Y178" s="131">
        <v>0</v>
      </c>
      <c r="Z178" s="131">
        <v>0</v>
      </c>
      <c r="AA178" s="131">
        <v>0</v>
      </c>
      <c r="AB178" s="131">
        <v>0</v>
      </c>
      <c r="AC178" s="131">
        <v>0</v>
      </c>
      <c r="AD178" s="131">
        <v>0</v>
      </c>
      <c r="AE178" s="131">
        <v>0</v>
      </c>
      <c r="AF178" s="131">
        <v>0</v>
      </c>
      <c r="AG178" s="131">
        <v>0</v>
      </c>
      <c r="AH178" s="131">
        <v>0</v>
      </c>
      <c r="AI178" s="131">
        <v>0</v>
      </c>
      <c r="AJ178" s="131">
        <v>0</v>
      </c>
      <c r="AK178" s="131">
        <v>0</v>
      </c>
      <c r="AL178" s="131">
        <v>0</v>
      </c>
      <c r="AM178" s="131">
        <v>0</v>
      </c>
      <c r="AN178" s="131">
        <v>0</v>
      </c>
      <c r="AO178" s="131">
        <v>0</v>
      </c>
      <c r="AP178" s="131">
        <v>0</v>
      </c>
      <c r="AQ178" s="131">
        <v>0</v>
      </c>
      <c r="AR178" s="131">
        <v>0</v>
      </c>
      <c r="AS178" s="131">
        <v>0</v>
      </c>
      <c r="AT178" s="131">
        <v>0</v>
      </c>
      <c r="AU178" s="131">
        <v>0</v>
      </c>
      <c r="AV178" s="131">
        <v>0</v>
      </c>
      <c r="AW178" s="131">
        <v>0</v>
      </c>
      <c r="AX178" s="131">
        <v>0</v>
      </c>
      <c r="AY178" s="131">
        <v>0</v>
      </c>
    </row>
    <row r="179" spans="1:51" x14ac:dyDescent="0.2">
      <c r="A179" s="141" t="s">
        <v>134</v>
      </c>
      <c r="B179" s="141" t="s">
        <v>297</v>
      </c>
      <c r="C179" s="130" t="s">
        <v>292</v>
      </c>
      <c r="D179" s="130">
        <f t="shared" ref="D179:AY179" si="3">SUM(D109:D120)</f>
        <v>0</v>
      </c>
      <c r="E179" s="130">
        <f t="shared" si="3"/>
        <v>9551.0528740276495</v>
      </c>
      <c r="F179" s="130">
        <f t="shared" si="3"/>
        <v>9536.9846511634514</v>
      </c>
      <c r="G179" s="130">
        <f t="shared" si="3"/>
        <v>5581.8955523131499</v>
      </c>
      <c r="H179" s="130">
        <f t="shared" si="3"/>
        <v>5797.3491977761787</v>
      </c>
      <c r="I179" s="130">
        <f t="shared" si="3"/>
        <v>7392.0221597492618</v>
      </c>
      <c r="J179" s="130">
        <f t="shared" si="3"/>
        <v>7861.9819912165967</v>
      </c>
      <c r="K179" s="130">
        <f t="shared" si="3"/>
        <v>8511.5632818955073</v>
      </c>
      <c r="L179" s="130">
        <f t="shared" si="3"/>
        <v>8512.4157427282389</v>
      </c>
      <c r="M179" s="130">
        <f t="shared" si="3"/>
        <v>7321.9011088267816</v>
      </c>
      <c r="N179" s="130">
        <f t="shared" si="3"/>
        <v>6679.0571294448837</v>
      </c>
      <c r="O179" s="130">
        <f t="shared" si="3"/>
        <v>6305.0406952932553</v>
      </c>
      <c r="P179" s="130">
        <f t="shared" si="3"/>
        <v>3616.7218242448271</v>
      </c>
      <c r="Q179" s="130">
        <f t="shared" si="3"/>
        <v>3024.0722131374059</v>
      </c>
      <c r="R179" s="130">
        <f t="shared" si="3"/>
        <v>3085.6349743731225</v>
      </c>
      <c r="S179" s="130">
        <f t="shared" si="3"/>
        <v>2936.6869979849544</v>
      </c>
      <c r="T179" s="130">
        <f t="shared" si="3"/>
        <v>5427.2453316818282</v>
      </c>
      <c r="U179" s="130">
        <f t="shared" si="3"/>
        <v>6486.2959156241595</v>
      </c>
      <c r="V179" s="130">
        <f t="shared" si="3"/>
        <v>7137.2881357480401</v>
      </c>
      <c r="W179" s="130">
        <f t="shared" si="3"/>
        <v>7123.9439382637502</v>
      </c>
      <c r="X179" s="130">
        <f t="shared" si="3"/>
        <v>7345.346145118805</v>
      </c>
      <c r="Y179" s="130">
        <f t="shared" si="3"/>
        <v>7349.406042800827</v>
      </c>
      <c r="Z179" s="130">
        <f t="shared" si="3"/>
        <v>7547.7176290025309</v>
      </c>
      <c r="AA179" s="130">
        <f t="shared" si="3"/>
        <v>7277.6304071579689</v>
      </c>
      <c r="AB179" s="130">
        <f t="shared" si="3"/>
        <v>4866.4857695361134</v>
      </c>
      <c r="AC179" s="130">
        <f t="shared" si="3"/>
        <v>2896.6510059054453</v>
      </c>
      <c r="AD179" s="130">
        <f t="shared" si="3"/>
        <v>1751.0850907276617</v>
      </c>
      <c r="AE179" s="130">
        <f t="shared" si="3"/>
        <v>1096.8335883302134</v>
      </c>
      <c r="AF179" s="130">
        <f t="shared" si="3"/>
        <v>3175.6869723252967</v>
      </c>
      <c r="AG179" s="130">
        <f t="shared" si="3"/>
        <v>5379.3248800264919</v>
      </c>
      <c r="AH179" s="130">
        <f t="shared" si="3"/>
        <v>6601.0114214072528</v>
      </c>
      <c r="AI179" s="130">
        <f t="shared" si="3"/>
        <v>7049.6037670914411</v>
      </c>
      <c r="AJ179" s="130">
        <f t="shared" si="3"/>
        <v>7400.01904050335</v>
      </c>
      <c r="AK179" s="130">
        <f t="shared" si="3"/>
        <v>7311.5351796601899</v>
      </c>
      <c r="AL179" s="130">
        <f t="shared" si="3"/>
        <v>7246.1550745887725</v>
      </c>
      <c r="AM179" s="130">
        <f t="shared" si="3"/>
        <v>7362.9295677936389</v>
      </c>
      <c r="AN179" s="130">
        <f t="shared" si="3"/>
        <v>5062.0526000787468</v>
      </c>
      <c r="AO179" s="130">
        <f t="shared" si="3"/>
        <v>4459.0010010043661</v>
      </c>
      <c r="AP179" s="130">
        <f t="shared" si="3"/>
        <v>3649.6411765647645</v>
      </c>
      <c r="AQ179" s="130">
        <f t="shared" si="3"/>
        <v>3249.8155230806842</v>
      </c>
      <c r="AR179" s="130">
        <f t="shared" si="3"/>
        <v>6138.5314942074256</v>
      </c>
      <c r="AS179" s="130">
        <f t="shared" si="3"/>
        <v>7154.2813136663644</v>
      </c>
      <c r="AT179" s="130">
        <f t="shared" si="3"/>
        <v>7857.6193534283157</v>
      </c>
      <c r="AU179" s="130">
        <f t="shared" si="3"/>
        <v>8231.0793243910812</v>
      </c>
      <c r="AV179" s="130">
        <f t="shared" si="3"/>
        <v>8202.7164358120863</v>
      </c>
      <c r="AW179" s="130">
        <f t="shared" si="3"/>
        <v>7516.567442163745</v>
      </c>
      <c r="AX179" s="130">
        <f t="shared" si="3"/>
        <v>7033.8944079488538</v>
      </c>
      <c r="AY179" s="130">
        <f t="shared" si="3"/>
        <v>6771.074593949299</v>
      </c>
    </row>
    <row r="180" spans="1:51" x14ac:dyDescent="0.2">
      <c r="A180" s="131"/>
      <c r="B180" s="142" t="s">
        <v>298</v>
      </c>
      <c r="C180" s="131" t="s">
        <v>292</v>
      </c>
      <c r="D180" s="131">
        <v>0</v>
      </c>
      <c r="E180" s="131">
        <v>2082</v>
      </c>
      <c r="F180" s="131">
        <v>2276</v>
      </c>
      <c r="G180" s="131">
        <v>1770</v>
      </c>
      <c r="H180" s="131">
        <v>2258</v>
      </c>
      <c r="I180" s="131">
        <v>2001</v>
      </c>
      <c r="J180" s="131">
        <v>1876</v>
      </c>
      <c r="K180" s="131">
        <v>2158</v>
      </c>
      <c r="L180" s="131">
        <v>952</v>
      </c>
      <c r="M180" s="131">
        <v>891</v>
      </c>
      <c r="N180" s="131">
        <v>960</v>
      </c>
      <c r="O180" s="131">
        <v>915</v>
      </c>
      <c r="P180" s="131">
        <v>494</v>
      </c>
      <c r="Q180" s="131">
        <v>629</v>
      </c>
      <c r="R180" s="131">
        <v>602</v>
      </c>
      <c r="S180" s="131">
        <v>521</v>
      </c>
      <c r="T180" s="131">
        <v>541</v>
      </c>
      <c r="U180" s="131">
        <v>587</v>
      </c>
      <c r="V180" s="131">
        <v>445</v>
      </c>
      <c r="W180" s="131">
        <v>557</v>
      </c>
      <c r="X180" s="131">
        <v>584</v>
      </c>
      <c r="Y180" s="131">
        <v>603</v>
      </c>
      <c r="Z180" s="131">
        <v>565</v>
      </c>
      <c r="AA180" s="131">
        <v>618</v>
      </c>
      <c r="AB180" s="131">
        <v>1887</v>
      </c>
      <c r="AC180" s="131">
        <v>1709</v>
      </c>
      <c r="AD180" s="131">
        <v>1560</v>
      </c>
      <c r="AE180" s="131">
        <v>1096.8335883302134</v>
      </c>
      <c r="AF180" s="131">
        <v>1858</v>
      </c>
      <c r="AG180" s="131">
        <v>1907</v>
      </c>
      <c r="AH180" s="131">
        <v>1438</v>
      </c>
      <c r="AI180" s="131">
        <v>1554</v>
      </c>
      <c r="AJ180" s="131">
        <v>604</v>
      </c>
      <c r="AK180" s="131">
        <v>856</v>
      </c>
      <c r="AL180" s="131">
        <v>729</v>
      </c>
      <c r="AM180" s="131">
        <v>804</v>
      </c>
      <c r="AN180" s="131">
        <v>1734</v>
      </c>
      <c r="AO180" s="131">
        <v>1825</v>
      </c>
      <c r="AP180" s="131">
        <v>1528</v>
      </c>
      <c r="AQ180" s="131">
        <v>1675</v>
      </c>
      <c r="AR180" s="131">
        <v>2813</v>
      </c>
      <c r="AS180" s="131">
        <v>2681</v>
      </c>
      <c r="AT180" s="131">
        <v>2178</v>
      </c>
      <c r="AU180" s="131">
        <v>2239</v>
      </c>
      <c r="AV180" s="131">
        <v>1422</v>
      </c>
      <c r="AW180" s="131">
        <v>1641</v>
      </c>
      <c r="AX180" s="131">
        <v>1975</v>
      </c>
      <c r="AY180" s="131">
        <v>1621</v>
      </c>
    </row>
    <row r="181" spans="1:51" x14ac:dyDescent="0.2">
      <c r="A181" s="141" t="s">
        <v>123</v>
      </c>
      <c r="B181" s="141" t="s">
        <v>297</v>
      </c>
      <c r="C181" s="130" t="s">
        <v>292</v>
      </c>
      <c r="D181" s="130">
        <f t="shared" ref="D181:AY181" si="4">(1-D172)*SUM(D122:D169)</f>
        <v>12628.231458820608</v>
      </c>
      <c r="E181" s="130">
        <f t="shared" si="4"/>
        <v>19640.731015988287</v>
      </c>
      <c r="F181" s="130">
        <f t="shared" si="4"/>
        <v>23607.820114838585</v>
      </c>
      <c r="G181" s="130">
        <f t="shared" si="4"/>
        <v>25859.731395247596</v>
      </c>
      <c r="H181" s="130">
        <f t="shared" si="4"/>
        <v>25737.058433274502</v>
      </c>
      <c r="I181" s="130">
        <f t="shared" si="4"/>
        <v>24829.098601807164</v>
      </c>
      <c r="J181" s="130">
        <f t="shared" si="4"/>
        <v>24561.51731112826</v>
      </c>
      <c r="K181" s="130">
        <f t="shared" si="4"/>
        <v>24191.664850295532</v>
      </c>
      <c r="L181" s="130">
        <f t="shared" si="4"/>
        <v>24191.179484196982</v>
      </c>
      <c r="M181" s="130">
        <f t="shared" si="4"/>
        <v>24869.023463578887</v>
      </c>
      <c r="N181" s="130">
        <f t="shared" si="4"/>
        <v>25235.039897730509</v>
      </c>
      <c r="O181" s="130">
        <f t="shared" si="4"/>
        <v>25447.993842906919</v>
      </c>
      <c r="P181" s="130">
        <f t="shared" si="4"/>
        <v>26978.643454014331</v>
      </c>
      <c r="Q181" s="130">
        <f t="shared" si="4"/>
        <v>27316.080692778625</v>
      </c>
      <c r="R181" s="130">
        <f t="shared" si="4"/>
        <v>27281.02866916679</v>
      </c>
      <c r="S181" s="130">
        <f t="shared" si="4"/>
        <v>27365.835261341948</v>
      </c>
      <c r="T181" s="130">
        <f t="shared" si="4"/>
        <v>25947.78467739961</v>
      </c>
      <c r="U181" s="130">
        <f t="shared" si="4"/>
        <v>25344.792457275726</v>
      </c>
      <c r="V181" s="130">
        <f t="shared" si="4"/>
        <v>24974.136654760023</v>
      </c>
      <c r="W181" s="130">
        <f t="shared" si="4"/>
        <v>24981.734447904964</v>
      </c>
      <c r="X181" s="130">
        <f t="shared" si="4"/>
        <v>24855.674550222942</v>
      </c>
      <c r="Y181" s="130">
        <f t="shared" si="4"/>
        <v>24853.362964021228</v>
      </c>
      <c r="Z181" s="130">
        <f t="shared" si="4"/>
        <v>24740.4501858658</v>
      </c>
      <c r="AA181" s="130">
        <f t="shared" si="4"/>
        <v>24894.229897615634</v>
      </c>
      <c r="AB181" s="130">
        <f t="shared" si="4"/>
        <v>26267.064661246295</v>
      </c>
      <c r="AC181" s="130">
        <f t="shared" si="4"/>
        <v>27388.630576424079</v>
      </c>
      <c r="AD181" s="130">
        <f t="shared" si="4"/>
        <v>28040.882078821542</v>
      </c>
      <c r="AE181" s="130">
        <f t="shared" si="4"/>
        <v>28413.393620698473</v>
      </c>
      <c r="AF181" s="130">
        <f t="shared" si="4"/>
        <v>27229.755712997274</v>
      </c>
      <c r="AG181" s="130">
        <f t="shared" si="4"/>
        <v>25975.069171616517</v>
      </c>
      <c r="AH181" s="130">
        <f t="shared" si="4"/>
        <v>25279.476825932335</v>
      </c>
      <c r="AI181" s="130">
        <f t="shared" si="4"/>
        <v>25024.061552520416</v>
      </c>
      <c r="AJ181" s="130">
        <f t="shared" si="4"/>
        <v>24824.545413363579</v>
      </c>
      <c r="AK181" s="130">
        <f t="shared" si="4"/>
        <v>24874.925518434989</v>
      </c>
      <c r="AL181" s="130">
        <f t="shared" si="4"/>
        <v>24912.15102523013</v>
      </c>
      <c r="AM181" s="130">
        <f t="shared" si="4"/>
        <v>24845.663067072997</v>
      </c>
      <c r="AN181" s="130">
        <f t="shared" si="4"/>
        <v>26155.714666147374</v>
      </c>
      <c r="AO181" s="130">
        <f t="shared" si="4"/>
        <v>26499.074490586987</v>
      </c>
      <c r="AP181" s="130">
        <f t="shared" si="4"/>
        <v>26959.90014407106</v>
      </c>
      <c r="AQ181" s="130">
        <f t="shared" si="4"/>
        <v>27187.549098816333</v>
      </c>
      <c r="AR181" s="130">
        <f t="shared" si="4"/>
        <v>25542.799279357409</v>
      </c>
      <c r="AS181" s="130">
        <f t="shared" si="4"/>
        <v>24964.46123959545</v>
      </c>
      <c r="AT181" s="130">
        <f t="shared" si="4"/>
        <v>24564.001268632688</v>
      </c>
      <c r="AU181" s="130">
        <f t="shared" si="4"/>
        <v>24351.364157211676</v>
      </c>
      <c r="AV181" s="130">
        <f t="shared" si="4"/>
        <v>24367.513150860035</v>
      </c>
      <c r="AW181" s="130">
        <f t="shared" si="4"/>
        <v>24758.186185074905</v>
      </c>
      <c r="AX181" s="130">
        <f t="shared" si="4"/>
        <v>25033.00599907447</v>
      </c>
      <c r="AY181" s="130">
        <f t="shared" si="4"/>
        <v>25182.647862776765</v>
      </c>
    </row>
    <row r="182" spans="1:51" x14ac:dyDescent="0.2">
      <c r="A182" s="131"/>
      <c r="B182" s="142" t="s">
        <v>298</v>
      </c>
      <c r="C182" s="131" t="s">
        <v>292</v>
      </c>
      <c r="D182" s="131">
        <v>312</v>
      </c>
      <c r="E182" s="131">
        <v>357</v>
      </c>
      <c r="F182" s="131">
        <v>369</v>
      </c>
      <c r="G182" s="131">
        <v>372</v>
      </c>
      <c r="H182" s="131">
        <v>1844</v>
      </c>
      <c r="I182" s="131">
        <v>1406</v>
      </c>
      <c r="J182" s="131">
        <v>1788</v>
      </c>
      <c r="K182" s="131">
        <v>1419</v>
      </c>
      <c r="L182" s="131">
        <v>228</v>
      </c>
      <c r="M182" s="131">
        <v>263</v>
      </c>
      <c r="N182" s="131">
        <v>255</v>
      </c>
      <c r="O182" s="131">
        <v>244</v>
      </c>
      <c r="P182" s="131">
        <v>1182</v>
      </c>
      <c r="Q182" s="131">
        <v>1581</v>
      </c>
      <c r="R182" s="131">
        <v>1397</v>
      </c>
      <c r="S182" s="131">
        <v>1508</v>
      </c>
      <c r="T182" s="131">
        <v>1149</v>
      </c>
      <c r="U182" s="131">
        <v>1197</v>
      </c>
      <c r="V182" s="131">
        <v>813</v>
      </c>
      <c r="W182" s="131">
        <v>1042</v>
      </c>
      <c r="X182" s="131">
        <v>920</v>
      </c>
      <c r="Y182" s="131">
        <v>1116</v>
      </c>
      <c r="Z182" s="131">
        <v>733</v>
      </c>
      <c r="AA182" s="131">
        <v>940</v>
      </c>
      <c r="AB182" s="131">
        <v>343</v>
      </c>
      <c r="AC182" s="131">
        <v>319</v>
      </c>
      <c r="AD182" s="131">
        <v>317</v>
      </c>
      <c r="AE182" s="131">
        <v>304</v>
      </c>
      <c r="AF182" s="131">
        <v>1324</v>
      </c>
      <c r="AG182" s="131">
        <v>1291</v>
      </c>
      <c r="AH182" s="131">
        <v>1044</v>
      </c>
      <c r="AI182" s="131">
        <v>1139</v>
      </c>
      <c r="AJ182" s="131">
        <v>851</v>
      </c>
      <c r="AK182" s="131">
        <v>836</v>
      </c>
      <c r="AL182" s="131">
        <v>990</v>
      </c>
      <c r="AM182" s="131">
        <v>1087</v>
      </c>
      <c r="AN182" s="131">
        <v>1794</v>
      </c>
      <c r="AO182" s="131">
        <v>1328</v>
      </c>
      <c r="AP182" s="131">
        <v>1389</v>
      </c>
      <c r="AQ182" s="131">
        <v>2041</v>
      </c>
      <c r="AR182" s="131">
        <v>1412</v>
      </c>
      <c r="AS182" s="131">
        <v>1537</v>
      </c>
      <c r="AT182" s="131">
        <v>1510</v>
      </c>
      <c r="AU182" s="131">
        <v>1269</v>
      </c>
      <c r="AV182" s="131">
        <v>599</v>
      </c>
      <c r="AW182" s="131">
        <v>507</v>
      </c>
      <c r="AX182" s="131">
        <v>519</v>
      </c>
      <c r="AY182" s="131">
        <v>665</v>
      </c>
    </row>
    <row r="184" spans="1:51" x14ac:dyDescent="0.2">
      <c r="A184" s="108" t="s">
        <v>299</v>
      </c>
    </row>
    <row r="185" spans="1:51" x14ac:dyDescent="0.2">
      <c r="A185" s="132" t="s">
        <v>125</v>
      </c>
      <c r="B185" s="129">
        <v>1</v>
      </c>
      <c r="C185" s="130"/>
      <c r="D185" s="130">
        <v>314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/>
      <c r="D186" s="112">
        <v>0</v>
      </c>
      <c r="E186" s="112">
        <v>258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/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/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/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/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/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/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/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/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/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/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/>
      <c r="D197" s="112">
        <v>0</v>
      </c>
      <c r="E197" s="112">
        <v>2082</v>
      </c>
      <c r="F197" s="112">
        <v>2276</v>
      </c>
      <c r="G197" s="112">
        <v>1770</v>
      </c>
      <c r="H197" s="112">
        <v>2258</v>
      </c>
      <c r="I197" s="112">
        <v>2001</v>
      </c>
      <c r="J197" s="112">
        <v>1876</v>
      </c>
      <c r="K197" s="112">
        <v>2158</v>
      </c>
      <c r="L197" s="112">
        <v>952</v>
      </c>
      <c r="M197" s="112">
        <v>891</v>
      </c>
      <c r="N197" s="112">
        <v>960</v>
      </c>
      <c r="O197" s="112">
        <v>915</v>
      </c>
      <c r="P197" s="112">
        <v>494</v>
      </c>
      <c r="Q197" s="112">
        <v>629</v>
      </c>
      <c r="R197" s="112">
        <v>602</v>
      </c>
      <c r="S197" s="112">
        <v>521</v>
      </c>
      <c r="T197" s="112">
        <v>541</v>
      </c>
      <c r="U197" s="112">
        <v>587</v>
      </c>
      <c r="V197" s="112">
        <v>445</v>
      </c>
      <c r="W197" s="112">
        <v>557</v>
      </c>
      <c r="X197" s="112">
        <v>584</v>
      </c>
      <c r="Y197" s="112">
        <v>603</v>
      </c>
      <c r="Z197" s="112">
        <v>565</v>
      </c>
      <c r="AA197" s="112">
        <v>618</v>
      </c>
      <c r="AB197" s="112">
        <v>1887</v>
      </c>
      <c r="AC197" s="112">
        <v>1709</v>
      </c>
      <c r="AD197" s="112">
        <v>1560</v>
      </c>
      <c r="AE197" s="112">
        <v>1096.8335883302134</v>
      </c>
      <c r="AF197" s="112">
        <v>1858</v>
      </c>
      <c r="AG197" s="112">
        <v>1907</v>
      </c>
      <c r="AH197" s="112">
        <v>1438</v>
      </c>
      <c r="AI197" s="112">
        <v>1554</v>
      </c>
      <c r="AJ197" s="112">
        <v>604</v>
      </c>
      <c r="AK197" s="112">
        <v>856</v>
      </c>
      <c r="AL197" s="112">
        <v>729</v>
      </c>
      <c r="AM197" s="112">
        <v>804</v>
      </c>
      <c r="AN197" s="112">
        <v>1734</v>
      </c>
      <c r="AO197" s="112">
        <v>1825</v>
      </c>
      <c r="AP197" s="112">
        <v>1528</v>
      </c>
      <c r="AQ197" s="112">
        <v>1675</v>
      </c>
      <c r="AR197" s="112">
        <v>2813</v>
      </c>
      <c r="AS197" s="112">
        <v>2681</v>
      </c>
      <c r="AT197" s="112">
        <v>2178</v>
      </c>
      <c r="AU197" s="112">
        <v>2239</v>
      </c>
      <c r="AV197" s="112">
        <v>1422</v>
      </c>
      <c r="AW197" s="112">
        <v>1641</v>
      </c>
      <c r="AX197" s="112">
        <v>1975</v>
      </c>
      <c r="AY197" s="112">
        <v>1621</v>
      </c>
    </row>
    <row r="198" spans="1:51" x14ac:dyDescent="0.2">
      <c r="A198" s="115"/>
      <c r="B198" s="125">
        <v>2</v>
      </c>
      <c r="C198" s="112"/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/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/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/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/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/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/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/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/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/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/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/>
      <c r="D209" s="130">
        <v>312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/>
      <c r="D210" s="116">
        <v>0</v>
      </c>
      <c r="E210" s="116">
        <v>357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/>
      <c r="D211" s="116">
        <v>0</v>
      </c>
      <c r="E211" s="116">
        <v>0</v>
      </c>
      <c r="F211" s="116">
        <v>369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/>
      <c r="D212" s="116">
        <v>0</v>
      </c>
      <c r="E212" s="116">
        <v>0</v>
      </c>
      <c r="F212" s="116">
        <v>0</v>
      </c>
      <c r="G212" s="116">
        <v>372</v>
      </c>
      <c r="H212" s="116">
        <v>946.95614837565211</v>
      </c>
      <c r="I212" s="116">
        <v>618.01118309502147</v>
      </c>
      <c r="J212" s="116">
        <v>812.71960522272241</v>
      </c>
      <c r="K212" s="116">
        <v>554.58084784490961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100.13152303066704</v>
      </c>
      <c r="S212" s="116">
        <v>385.31614906604841</v>
      </c>
      <c r="T212" s="116">
        <v>41.229904250543541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368.66786075091204</v>
      </c>
      <c r="AO212" s="116">
        <v>358.21283305926829</v>
      </c>
      <c r="AP212" s="116">
        <v>413.26004812639644</v>
      </c>
      <c r="AQ212" s="116">
        <v>1096.6023115916623</v>
      </c>
      <c r="AR212" s="116">
        <v>709.2153022927464</v>
      </c>
      <c r="AS212" s="116">
        <v>613.6485453067346</v>
      </c>
      <c r="AT212" s="116">
        <v>532.23564771829217</v>
      </c>
      <c r="AU212" s="116">
        <v>244.88154092876607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/>
      <c r="D213" s="116">
        <v>0</v>
      </c>
      <c r="E213" s="116">
        <v>0</v>
      </c>
      <c r="F213" s="116">
        <v>0</v>
      </c>
      <c r="G213" s="116">
        <v>0</v>
      </c>
      <c r="H213" s="116">
        <v>897.04385162434789</v>
      </c>
      <c r="I213" s="116">
        <v>787.98881690497853</v>
      </c>
      <c r="J213" s="116">
        <v>975.28039477727759</v>
      </c>
      <c r="K213" s="116">
        <v>864.41915215509039</v>
      </c>
      <c r="L213" s="116">
        <v>228</v>
      </c>
      <c r="M213" s="116">
        <v>0</v>
      </c>
      <c r="N213" s="116">
        <v>0</v>
      </c>
      <c r="O213" s="116">
        <v>0</v>
      </c>
      <c r="P213" s="116">
        <v>113.43486478854834</v>
      </c>
      <c r="Q213" s="116">
        <v>973.90242277222615</v>
      </c>
      <c r="R213" s="116">
        <v>1179.6957919045963</v>
      </c>
      <c r="S213" s="116">
        <v>1122.6838509339516</v>
      </c>
      <c r="T213" s="116">
        <v>1107.7700957494565</v>
      </c>
      <c r="U213" s="116">
        <v>1197</v>
      </c>
      <c r="V213" s="116">
        <v>752.25802748362821</v>
      </c>
      <c r="W213" s="116">
        <v>714.66901612814627</v>
      </c>
      <c r="X213" s="116">
        <v>571.26693982209338</v>
      </c>
      <c r="Y213" s="116">
        <v>769.57852602380729</v>
      </c>
      <c r="Z213" s="116">
        <v>499.4913041792372</v>
      </c>
      <c r="AA213" s="116">
        <v>552.71159242940121</v>
      </c>
      <c r="AB213" s="116">
        <v>0</v>
      </c>
      <c r="AC213" s="116">
        <v>0</v>
      </c>
      <c r="AD213" s="116">
        <v>0</v>
      </c>
      <c r="AE213" s="116">
        <v>0</v>
      </c>
      <c r="AF213" s="116">
        <v>261.41663454554669</v>
      </c>
      <c r="AG213" s="116">
        <v>684.19837917833797</v>
      </c>
      <c r="AH213" s="116">
        <v>677.91785631131552</v>
      </c>
      <c r="AI213" s="116">
        <v>769.34191151269499</v>
      </c>
      <c r="AJ213" s="116">
        <v>533.39607668145663</v>
      </c>
      <c r="AK213" s="116">
        <v>468.01597161004804</v>
      </c>
      <c r="AL213" s="116">
        <v>584.79046481490923</v>
      </c>
      <c r="AM213" s="116">
        <v>748.27842297203733</v>
      </c>
      <c r="AN213" s="116">
        <v>1179.6957919045963</v>
      </c>
      <c r="AO213" s="116">
        <v>969.78716694073171</v>
      </c>
      <c r="AP213" s="116">
        <v>975.73995187360356</v>
      </c>
      <c r="AQ213" s="116">
        <v>944.39768840833767</v>
      </c>
      <c r="AR213" s="116">
        <v>702.7846977072536</v>
      </c>
      <c r="AS213" s="116">
        <v>923.3514546932654</v>
      </c>
      <c r="AT213" s="116">
        <v>977.76435228170783</v>
      </c>
      <c r="AU213" s="116">
        <v>1024.1184590712339</v>
      </c>
      <c r="AV213" s="116">
        <v>599</v>
      </c>
      <c r="AW213" s="116">
        <v>255.75530497013432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/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263</v>
      </c>
      <c r="N214" s="116">
        <v>198.58564161021678</v>
      </c>
      <c r="O214" s="116">
        <v>0</v>
      </c>
      <c r="P214" s="116">
        <v>671.68404929568703</v>
      </c>
      <c r="Q214" s="116">
        <v>607.09757722777385</v>
      </c>
      <c r="R214" s="116">
        <v>117.1726850647367</v>
      </c>
      <c r="S214" s="116">
        <v>0</v>
      </c>
      <c r="T214" s="116">
        <v>0</v>
      </c>
      <c r="U214" s="116">
        <v>0</v>
      </c>
      <c r="V214" s="116">
        <v>60.741972516371831</v>
      </c>
      <c r="W214" s="116">
        <v>327.33098387185373</v>
      </c>
      <c r="X214" s="116">
        <v>348.73306017790662</v>
      </c>
      <c r="Y214" s="116">
        <v>346.42147397619271</v>
      </c>
      <c r="Z214" s="116">
        <v>233.5086958207628</v>
      </c>
      <c r="AA214" s="116">
        <v>387.28840757059885</v>
      </c>
      <c r="AB214" s="116">
        <v>343</v>
      </c>
      <c r="AC214" s="116">
        <v>311.03658842245738</v>
      </c>
      <c r="AD214" s="116">
        <v>111.65795457620047</v>
      </c>
      <c r="AE214" s="116">
        <v>0</v>
      </c>
      <c r="AF214" s="116">
        <v>671.68404929568703</v>
      </c>
      <c r="AG214" s="116">
        <v>606.80162082166203</v>
      </c>
      <c r="AH214" s="116">
        <v>366.08214368868443</v>
      </c>
      <c r="AI214" s="116">
        <v>369.65808848730501</v>
      </c>
      <c r="AJ214" s="116">
        <v>317.60392331854331</v>
      </c>
      <c r="AK214" s="116">
        <v>367.98402838995196</v>
      </c>
      <c r="AL214" s="116">
        <v>405.20953518509077</v>
      </c>
      <c r="AM214" s="116">
        <v>338.72157702796272</v>
      </c>
      <c r="AN214" s="116">
        <v>245.63634734449164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251.24469502986568</v>
      </c>
      <c r="AX214" s="116">
        <v>519</v>
      </c>
      <c r="AY214" s="116">
        <v>660.97767656396536</v>
      </c>
    </row>
    <row r="215" spans="1:51" x14ac:dyDescent="0.2">
      <c r="A215" s="115"/>
      <c r="B215" s="125">
        <v>7</v>
      </c>
      <c r="C215" s="112"/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56.414358389783217</v>
      </c>
      <c r="O215" s="116">
        <v>244</v>
      </c>
      <c r="P215" s="116">
        <v>382.43712080201851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7.9634115775426366</v>
      </c>
      <c r="AD215" s="116">
        <v>205.34204542379953</v>
      </c>
      <c r="AE215" s="116">
        <v>304</v>
      </c>
      <c r="AF215" s="116">
        <v>382.43712080201851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4.0223234360345872</v>
      </c>
    </row>
    <row r="216" spans="1:51" x14ac:dyDescent="0.2">
      <c r="A216" s="115"/>
      <c r="B216" s="125">
        <v>8</v>
      </c>
      <c r="C216" s="112"/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14.443965113746168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8.4621953567478609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/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/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/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/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/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/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/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/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/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/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/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/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/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/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/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/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/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/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/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/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/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/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/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/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/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/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/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/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/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/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/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/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/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/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/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/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/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/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/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/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300</v>
      </c>
    </row>
    <row r="259" spans="1:52" x14ac:dyDescent="0.2">
      <c r="A259" s="143" t="s">
        <v>124</v>
      </c>
      <c r="B259" s="144">
        <v>650</v>
      </c>
      <c r="C259" s="130" t="s">
        <v>292</v>
      </c>
      <c r="D259" s="130">
        <f>E$14*$B$259</f>
        <v>6208184.3681179723</v>
      </c>
      <c r="E259" s="130">
        <f t="shared" ref="E259:AX259" si="5">F$14*$B$259</f>
        <v>9655610.104192378</v>
      </c>
      <c r="F259" s="130">
        <f t="shared" si="5"/>
        <v>11605876.902098672</v>
      </c>
      <c r="G259" s="130">
        <f t="shared" si="5"/>
        <v>12712942.484085511</v>
      </c>
      <c r="H259" s="130">
        <f t="shared" si="5"/>
        <v>12652635.039817056</v>
      </c>
      <c r="I259" s="130">
        <f t="shared" si="5"/>
        <v>12206271.504988322</v>
      </c>
      <c r="J259" s="130">
        <f t="shared" si="5"/>
        <v>12074725.453475837</v>
      </c>
      <c r="K259" s="130">
        <f t="shared" si="5"/>
        <v>11892901.714075821</v>
      </c>
      <c r="L259" s="130">
        <f t="shared" si="5"/>
        <v>11892663.102498606</v>
      </c>
      <c r="M259" s="130">
        <f t="shared" si="5"/>
        <v>12225899.027936311</v>
      </c>
      <c r="N259" s="130">
        <f t="shared" si="5"/>
        <v>12405836.932335997</v>
      </c>
      <c r="O259" s="130">
        <f t="shared" si="5"/>
        <v>12510527.550169883</v>
      </c>
      <c r="P259" s="130">
        <f t="shared" si="5"/>
        <v>13263012.569131546</v>
      </c>
      <c r="Q259" s="130">
        <f t="shared" si="5"/>
        <v>13428900.611154575</v>
      </c>
      <c r="R259" s="130">
        <f t="shared" si="5"/>
        <v>13411668.631699059</v>
      </c>
      <c r="S259" s="130">
        <f t="shared" si="5"/>
        <v>13453360.531437516</v>
      </c>
      <c r="T259" s="130">
        <f t="shared" si="5"/>
        <v>12756230.494097071</v>
      </c>
      <c r="U259" s="130">
        <f t="shared" si="5"/>
        <v>12459792.557615072</v>
      </c>
      <c r="V259" s="130">
        <f t="shared" si="5"/>
        <v>12277573.886169758</v>
      </c>
      <c r="W259" s="130">
        <f t="shared" si="5"/>
        <v>12281309.048990335</v>
      </c>
      <c r="X259" s="130">
        <f t="shared" si="5"/>
        <v>12219336.548027864</v>
      </c>
      <c r="Y259" s="130">
        <f t="shared" si="5"/>
        <v>12218200.145565663</v>
      </c>
      <c r="Z259" s="130">
        <f t="shared" si="5"/>
        <v>12162690.92033558</v>
      </c>
      <c r="AA259" s="130">
        <f t="shared" si="5"/>
        <v>12238290.801897155</v>
      </c>
      <c r="AB259" s="130">
        <f t="shared" si="5"/>
        <v>12913192.219991434</v>
      </c>
      <c r="AC259" s="130">
        <f t="shared" si="5"/>
        <v>13464566.971485807</v>
      </c>
      <c r="AD259" s="130">
        <f t="shared" si="5"/>
        <v>13785221.339793017</v>
      </c>
      <c r="AE259" s="130">
        <f t="shared" si="5"/>
        <v>13968352.314131359</v>
      </c>
      <c r="AF259" s="130">
        <f t="shared" si="5"/>
        <v>13386462.25454033</v>
      </c>
      <c r="AG259" s="130">
        <f t="shared" si="5"/>
        <v>12769643.866432045</v>
      </c>
      <c r="AH259" s="130">
        <f t="shared" si="5"/>
        <v>12427682.639229268</v>
      </c>
      <c r="AI259" s="130">
        <f t="shared" si="5"/>
        <v>12302117.542252295</v>
      </c>
      <c r="AJ259" s="130">
        <f t="shared" si="5"/>
        <v>12204033.104986491</v>
      </c>
      <c r="AK259" s="130">
        <f t="shared" si="5"/>
        <v>12228800.546238134</v>
      </c>
      <c r="AL259" s="130">
        <f t="shared" si="5"/>
        <v>12247101.035117708</v>
      </c>
      <c r="AM259" s="130">
        <f t="shared" si="5"/>
        <v>12214414.787336681</v>
      </c>
      <c r="AN259" s="130">
        <f t="shared" si="5"/>
        <v>12858451.276953023</v>
      </c>
      <c r="AO259" s="130">
        <f t="shared" si="5"/>
        <v>13027250.930465618</v>
      </c>
      <c r="AP259" s="130">
        <f t="shared" si="5"/>
        <v>13253798.141586719</v>
      </c>
      <c r="AQ259" s="130">
        <f t="shared" si="5"/>
        <v>13365712.995766941</v>
      </c>
      <c r="AR259" s="130">
        <f t="shared" si="5"/>
        <v>12557134.997182854</v>
      </c>
      <c r="AS259" s="130">
        <f t="shared" si="5"/>
        <v>12272817.340379823</v>
      </c>
      <c r="AT259" s="130">
        <f t="shared" si="5"/>
        <v>12075946.595660342</v>
      </c>
      <c r="AU259" s="130">
        <f t="shared" si="5"/>
        <v>11971411.736958208</v>
      </c>
      <c r="AV259" s="130">
        <f t="shared" si="5"/>
        <v>11979350.768663114</v>
      </c>
      <c r="AW259" s="130">
        <f t="shared" si="5"/>
        <v>12171410.142294876</v>
      </c>
      <c r="AX259" s="130">
        <f t="shared" si="5"/>
        <v>12306514.735434834</v>
      </c>
      <c r="AY259" s="130">
        <f>AZ$14*$B$259</f>
        <v>12380080.403128052</v>
      </c>
      <c r="AZ259" s="145">
        <f>SUM($D259:$AY259)</f>
        <v>594345909.61592269</v>
      </c>
    </row>
    <row r="260" spans="1:52" x14ac:dyDescent="0.2">
      <c r="A260" s="146" t="s">
        <v>301</v>
      </c>
      <c r="B260" s="120">
        <v>60</v>
      </c>
      <c r="C260" s="131" t="s">
        <v>292</v>
      </c>
      <c r="D260" s="131">
        <f>(D$175-D$176+D$177-D$178+D$179-D$180+D$181-D$182)*$B$260</f>
        <v>1005377.223760576</v>
      </c>
      <c r="E260" s="131">
        <f t="shared" ref="E260:AY260" si="6">(E$175-E$176+E$177-E$178+E$179-E$180+E$181-E$182)*$B$260</f>
        <v>2006892.9134591648</v>
      </c>
      <c r="F260" s="131">
        <f t="shared" si="6"/>
        <v>1829988.2859601222</v>
      </c>
      <c r="G260" s="131">
        <f t="shared" si="6"/>
        <v>1757977.6168536448</v>
      </c>
      <c r="H260" s="131">
        <f t="shared" si="6"/>
        <v>1645944.4578630407</v>
      </c>
      <c r="I260" s="131">
        <f t="shared" si="6"/>
        <v>1728847.2456933856</v>
      </c>
      <c r="J260" s="131">
        <f t="shared" si="6"/>
        <v>1725569.9581406913</v>
      </c>
      <c r="K260" s="131">
        <f t="shared" si="6"/>
        <v>1747573.6879314624</v>
      </c>
      <c r="L260" s="131">
        <f t="shared" si="6"/>
        <v>1891415.7136155134</v>
      </c>
      <c r="M260" s="131">
        <f t="shared" si="6"/>
        <v>1862215.4743443402</v>
      </c>
      <c r="N260" s="131">
        <f t="shared" si="6"/>
        <v>1841945.8216305235</v>
      </c>
      <c r="O260" s="131">
        <f t="shared" si="6"/>
        <v>1835642.0722920105</v>
      </c>
      <c r="P260" s="131">
        <f t="shared" si="6"/>
        <v>1735161.9166955496</v>
      </c>
      <c r="Q260" s="131">
        <f t="shared" si="6"/>
        <v>1687809.1743549618</v>
      </c>
      <c r="R260" s="131">
        <f t="shared" si="6"/>
        <v>1702059.8186123949</v>
      </c>
      <c r="S260" s="131">
        <f t="shared" si="6"/>
        <v>1696411.3355596142</v>
      </c>
      <c r="T260" s="131">
        <f t="shared" si="6"/>
        <v>1781101.8005448864</v>
      </c>
      <c r="U260" s="131">
        <f t="shared" si="6"/>
        <v>1802825.3023739932</v>
      </c>
      <c r="V260" s="131">
        <f t="shared" si="6"/>
        <v>1851205.4874304838</v>
      </c>
      <c r="W260" s="131">
        <f t="shared" si="6"/>
        <v>1830400.7031701228</v>
      </c>
      <c r="X260" s="131">
        <f t="shared" si="6"/>
        <v>1841821.2417205048</v>
      </c>
      <c r="Y260" s="131">
        <f t="shared" si="6"/>
        <v>1829026.1404093234</v>
      </c>
      <c r="Z260" s="131">
        <f t="shared" si="6"/>
        <v>1859410.0688920999</v>
      </c>
      <c r="AA260" s="131">
        <f t="shared" si="6"/>
        <v>1836831.6182864162</v>
      </c>
      <c r="AB260" s="131">
        <f t="shared" si="6"/>
        <v>1734213.0258469444</v>
      </c>
      <c r="AC260" s="131">
        <f t="shared" si="6"/>
        <v>1695436.8949397714</v>
      </c>
      <c r="AD260" s="131">
        <f t="shared" si="6"/>
        <v>1674898.0301729522</v>
      </c>
      <c r="AE260" s="131">
        <f t="shared" si="6"/>
        <v>1686563.6172419083</v>
      </c>
      <c r="AF260" s="131">
        <f t="shared" si="6"/>
        <v>1633406.5611193543</v>
      </c>
      <c r="AG260" s="131">
        <f t="shared" si="6"/>
        <v>1689383.6430985804</v>
      </c>
      <c r="AH260" s="131">
        <f t="shared" si="6"/>
        <v>1763909.2948403752</v>
      </c>
      <c r="AI260" s="131">
        <f t="shared" si="6"/>
        <v>1762839.9191767115</v>
      </c>
      <c r="AJ260" s="131">
        <f t="shared" si="6"/>
        <v>1846173.8672320158</v>
      </c>
      <c r="AK260" s="131">
        <f t="shared" si="6"/>
        <v>1829667.6418857109</v>
      </c>
      <c r="AL260" s="131">
        <f t="shared" si="6"/>
        <v>1826358.3659891342</v>
      </c>
      <c r="AM260" s="131">
        <f t="shared" si="6"/>
        <v>1819055.5580919981</v>
      </c>
      <c r="AN260" s="131">
        <f t="shared" si="6"/>
        <v>1661386.0359735673</v>
      </c>
      <c r="AO260" s="131">
        <f t="shared" si="6"/>
        <v>1668304.5294954812</v>
      </c>
      <c r="AP260" s="131">
        <f t="shared" si="6"/>
        <v>1661552.4792381495</v>
      </c>
      <c r="AQ260" s="131">
        <f t="shared" si="6"/>
        <v>1603281.8773138211</v>
      </c>
      <c r="AR260" s="131">
        <f t="shared" si="6"/>
        <v>1647379.8464138901</v>
      </c>
      <c r="AS260" s="131">
        <f t="shared" si="6"/>
        <v>1674044.5531957089</v>
      </c>
      <c r="AT260" s="131">
        <f t="shared" si="6"/>
        <v>1724017.2373236602</v>
      </c>
      <c r="AU260" s="131">
        <f t="shared" si="6"/>
        <v>1744466.6088961654</v>
      </c>
      <c r="AV260" s="131">
        <f t="shared" si="6"/>
        <v>1832953.7752003274</v>
      </c>
      <c r="AW260" s="131">
        <f t="shared" si="6"/>
        <v>1807605.2176343189</v>
      </c>
      <c r="AX260" s="131">
        <f t="shared" si="6"/>
        <v>1774374.0244213995</v>
      </c>
      <c r="AY260" s="131">
        <f t="shared" si="6"/>
        <v>1780063.3474035638</v>
      </c>
      <c r="AZ260" s="147">
        <f>SUM($D260:$AY260)</f>
        <v>83874791.031740338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3</v>
      </c>
      <c r="E6" s="106">
        <v>1735.1999999999998</v>
      </c>
      <c r="F6" s="106">
        <v>2</v>
      </c>
      <c r="G6" s="106">
        <v>1156.8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172</v>
      </c>
      <c r="D7" s="106">
        <v>3</v>
      </c>
      <c r="E7" s="106">
        <v>2365.1999999999998</v>
      </c>
      <c r="F7" s="106">
        <v>2</v>
      </c>
      <c r="G7" s="106">
        <v>1576.8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173</v>
      </c>
      <c r="D8" s="106">
        <v>3</v>
      </c>
      <c r="E8" s="106">
        <v>928.8</v>
      </c>
      <c r="F8" s="106">
        <v>2</v>
      </c>
      <c r="G8" s="106">
        <v>619.19999999999993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174</v>
      </c>
      <c r="D9" s="106">
        <v>3</v>
      </c>
      <c r="E9" s="106">
        <v>2106</v>
      </c>
      <c r="F9" s="106">
        <v>2</v>
      </c>
      <c r="G9" s="106">
        <v>1404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175</v>
      </c>
      <c r="D10" s="106">
        <v>3</v>
      </c>
      <c r="E10" s="106">
        <v>1634.3999999999999</v>
      </c>
      <c r="F10" s="106">
        <v>2</v>
      </c>
      <c r="G10" s="106">
        <v>1089.5999999999999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176</v>
      </c>
      <c r="D11" s="106">
        <v>3</v>
      </c>
      <c r="E11" s="106">
        <v>1598.3999999999999</v>
      </c>
      <c r="F11" s="106">
        <v>2</v>
      </c>
      <c r="G11" s="106">
        <v>1065.5999999999999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177</v>
      </c>
      <c r="D12" s="106">
        <v>3</v>
      </c>
      <c r="E12" s="106">
        <v>1688.3999999999999</v>
      </c>
      <c r="F12" s="106">
        <v>2</v>
      </c>
      <c r="G12" s="106">
        <v>1125.5999999999999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178</v>
      </c>
      <c r="D13" s="106">
        <v>3</v>
      </c>
      <c r="E13" s="106">
        <v>255.60000000000002</v>
      </c>
      <c r="F13" s="106">
        <v>2</v>
      </c>
      <c r="G13" s="106">
        <v>170.4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179</v>
      </c>
      <c r="D14" s="106">
        <v>3</v>
      </c>
      <c r="E14" s="106">
        <v>1465.1999999999998</v>
      </c>
      <c r="F14" s="106">
        <v>2</v>
      </c>
      <c r="G14" s="106">
        <v>976.8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180</v>
      </c>
      <c r="D15" s="106">
        <v>3</v>
      </c>
      <c r="E15" s="106">
        <v>2289.6</v>
      </c>
      <c r="F15" s="106">
        <v>2</v>
      </c>
      <c r="G15" s="106">
        <v>1526.3999999999999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181</v>
      </c>
      <c r="D16" s="106">
        <v>3</v>
      </c>
      <c r="E16" s="106">
        <v>1022.4000000000001</v>
      </c>
      <c r="F16" s="106">
        <v>2</v>
      </c>
      <c r="G16" s="106">
        <v>681.6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182</v>
      </c>
      <c r="D17" s="106">
        <v>3</v>
      </c>
      <c r="E17" s="106">
        <v>1267.1999999999998</v>
      </c>
      <c r="F17" s="106">
        <v>2</v>
      </c>
      <c r="G17" s="106">
        <v>844.8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183</v>
      </c>
      <c r="D18" s="106">
        <v>3</v>
      </c>
      <c r="E18" s="106">
        <v>1958.3999999999999</v>
      </c>
      <c r="F18" s="106">
        <v>2</v>
      </c>
      <c r="G18" s="106">
        <v>1305.5999999999999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184</v>
      </c>
      <c r="D19" s="106">
        <v>3</v>
      </c>
      <c r="E19" s="106">
        <v>990</v>
      </c>
      <c r="F19" s="106">
        <v>2</v>
      </c>
      <c r="G19" s="106">
        <v>660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185</v>
      </c>
      <c r="D20" s="106">
        <v>9</v>
      </c>
      <c r="E20" s="106">
        <v>2581.2000000000003</v>
      </c>
      <c r="F20" s="106">
        <v>5</v>
      </c>
      <c r="G20" s="106">
        <v>1434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186</v>
      </c>
      <c r="D21" s="106">
        <v>8</v>
      </c>
      <c r="E21" s="106">
        <v>499.2</v>
      </c>
      <c r="F21" s="106">
        <v>5</v>
      </c>
      <c r="G21" s="106">
        <v>312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187</v>
      </c>
      <c r="D22" s="106">
        <v>9</v>
      </c>
      <c r="E22" s="106">
        <v>1684.8</v>
      </c>
      <c r="F22" s="106">
        <v>6</v>
      </c>
      <c r="G22" s="106">
        <v>1123.1999999999998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188</v>
      </c>
      <c r="D23" s="106">
        <v>8</v>
      </c>
      <c r="E23" s="106">
        <v>2352</v>
      </c>
      <c r="F23" s="106">
        <v>6</v>
      </c>
      <c r="G23" s="106">
        <v>1764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189</v>
      </c>
      <c r="D24" s="106">
        <v>8</v>
      </c>
      <c r="E24" s="106">
        <v>2937.6</v>
      </c>
      <c r="F24" s="106">
        <v>6</v>
      </c>
      <c r="G24" s="106">
        <v>2203.1999999999998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190</v>
      </c>
      <c r="D25" s="106">
        <v>9</v>
      </c>
      <c r="E25" s="106">
        <v>4773.5999999999995</v>
      </c>
      <c r="F25" s="106">
        <v>6</v>
      </c>
      <c r="G25" s="106">
        <v>3182.3999999999996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191</v>
      </c>
      <c r="D26" s="106">
        <v>7</v>
      </c>
      <c r="E26" s="106">
        <v>3402</v>
      </c>
      <c r="F26" s="106">
        <v>5</v>
      </c>
      <c r="G26" s="106">
        <v>2430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192</v>
      </c>
      <c r="D27" s="106">
        <v>8</v>
      </c>
      <c r="E27" s="106">
        <v>3417.6</v>
      </c>
      <c r="F27" s="106">
        <v>5</v>
      </c>
      <c r="G27" s="106">
        <v>2136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193</v>
      </c>
      <c r="D28" s="106">
        <v>8</v>
      </c>
      <c r="E28" s="106">
        <v>5904</v>
      </c>
      <c r="F28" s="106">
        <v>6</v>
      </c>
      <c r="G28" s="106">
        <v>4428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194</v>
      </c>
      <c r="D29" s="106">
        <v>8</v>
      </c>
      <c r="E29" s="106">
        <v>2707.2</v>
      </c>
      <c r="F29" s="106">
        <v>6</v>
      </c>
      <c r="G29" s="106">
        <v>2030.3999999999999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195</v>
      </c>
      <c r="D30" s="106">
        <v>9</v>
      </c>
      <c r="E30" s="106">
        <v>1252.8</v>
      </c>
      <c r="F30" s="106">
        <v>6</v>
      </c>
      <c r="G30" s="106">
        <v>835.19999999999993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196</v>
      </c>
      <c r="D31" s="106">
        <v>9</v>
      </c>
      <c r="E31" s="106">
        <v>3067.2000000000003</v>
      </c>
      <c r="F31" s="106">
        <v>5</v>
      </c>
      <c r="G31" s="106">
        <v>1704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197</v>
      </c>
      <c r="D32" s="106">
        <v>8</v>
      </c>
      <c r="E32" s="106">
        <v>6720</v>
      </c>
      <c r="F32" s="106">
        <v>6</v>
      </c>
      <c r="G32" s="106">
        <v>5040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198</v>
      </c>
      <c r="D33" s="106">
        <v>8</v>
      </c>
      <c r="E33" s="106">
        <v>3792</v>
      </c>
      <c r="F33" s="106">
        <v>6</v>
      </c>
      <c r="G33" s="106">
        <v>2844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199</v>
      </c>
      <c r="D34" s="106">
        <v>9</v>
      </c>
      <c r="E34" s="106">
        <v>4935.5999999999995</v>
      </c>
      <c r="F34" s="106">
        <v>6</v>
      </c>
      <c r="G34" s="106">
        <v>3290.3999999999996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200</v>
      </c>
      <c r="D35" s="106">
        <v>9</v>
      </c>
      <c r="E35" s="106">
        <v>4525.1999999999989</v>
      </c>
      <c r="F35" s="106">
        <v>5</v>
      </c>
      <c r="G35" s="106">
        <v>2513.9999999999995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201</v>
      </c>
      <c r="D36" s="106">
        <v>8</v>
      </c>
      <c r="E36" s="106">
        <v>6086.4</v>
      </c>
      <c r="F36" s="106">
        <v>6</v>
      </c>
      <c r="G36" s="106">
        <v>4564.7999999999993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202</v>
      </c>
      <c r="D37" s="106">
        <v>7</v>
      </c>
      <c r="E37" s="106">
        <v>6022.8</v>
      </c>
      <c r="F37" s="106">
        <v>4</v>
      </c>
      <c r="G37" s="106">
        <v>3441.6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203</v>
      </c>
      <c r="D38" s="106">
        <v>6</v>
      </c>
      <c r="E38" s="106">
        <v>7452</v>
      </c>
      <c r="F38" s="106">
        <v>4</v>
      </c>
      <c r="G38" s="106">
        <v>4968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204</v>
      </c>
      <c r="D39" s="106">
        <v>6</v>
      </c>
      <c r="E39" s="106">
        <v>8539.2000000000007</v>
      </c>
      <c r="F39" s="106">
        <v>4</v>
      </c>
      <c r="G39" s="106">
        <v>5692.8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205</v>
      </c>
      <c r="D40" s="106">
        <v>7</v>
      </c>
      <c r="E40" s="106">
        <v>5073.5999999999995</v>
      </c>
      <c r="F40" s="106">
        <v>4</v>
      </c>
      <c r="G40" s="106">
        <v>2899.2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206</v>
      </c>
      <c r="D41" s="106">
        <v>6</v>
      </c>
      <c r="E41" s="106">
        <v>3960</v>
      </c>
      <c r="F41" s="106">
        <v>4</v>
      </c>
      <c r="G41" s="106">
        <v>2640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207</v>
      </c>
      <c r="D42" s="106">
        <v>6</v>
      </c>
      <c r="E42" s="106">
        <v>5076</v>
      </c>
      <c r="F42" s="106">
        <v>4</v>
      </c>
      <c r="G42" s="106">
        <v>3384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208</v>
      </c>
      <c r="D43" s="106">
        <v>5</v>
      </c>
      <c r="E43" s="106">
        <v>5112</v>
      </c>
      <c r="F43" s="106">
        <v>4</v>
      </c>
      <c r="G43" s="106">
        <v>4089.6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209</v>
      </c>
      <c r="D44" s="106">
        <v>7</v>
      </c>
      <c r="E44" s="106">
        <v>7156.8</v>
      </c>
      <c r="F44" s="106">
        <v>5</v>
      </c>
      <c r="G44" s="106">
        <v>5112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210</v>
      </c>
      <c r="D45" s="106">
        <v>6</v>
      </c>
      <c r="E45" s="106">
        <v>7495.2000000000007</v>
      </c>
      <c r="F45" s="106">
        <v>4</v>
      </c>
      <c r="G45" s="106">
        <v>4996.8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211</v>
      </c>
      <c r="D46" s="106">
        <v>5</v>
      </c>
      <c r="E46" s="106">
        <v>6060</v>
      </c>
      <c r="F46" s="106">
        <v>4</v>
      </c>
      <c r="G46" s="106">
        <v>4848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212</v>
      </c>
      <c r="D47" s="106">
        <v>6</v>
      </c>
      <c r="E47" s="106">
        <v>9165.5999999999985</v>
      </c>
      <c r="F47" s="106">
        <v>4</v>
      </c>
      <c r="G47" s="106">
        <v>6110.4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213</v>
      </c>
      <c r="D48" s="106">
        <v>6</v>
      </c>
      <c r="E48" s="106">
        <v>5205.6000000000004</v>
      </c>
      <c r="F48" s="106">
        <v>5</v>
      </c>
      <c r="G48" s="106">
        <v>4338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214</v>
      </c>
      <c r="D49" s="106">
        <v>3</v>
      </c>
      <c r="E49" s="106">
        <v>2955.6</v>
      </c>
      <c r="F49" s="106">
        <v>4</v>
      </c>
      <c r="G49" s="106">
        <v>3940.7999999999997</v>
      </c>
      <c r="H49" s="106">
        <v>5</v>
      </c>
      <c r="I49" s="106">
        <v>4926</v>
      </c>
      <c r="J49" s="106">
        <v>3</v>
      </c>
      <c r="K49" s="106">
        <v>2955.6</v>
      </c>
      <c r="L49" s="106">
        <v>5</v>
      </c>
      <c r="M49" s="106">
        <v>4926</v>
      </c>
      <c r="N49" s="106">
        <v>5</v>
      </c>
      <c r="O49" s="106">
        <v>4926</v>
      </c>
      <c r="P49" s="106">
        <v>3</v>
      </c>
      <c r="Q49" s="106">
        <v>2955.6</v>
      </c>
      <c r="R49" s="106">
        <v>4</v>
      </c>
      <c r="S49" s="106">
        <v>3940.7999999999997</v>
      </c>
      <c r="T49" s="106">
        <v>46</v>
      </c>
      <c r="U49" s="106">
        <v>45319.199999999997</v>
      </c>
      <c r="V49" s="106">
        <v>33</v>
      </c>
      <c r="W49" s="106">
        <v>32511.599999999999</v>
      </c>
      <c r="X49" s="106">
        <v>41</v>
      </c>
      <c r="Y49" s="106">
        <v>40393.199999999997</v>
      </c>
      <c r="Z49" s="106">
        <v>44</v>
      </c>
      <c r="AA49" s="106">
        <v>43348.799999999996</v>
      </c>
      <c r="AB49" s="106">
        <v>10</v>
      </c>
      <c r="AC49" s="106">
        <v>9852</v>
      </c>
      <c r="AD49" s="106">
        <v>8</v>
      </c>
      <c r="AE49" s="106">
        <v>7881.5999999999995</v>
      </c>
      <c r="AF49" s="106">
        <v>11</v>
      </c>
      <c r="AG49" s="106">
        <v>10837.199999999999</v>
      </c>
      <c r="AH49" s="106">
        <v>8</v>
      </c>
      <c r="AI49" s="106">
        <v>7881.5999999999995</v>
      </c>
      <c r="AJ49" s="106">
        <v>17</v>
      </c>
      <c r="AK49" s="106">
        <v>16748.399999999998</v>
      </c>
      <c r="AL49" s="106">
        <v>9</v>
      </c>
      <c r="AM49" s="106">
        <v>8866.7999999999993</v>
      </c>
      <c r="AN49" s="106">
        <v>10</v>
      </c>
      <c r="AO49" s="106">
        <v>9852</v>
      </c>
      <c r="AP49" s="106">
        <v>11</v>
      </c>
      <c r="AQ49" s="106">
        <v>10837.199999999999</v>
      </c>
      <c r="AR49" s="106">
        <v>2</v>
      </c>
      <c r="AS49" s="106">
        <v>1970.3999999999999</v>
      </c>
      <c r="AT49" s="106">
        <v>3</v>
      </c>
      <c r="AU49" s="106">
        <v>2955.6</v>
      </c>
      <c r="AV49" s="106">
        <v>3</v>
      </c>
      <c r="AW49" s="106">
        <v>2955.6</v>
      </c>
      <c r="AX49" s="106">
        <v>3</v>
      </c>
      <c r="AY49" s="106">
        <v>2955.6</v>
      </c>
      <c r="AZ49" s="106">
        <v>4</v>
      </c>
      <c r="BA49" s="106">
        <v>3940.7999999999997</v>
      </c>
      <c r="BB49" s="106">
        <v>4</v>
      </c>
      <c r="BC49" s="106">
        <v>3940.7999999999997</v>
      </c>
      <c r="BD49" s="106">
        <v>5</v>
      </c>
      <c r="BE49" s="106">
        <v>4926</v>
      </c>
      <c r="BF49" s="106">
        <v>5</v>
      </c>
      <c r="BG49" s="106">
        <v>4926</v>
      </c>
      <c r="BH49" s="106">
        <v>4</v>
      </c>
      <c r="BI49" s="106">
        <v>3940.7999999999997</v>
      </c>
      <c r="BJ49" s="106">
        <v>4</v>
      </c>
      <c r="BK49" s="106">
        <v>3940.7999999999997</v>
      </c>
      <c r="BL49" s="106">
        <v>6</v>
      </c>
      <c r="BM49" s="106">
        <v>5911.2</v>
      </c>
      <c r="BN49" s="106">
        <v>6</v>
      </c>
      <c r="BO49" s="106">
        <v>5911.2</v>
      </c>
      <c r="BP49" s="106">
        <v>12</v>
      </c>
      <c r="BQ49" s="106">
        <v>11822.4</v>
      </c>
      <c r="BR49" s="106">
        <v>11</v>
      </c>
      <c r="BS49" s="106">
        <v>10837.199999999999</v>
      </c>
      <c r="BT49" s="106">
        <v>11</v>
      </c>
      <c r="BU49" s="106">
        <v>10837.199999999999</v>
      </c>
      <c r="BV49" s="106">
        <v>7</v>
      </c>
      <c r="BW49" s="106">
        <v>6896.4</v>
      </c>
      <c r="BX49" s="106">
        <v>3</v>
      </c>
      <c r="BY49" s="106">
        <v>2955.6</v>
      </c>
      <c r="BZ49" s="106">
        <v>2</v>
      </c>
      <c r="CA49" s="106">
        <v>1970.3999999999999</v>
      </c>
      <c r="CB49" s="106">
        <v>3</v>
      </c>
      <c r="CC49" s="106">
        <v>2955.6</v>
      </c>
      <c r="CD49" s="106">
        <v>4</v>
      </c>
      <c r="CE49" s="106">
        <v>3940.7999999999997</v>
      </c>
      <c r="CF49" s="106">
        <v>64</v>
      </c>
      <c r="CG49" s="106">
        <v>63052.799999999996</v>
      </c>
      <c r="CH49" s="106">
        <v>55</v>
      </c>
      <c r="CI49" s="106">
        <v>54185.999999999993</v>
      </c>
      <c r="CJ49" s="106">
        <v>50</v>
      </c>
      <c r="CK49" s="106">
        <v>49260</v>
      </c>
      <c r="CL49" s="106">
        <v>45</v>
      </c>
      <c r="CM49" s="106">
        <v>44334</v>
      </c>
      <c r="CN49" s="106">
        <v>5</v>
      </c>
      <c r="CO49" s="106">
        <v>4926</v>
      </c>
      <c r="CP49" s="106">
        <v>8</v>
      </c>
      <c r="CQ49" s="106">
        <v>7881.5999999999995</v>
      </c>
      <c r="CR49" s="106">
        <v>8</v>
      </c>
      <c r="CS49" s="106">
        <v>7881.5999999999995</v>
      </c>
      <c r="CT49" s="106">
        <v>5</v>
      </c>
      <c r="CU49" s="106">
        <v>4926</v>
      </c>
    </row>
    <row r="50" spans="2:99" x14ac:dyDescent="0.2">
      <c r="C50" s="105" t="s">
        <v>215</v>
      </c>
      <c r="D50" s="106">
        <v>3</v>
      </c>
      <c r="E50" s="106">
        <v>846</v>
      </c>
      <c r="F50" s="106">
        <v>5</v>
      </c>
      <c r="G50" s="106">
        <v>1410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216</v>
      </c>
      <c r="D51" s="106">
        <v>3</v>
      </c>
      <c r="E51" s="106">
        <v>2563.1999999999998</v>
      </c>
      <c r="F51" s="106">
        <v>4</v>
      </c>
      <c r="G51" s="106">
        <v>3417.6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217</v>
      </c>
      <c r="D52" s="106">
        <v>3</v>
      </c>
      <c r="E52" s="106">
        <v>1620</v>
      </c>
      <c r="F52" s="106">
        <v>4</v>
      </c>
      <c r="G52" s="106">
        <v>2160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218</v>
      </c>
      <c r="D53" s="106">
        <v>3</v>
      </c>
      <c r="E53" s="106">
        <v>1220.4000000000001</v>
      </c>
      <c r="F53" s="106">
        <v>4</v>
      </c>
      <c r="G53" s="106">
        <v>1627.2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219</v>
      </c>
      <c r="D54" s="106">
        <v>3</v>
      </c>
      <c r="E54" s="106">
        <v>1004.4000000000001</v>
      </c>
      <c r="F54" s="106">
        <v>5</v>
      </c>
      <c r="G54" s="106">
        <v>1674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220</v>
      </c>
      <c r="D55" s="106">
        <v>3</v>
      </c>
      <c r="E55" s="106">
        <v>1990.8000000000002</v>
      </c>
      <c r="F55" s="106">
        <v>5</v>
      </c>
      <c r="G55" s="106">
        <v>3318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221</v>
      </c>
      <c r="D56" s="106">
        <v>3</v>
      </c>
      <c r="E56" s="106">
        <v>3452.3999999999996</v>
      </c>
      <c r="F56" s="106">
        <v>4</v>
      </c>
      <c r="G56" s="106">
        <v>4603.2</v>
      </c>
      <c r="H56" s="106">
        <v>5</v>
      </c>
      <c r="I56" s="106">
        <v>5754</v>
      </c>
      <c r="J56" s="106">
        <v>3</v>
      </c>
      <c r="K56" s="106">
        <v>3452.3999999999996</v>
      </c>
      <c r="L56" s="106">
        <v>4</v>
      </c>
      <c r="M56" s="106">
        <v>4603.2</v>
      </c>
      <c r="N56" s="106">
        <v>4</v>
      </c>
      <c r="O56" s="106">
        <v>4603.2</v>
      </c>
      <c r="P56" s="106">
        <v>3</v>
      </c>
      <c r="Q56" s="106">
        <v>3452.3999999999996</v>
      </c>
      <c r="R56" s="106">
        <v>4</v>
      </c>
      <c r="S56" s="106">
        <v>4603.2</v>
      </c>
      <c r="T56" s="106">
        <v>48</v>
      </c>
      <c r="U56" s="106">
        <v>55238.399999999994</v>
      </c>
      <c r="V56" s="106">
        <v>32</v>
      </c>
      <c r="W56" s="106">
        <v>36825.599999999999</v>
      </c>
      <c r="X56" s="106">
        <v>43</v>
      </c>
      <c r="Y56" s="106">
        <v>49484.4</v>
      </c>
      <c r="Z56" s="106">
        <v>45</v>
      </c>
      <c r="AA56" s="106">
        <v>51786</v>
      </c>
      <c r="AB56" s="106">
        <v>9</v>
      </c>
      <c r="AC56" s="106">
        <v>10357.199999999999</v>
      </c>
      <c r="AD56" s="106">
        <v>8</v>
      </c>
      <c r="AE56" s="106">
        <v>9206.4</v>
      </c>
      <c r="AF56" s="106">
        <v>10</v>
      </c>
      <c r="AG56" s="106">
        <v>11508</v>
      </c>
      <c r="AH56" s="106">
        <v>9</v>
      </c>
      <c r="AI56" s="106">
        <v>10357.199999999999</v>
      </c>
      <c r="AJ56" s="106">
        <v>14</v>
      </c>
      <c r="AK56" s="106">
        <v>16111.199999999999</v>
      </c>
      <c r="AL56" s="106">
        <v>10</v>
      </c>
      <c r="AM56" s="106">
        <v>11508</v>
      </c>
      <c r="AN56" s="106">
        <v>11</v>
      </c>
      <c r="AO56" s="106">
        <v>12658.8</v>
      </c>
      <c r="AP56" s="106">
        <v>9</v>
      </c>
      <c r="AQ56" s="106">
        <v>10357.199999999999</v>
      </c>
      <c r="AR56" s="106">
        <v>2</v>
      </c>
      <c r="AS56" s="106">
        <v>2301.6</v>
      </c>
      <c r="AT56" s="106">
        <v>3</v>
      </c>
      <c r="AU56" s="106">
        <v>3452.3999999999996</v>
      </c>
      <c r="AV56" s="106">
        <v>2</v>
      </c>
      <c r="AW56" s="106">
        <v>2301.6</v>
      </c>
      <c r="AX56" s="106">
        <v>4</v>
      </c>
      <c r="AY56" s="106">
        <v>4603.2</v>
      </c>
      <c r="AZ56" s="106">
        <v>5</v>
      </c>
      <c r="BA56" s="106">
        <v>5754</v>
      </c>
      <c r="BB56" s="106">
        <v>4</v>
      </c>
      <c r="BC56" s="106">
        <v>4603.2</v>
      </c>
      <c r="BD56" s="106">
        <v>4</v>
      </c>
      <c r="BE56" s="106">
        <v>4603.2</v>
      </c>
      <c r="BF56" s="106">
        <v>5</v>
      </c>
      <c r="BG56" s="106">
        <v>5754</v>
      </c>
      <c r="BH56" s="106">
        <v>3</v>
      </c>
      <c r="BI56" s="106">
        <v>3452.3999999999996</v>
      </c>
      <c r="BJ56" s="106">
        <v>4</v>
      </c>
      <c r="BK56" s="106">
        <v>4603.2</v>
      </c>
      <c r="BL56" s="106">
        <v>5</v>
      </c>
      <c r="BM56" s="106">
        <v>5754</v>
      </c>
      <c r="BN56" s="106">
        <v>5</v>
      </c>
      <c r="BO56" s="106">
        <v>5754</v>
      </c>
      <c r="BP56" s="106">
        <v>11</v>
      </c>
      <c r="BQ56" s="106">
        <v>12658.8</v>
      </c>
      <c r="BR56" s="106">
        <v>11</v>
      </c>
      <c r="BS56" s="106">
        <v>12658.8</v>
      </c>
      <c r="BT56" s="106">
        <v>9</v>
      </c>
      <c r="BU56" s="106">
        <v>10357.199999999999</v>
      </c>
      <c r="BV56" s="106">
        <v>7</v>
      </c>
      <c r="BW56" s="106">
        <v>8055.5999999999995</v>
      </c>
      <c r="BX56" s="106">
        <v>2</v>
      </c>
      <c r="BY56" s="106">
        <v>2301.6</v>
      </c>
      <c r="BZ56" s="106">
        <v>2</v>
      </c>
      <c r="CA56" s="106">
        <v>2301.6</v>
      </c>
      <c r="CB56" s="106">
        <v>3</v>
      </c>
      <c r="CC56" s="106">
        <v>3452.3999999999996</v>
      </c>
      <c r="CD56" s="106">
        <v>3</v>
      </c>
      <c r="CE56" s="106">
        <v>3452.3999999999996</v>
      </c>
      <c r="CF56" s="106">
        <v>61</v>
      </c>
      <c r="CG56" s="106">
        <v>70198.8</v>
      </c>
      <c r="CH56" s="106">
        <v>63</v>
      </c>
      <c r="CI56" s="106">
        <v>72500.399999999994</v>
      </c>
      <c r="CJ56" s="106">
        <v>48</v>
      </c>
      <c r="CK56" s="106">
        <v>55238.399999999994</v>
      </c>
      <c r="CL56" s="106">
        <v>46</v>
      </c>
      <c r="CM56" s="106">
        <v>52936.799999999996</v>
      </c>
      <c r="CN56" s="106">
        <v>5</v>
      </c>
      <c r="CO56" s="106">
        <v>5754</v>
      </c>
      <c r="CP56" s="106">
        <v>8</v>
      </c>
      <c r="CQ56" s="106">
        <v>9206.4</v>
      </c>
      <c r="CR56" s="106">
        <v>8</v>
      </c>
      <c r="CS56" s="106">
        <v>9206.4</v>
      </c>
      <c r="CT56" s="106">
        <v>5</v>
      </c>
      <c r="CU56" s="106">
        <v>5754</v>
      </c>
    </row>
    <row r="57" spans="2:99" x14ac:dyDescent="0.2">
      <c r="C57" s="105" t="s">
        <v>222</v>
      </c>
      <c r="D57" s="106">
        <v>3</v>
      </c>
      <c r="E57" s="106">
        <v>4233.6000000000004</v>
      </c>
      <c r="F57" s="106">
        <v>4</v>
      </c>
      <c r="G57" s="106">
        <v>5644.8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223</v>
      </c>
      <c r="D58" s="106">
        <v>3</v>
      </c>
      <c r="E58" s="106">
        <v>3531.6000000000004</v>
      </c>
      <c r="F58" s="106">
        <v>4</v>
      </c>
      <c r="G58" s="106">
        <v>4708.8</v>
      </c>
      <c r="H58" s="106">
        <v>5</v>
      </c>
      <c r="I58" s="106">
        <v>5886</v>
      </c>
      <c r="J58" s="106">
        <v>3</v>
      </c>
      <c r="K58" s="106">
        <v>3531.6000000000004</v>
      </c>
      <c r="L58" s="106">
        <v>5</v>
      </c>
      <c r="M58" s="106">
        <v>5886</v>
      </c>
      <c r="N58" s="106">
        <v>4</v>
      </c>
      <c r="O58" s="106">
        <v>4708.8</v>
      </c>
      <c r="P58" s="106">
        <v>3</v>
      </c>
      <c r="Q58" s="106">
        <v>3531.6000000000004</v>
      </c>
      <c r="R58" s="106">
        <v>4</v>
      </c>
      <c r="S58" s="106">
        <v>4708.8</v>
      </c>
      <c r="T58" s="106">
        <v>46</v>
      </c>
      <c r="U58" s="106">
        <v>54151.200000000004</v>
      </c>
      <c r="V58" s="106">
        <v>29</v>
      </c>
      <c r="W58" s="106">
        <v>34138.800000000003</v>
      </c>
      <c r="X58" s="106">
        <v>41</v>
      </c>
      <c r="Y58" s="106">
        <v>48265.200000000004</v>
      </c>
      <c r="Z58" s="106">
        <v>50</v>
      </c>
      <c r="AA58" s="106">
        <v>58860</v>
      </c>
      <c r="AB58" s="106">
        <v>9</v>
      </c>
      <c r="AC58" s="106">
        <v>10594.800000000001</v>
      </c>
      <c r="AD58" s="106">
        <v>8</v>
      </c>
      <c r="AE58" s="106">
        <v>9417.6</v>
      </c>
      <c r="AF58" s="106">
        <v>10</v>
      </c>
      <c r="AG58" s="106">
        <v>11772</v>
      </c>
      <c r="AH58" s="106">
        <v>9</v>
      </c>
      <c r="AI58" s="106">
        <v>10594.800000000001</v>
      </c>
      <c r="AJ58" s="106">
        <v>15</v>
      </c>
      <c r="AK58" s="106">
        <v>17658</v>
      </c>
      <c r="AL58" s="106">
        <v>10</v>
      </c>
      <c r="AM58" s="106">
        <v>11772</v>
      </c>
      <c r="AN58" s="106">
        <v>11</v>
      </c>
      <c r="AO58" s="106">
        <v>12949.2</v>
      </c>
      <c r="AP58" s="106">
        <v>11</v>
      </c>
      <c r="AQ58" s="106">
        <v>12949.2</v>
      </c>
      <c r="AR58" s="106">
        <v>3</v>
      </c>
      <c r="AS58" s="106">
        <v>3531.6000000000004</v>
      </c>
      <c r="AT58" s="106">
        <v>3</v>
      </c>
      <c r="AU58" s="106">
        <v>3531.6000000000004</v>
      </c>
      <c r="AV58" s="106">
        <v>2</v>
      </c>
      <c r="AW58" s="106">
        <v>2354.4</v>
      </c>
      <c r="AX58" s="106">
        <v>4</v>
      </c>
      <c r="AY58" s="106">
        <v>4708.8</v>
      </c>
      <c r="AZ58" s="106">
        <v>4</v>
      </c>
      <c r="BA58" s="106">
        <v>4708.8</v>
      </c>
      <c r="BB58" s="106">
        <v>4</v>
      </c>
      <c r="BC58" s="106">
        <v>4708.8</v>
      </c>
      <c r="BD58" s="106">
        <v>4</v>
      </c>
      <c r="BE58" s="106">
        <v>4708.8</v>
      </c>
      <c r="BF58" s="106">
        <v>5</v>
      </c>
      <c r="BG58" s="106">
        <v>5886</v>
      </c>
      <c r="BH58" s="106">
        <v>3</v>
      </c>
      <c r="BI58" s="106">
        <v>3531.6000000000004</v>
      </c>
      <c r="BJ58" s="106">
        <v>4</v>
      </c>
      <c r="BK58" s="106">
        <v>4708.8</v>
      </c>
      <c r="BL58" s="106">
        <v>5</v>
      </c>
      <c r="BM58" s="106">
        <v>5886</v>
      </c>
      <c r="BN58" s="106">
        <v>5</v>
      </c>
      <c r="BO58" s="106">
        <v>5886</v>
      </c>
      <c r="BP58" s="106">
        <v>13</v>
      </c>
      <c r="BQ58" s="106">
        <v>15303.6</v>
      </c>
      <c r="BR58" s="106">
        <v>11</v>
      </c>
      <c r="BS58" s="106">
        <v>12949.2</v>
      </c>
      <c r="BT58" s="106">
        <v>10</v>
      </c>
      <c r="BU58" s="106">
        <v>11772</v>
      </c>
      <c r="BV58" s="106">
        <v>7</v>
      </c>
      <c r="BW58" s="106">
        <v>8240.4</v>
      </c>
      <c r="BX58" s="106">
        <v>3</v>
      </c>
      <c r="BY58" s="106">
        <v>3531.6000000000004</v>
      </c>
      <c r="BZ58" s="106">
        <v>3</v>
      </c>
      <c r="CA58" s="106">
        <v>3531.6000000000004</v>
      </c>
      <c r="CB58" s="106">
        <v>3</v>
      </c>
      <c r="CC58" s="106">
        <v>3531.6000000000004</v>
      </c>
      <c r="CD58" s="106">
        <v>4</v>
      </c>
      <c r="CE58" s="106">
        <v>4708.8</v>
      </c>
      <c r="CF58" s="106">
        <v>58</v>
      </c>
      <c r="CG58" s="106">
        <v>68277.600000000006</v>
      </c>
      <c r="CH58" s="106">
        <v>54</v>
      </c>
      <c r="CI58" s="106">
        <v>63568.800000000003</v>
      </c>
      <c r="CJ58" s="106">
        <v>46</v>
      </c>
      <c r="CK58" s="106">
        <v>54151.200000000004</v>
      </c>
      <c r="CL58" s="106">
        <v>42</v>
      </c>
      <c r="CM58" s="106">
        <v>49442.400000000001</v>
      </c>
      <c r="CN58" s="106">
        <v>5</v>
      </c>
      <c r="CO58" s="106">
        <v>5886</v>
      </c>
      <c r="CP58" s="106">
        <v>8</v>
      </c>
      <c r="CQ58" s="106">
        <v>9417.6</v>
      </c>
      <c r="CR58" s="106">
        <v>7</v>
      </c>
      <c r="CS58" s="106">
        <v>8240.4</v>
      </c>
      <c r="CT58" s="106">
        <v>5</v>
      </c>
      <c r="CU58" s="106">
        <v>5886</v>
      </c>
    </row>
    <row r="59" spans="2:99" x14ac:dyDescent="0.2">
      <c r="C59" s="105" t="s">
        <v>224</v>
      </c>
      <c r="D59" s="106">
        <v>3</v>
      </c>
      <c r="E59" s="106">
        <v>910.8</v>
      </c>
      <c r="F59" s="106">
        <v>4</v>
      </c>
      <c r="G59" s="106">
        <v>1214.3999999999999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225</v>
      </c>
      <c r="D60" s="106">
        <v>3</v>
      </c>
      <c r="E60" s="106">
        <v>1954.8000000000002</v>
      </c>
      <c r="F60" s="106">
        <v>4</v>
      </c>
      <c r="G60" s="106">
        <v>2606.4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226</v>
      </c>
      <c r="D61" s="106">
        <v>3</v>
      </c>
      <c r="E61" s="106">
        <v>2854.7999999999997</v>
      </c>
      <c r="F61" s="106">
        <v>4</v>
      </c>
      <c r="G61" s="106">
        <v>3806.3999999999996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227</v>
      </c>
      <c r="D62" s="106">
        <v>3</v>
      </c>
      <c r="E62" s="106">
        <v>5115.6000000000004</v>
      </c>
      <c r="F62" s="106">
        <v>4</v>
      </c>
      <c r="G62" s="106">
        <v>6820.8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228</v>
      </c>
      <c r="D63" s="106">
        <v>3</v>
      </c>
      <c r="E63" s="106">
        <v>2386.8000000000002</v>
      </c>
      <c r="F63" s="106">
        <v>4</v>
      </c>
      <c r="G63" s="106">
        <v>3182.4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229</v>
      </c>
      <c r="D64" s="106">
        <v>3</v>
      </c>
      <c r="E64" s="106">
        <v>3027.5999999999995</v>
      </c>
      <c r="F64" s="106">
        <v>5</v>
      </c>
      <c r="G64" s="106">
        <v>5045.9999999999991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230</v>
      </c>
      <c r="D65" s="106">
        <v>3</v>
      </c>
      <c r="E65" s="106">
        <v>3078</v>
      </c>
      <c r="F65" s="106">
        <v>5</v>
      </c>
      <c r="G65" s="106">
        <v>5130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231</v>
      </c>
      <c r="D66" s="106">
        <v>3</v>
      </c>
      <c r="E66" s="106">
        <v>3571.2</v>
      </c>
      <c r="F66" s="106">
        <v>5</v>
      </c>
      <c r="G66" s="106">
        <v>5951.9999999999991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232</v>
      </c>
      <c r="D67" s="106">
        <v>3</v>
      </c>
      <c r="E67" s="106">
        <v>3369.6000000000004</v>
      </c>
      <c r="F67" s="106">
        <v>5</v>
      </c>
      <c r="G67" s="106">
        <v>5616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233</v>
      </c>
      <c r="D68" s="106">
        <v>3</v>
      </c>
      <c r="E68" s="106">
        <v>3099.6000000000004</v>
      </c>
      <c r="F68" s="106">
        <v>4</v>
      </c>
      <c r="G68" s="106">
        <v>4132.8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234</v>
      </c>
      <c r="D69" s="106">
        <v>3</v>
      </c>
      <c r="E69" s="106">
        <v>2275.1999999999998</v>
      </c>
      <c r="F69" s="106">
        <v>5</v>
      </c>
      <c r="G69" s="106">
        <v>3792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235</v>
      </c>
      <c r="D70" s="106">
        <v>3</v>
      </c>
      <c r="E70" s="106">
        <v>1605.6</v>
      </c>
      <c r="F70" s="106">
        <v>4</v>
      </c>
      <c r="G70" s="106">
        <v>2140.7999999999997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236</v>
      </c>
      <c r="D71" s="106">
        <v>25</v>
      </c>
      <c r="E71" s="106">
        <v>14100</v>
      </c>
      <c r="F71" s="106">
        <v>26</v>
      </c>
      <c r="G71" s="106">
        <v>14664</v>
      </c>
      <c r="H71" s="106">
        <v>20</v>
      </c>
      <c r="I71" s="106">
        <v>11280</v>
      </c>
      <c r="J71" s="106">
        <v>29</v>
      </c>
      <c r="K71" s="106">
        <v>16356</v>
      </c>
      <c r="L71" s="106">
        <v>25</v>
      </c>
      <c r="M71" s="106">
        <v>14100</v>
      </c>
      <c r="N71" s="106">
        <v>22</v>
      </c>
      <c r="O71" s="106">
        <v>12408</v>
      </c>
      <c r="P71" s="106">
        <v>21</v>
      </c>
      <c r="Q71" s="106">
        <v>11844</v>
      </c>
      <c r="R71" s="106">
        <v>23</v>
      </c>
      <c r="S71" s="106">
        <v>12972</v>
      </c>
      <c r="T71" s="106">
        <v>16</v>
      </c>
      <c r="U71" s="106">
        <v>9024</v>
      </c>
      <c r="V71" s="106">
        <v>9</v>
      </c>
      <c r="W71" s="106">
        <v>5076</v>
      </c>
      <c r="X71" s="106">
        <v>11</v>
      </c>
      <c r="Y71" s="106">
        <v>6204</v>
      </c>
      <c r="Z71" s="106">
        <v>12</v>
      </c>
      <c r="AA71" s="106">
        <v>6768</v>
      </c>
      <c r="AB71" s="106">
        <v>9</v>
      </c>
      <c r="AC71" s="106">
        <v>5076</v>
      </c>
      <c r="AD71" s="106">
        <v>8</v>
      </c>
      <c r="AE71" s="106">
        <v>4512</v>
      </c>
      <c r="AF71" s="106">
        <v>9</v>
      </c>
      <c r="AG71" s="106">
        <v>5076</v>
      </c>
      <c r="AH71" s="106">
        <v>15</v>
      </c>
      <c r="AI71" s="106">
        <v>8460</v>
      </c>
      <c r="AJ71" s="106">
        <v>15</v>
      </c>
      <c r="AK71" s="106">
        <v>8460</v>
      </c>
      <c r="AL71" s="106">
        <v>15</v>
      </c>
      <c r="AM71" s="106">
        <v>8460</v>
      </c>
      <c r="AN71" s="106">
        <v>27</v>
      </c>
      <c r="AO71" s="106">
        <v>15228</v>
      </c>
      <c r="AP71" s="106">
        <v>17</v>
      </c>
      <c r="AQ71" s="106">
        <v>9588</v>
      </c>
      <c r="AR71" s="106">
        <v>25</v>
      </c>
      <c r="AS71" s="106">
        <v>14100</v>
      </c>
      <c r="AT71" s="106">
        <v>22</v>
      </c>
      <c r="AU71" s="106">
        <v>12408</v>
      </c>
      <c r="AV71" s="106">
        <v>29</v>
      </c>
      <c r="AW71" s="106">
        <v>16356</v>
      </c>
      <c r="AX71" s="106">
        <v>30</v>
      </c>
      <c r="AY71" s="106">
        <v>16920</v>
      </c>
      <c r="AZ71" s="106">
        <v>4</v>
      </c>
      <c r="BA71" s="106">
        <v>2256</v>
      </c>
      <c r="BB71" s="106">
        <v>2</v>
      </c>
      <c r="BC71" s="106">
        <v>1128</v>
      </c>
      <c r="BD71" s="106">
        <v>2</v>
      </c>
      <c r="BE71" s="106">
        <v>1128</v>
      </c>
      <c r="BF71" s="106">
        <v>4</v>
      </c>
      <c r="BG71" s="106">
        <v>2256</v>
      </c>
      <c r="BH71" s="106">
        <v>4</v>
      </c>
      <c r="BI71" s="106">
        <v>2256</v>
      </c>
      <c r="BJ71" s="106">
        <v>4</v>
      </c>
      <c r="BK71" s="106">
        <v>2256</v>
      </c>
      <c r="BL71" s="106">
        <v>3</v>
      </c>
      <c r="BM71" s="106">
        <v>1692</v>
      </c>
      <c r="BN71" s="106">
        <v>4</v>
      </c>
      <c r="BO71" s="106">
        <v>2256</v>
      </c>
      <c r="BP71" s="106">
        <v>3</v>
      </c>
      <c r="BQ71" s="106">
        <v>1692</v>
      </c>
      <c r="BR71" s="106">
        <v>3</v>
      </c>
      <c r="BS71" s="106">
        <v>1692</v>
      </c>
      <c r="BT71" s="106">
        <v>5</v>
      </c>
      <c r="BU71" s="106">
        <v>2820</v>
      </c>
      <c r="BV71" s="106">
        <v>5</v>
      </c>
      <c r="BW71" s="106">
        <v>2820</v>
      </c>
      <c r="BX71" s="106">
        <v>15</v>
      </c>
      <c r="BY71" s="106">
        <v>8460</v>
      </c>
      <c r="BZ71" s="106">
        <v>16</v>
      </c>
      <c r="CA71" s="106">
        <v>9024</v>
      </c>
      <c r="CB71" s="106">
        <v>21</v>
      </c>
      <c r="CC71" s="106">
        <v>11844</v>
      </c>
      <c r="CD71" s="106">
        <v>22</v>
      </c>
      <c r="CE71" s="106">
        <v>12408</v>
      </c>
      <c r="CF71" s="106">
        <v>3</v>
      </c>
      <c r="CG71" s="106">
        <v>1692</v>
      </c>
      <c r="CH71" s="106">
        <v>3</v>
      </c>
      <c r="CI71" s="106">
        <v>1692</v>
      </c>
      <c r="CJ71" s="106">
        <v>2</v>
      </c>
      <c r="CK71" s="106">
        <v>1128</v>
      </c>
      <c r="CL71" s="106">
        <v>3</v>
      </c>
      <c r="CM71" s="106">
        <v>1692</v>
      </c>
      <c r="CN71" s="106">
        <v>5</v>
      </c>
      <c r="CO71" s="106">
        <v>2820</v>
      </c>
      <c r="CP71" s="106">
        <v>6</v>
      </c>
      <c r="CQ71" s="106">
        <v>3384</v>
      </c>
      <c r="CR71" s="106">
        <v>3</v>
      </c>
      <c r="CS71" s="106">
        <v>1692</v>
      </c>
      <c r="CT71" s="106">
        <v>5</v>
      </c>
      <c r="CU71" s="106">
        <v>2820</v>
      </c>
    </row>
    <row r="72" spans="2:99" x14ac:dyDescent="0.2">
      <c r="C72" s="105" t="s">
        <v>237</v>
      </c>
      <c r="D72" s="106">
        <v>24</v>
      </c>
      <c r="E72" s="106">
        <v>1785.6</v>
      </c>
      <c r="F72" s="106">
        <v>31</v>
      </c>
      <c r="G72" s="106">
        <v>2306.3999999999996</v>
      </c>
      <c r="H72" s="106">
        <v>21</v>
      </c>
      <c r="I72" s="106">
        <v>1562.3999999999999</v>
      </c>
      <c r="J72" s="106">
        <v>27</v>
      </c>
      <c r="K72" s="106">
        <v>2008.7999999999997</v>
      </c>
      <c r="L72" s="106">
        <v>28</v>
      </c>
      <c r="M72" s="106">
        <v>2083.1999999999998</v>
      </c>
      <c r="N72" s="106">
        <v>23</v>
      </c>
      <c r="O72" s="106">
        <v>1711.1999999999998</v>
      </c>
      <c r="P72" s="106">
        <v>25</v>
      </c>
      <c r="Q72" s="106">
        <v>1859.9999999999998</v>
      </c>
      <c r="R72" s="106">
        <v>29</v>
      </c>
      <c r="S72" s="106">
        <v>2157.6</v>
      </c>
      <c r="T72" s="106">
        <v>18</v>
      </c>
      <c r="U72" s="106">
        <v>1339.1999999999998</v>
      </c>
      <c r="V72" s="106">
        <v>10</v>
      </c>
      <c r="W72" s="106">
        <v>743.99999999999989</v>
      </c>
      <c r="X72" s="106">
        <v>12</v>
      </c>
      <c r="Y72" s="106">
        <v>892.8</v>
      </c>
      <c r="Z72" s="106">
        <v>14</v>
      </c>
      <c r="AA72" s="106">
        <v>1041.5999999999999</v>
      </c>
      <c r="AB72" s="106">
        <v>10</v>
      </c>
      <c r="AC72" s="106">
        <v>743.99999999999989</v>
      </c>
      <c r="AD72" s="106">
        <v>10</v>
      </c>
      <c r="AE72" s="106">
        <v>743.99999999999989</v>
      </c>
      <c r="AF72" s="106">
        <v>10</v>
      </c>
      <c r="AG72" s="106">
        <v>743.99999999999989</v>
      </c>
      <c r="AH72" s="106">
        <v>14</v>
      </c>
      <c r="AI72" s="106">
        <v>1041.5999999999999</v>
      </c>
      <c r="AJ72" s="106">
        <v>17</v>
      </c>
      <c r="AK72" s="106">
        <v>1264.8</v>
      </c>
      <c r="AL72" s="106">
        <v>18</v>
      </c>
      <c r="AM72" s="106">
        <v>1339.1999999999998</v>
      </c>
      <c r="AN72" s="106">
        <v>25</v>
      </c>
      <c r="AO72" s="106">
        <v>1859.9999999999998</v>
      </c>
      <c r="AP72" s="106">
        <v>17</v>
      </c>
      <c r="AQ72" s="106">
        <v>1264.8</v>
      </c>
      <c r="AR72" s="106">
        <v>28</v>
      </c>
      <c r="AS72" s="106">
        <v>2083.1999999999998</v>
      </c>
      <c r="AT72" s="106">
        <v>29</v>
      </c>
      <c r="AU72" s="106">
        <v>2157.6</v>
      </c>
      <c r="AV72" s="106">
        <v>28</v>
      </c>
      <c r="AW72" s="106">
        <v>2083.1999999999998</v>
      </c>
      <c r="AX72" s="106">
        <v>36</v>
      </c>
      <c r="AY72" s="106">
        <v>2678.3999999999996</v>
      </c>
      <c r="AZ72" s="106">
        <v>4</v>
      </c>
      <c r="BA72" s="106">
        <v>297.59999999999997</v>
      </c>
      <c r="BB72" s="106">
        <v>3</v>
      </c>
      <c r="BC72" s="106">
        <v>223.2</v>
      </c>
      <c r="BD72" s="106">
        <v>3</v>
      </c>
      <c r="BE72" s="106">
        <v>223.2</v>
      </c>
      <c r="BF72" s="106">
        <v>4</v>
      </c>
      <c r="BG72" s="106">
        <v>297.59999999999997</v>
      </c>
      <c r="BH72" s="106">
        <v>4</v>
      </c>
      <c r="BI72" s="106">
        <v>297.59999999999997</v>
      </c>
      <c r="BJ72" s="106">
        <v>4</v>
      </c>
      <c r="BK72" s="106">
        <v>297.59999999999997</v>
      </c>
      <c r="BL72" s="106">
        <v>3</v>
      </c>
      <c r="BM72" s="106">
        <v>223.2</v>
      </c>
      <c r="BN72" s="106">
        <v>4</v>
      </c>
      <c r="BO72" s="106">
        <v>297.59999999999997</v>
      </c>
      <c r="BP72" s="106">
        <v>3</v>
      </c>
      <c r="BQ72" s="106">
        <v>223.2</v>
      </c>
      <c r="BR72" s="106">
        <v>3</v>
      </c>
      <c r="BS72" s="106">
        <v>223.2</v>
      </c>
      <c r="BT72" s="106">
        <v>4</v>
      </c>
      <c r="BU72" s="106">
        <v>297.59999999999997</v>
      </c>
      <c r="BV72" s="106">
        <v>5</v>
      </c>
      <c r="BW72" s="106">
        <v>371.99999999999994</v>
      </c>
      <c r="BX72" s="106">
        <v>17</v>
      </c>
      <c r="BY72" s="106">
        <v>1264.8</v>
      </c>
      <c r="BZ72" s="106">
        <v>18</v>
      </c>
      <c r="CA72" s="106">
        <v>1339.1999999999998</v>
      </c>
      <c r="CB72" s="106">
        <v>25</v>
      </c>
      <c r="CC72" s="106">
        <v>1859.9999999999998</v>
      </c>
      <c r="CD72" s="106">
        <v>26</v>
      </c>
      <c r="CE72" s="106">
        <v>1934.3999999999999</v>
      </c>
      <c r="CF72" s="106">
        <v>3</v>
      </c>
      <c r="CG72" s="106">
        <v>223.2</v>
      </c>
      <c r="CH72" s="106">
        <v>3</v>
      </c>
      <c r="CI72" s="106">
        <v>223.2</v>
      </c>
      <c r="CJ72" s="106">
        <v>2</v>
      </c>
      <c r="CK72" s="106">
        <v>148.79999999999998</v>
      </c>
      <c r="CL72" s="106">
        <v>2</v>
      </c>
      <c r="CM72" s="106">
        <v>148.79999999999998</v>
      </c>
      <c r="CN72" s="106">
        <v>5</v>
      </c>
      <c r="CO72" s="106">
        <v>371.99999999999994</v>
      </c>
      <c r="CP72" s="106">
        <v>7</v>
      </c>
      <c r="CQ72" s="106">
        <v>520.79999999999995</v>
      </c>
      <c r="CR72" s="106">
        <v>3</v>
      </c>
      <c r="CS72" s="106">
        <v>223.2</v>
      </c>
      <c r="CT72" s="106">
        <v>5</v>
      </c>
      <c r="CU72" s="106">
        <v>371.99999999999994</v>
      </c>
    </row>
    <row r="73" spans="2:99" x14ac:dyDescent="0.2">
      <c r="C73" s="105" t="s">
        <v>238</v>
      </c>
      <c r="D73" s="106">
        <v>25</v>
      </c>
      <c r="E73" s="106">
        <v>13979.999999999998</v>
      </c>
      <c r="F73" s="106">
        <v>24</v>
      </c>
      <c r="G73" s="106">
        <v>13420.8</v>
      </c>
      <c r="H73" s="106">
        <v>21</v>
      </c>
      <c r="I73" s="106">
        <v>11743.199999999999</v>
      </c>
      <c r="J73" s="106">
        <v>29</v>
      </c>
      <c r="K73" s="106">
        <v>16216.799999999997</v>
      </c>
      <c r="L73" s="106">
        <v>28</v>
      </c>
      <c r="M73" s="106">
        <v>15657.599999999999</v>
      </c>
      <c r="N73" s="106">
        <v>21</v>
      </c>
      <c r="O73" s="106">
        <v>11743.199999999999</v>
      </c>
      <c r="P73" s="106">
        <v>22</v>
      </c>
      <c r="Q73" s="106">
        <v>12302.399999999998</v>
      </c>
      <c r="R73" s="106">
        <v>23</v>
      </c>
      <c r="S73" s="106">
        <v>12861.599999999999</v>
      </c>
      <c r="T73" s="106">
        <v>18</v>
      </c>
      <c r="U73" s="106">
        <v>10065.599999999999</v>
      </c>
      <c r="V73" s="106">
        <v>9</v>
      </c>
      <c r="W73" s="106">
        <v>5032.7999999999993</v>
      </c>
      <c r="X73" s="106">
        <v>10</v>
      </c>
      <c r="Y73" s="106">
        <v>5591.9999999999991</v>
      </c>
      <c r="Z73" s="106">
        <v>13</v>
      </c>
      <c r="AA73" s="106">
        <v>7269.5999999999995</v>
      </c>
      <c r="AB73" s="106">
        <v>10</v>
      </c>
      <c r="AC73" s="106">
        <v>5591.9999999999991</v>
      </c>
      <c r="AD73" s="106">
        <v>8</v>
      </c>
      <c r="AE73" s="106">
        <v>4473.5999999999995</v>
      </c>
      <c r="AF73" s="106">
        <v>9</v>
      </c>
      <c r="AG73" s="106">
        <v>5032.7999999999993</v>
      </c>
      <c r="AH73" s="106">
        <v>14</v>
      </c>
      <c r="AI73" s="106">
        <v>7828.7999999999993</v>
      </c>
      <c r="AJ73" s="106">
        <v>16</v>
      </c>
      <c r="AK73" s="106">
        <v>8947.1999999999989</v>
      </c>
      <c r="AL73" s="106">
        <v>16</v>
      </c>
      <c r="AM73" s="106">
        <v>8947.1999999999989</v>
      </c>
      <c r="AN73" s="106">
        <v>27</v>
      </c>
      <c r="AO73" s="106">
        <v>15098.399999999998</v>
      </c>
      <c r="AP73" s="106">
        <v>15</v>
      </c>
      <c r="AQ73" s="106">
        <v>8387.9999999999982</v>
      </c>
      <c r="AR73" s="106">
        <v>26</v>
      </c>
      <c r="AS73" s="106">
        <v>14539.199999999999</v>
      </c>
      <c r="AT73" s="106">
        <v>23</v>
      </c>
      <c r="AU73" s="106">
        <v>12861.599999999999</v>
      </c>
      <c r="AV73" s="106">
        <v>27</v>
      </c>
      <c r="AW73" s="106">
        <v>15098.399999999998</v>
      </c>
      <c r="AX73" s="106">
        <v>31</v>
      </c>
      <c r="AY73" s="106">
        <v>17335.199999999997</v>
      </c>
      <c r="AZ73" s="106">
        <v>3</v>
      </c>
      <c r="BA73" s="106">
        <v>1677.6</v>
      </c>
      <c r="BB73" s="106">
        <v>2</v>
      </c>
      <c r="BC73" s="106">
        <v>1118.3999999999999</v>
      </c>
      <c r="BD73" s="106">
        <v>2</v>
      </c>
      <c r="BE73" s="106">
        <v>1118.3999999999999</v>
      </c>
      <c r="BF73" s="106">
        <v>4</v>
      </c>
      <c r="BG73" s="106">
        <v>2236.7999999999997</v>
      </c>
      <c r="BH73" s="106">
        <v>4</v>
      </c>
      <c r="BI73" s="106">
        <v>2236.7999999999997</v>
      </c>
      <c r="BJ73" s="106">
        <v>4</v>
      </c>
      <c r="BK73" s="106">
        <v>2236.7999999999997</v>
      </c>
      <c r="BL73" s="106">
        <v>3</v>
      </c>
      <c r="BM73" s="106">
        <v>1677.6</v>
      </c>
      <c r="BN73" s="106">
        <v>3</v>
      </c>
      <c r="BO73" s="106">
        <v>1677.6</v>
      </c>
      <c r="BP73" s="106">
        <v>3</v>
      </c>
      <c r="BQ73" s="106">
        <v>1677.6</v>
      </c>
      <c r="BR73" s="106">
        <v>3</v>
      </c>
      <c r="BS73" s="106">
        <v>1677.6</v>
      </c>
      <c r="BT73" s="106">
        <v>5</v>
      </c>
      <c r="BU73" s="106">
        <v>2795.9999999999995</v>
      </c>
      <c r="BV73" s="106">
        <v>4</v>
      </c>
      <c r="BW73" s="106">
        <v>2236.7999999999997</v>
      </c>
      <c r="BX73" s="106">
        <v>17</v>
      </c>
      <c r="BY73" s="106">
        <v>9506.4</v>
      </c>
      <c r="BZ73" s="106">
        <v>16</v>
      </c>
      <c r="CA73" s="106">
        <v>8947.1999999999989</v>
      </c>
      <c r="CB73" s="106">
        <v>21</v>
      </c>
      <c r="CC73" s="106">
        <v>11743.199999999999</v>
      </c>
      <c r="CD73" s="106">
        <v>23</v>
      </c>
      <c r="CE73" s="106">
        <v>12861.599999999999</v>
      </c>
      <c r="CF73" s="106">
        <v>3</v>
      </c>
      <c r="CG73" s="106">
        <v>1677.6</v>
      </c>
      <c r="CH73" s="106">
        <v>3</v>
      </c>
      <c r="CI73" s="106">
        <v>1677.6</v>
      </c>
      <c r="CJ73" s="106">
        <v>2</v>
      </c>
      <c r="CK73" s="106">
        <v>1118.3999999999999</v>
      </c>
      <c r="CL73" s="106">
        <v>3</v>
      </c>
      <c r="CM73" s="106">
        <v>1677.6</v>
      </c>
      <c r="CN73" s="106">
        <v>5</v>
      </c>
      <c r="CO73" s="106">
        <v>2795.9999999999995</v>
      </c>
      <c r="CP73" s="106">
        <v>6</v>
      </c>
      <c r="CQ73" s="106">
        <v>3355.2</v>
      </c>
      <c r="CR73" s="106">
        <v>3</v>
      </c>
      <c r="CS73" s="106">
        <v>1677.6</v>
      </c>
      <c r="CT73" s="106">
        <v>5</v>
      </c>
      <c r="CU73" s="106">
        <v>2795.9999999999995</v>
      </c>
    </row>
    <row r="74" spans="2:99" x14ac:dyDescent="0.2">
      <c r="C74" s="105" t="s">
        <v>239</v>
      </c>
      <c r="D74" s="106">
        <v>23</v>
      </c>
      <c r="E74" s="106">
        <v>9273.6</v>
      </c>
      <c r="F74" s="106">
        <v>29</v>
      </c>
      <c r="G74" s="106">
        <v>11692.8</v>
      </c>
      <c r="H74" s="106">
        <v>23</v>
      </c>
      <c r="I74" s="106">
        <v>9273.6</v>
      </c>
      <c r="J74" s="106">
        <v>29</v>
      </c>
      <c r="K74" s="106">
        <v>11692.8</v>
      </c>
      <c r="L74" s="106">
        <v>29</v>
      </c>
      <c r="M74" s="106">
        <v>11692.8</v>
      </c>
      <c r="N74" s="106">
        <v>23</v>
      </c>
      <c r="O74" s="106">
        <v>9273.6</v>
      </c>
      <c r="P74" s="106">
        <v>23</v>
      </c>
      <c r="Q74" s="106">
        <v>9273.6</v>
      </c>
      <c r="R74" s="106">
        <v>26</v>
      </c>
      <c r="S74" s="106">
        <v>10483.199999999999</v>
      </c>
      <c r="T74" s="106">
        <v>17</v>
      </c>
      <c r="U74" s="106">
        <v>6854.4</v>
      </c>
      <c r="V74" s="106">
        <v>9</v>
      </c>
      <c r="W74" s="106">
        <v>3628.7999999999997</v>
      </c>
      <c r="X74" s="106">
        <v>12</v>
      </c>
      <c r="Y74" s="106">
        <v>4838.3999999999996</v>
      </c>
      <c r="Z74" s="106">
        <v>12</v>
      </c>
      <c r="AA74" s="106">
        <v>4838.3999999999996</v>
      </c>
      <c r="AB74" s="106">
        <v>9</v>
      </c>
      <c r="AC74" s="106">
        <v>3628.7999999999997</v>
      </c>
      <c r="AD74" s="106">
        <v>9</v>
      </c>
      <c r="AE74" s="106">
        <v>3628.7999999999997</v>
      </c>
      <c r="AF74" s="106">
        <v>10</v>
      </c>
      <c r="AG74" s="106">
        <v>4032</v>
      </c>
      <c r="AH74" s="106">
        <v>15</v>
      </c>
      <c r="AI74" s="106">
        <v>6048</v>
      </c>
      <c r="AJ74" s="106">
        <v>16</v>
      </c>
      <c r="AK74" s="106">
        <v>6451.2</v>
      </c>
      <c r="AL74" s="106">
        <v>17</v>
      </c>
      <c r="AM74" s="106">
        <v>6854.4</v>
      </c>
      <c r="AN74" s="106">
        <v>26</v>
      </c>
      <c r="AO74" s="106">
        <v>10483.199999999999</v>
      </c>
      <c r="AP74" s="106">
        <v>15</v>
      </c>
      <c r="AQ74" s="106">
        <v>6048</v>
      </c>
      <c r="AR74" s="106">
        <v>25</v>
      </c>
      <c r="AS74" s="106">
        <v>10080</v>
      </c>
      <c r="AT74" s="106">
        <v>25</v>
      </c>
      <c r="AU74" s="106">
        <v>10080</v>
      </c>
      <c r="AV74" s="106">
        <v>29</v>
      </c>
      <c r="AW74" s="106">
        <v>11692.8</v>
      </c>
      <c r="AX74" s="106">
        <v>37</v>
      </c>
      <c r="AY74" s="106">
        <v>14918.4</v>
      </c>
      <c r="AZ74" s="106">
        <v>4</v>
      </c>
      <c r="BA74" s="106">
        <v>1612.8</v>
      </c>
      <c r="BB74" s="106">
        <v>3</v>
      </c>
      <c r="BC74" s="106">
        <v>1209.5999999999999</v>
      </c>
      <c r="BD74" s="106">
        <v>2</v>
      </c>
      <c r="BE74" s="106">
        <v>806.4</v>
      </c>
      <c r="BF74" s="106">
        <v>4</v>
      </c>
      <c r="BG74" s="106">
        <v>1612.8</v>
      </c>
      <c r="BH74" s="106">
        <v>3</v>
      </c>
      <c r="BI74" s="106">
        <v>1209.5999999999999</v>
      </c>
      <c r="BJ74" s="106">
        <v>4</v>
      </c>
      <c r="BK74" s="106">
        <v>1612.8</v>
      </c>
      <c r="BL74" s="106">
        <v>3</v>
      </c>
      <c r="BM74" s="106">
        <v>1209.5999999999999</v>
      </c>
      <c r="BN74" s="106">
        <v>3</v>
      </c>
      <c r="BO74" s="106">
        <v>1209.5999999999999</v>
      </c>
      <c r="BP74" s="106">
        <v>3</v>
      </c>
      <c r="BQ74" s="106">
        <v>1209.5999999999999</v>
      </c>
      <c r="BR74" s="106">
        <v>3</v>
      </c>
      <c r="BS74" s="106">
        <v>1209.5999999999999</v>
      </c>
      <c r="BT74" s="106">
        <v>5</v>
      </c>
      <c r="BU74" s="106">
        <v>2016</v>
      </c>
      <c r="BV74" s="106">
        <v>4</v>
      </c>
      <c r="BW74" s="106">
        <v>1612.8</v>
      </c>
      <c r="BX74" s="106">
        <v>19</v>
      </c>
      <c r="BY74" s="106">
        <v>7660.8</v>
      </c>
      <c r="BZ74" s="106">
        <v>17</v>
      </c>
      <c r="CA74" s="106">
        <v>6854.4</v>
      </c>
      <c r="CB74" s="106">
        <v>22</v>
      </c>
      <c r="CC74" s="106">
        <v>8870.4</v>
      </c>
      <c r="CD74" s="106">
        <v>23</v>
      </c>
      <c r="CE74" s="106">
        <v>9273.6</v>
      </c>
      <c r="CF74" s="106">
        <v>3</v>
      </c>
      <c r="CG74" s="106">
        <v>1209.5999999999999</v>
      </c>
      <c r="CH74" s="106">
        <v>3</v>
      </c>
      <c r="CI74" s="106">
        <v>1209.5999999999999</v>
      </c>
      <c r="CJ74" s="106">
        <v>2</v>
      </c>
      <c r="CK74" s="106">
        <v>806.4</v>
      </c>
      <c r="CL74" s="106">
        <v>3</v>
      </c>
      <c r="CM74" s="106">
        <v>1209.5999999999999</v>
      </c>
      <c r="CN74" s="106">
        <v>5</v>
      </c>
      <c r="CO74" s="106">
        <v>2016</v>
      </c>
      <c r="CP74" s="106">
        <v>6</v>
      </c>
      <c r="CQ74" s="106">
        <v>2419.1999999999998</v>
      </c>
      <c r="CR74" s="106">
        <v>4</v>
      </c>
      <c r="CS74" s="106">
        <v>1612.8</v>
      </c>
      <c r="CT74" s="106">
        <v>4</v>
      </c>
      <c r="CU74" s="106">
        <v>1612.8</v>
      </c>
    </row>
    <row r="75" spans="2:99" x14ac:dyDescent="0.2">
      <c r="C75" s="105" t="s">
        <v>240</v>
      </c>
      <c r="D75" s="106">
        <v>22</v>
      </c>
      <c r="E75" s="106">
        <v>14150.399999999998</v>
      </c>
      <c r="F75" s="106">
        <v>26</v>
      </c>
      <c r="G75" s="106">
        <v>16723.199999999997</v>
      </c>
      <c r="H75" s="106">
        <v>20</v>
      </c>
      <c r="I75" s="106">
        <v>12863.999999999998</v>
      </c>
      <c r="J75" s="106">
        <v>26</v>
      </c>
      <c r="K75" s="106">
        <v>16723.199999999997</v>
      </c>
      <c r="L75" s="106">
        <v>24</v>
      </c>
      <c r="M75" s="106">
        <v>15436.8</v>
      </c>
      <c r="N75" s="106">
        <v>22</v>
      </c>
      <c r="O75" s="106">
        <v>14150.399999999998</v>
      </c>
      <c r="P75" s="106">
        <v>22</v>
      </c>
      <c r="Q75" s="106">
        <v>14150.399999999998</v>
      </c>
      <c r="R75" s="106">
        <v>25</v>
      </c>
      <c r="S75" s="106">
        <v>16079.999999999998</v>
      </c>
      <c r="T75" s="106">
        <v>16</v>
      </c>
      <c r="U75" s="106">
        <v>10291.199999999999</v>
      </c>
      <c r="V75" s="106">
        <v>10</v>
      </c>
      <c r="W75" s="106">
        <v>6431.9999999999991</v>
      </c>
      <c r="X75" s="106">
        <v>11</v>
      </c>
      <c r="Y75" s="106">
        <v>7075.1999999999989</v>
      </c>
      <c r="Z75" s="106">
        <v>11</v>
      </c>
      <c r="AA75" s="106">
        <v>7075.1999999999989</v>
      </c>
      <c r="AB75" s="106">
        <v>10</v>
      </c>
      <c r="AC75" s="106">
        <v>6431.9999999999991</v>
      </c>
      <c r="AD75" s="106">
        <v>9</v>
      </c>
      <c r="AE75" s="106">
        <v>5788.7999999999993</v>
      </c>
      <c r="AF75" s="106">
        <v>9</v>
      </c>
      <c r="AG75" s="106">
        <v>5788.7999999999993</v>
      </c>
      <c r="AH75" s="106">
        <v>15</v>
      </c>
      <c r="AI75" s="106">
        <v>9647.9999999999982</v>
      </c>
      <c r="AJ75" s="106">
        <v>15</v>
      </c>
      <c r="AK75" s="106">
        <v>9647.9999999999982</v>
      </c>
      <c r="AL75" s="106">
        <v>16</v>
      </c>
      <c r="AM75" s="106">
        <v>10291.199999999999</v>
      </c>
      <c r="AN75" s="106">
        <v>26</v>
      </c>
      <c r="AO75" s="106">
        <v>16723.199999999997</v>
      </c>
      <c r="AP75" s="106">
        <v>15</v>
      </c>
      <c r="AQ75" s="106">
        <v>9647.9999999999982</v>
      </c>
      <c r="AR75" s="106">
        <v>25</v>
      </c>
      <c r="AS75" s="106">
        <v>16079.999999999998</v>
      </c>
      <c r="AT75" s="106">
        <v>24</v>
      </c>
      <c r="AU75" s="106">
        <v>15436.8</v>
      </c>
      <c r="AV75" s="106">
        <v>29</v>
      </c>
      <c r="AW75" s="106">
        <v>18652.8</v>
      </c>
      <c r="AX75" s="106">
        <v>35</v>
      </c>
      <c r="AY75" s="106">
        <v>22511.999999999996</v>
      </c>
      <c r="AZ75" s="106">
        <v>3</v>
      </c>
      <c r="BA75" s="106">
        <v>1929.6</v>
      </c>
      <c r="BB75" s="106">
        <v>2</v>
      </c>
      <c r="BC75" s="106">
        <v>1286.3999999999999</v>
      </c>
      <c r="BD75" s="106">
        <v>2</v>
      </c>
      <c r="BE75" s="106">
        <v>1286.3999999999999</v>
      </c>
      <c r="BF75" s="106">
        <v>4</v>
      </c>
      <c r="BG75" s="106">
        <v>2572.7999999999997</v>
      </c>
      <c r="BH75" s="106">
        <v>4</v>
      </c>
      <c r="BI75" s="106">
        <v>2572.7999999999997</v>
      </c>
      <c r="BJ75" s="106">
        <v>3</v>
      </c>
      <c r="BK75" s="106">
        <v>1929.6</v>
      </c>
      <c r="BL75" s="106">
        <v>3</v>
      </c>
      <c r="BM75" s="106">
        <v>1929.6</v>
      </c>
      <c r="BN75" s="106">
        <v>3</v>
      </c>
      <c r="BO75" s="106">
        <v>1929.6</v>
      </c>
      <c r="BP75" s="106">
        <v>3</v>
      </c>
      <c r="BQ75" s="106">
        <v>1929.6</v>
      </c>
      <c r="BR75" s="106">
        <v>3</v>
      </c>
      <c r="BS75" s="106">
        <v>1929.6</v>
      </c>
      <c r="BT75" s="106">
        <v>4</v>
      </c>
      <c r="BU75" s="106">
        <v>2572.7999999999997</v>
      </c>
      <c r="BV75" s="106">
        <v>4</v>
      </c>
      <c r="BW75" s="106">
        <v>2572.7999999999997</v>
      </c>
      <c r="BX75" s="106">
        <v>16</v>
      </c>
      <c r="BY75" s="106">
        <v>10291.199999999999</v>
      </c>
      <c r="BZ75" s="106">
        <v>17</v>
      </c>
      <c r="CA75" s="106">
        <v>10934.4</v>
      </c>
      <c r="CB75" s="106">
        <v>23</v>
      </c>
      <c r="CC75" s="106">
        <v>14793.599999999999</v>
      </c>
      <c r="CD75" s="106">
        <v>22</v>
      </c>
      <c r="CE75" s="106">
        <v>14150.399999999998</v>
      </c>
      <c r="CF75" s="106">
        <v>3</v>
      </c>
      <c r="CG75" s="106">
        <v>1929.6</v>
      </c>
      <c r="CH75" s="106">
        <v>3</v>
      </c>
      <c r="CI75" s="106">
        <v>1929.6</v>
      </c>
      <c r="CJ75" s="106">
        <v>2</v>
      </c>
      <c r="CK75" s="106">
        <v>1286.3999999999999</v>
      </c>
      <c r="CL75" s="106">
        <v>3</v>
      </c>
      <c r="CM75" s="106">
        <v>1929.6</v>
      </c>
      <c r="CN75" s="106">
        <v>5</v>
      </c>
      <c r="CO75" s="106">
        <v>3215.9999999999995</v>
      </c>
      <c r="CP75" s="106">
        <v>5</v>
      </c>
      <c r="CQ75" s="106">
        <v>3215.9999999999995</v>
      </c>
      <c r="CR75" s="106">
        <v>3</v>
      </c>
      <c r="CS75" s="106">
        <v>1929.6</v>
      </c>
      <c r="CT75" s="106">
        <v>4</v>
      </c>
      <c r="CU75" s="106">
        <v>2572.7999999999997</v>
      </c>
    </row>
    <row r="76" spans="2:99" x14ac:dyDescent="0.2">
      <c r="C76" s="105" t="s">
        <v>241</v>
      </c>
      <c r="D76" s="106">
        <v>24</v>
      </c>
      <c r="E76" s="106">
        <v>18691.199999999997</v>
      </c>
      <c r="F76" s="106">
        <v>24</v>
      </c>
      <c r="G76" s="106">
        <v>18691.199999999997</v>
      </c>
      <c r="H76" s="106">
        <v>21</v>
      </c>
      <c r="I76" s="106">
        <v>16354.8</v>
      </c>
      <c r="J76" s="106">
        <v>25</v>
      </c>
      <c r="K76" s="106">
        <v>19470</v>
      </c>
      <c r="L76" s="106">
        <v>25</v>
      </c>
      <c r="M76" s="106">
        <v>19470</v>
      </c>
      <c r="N76" s="106">
        <v>20</v>
      </c>
      <c r="O76" s="106">
        <v>15576</v>
      </c>
      <c r="P76" s="106">
        <v>19</v>
      </c>
      <c r="Q76" s="106">
        <v>14797.199999999999</v>
      </c>
      <c r="R76" s="106">
        <v>22</v>
      </c>
      <c r="S76" s="106">
        <v>17133.599999999999</v>
      </c>
      <c r="T76" s="106">
        <v>18</v>
      </c>
      <c r="U76" s="106">
        <v>14018.4</v>
      </c>
      <c r="V76" s="106">
        <v>9</v>
      </c>
      <c r="W76" s="106">
        <v>7009.2</v>
      </c>
      <c r="X76" s="106">
        <v>10</v>
      </c>
      <c r="Y76" s="106">
        <v>7788</v>
      </c>
      <c r="Z76" s="106">
        <v>11</v>
      </c>
      <c r="AA76" s="106">
        <v>8566.7999999999993</v>
      </c>
      <c r="AB76" s="106">
        <v>10</v>
      </c>
      <c r="AC76" s="106">
        <v>7788</v>
      </c>
      <c r="AD76" s="106">
        <v>9</v>
      </c>
      <c r="AE76" s="106">
        <v>7009.2</v>
      </c>
      <c r="AF76" s="106">
        <v>9</v>
      </c>
      <c r="AG76" s="106">
        <v>7009.2</v>
      </c>
      <c r="AH76" s="106">
        <v>14</v>
      </c>
      <c r="AI76" s="106">
        <v>10903.199999999999</v>
      </c>
      <c r="AJ76" s="106">
        <v>16</v>
      </c>
      <c r="AK76" s="106">
        <v>12460.8</v>
      </c>
      <c r="AL76" s="106">
        <v>14</v>
      </c>
      <c r="AM76" s="106">
        <v>10903.199999999999</v>
      </c>
      <c r="AN76" s="106">
        <v>23</v>
      </c>
      <c r="AO76" s="106">
        <v>17912.399999999998</v>
      </c>
      <c r="AP76" s="106">
        <v>16</v>
      </c>
      <c r="AQ76" s="106">
        <v>12460.8</v>
      </c>
      <c r="AR76" s="106">
        <v>23</v>
      </c>
      <c r="AS76" s="106">
        <v>17912.399999999998</v>
      </c>
      <c r="AT76" s="106">
        <v>22</v>
      </c>
      <c r="AU76" s="106">
        <v>17133.599999999999</v>
      </c>
      <c r="AV76" s="106">
        <v>26</v>
      </c>
      <c r="AW76" s="106">
        <v>20248.8</v>
      </c>
      <c r="AX76" s="106">
        <v>35</v>
      </c>
      <c r="AY76" s="106">
        <v>27258</v>
      </c>
      <c r="AZ76" s="106">
        <v>3</v>
      </c>
      <c r="BA76" s="106">
        <v>2336.3999999999996</v>
      </c>
      <c r="BB76" s="106">
        <v>2</v>
      </c>
      <c r="BC76" s="106">
        <v>1557.6</v>
      </c>
      <c r="BD76" s="106">
        <v>2</v>
      </c>
      <c r="BE76" s="106">
        <v>1557.6</v>
      </c>
      <c r="BF76" s="106">
        <v>4</v>
      </c>
      <c r="BG76" s="106">
        <v>3115.2</v>
      </c>
      <c r="BH76" s="106">
        <v>3</v>
      </c>
      <c r="BI76" s="106">
        <v>2336.3999999999996</v>
      </c>
      <c r="BJ76" s="106">
        <v>3</v>
      </c>
      <c r="BK76" s="106">
        <v>2336.3999999999996</v>
      </c>
      <c r="BL76" s="106">
        <v>3</v>
      </c>
      <c r="BM76" s="106">
        <v>2336.3999999999996</v>
      </c>
      <c r="BN76" s="106">
        <v>4</v>
      </c>
      <c r="BO76" s="106">
        <v>3115.2</v>
      </c>
      <c r="BP76" s="106">
        <v>3</v>
      </c>
      <c r="BQ76" s="106">
        <v>2336.3999999999996</v>
      </c>
      <c r="BR76" s="106">
        <v>3</v>
      </c>
      <c r="BS76" s="106">
        <v>2336.3999999999996</v>
      </c>
      <c r="BT76" s="106">
        <v>4</v>
      </c>
      <c r="BU76" s="106">
        <v>3115.2</v>
      </c>
      <c r="BV76" s="106">
        <v>4</v>
      </c>
      <c r="BW76" s="106">
        <v>3115.2</v>
      </c>
      <c r="BX76" s="106">
        <v>15</v>
      </c>
      <c r="BY76" s="106">
        <v>11682</v>
      </c>
      <c r="BZ76" s="106">
        <v>16</v>
      </c>
      <c r="CA76" s="106">
        <v>12460.8</v>
      </c>
      <c r="CB76" s="106">
        <v>22</v>
      </c>
      <c r="CC76" s="106">
        <v>17133.599999999999</v>
      </c>
      <c r="CD76" s="106">
        <v>24</v>
      </c>
      <c r="CE76" s="106">
        <v>18691.199999999997</v>
      </c>
      <c r="CF76" s="106">
        <v>3</v>
      </c>
      <c r="CG76" s="106">
        <v>2336.3999999999996</v>
      </c>
      <c r="CH76" s="106">
        <v>3</v>
      </c>
      <c r="CI76" s="106">
        <v>2336.3999999999996</v>
      </c>
      <c r="CJ76" s="106">
        <v>2</v>
      </c>
      <c r="CK76" s="106">
        <v>1557.6</v>
      </c>
      <c r="CL76" s="106">
        <v>2</v>
      </c>
      <c r="CM76" s="106">
        <v>1557.6</v>
      </c>
      <c r="CN76" s="106">
        <v>5</v>
      </c>
      <c r="CO76" s="106">
        <v>3894</v>
      </c>
      <c r="CP76" s="106">
        <v>6</v>
      </c>
      <c r="CQ76" s="106">
        <v>4672.7999999999993</v>
      </c>
      <c r="CR76" s="106">
        <v>3</v>
      </c>
      <c r="CS76" s="106">
        <v>2336.3999999999996</v>
      </c>
      <c r="CT76" s="106">
        <v>4</v>
      </c>
      <c r="CU76" s="106">
        <v>3115.2</v>
      </c>
    </row>
    <row r="77" spans="2:99" x14ac:dyDescent="0.2">
      <c r="C77" s="105" t="s">
        <v>242</v>
      </c>
      <c r="D77" s="106">
        <v>25</v>
      </c>
      <c r="E77" s="106">
        <v>6959.9999999999991</v>
      </c>
      <c r="F77" s="106">
        <v>25</v>
      </c>
      <c r="G77" s="106">
        <v>6959.9999999999991</v>
      </c>
      <c r="H77" s="106">
        <v>22</v>
      </c>
      <c r="I77" s="106">
        <v>6124.7999999999993</v>
      </c>
      <c r="J77" s="106">
        <v>29</v>
      </c>
      <c r="K77" s="106">
        <v>8073.5999999999995</v>
      </c>
      <c r="L77" s="106">
        <v>27</v>
      </c>
      <c r="M77" s="106">
        <v>7516.7999999999993</v>
      </c>
      <c r="N77" s="106">
        <v>21</v>
      </c>
      <c r="O77" s="106">
        <v>5846.4</v>
      </c>
      <c r="P77" s="106">
        <v>24</v>
      </c>
      <c r="Q77" s="106">
        <v>6681.5999999999995</v>
      </c>
      <c r="R77" s="106">
        <v>26</v>
      </c>
      <c r="S77" s="106">
        <v>7238.4</v>
      </c>
      <c r="T77" s="106">
        <v>16</v>
      </c>
      <c r="U77" s="106">
        <v>4454.3999999999996</v>
      </c>
      <c r="V77" s="106">
        <v>11</v>
      </c>
      <c r="W77" s="106">
        <v>3062.3999999999996</v>
      </c>
      <c r="X77" s="106">
        <v>10</v>
      </c>
      <c r="Y77" s="106">
        <v>2784</v>
      </c>
      <c r="Z77" s="106">
        <v>12</v>
      </c>
      <c r="AA77" s="106">
        <v>3340.7999999999997</v>
      </c>
      <c r="AB77" s="106">
        <v>10</v>
      </c>
      <c r="AC77" s="106">
        <v>2784</v>
      </c>
      <c r="AD77" s="106">
        <v>9</v>
      </c>
      <c r="AE77" s="106">
        <v>2505.6</v>
      </c>
      <c r="AF77" s="106">
        <v>11</v>
      </c>
      <c r="AG77" s="106">
        <v>3062.3999999999996</v>
      </c>
      <c r="AH77" s="106">
        <v>15</v>
      </c>
      <c r="AI77" s="106">
        <v>4176</v>
      </c>
      <c r="AJ77" s="106">
        <v>17</v>
      </c>
      <c r="AK77" s="106">
        <v>4732.7999999999993</v>
      </c>
      <c r="AL77" s="106">
        <v>17</v>
      </c>
      <c r="AM77" s="106">
        <v>4732.7999999999993</v>
      </c>
      <c r="AN77" s="106">
        <v>27</v>
      </c>
      <c r="AO77" s="106">
        <v>7516.7999999999993</v>
      </c>
      <c r="AP77" s="106">
        <v>18</v>
      </c>
      <c r="AQ77" s="106">
        <v>5011.2</v>
      </c>
      <c r="AR77" s="106">
        <v>28</v>
      </c>
      <c r="AS77" s="106">
        <v>7795.1999999999989</v>
      </c>
      <c r="AT77" s="106">
        <v>27</v>
      </c>
      <c r="AU77" s="106">
        <v>7516.7999999999993</v>
      </c>
      <c r="AV77" s="106">
        <v>29</v>
      </c>
      <c r="AW77" s="106">
        <v>8073.5999999999995</v>
      </c>
      <c r="AX77" s="106">
        <v>36</v>
      </c>
      <c r="AY77" s="106">
        <v>10022.4</v>
      </c>
      <c r="AZ77" s="106">
        <v>4</v>
      </c>
      <c r="BA77" s="106">
        <v>1113.5999999999999</v>
      </c>
      <c r="BB77" s="106">
        <v>2</v>
      </c>
      <c r="BC77" s="106">
        <v>556.79999999999995</v>
      </c>
      <c r="BD77" s="106">
        <v>2</v>
      </c>
      <c r="BE77" s="106">
        <v>556.79999999999995</v>
      </c>
      <c r="BF77" s="106">
        <v>4</v>
      </c>
      <c r="BG77" s="106">
        <v>1113.5999999999999</v>
      </c>
      <c r="BH77" s="106">
        <v>4</v>
      </c>
      <c r="BI77" s="106">
        <v>1113.5999999999999</v>
      </c>
      <c r="BJ77" s="106">
        <v>4</v>
      </c>
      <c r="BK77" s="106">
        <v>1113.5999999999999</v>
      </c>
      <c r="BL77" s="106">
        <v>3</v>
      </c>
      <c r="BM77" s="106">
        <v>835.19999999999993</v>
      </c>
      <c r="BN77" s="106">
        <v>4</v>
      </c>
      <c r="BO77" s="106">
        <v>1113.5999999999999</v>
      </c>
      <c r="BP77" s="106">
        <v>3</v>
      </c>
      <c r="BQ77" s="106">
        <v>835.19999999999993</v>
      </c>
      <c r="BR77" s="106">
        <v>3</v>
      </c>
      <c r="BS77" s="106">
        <v>835.19999999999993</v>
      </c>
      <c r="BT77" s="106">
        <v>5</v>
      </c>
      <c r="BU77" s="106">
        <v>1392</v>
      </c>
      <c r="BV77" s="106">
        <v>5</v>
      </c>
      <c r="BW77" s="106">
        <v>1392</v>
      </c>
      <c r="BX77" s="106">
        <v>19</v>
      </c>
      <c r="BY77" s="106">
        <v>5289.5999999999995</v>
      </c>
      <c r="BZ77" s="106">
        <v>16</v>
      </c>
      <c r="CA77" s="106">
        <v>4454.3999999999996</v>
      </c>
      <c r="CB77" s="106">
        <v>23</v>
      </c>
      <c r="CC77" s="106">
        <v>6403.2</v>
      </c>
      <c r="CD77" s="106">
        <v>22</v>
      </c>
      <c r="CE77" s="106">
        <v>6124.7999999999993</v>
      </c>
      <c r="CF77" s="106">
        <v>3</v>
      </c>
      <c r="CG77" s="106">
        <v>835.19999999999993</v>
      </c>
      <c r="CH77" s="106">
        <v>3</v>
      </c>
      <c r="CI77" s="106">
        <v>835.19999999999993</v>
      </c>
      <c r="CJ77" s="106">
        <v>2</v>
      </c>
      <c r="CK77" s="106">
        <v>556.79999999999995</v>
      </c>
      <c r="CL77" s="106">
        <v>3</v>
      </c>
      <c r="CM77" s="106">
        <v>835.19999999999993</v>
      </c>
      <c r="CN77" s="106">
        <v>5</v>
      </c>
      <c r="CO77" s="106">
        <v>1392</v>
      </c>
      <c r="CP77" s="106">
        <v>6</v>
      </c>
      <c r="CQ77" s="106">
        <v>1670.3999999999999</v>
      </c>
      <c r="CR77" s="106">
        <v>3</v>
      </c>
      <c r="CS77" s="106">
        <v>835.19999999999993</v>
      </c>
      <c r="CT77" s="106">
        <v>4</v>
      </c>
      <c r="CU77" s="106">
        <v>1113.5999999999999</v>
      </c>
    </row>
    <row r="78" spans="2:99" x14ac:dyDescent="0.2">
      <c r="C78" s="105" t="s">
        <v>243</v>
      </c>
      <c r="D78" s="106">
        <v>24</v>
      </c>
      <c r="E78" s="106">
        <v>13248</v>
      </c>
      <c r="F78" s="106">
        <v>26</v>
      </c>
      <c r="G78" s="106">
        <v>14352</v>
      </c>
      <c r="H78" s="106">
        <v>20</v>
      </c>
      <c r="I78" s="106">
        <v>11040</v>
      </c>
      <c r="J78" s="106">
        <v>28</v>
      </c>
      <c r="K78" s="106">
        <v>15456</v>
      </c>
      <c r="L78" s="106">
        <v>24</v>
      </c>
      <c r="M78" s="106">
        <v>13248</v>
      </c>
      <c r="N78" s="106">
        <v>23</v>
      </c>
      <c r="O78" s="106">
        <v>12696</v>
      </c>
      <c r="P78" s="106">
        <v>21</v>
      </c>
      <c r="Q78" s="106">
        <v>11592</v>
      </c>
      <c r="R78" s="106">
        <v>26</v>
      </c>
      <c r="S78" s="106">
        <v>14352</v>
      </c>
      <c r="T78" s="106">
        <v>16</v>
      </c>
      <c r="U78" s="106">
        <v>8832</v>
      </c>
      <c r="V78" s="106">
        <v>9</v>
      </c>
      <c r="W78" s="106">
        <v>4968</v>
      </c>
      <c r="X78" s="106">
        <v>11</v>
      </c>
      <c r="Y78" s="106">
        <v>6072</v>
      </c>
      <c r="Z78" s="106">
        <v>13</v>
      </c>
      <c r="AA78" s="106">
        <v>7176</v>
      </c>
      <c r="AB78" s="106">
        <v>9</v>
      </c>
      <c r="AC78" s="106">
        <v>4968</v>
      </c>
      <c r="AD78" s="106">
        <v>9</v>
      </c>
      <c r="AE78" s="106">
        <v>4968</v>
      </c>
      <c r="AF78" s="106">
        <v>10</v>
      </c>
      <c r="AG78" s="106">
        <v>5520</v>
      </c>
      <c r="AH78" s="106">
        <v>14</v>
      </c>
      <c r="AI78" s="106">
        <v>7728</v>
      </c>
      <c r="AJ78" s="106">
        <v>16</v>
      </c>
      <c r="AK78" s="106">
        <v>8832</v>
      </c>
      <c r="AL78" s="106">
        <v>17</v>
      </c>
      <c r="AM78" s="106">
        <v>9384</v>
      </c>
      <c r="AN78" s="106">
        <v>25</v>
      </c>
      <c r="AO78" s="106">
        <v>13800</v>
      </c>
      <c r="AP78" s="106">
        <v>15</v>
      </c>
      <c r="AQ78" s="106">
        <v>8280</v>
      </c>
      <c r="AR78" s="106">
        <v>25</v>
      </c>
      <c r="AS78" s="106">
        <v>13800</v>
      </c>
      <c r="AT78" s="106">
        <v>27</v>
      </c>
      <c r="AU78" s="106">
        <v>14904</v>
      </c>
      <c r="AV78" s="106">
        <v>26</v>
      </c>
      <c r="AW78" s="106">
        <v>14352</v>
      </c>
      <c r="AX78" s="106">
        <v>30</v>
      </c>
      <c r="AY78" s="106">
        <v>16560</v>
      </c>
      <c r="AZ78" s="106">
        <v>4</v>
      </c>
      <c r="BA78" s="106">
        <v>2208</v>
      </c>
      <c r="BB78" s="106">
        <v>3</v>
      </c>
      <c r="BC78" s="106">
        <v>1656</v>
      </c>
      <c r="BD78" s="106">
        <v>2</v>
      </c>
      <c r="BE78" s="106">
        <v>1104</v>
      </c>
      <c r="BF78" s="106">
        <v>4</v>
      </c>
      <c r="BG78" s="106">
        <v>2208</v>
      </c>
      <c r="BH78" s="106">
        <v>4</v>
      </c>
      <c r="BI78" s="106">
        <v>2208</v>
      </c>
      <c r="BJ78" s="106">
        <v>3</v>
      </c>
      <c r="BK78" s="106">
        <v>1656</v>
      </c>
      <c r="BL78" s="106">
        <v>3</v>
      </c>
      <c r="BM78" s="106">
        <v>1656</v>
      </c>
      <c r="BN78" s="106">
        <v>3</v>
      </c>
      <c r="BO78" s="106">
        <v>1656</v>
      </c>
      <c r="BP78" s="106">
        <v>3</v>
      </c>
      <c r="BQ78" s="106">
        <v>1656</v>
      </c>
      <c r="BR78" s="106">
        <v>3</v>
      </c>
      <c r="BS78" s="106">
        <v>1656</v>
      </c>
      <c r="BT78" s="106">
        <v>5</v>
      </c>
      <c r="BU78" s="106">
        <v>2760</v>
      </c>
      <c r="BV78" s="106">
        <v>5</v>
      </c>
      <c r="BW78" s="106">
        <v>2760</v>
      </c>
      <c r="BX78" s="106">
        <v>17</v>
      </c>
      <c r="BY78" s="106">
        <v>9384</v>
      </c>
      <c r="BZ78" s="106">
        <v>16</v>
      </c>
      <c r="CA78" s="106">
        <v>8832</v>
      </c>
      <c r="CB78" s="106">
        <v>22</v>
      </c>
      <c r="CC78" s="106">
        <v>12144</v>
      </c>
      <c r="CD78" s="106">
        <v>23</v>
      </c>
      <c r="CE78" s="106">
        <v>12696</v>
      </c>
      <c r="CF78" s="106">
        <v>3</v>
      </c>
      <c r="CG78" s="106">
        <v>1656</v>
      </c>
      <c r="CH78" s="106">
        <v>3</v>
      </c>
      <c r="CI78" s="106">
        <v>1656</v>
      </c>
      <c r="CJ78" s="106">
        <v>2</v>
      </c>
      <c r="CK78" s="106">
        <v>1104</v>
      </c>
      <c r="CL78" s="106">
        <v>3</v>
      </c>
      <c r="CM78" s="106">
        <v>1656</v>
      </c>
      <c r="CN78" s="106">
        <v>5</v>
      </c>
      <c r="CO78" s="106">
        <v>2760</v>
      </c>
      <c r="CP78" s="106">
        <v>6</v>
      </c>
      <c r="CQ78" s="106">
        <v>3312</v>
      </c>
      <c r="CR78" s="106">
        <v>3</v>
      </c>
      <c r="CS78" s="106">
        <v>1656</v>
      </c>
      <c r="CT78" s="106">
        <v>4</v>
      </c>
      <c r="CU78" s="106">
        <v>2208</v>
      </c>
    </row>
    <row r="79" spans="2:99" x14ac:dyDescent="0.2">
      <c r="C79" s="105" t="s">
        <v>244</v>
      </c>
      <c r="D79" s="106">
        <v>22</v>
      </c>
      <c r="E79" s="106">
        <v>16658.399999999998</v>
      </c>
      <c r="F79" s="106">
        <v>24</v>
      </c>
      <c r="G79" s="106">
        <v>18172.8</v>
      </c>
      <c r="H79" s="106">
        <v>21</v>
      </c>
      <c r="I79" s="106">
        <v>15901.199999999999</v>
      </c>
      <c r="J79" s="106">
        <v>25</v>
      </c>
      <c r="K79" s="106">
        <v>18930</v>
      </c>
      <c r="L79" s="106">
        <v>25</v>
      </c>
      <c r="M79" s="106">
        <v>18930</v>
      </c>
      <c r="N79" s="106">
        <v>23</v>
      </c>
      <c r="O79" s="106">
        <v>17415.599999999999</v>
      </c>
      <c r="P79" s="106">
        <v>19</v>
      </c>
      <c r="Q79" s="106">
        <v>14386.8</v>
      </c>
      <c r="R79" s="106">
        <v>25</v>
      </c>
      <c r="S79" s="106">
        <v>18930</v>
      </c>
      <c r="T79" s="106">
        <v>18</v>
      </c>
      <c r="U79" s="106">
        <v>13629.599999999999</v>
      </c>
      <c r="V79" s="106">
        <v>10</v>
      </c>
      <c r="W79" s="106">
        <v>7571.9999999999991</v>
      </c>
      <c r="X79" s="106">
        <v>10</v>
      </c>
      <c r="Y79" s="106">
        <v>7571.9999999999991</v>
      </c>
      <c r="Z79" s="106">
        <v>11</v>
      </c>
      <c r="AA79" s="106">
        <v>8329.1999999999989</v>
      </c>
      <c r="AB79" s="106">
        <v>9</v>
      </c>
      <c r="AC79" s="106">
        <v>6814.7999999999993</v>
      </c>
      <c r="AD79" s="106">
        <v>8</v>
      </c>
      <c r="AE79" s="106">
        <v>6057.5999999999995</v>
      </c>
      <c r="AF79" s="106">
        <v>10</v>
      </c>
      <c r="AG79" s="106">
        <v>7571.9999999999991</v>
      </c>
      <c r="AH79" s="106">
        <v>14</v>
      </c>
      <c r="AI79" s="106">
        <v>10600.8</v>
      </c>
      <c r="AJ79" s="106">
        <v>17</v>
      </c>
      <c r="AK79" s="106">
        <v>12872.4</v>
      </c>
      <c r="AL79" s="106">
        <v>17</v>
      </c>
      <c r="AM79" s="106">
        <v>12872.4</v>
      </c>
      <c r="AN79" s="106">
        <v>22</v>
      </c>
      <c r="AO79" s="106">
        <v>16658.399999999998</v>
      </c>
      <c r="AP79" s="106">
        <v>15</v>
      </c>
      <c r="AQ79" s="106">
        <v>11357.999999999998</v>
      </c>
      <c r="AR79" s="106">
        <v>23</v>
      </c>
      <c r="AS79" s="106">
        <v>17415.599999999999</v>
      </c>
      <c r="AT79" s="106">
        <v>21</v>
      </c>
      <c r="AU79" s="106">
        <v>15901.199999999999</v>
      </c>
      <c r="AV79" s="106">
        <v>26</v>
      </c>
      <c r="AW79" s="106">
        <v>19687.199999999997</v>
      </c>
      <c r="AX79" s="106">
        <v>33</v>
      </c>
      <c r="AY79" s="106">
        <v>24987.599999999999</v>
      </c>
      <c r="AZ79" s="106">
        <v>4</v>
      </c>
      <c r="BA79" s="106">
        <v>3028.7999999999997</v>
      </c>
      <c r="BB79" s="106">
        <v>2</v>
      </c>
      <c r="BC79" s="106">
        <v>1514.3999999999999</v>
      </c>
      <c r="BD79" s="106">
        <v>2</v>
      </c>
      <c r="BE79" s="106">
        <v>1514.3999999999999</v>
      </c>
      <c r="BF79" s="106">
        <v>4</v>
      </c>
      <c r="BG79" s="106">
        <v>3028.7999999999997</v>
      </c>
      <c r="BH79" s="106">
        <v>3</v>
      </c>
      <c r="BI79" s="106">
        <v>2271.6</v>
      </c>
      <c r="BJ79" s="106">
        <v>4</v>
      </c>
      <c r="BK79" s="106">
        <v>3028.7999999999997</v>
      </c>
      <c r="BL79" s="106">
        <v>3</v>
      </c>
      <c r="BM79" s="106">
        <v>2271.6</v>
      </c>
      <c r="BN79" s="106">
        <v>3</v>
      </c>
      <c r="BO79" s="106">
        <v>2271.6</v>
      </c>
      <c r="BP79" s="106">
        <v>3</v>
      </c>
      <c r="BQ79" s="106">
        <v>2271.6</v>
      </c>
      <c r="BR79" s="106">
        <v>3</v>
      </c>
      <c r="BS79" s="106">
        <v>2271.6</v>
      </c>
      <c r="BT79" s="106">
        <v>4</v>
      </c>
      <c r="BU79" s="106">
        <v>3028.7999999999997</v>
      </c>
      <c r="BV79" s="106">
        <v>5</v>
      </c>
      <c r="BW79" s="106">
        <v>3785.9999999999995</v>
      </c>
      <c r="BX79" s="106">
        <v>15</v>
      </c>
      <c r="BY79" s="106">
        <v>11357.999999999998</v>
      </c>
      <c r="BZ79" s="106">
        <v>14</v>
      </c>
      <c r="CA79" s="106">
        <v>10600.8</v>
      </c>
      <c r="CB79" s="106">
        <v>21</v>
      </c>
      <c r="CC79" s="106">
        <v>15901.199999999999</v>
      </c>
      <c r="CD79" s="106">
        <v>23</v>
      </c>
      <c r="CE79" s="106">
        <v>17415.599999999999</v>
      </c>
      <c r="CF79" s="106">
        <v>3</v>
      </c>
      <c r="CG79" s="106">
        <v>2271.6</v>
      </c>
      <c r="CH79" s="106">
        <v>3</v>
      </c>
      <c r="CI79" s="106">
        <v>2271.6</v>
      </c>
      <c r="CJ79" s="106">
        <v>2</v>
      </c>
      <c r="CK79" s="106">
        <v>1514.3999999999999</v>
      </c>
      <c r="CL79" s="106">
        <v>3</v>
      </c>
      <c r="CM79" s="106">
        <v>2271.6</v>
      </c>
      <c r="CN79" s="106">
        <v>5</v>
      </c>
      <c r="CO79" s="106">
        <v>3785.9999999999995</v>
      </c>
      <c r="CP79" s="106">
        <v>6</v>
      </c>
      <c r="CQ79" s="106">
        <v>4543.2</v>
      </c>
      <c r="CR79" s="106">
        <v>3</v>
      </c>
      <c r="CS79" s="106">
        <v>2271.6</v>
      </c>
      <c r="CT79" s="106">
        <v>4</v>
      </c>
      <c r="CU79" s="106">
        <v>3028.7999999999997</v>
      </c>
    </row>
    <row r="80" spans="2:99" x14ac:dyDescent="0.2">
      <c r="C80" s="105" t="s">
        <v>245</v>
      </c>
      <c r="D80" s="106">
        <v>20</v>
      </c>
      <c r="E80" s="106">
        <v>16103.999999999998</v>
      </c>
      <c r="F80" s="106">
        <v>27</v>
      </c>
      <c r="G80" s="106">
        <v>21740.399999999998</v>
      </c>
      <c r="H80" s="106">
        <v>18</v>
      </c>
      <c r="I80" s="106">
        <v>14493.599999999999</v>
      </c>
      <c r="J80" s="106">
        <v>24</v>
      </c>
      <c r="K80" s="106">
        <v>19324.8</v>
      </c>
      <c r="L80" s="106">
        <v>26</v>
      </c>
      <c r="M80" s="106">
        <v>20935.199999999997</v>
      </c>
      <c r="N80" s="106">
        <v>22</v>
      </c>
      <c r="O80" s="106">
        <v>17714.399999999998</v>
      </c>
      <c r="P80" s="106">
        <v>20</v>
      </c>
      <c r="Q80" s="106">
        <v>16103.999999999998</v>
      </c>
      <c r="R80" s="106">
        <v>23</v>
      </c>
      <c r="S80" s="106">
        <v>18519.599999999999</v>
      </c>
      <c r="T80" s="106">
        <v>18</v>
      </c>
      <c r="U80" s="106">
        <v>14493.599999999999</v>
      </c>
      <c r="V80" s="106">
        <v>10</v>
      </c>
      <c r="W80" s="106">
        <v>8051.9999999999991</v>
      </c>
      <c r="X80" s="106">
        <v>11</v>
      </c>
      <c r="Y80" s="106">
        <v>8857.1999999999989</v>
      </c>
      <c r="Z80" s="106">
        <v>12</v>
      </c>
      <c r="AA80" s="106">
        <v>9662.4</v>
      </c>
      <c r="AB80" s="106">
        <v>9</v>
      </c>
      <c r="AC80" s="106">
        <v>7246.7999999999993</v>
      </c>
      <c r="AD80" s="106">
        <v>8</v>
      </c>
      <c r="AE80" s="106">
        <v>6441.5999999999995</v>
      </c>
      <c r="AF80" s="106">
        <v>9</v>
      </c>
      <c r="AG80" s="106">
        <v>7246.7999999999993</v>
      </c>
      <c r="AH80" s="106">
        <v>14</v>
      </c>
      <c r="AI80" s="106">
        <v>11272.8</v>
      </c>
      <c r="AJ80" s="106">
        <v>14</v>
      </c>
      <c r="AK80" s="106">
        <v>11272.8</v>
      </c>
      <c r="AL80" s="106">
        <v>15</v>
      </c>
      <c r="AM80" s="106">
        <v>12077.999999999998</v>
      </c>
      <c r="AN80" s="106">
        <v>24</v>
      </c>
      <c r="AO80" s="106">
        <v>19324.8</v>
      </c>
      <c r="AP80" s="106">
        <v>14</v>
      </c>
      <c r="AQ80" s="106">
        <v>11272.8</v>
      </c>
      <c r="AR80" s="106">
        <v>24</v>
      </c>
      <c r="AS80" s="106">
        <v>19324.8</v>
      </c>
      <c r="AT80" s="106">
        <v>21</v>
      </c>
      <c r="AU80" s="106">
        <v>16909.199999999997</v>
      </c>
      <c r="AV80" s="106">
        <v>29</v>
      </c>
      <c r="AW80" s="106">
        <v>23350.799999999999</v>
      </c>
      <c r="AX80" s="106">
        <v>31</v>
      </c>
      <c r="AY80" s="106">
        <v>24961.199999999997</v>
      </c>
      <c r="AZ80" s="106">
        <v>4</v>
      </c>
      <c r="BA80" s="106">
        <v>3220.7999999999997</v>
      </c>
      <c r="BB80" s="106">
        <v>2</v>
      </c>
      <c r="BC80" s="106">
        <v>1610.3999999999999</v>
      </c>
      <c r="BD80" s="106">
        <v>3</v>
      </c>
      <c r="BE80" s="106">
        <v>2415.6</v>
      </c>
      <c r="BF80" s="106">
        <v>4</v>
      </c>
      <c r="BG80" s="106">
        <v>3220.7999999999997</v>
      </c>
      <c r="BH80" s="106">
        <v>4</v>
      </c>
      <c r="BI80" s="106">
        <v>3220.7999999999997</v>
      </c>
      <c r="BJ80" s="106">
        <v>3</v>
      </c>
      <c r="BK80" s="106">
        <v>2415.6</v>
      </c>
      <c r="BL80" s="106">
        <v>3</v>
      </c>
      <c r="BM80" s="106">
        <v>2415.6</v>
      </c>
      <c r="BN80" s="106">
        <v>3</v>
      </c>
      <c r="BO80" s="106">
        <v>2415.6</v>
      </c>
      <c r="BP80" s="106">
        <v>3</v>
      </c>
      <c r="BQ80" s="106">
        <v>2415.6</v>
      </c>
      <c r="BR80" s="106">
        <v>3</v>
      </c>
      <c r="BS80" s="106">
        <v>2415.6</v>
      </c>
      <c r="BT80" s="106">
        <v>4</v>
      </c>
      <c r="BU80" s="106">
        <v>3220.7999999999997</v>
      </c>
      <c r="BV80" s="106">
        <v>5</v>
      </c>
      <c r="BW80" s="106">
        <v>4025.9999999999995</v>
      </c>
      <c r="BX80" s="106">
        <v>17</v>
      </c>
      <c r="BY80" s="106">
        <v>13688.4</v>
      </c>
      <c r="BZ80" s="106">
        <v>15</v>
      </c>
      <c r="CA80" s="106">
        <v>12077.999999999998</v>
      </c>
      <c r="CB80" s="106">
        <v>23</v>
      </c>
      <c r="CC80" s="106">
        <v>18519.599999999999</v>
      </c>
      <c r="CD80" s="106">
        <v>20</v>
      </c>
      <c r="CE80" s="106">
        <v>16103.999999999998</v>
      </c>
      <c r="CF80" s="106">
        <v>3</v>
      </c>
      <c r="CG80" s="106">
        <v>2415.6</v>
      </c>
      <c r="CH80" s="106">
        <v>3</v>
      </c>
      <c r="CI80" s="106">
        <v>2415.6</v>
      </c>
      <c r="CJ80" s="106">
        <v>2</v>
      </c>
      <c r="CK80" s="106">
        <v>1610.3999999999999</v>
      </c>
      <c r="CL80" s="106">
        <v>3</v>
      </c>
      <c r="CM80" s="106">
        <v>2415.6</v>
      </c>
      <c r="CN80" s="106">
        <v>5</v>
      </c>
      <c r="CO80" s="106">
        <v>4025.9999999999995</v>
      </c>
      <c r="CP80" s="106">
        <v>6</v>
      </c>
      <c r="CQ80" s="106">
        <v>4831.2</v>
      </c>
      <c r="CR80" s="106">
        <v>3</v>
      </c>
      <c r="CS80" s="106">
        <v>2415.6</v>
      </c>
      <c r="CT80" s="106">
        <v>4</v>
      </c>
      <c r="CU80" s="106">
        <v>3220.7999999999997</v>
      </c>
    </row>
    <row r="81" spans="2:99" x14ac:dyDescent="0.2">
      <c r="C81" s="105" t="s">
        <v>246</v>
      </c>
      <c r="D81" s="106">
        <v>23</v>
      </c>
      <c r="E81" s="106">
        <v>17332.8</v>
      </c>
      <c r="F81" s="106">
        <v>23</v>
      </c>
      <c r="G81" s="106">
        <v>17332.8</v>
      </c>
      <c r="H81" s="106">
        <v>21</v>
      </c>
      <c r="I81" s="106">
        <v>15825.6</v>
      </c>
      <c r="J81" s="106">
        <v>25</v>
      </c>
      <c r="K81" s="106">
        <v>18840</v>
      </c>
      <c r="L81" s="106">
        <v>25</v>
      </c>
      <c r="M81" s="106">
        <v>18840</v>
      </c>
      <c r="N81" s="106">
        <v>21</v>
      </c>
      <c r="O81" s="106">
        <v>15825.6</v>
      </c>
      <c r="P81" s="106">
        <v>23</v>
      </c>
      <c r="Q81" s="106">
        <v>17332.8</v>
      </c>
      <c r="R81" s="106">
        <v>22</v>
      </c>
      <c r="S81" s="106">
        <v>16579.2</v>
      </c>
      <c r="T81" s="106">
        <v>18</v>
      </c>
      <c r="U81" s="106">
        <v>13564.800000000001</v>
      </c>
      <c r="V81" s="106">
        <v>9</v>
      </c>
      <c r="W81" s="106">
        <v>6782.4000000000005</v>
      </c>
      <c r="X81" s="106">
        <v>10</v>
      </c>
      <c r="Y81" s="106">
        <v>7536</v>
      </c>
      <c r="Z81" s="106">
        <v>13</v>
      </c>
      <c r="AA81" s="106">
        <v>9796.8000000000011</v>
      </c>
      <c r="AB81" s="106">
        <v>10</v>
      </c>
      <c r="AC81" s="106">
        <v>7536</v>
      </c>
      <c r="AD81" s="106">
        <v>8</v>
      </c>
      <c r="AE81" s="106">
        <v>6028.8</v>
      </c>
      <c r="AF81" s="106">
        <v>9</v>
      </c>
      <c r="AG81" s="106">
        <v>6782.4000000000005</v>
      </c>
      <c r="AH81" s="106">
        <v>15</v>
      </c>
      <c r="AI81" s="106">
        <v>11304</v>
      </c>
      <c r="AJ81" s="106">
        <v>16</v>
      </c>
      <c r="AK81" s="106">
        <v>12057.6</v>
      </c>
      <c r="AL81" s="106">
        <v>15</v>
      </c>
      <c r="AM81" s="106">
        <v>11304</v>
      </c>
      <c r="AN81" s="106">
        <v>25</v>
      </c>
      <c r="AO81" s="106">
        <v>18840</v>
      </c>
      <c r="AP81" s="106">
        <v>15</v>
      </c>
      <c r="AQ81" s="106">
        <v>11304</v>
      </c>
      <c r="AR81" s="106">
        <v>22</v>
      </c>
      <c r="AS81" s="106">
        <v>16579.2</v>
      </c>
      <c r="AT81" s="106">
        <v>25</v>
      </c>
      <c r="AU81" s="106">
        <v>18840</v>
      </c>
      <c r="AV81" s="106">
        <v>26</v>
      </c>
      <c r="AW81" s="106">
        <v>19593.600000000002</v>
      </c>
      <c r="AX81" s="106">
        <v>35</v>
      </c>
      <c r="AY81" s="106">
        <v>26376</v>
      </c>
      <c r="AZ81" s="106">
        <v>3</v>
      </c>
      <c r="BA81" s="106">
        <v>2260.8000000000002</v>
      </c>
      <c r="BB81" s="106">
        <v>2</v>
      </c>
      <c r="BC81" s="106">
        <v>1507.2</v>
      </c>
      <c r="BD81" s="106">
        <v>2</v>
      </c>
      <c r="BE81" s="106">
        <v>1507.2</v>
      </c>
      <c r="BF81" s="106">
        <v>4</v>
      </c>
      <c r="BG81" s="106">
        <v>3014.4</v>
      </c>
      <c r="BH81" s="106">
        <v>3</v>
      </c>
      <c r="BI81" s="106">
        <v>2260.8000000000002</v>
      </c>
      <c r="BJ81" s="106">
        <v>4</v>
      </c>
      <c r="BK81" s="106">
        <v>3014.4</v>
      </c>
      <c r="BL81" s="106">
        <v>3</v>
      </c>
      <c r="BM81" s="106">
        <v>2260.8000000000002</v>
      </c>
      <c r="BN81" s="106">
        <v>4</v>
      </c>
      <c r="BO81" s="106">
        <v>3014.4</v>
      </c>
      <c r="BP81" s="106">
        <v>3</v>
      </c>
      <c r="BQ81" s="106">
        <v>2260.8000000000002</v>
      </c>
      <c r="BR81" s="106">
        <v>3</v>
      </c>
      <c r="BS81" s="106">
        <v>2260.8000000000002</v>
      </c>
      <c r="BT81" s="106">
        <v>4</v>
      </c>
      <c r="BU81" s="106">
        <v>3014.4</v>
      </c>
      <c r="BV81" s="106">
        <v>5</v>
      </c>
      <c r="BW81" s="106">
        <v>3768</v>
      </c>
      <c r="BX81" s="106">
        <v>18</v>
      </c>
      <c r="BY81" s="106">
        <v>13564.800000000001</v>
      </c>
      <c r="BZ81" s="106">
        <v>16</v>
      </c>
      <c r="CA81" s="106">
        <v>12057.6</v>
      </c>
      <c r="CB81" s="106">
        <v>19</v>
      </c>
      <c r="CC81" s="106">
        <v>14318.4</v>
      </c>
      <c r="CD81" s="106">
        <v>24</v>
      </c>
      <c r="CE81" s="106">
        <v>18086.400000000001</v>
      </c>
      <c r="CF81" s="106">
        <v>3</v>
      </c>
      <c r="CG81" s="106">
        <v>2260.8000000000002</v>
      </c>
      <c r="CH81" s="106">
        <v>3</v>
      </c>
      <c r="CI81" s="106">
        <v>2260.8000000000002</v>
      </c>
      <c r="CJ81" s="106">
        <v>2</v>
      </c>
      <c r="CK81" s="106">
        <v>1507.2</v>
      </c>
      <c r="CL81" s="106">
        <v>3</v>
      </c>
      <c r="CM81" s="106">
        <v>2260.8000000000002</v>
      </c>
      <c r="CN81" s="106">
        <v>4</v>
      </c>
      <c r="CO81" s="106">
        <v>3014.4</v>
      </c>
      <c r="CP81" s="106">
        <v>6</v>
      </c>
      <c r="CQ81" s="106">
        <v>4521.6000000000004</v>
      </c>
      <c r="CR81" s="106">
        <v>3</v>
      </c>
      <c r="CS81" s="106">
        <v>2260.8000000000002</v>
      </c>
      <c r="CT81" s="106">
        <v>5</v>
      </c>
      <c r="CU81" s="106">
        <v>3768</v>
      </c>
    </row>
    <row r="82" spans="2:99" x14ac:dyDescent="0.2">
      <c r="C82" s="105" t="s">
        <v>247</v>
      </c>
      <c r="D82" s="106">
        <v>24</v>
      </c>
      <c r="E82" s="106">
        <v>12211.199999999997</v>
      </c>
      <c r="F82" s="106">
        <v>24</v>
      </c>
      <c r="G82" s="106">
        <v>12211.199999999997</v>
      </c>
      <c r="H82" s="106">
        <v>21</v>
      </c>
      <c r="I82" s="106">
        <v>10684.799999999997</v>
      </c>
      <c r="J82" s="106">
        <v>26</v>
      </c>
      <c r="K82" s="106">
        <v>13228.799999999997</v>
      </c>
      <c r="L82" s="106">
        <v>26</v>
      </c>
      <c r="M82" s="106">
        <v>13228.799999999997</v>
      </c>
      <c r="N82" s="106">
        <v>21</v>
      </c>
      <c r="O82" s="106">
        <v>10684.799999999997</v>
      </c>
      <c r="P82" s="106">
        <v>21</v>
      </c>
      <c r="Q82" s="106">
        <v>10684.799999999997</v>
      </c>
      <c r="R82" s="106">
        <v>25</v>
      </c>
      <c r="S82" s="106">
        <v>12719.999999999998</v>
      </c>
      <c r="T82" s="106">
        <v>19</v>
      </c>
      <c r="U82" s="106">
        <v>9667.1999999999989</v>
      </c>
      <c r="V82" s="106">
        <v>9</v>
      </c>
      <c r="W82" s="106">
        <v>4579.1999999999989</v>
      </c>
      <c r="X82" s="106">
        <v>12</v>
      </c>
      <c r="Y82" s="106">
        <v>6105.5999999999985</v>
      </c>
      <c r="Z82" s="106">
        <v>12</v>
      </c>
      <c r="AA82" s="106">
        <v>6105.5999999999985</v>
      </c>
      <c r="AB82" s="106">
        <v>9</v>
      </c>
      <c r="AC82" s="106">
        <v>4579.1999999999989</v>
      </c>
      <c r="AD82" s="106">
        <v>8</v>
      </c>
      <c r="AE82" s="106">
        <v>4070.3999999999992</v>
      </c>
      <c r="AF82" s="106">
        <v>10</v>
      </c>
      <c r="AG82" s="106">
        <v>5087.9999999999991</v>
      </c>
      <c r="AH82" s="106">
        <v>14</v>
      </c>
      <c r="AI82" s="106">
        <v>7123.1999999999989</v>
      </c>
      <c r="AJ82" s="106">
        <v>15</v>
      </c>
      <c r="AK82" s="106">
        <v>7631.9999999999982</v>
      </c>
      <c r="AL82" s="106">
        <v>17</v>
      </c>
      <c r="AM82" s="106">
        <v>8649.5999999999985</v>
      </c>
      <c r="AN82" s="106">
        <v>25</v>
      </c>
      <c r="AO82" s="106">
        <v>12719.999999999998</v>
      </c>
      <c r="AP82" s="106">
        <v>16</v>
      </c>
      <c r="AQ82" s="106">
        <v>8140.7999999999984</v>
      </c>
      <c r="AR82" s="106">
        <v>24</v>
      </c>
      <c r="AS82" s="106">
        <v>12211.199999999997</v>
      </c>
      <c r="AT82" s="106">
        <v>26</v>
      </c>
      <c r="AU82" s="106">
        <v>13228.799999999997</v>
      </c>
      <c r="AV82" s="106">
        <v>26</v>
      </c>
      <c r="AW82" s="106">
        <v>13228.799999999997</v>
      </c>
      <c r="AX82" s="106">
        <v>32</v>
      </c>
      <c r="AY82" s="106">
        <v>16281.599999999997</v>
      </c>
      <c r="AZ82" s="106">
        <v>4</v>
      </c>
      <c r="BA82" s="106">
        <v>2035.1999999999996</v>
      </c>
      <c r="BB82" s="106">
        <v>2</v>
      </c>
      <c r="BC82" s="106">
        <v>1017.5999999999998</v>
      </c>
      <c r="BD82" s="106">
        <v>2</v>
      </c>
      <c r="BE82" s="106">
        <v>1017.5999999999998</v>
      </c>
      <c r="BF82" s="106">
        <v>4</v>
      </c>
      <c r="BG82" s="106">
        <v>2035.1999999999996</v>
      </c>
      <c r="BH82" s="106">
        <v>3</v>
      </c>
      <c r="BI82" s="106">
        <v>1526.3999999999996</v>
      </c>
      <c r="BJ82" s="106">
        <v>4</v>
      </c>
      <c r="BK82" s="106">
        <v>2035.1999999999996</v>
      </c>
      <c r="BL82" s="106">
        <v>3</v>
      </c>
      <c r="BM82" s="106">
        <v>1526.3999999999996</v>
      </c>
      <c r="BN82" s="106">
        <v>3</v>
      </c>
      <c r="BO82" s="106">
        <v>1526.3999999999996</v>
      </c>
      <c r="BP82" s="106">
        <v>3</v>
      </c>
      <c r="BQ82" s="106">
        <v>1526.3999999999996</v>
      </c>
      <c r="BR82" s="106">
        <v>3</v>
      </c>
      <c r="BS82" s="106">
        <v>1526.3999999999996</v>
      </c>
      <c r="BT82" s="106">
        <v>5</v>
      </c>
      <c r="BU82" s="106">
        <v>2543.9999999999995</v>
      </c>
      <c r="BV82" s="106">
        <v>5</v>
      </c>
      <c r="BW82" s="106">
        <v>2543.9999999999995</v>
      </c>
      <c r="BX82" s="106">
        <v>17</v>
      </c>
      <c r="BY82" s="106">
        <v>8649.5999999999985</v>
      </c>
      <c r="BZ82" s="106">
        <v>16</v>
      </c>
      <c r="CA82" s="106">
        <v>8140.7999999999984</v>
      </c>
      <c r="CB82" s="106">
        <v>22</v>
      </c>
      <c r="CC82" s="106">
        <v>11193.599999999999</v>
      </c>
      <c r="CD82" s="106">
        <v>21</v>
      </c>
      <c r="CE82" s="106">
        <v>10684.799999999997</v>
      </c>
      <c r="CF82" s="106">
        <v>3</v>
      </c>
      <c r="CG82" s="106">
        <v>1526.3999999999996</v>
      </c>
      <c r="CH82" s="106">
        <v>3</v>
      </c>
      <c r="CI82" s="106">
        <v>1526.3999999999996</v>
      </c>
      <c r="CJ82" s="106">
        <v>2</v>
      </c>
      <c r="CK82" s="106">
        <v>1017.5999999999998</v>
      </c>
      <c r="CL82" s="106">
        <v>2</v>
      </c>
      <c r="CM82" s="106">
        <v>1017.5999999999998</v>
      </c>
      <c r="CN82" s="106">
        <v>5</v>
      </c>
      <c r="CO82" s="106">
        <v>2543.9999999999995</v>
      </c>
      <c r="CP82" s="106">
        <v>6</v>
      </c>
      <c r="CQ82" s="106">
        <v>3052.7999999999993</v>
      </c>
      <c r="CR82" s="106">
        <v>3</v>
      </c>
      <c r="CS82" s="106">
        <v>1526.3999999999996</v>
      </c>
      <c r="CT82" s="106">
        <v>4</v>
      </c>
      <c r="CU82" s="106">
        <v>2035.1999999999996</v>
      </c>
    </row>
    <row r="83" spans="2:99" x14ac:dyDescent="0.2">
      <c r="C83" s="105" t="s">
        <v>248</v>
      </c>
      <c r="D83" s="106">
        <v>24</v>
      </c>
      <c r="E83" s="106">
        <v>20649.599999999999</v>
      </c>
      <c r="F83" s="106">
        <v>24</v>
      </c>
      <c r="G83" s="106">
        <v>20649.599999999999</v>
      </c>
      <c r="H83" s="106">
        <v>19</v>
      </c>
      <c r="I83" s="106">
        <v>16347.6</v>
      </c>
      <c r="J83" s="106">
        <v>23</v>
      </c>
      <c r="K83" s="106">
        <v>19789.2</v>
      </c>
      <c r="L83" s="106">
        <v>27</v>
      </c>
      <c r="M83" s="106">
        <v>23230.799999999999</v>
      </c>
      <c r="N83" s="106">
        <v>21</v>
      </c>
      <c r="O83" s="106">
        <v>18068.399999999998</v>
      </c>
      <c r="P83" s="106">
        <v>21</v>
      </c>
      <c r="Q83" s="106">
        <v>18068.399999999998</v>
      </c>
      <c r="R83" s="106">
        <v>24</v>
      </c>
      <c r="S83" s="106">
        <v>20649.599999999999</v>
      </c>
      <c r="T83" s="106">
        <v>16</v>
      </c>
      <c r="U83" s="106">
        <v>13766.4</v>
      </c>
      <c r="V83" s="106">
        <v>9</v>
      </c>
      <c r="W83" s="106">
        <v>7743.5999999999995</v>
      </c>
      <c r="X83" s="106">
        <v>10</v>
      </c>
      <c r="Y83" s="106">
        <v>8604</v>
      </c>
      <c r="Z83" s="106">
        <v>11</v>
      </c>
      <c r="AA83" s="106">
        <v>9464.4</v>
      </c>
      <c r="AB83" s="106">
        <v>9</v>
      </c>
      <c r="AC83" s="106">
        <v>7743.5999999999995</v>
      </c>
      <c r="AD83" s="106">
        <v>8</v>
      </c>
      <c r="AE83" s="106">
        <v>6883.2</v>
      </c>
      <c r="AF83" s="106">
        <v>8</v>
      </c>
      <c r="AG83" s="106">
        <v>6883.2</v>
      </c>
      <c r="AH83" s="106">
        <v>15</v>
      </c>
      <c r="AI83" s="106">
        <v>12906</v>
      </c>
      <c r="AJ83" s="106">
        <v>16</v>
      </c>
      <c r="AK83" s="106">
        <v>13766.4</v>
      </c>
      <c r="AL83" s="106">
        <v>14</v>
      </c>
      <c r="AM83" s="106">
        <v>12045.6</v>
      </c>
      <c r="AN83" s="106">
        <v>25</v>
      </c>
      <c r="AO83" s="106">
        <v>21510</v>
      </c>
      <c r="AP83" s="106">
        <v>15</v>
      </c>
      <c r="AQ83" s="106">
        <v>12906</v>
      </c>
      <c r="AR83" s="106">
        <v>22</v>
      </c>
      <c r="AS83" s="106">
        <v>18928.8</v>
      </c>
      <c r="AT83" s="106">
        <v>22</v>
      </c>
      <c r="AU83" s="106">
        <v>18928.8</v>
      </c>
      <c r="AV83" s="106">
        <v>29</v>
      </c>
      <c r="AW83" s="106">
        <v>24951.599999999999</v>
      </c>
      <c r="AX83" s="106">
        <v>33</v>
      </c>
      <c r="AY83" s="106">
        <v>28393.200000000001</v>
      </c>
      <c r="AZ83" s="106">
        <v>3</v>
      </c>
      <c r="BA83" s="106">
        <v>2581.1999999999998</v>
      </c>
      <c r="BB83" s="106">
        <v>2</v>
      </c>
      <c r="BC83" s="106">
        <v>1720.8</v>
      </c>
      <c r="BD83" s="106">
        <v>2</v>
      </c>
      <c r="BE83" s="106">
        <v>1720.8</v>
      </c>
      <c r="BF83" s="106">
        <v>4</v>
      </c>
      <c r="BG83" s="106">
        <v>3441.6</v>
      </c>
      <c r="BH83" s="106">
        <v>3</v>
      </c>
      <c r="BI83" s="106">
        <v>2581.1999999999998</v>
      </c>
      <c r="BJ83" s="106">
        <v>3</v>
      </c>
      <c r="BK83" s="106">
        <v>2581.1999999999998</v>
      </c>
      <c r="BL83" s="106">
        <v>3</v>
      </c>
      <c r="BM83" s="106">
        <v>2581.1999999999998</v>
      </c>
      <c r="BN83" s="106">
        <v>3</v>
      </c>
      <c r="BO83" s="106">
        <v>2581.1999999999998</v>
      </c>
      <c r="BP83" s="106">
        <v>3</v>
      </c>
      <c r="BQ83" s="106">
        <v>2581.1999999999998</v>
      </c>
      <c r="BR83" s="106">
        <v>3</v>
      </c>
      <c r="BS83" s="106">
        <v>2581.1999999999998</v>
      </c>
      <c r="BT83" s="106">
        <v>5</v>
      </c>
      <c r="BU83" s="106">
        <v>4302</v>
      </c>
      <c r="BV83" s="106">
        <v>4</v>
      </c>
      <c r="BW83" s="106">
        <v>3441.6</v>
      </c>
      <c r="BX83" s="106">
        <v>15</v>
      </c>
      <c r="BY83" s="106">
        <v>12906</v>
      </c>
      <c r="BZ83" s="106">
        <v>17</v>
      </c>
      <c r="CA83" s="106">
        <v>14626.8</v>
      </c>
      <c r="CB83" s="106">
        <v>19</v>
      </c>
      <c r="CC83" s="106">
        <v>16347.6</v>
      </c>
      <c r="CD83" s="106">
        <v>22</v>
      </c>
      <c r="CE83" s="106">
        <v>18928.8</v>
      </c>
      <c r="CF83" s="106">
        <v>3</v>
      </c>
      <c r="CG83" s="106">
        <v>2581.1999999999998</v>
      </c>
      <c r="CH83" s="106">
        <v>3</v>
      </c>
      <c r="CI83" s="106">
        <v>2581.1999999999998</v>
      </c>
      <c r="CJ83" s="106">
        <v>2</v>
      </c>
      <c r="CK83" s="106">
        <v>1720.8</v>
      </c>
      <c r="CL83" s="106">
        <v>2</v>
      </c>
      <c r="CM83" s="106">
        <v>1720.8</v>
      </c>
      <c r="CN83" s="106">
        <v>4</v>
      </c>
      <c r="CO83" s="106">
        <v>3441.6</v>
      </c>
      <c r="CP83" s="106">
        <v>5</v>
      </c>
      <c r="CQ83" s="106">
        <v>4302</v>
      </c>
      <c r="CR83" s="106">
        <v>3</v>
      </c>
      <c r="CS83" s="106">
        <v>2581.1999999999998</v>
      </c>
      <c r="CT83" s="106">
        <v>4</v>
      </c>
      <c r="CU83" s="106">
        <v>3441.6</v>
      </c>
    </row>
    <row r="84" spans="2:99" x14ac:dyDescent="0.2">
      <c r="C84" s="105" t="s">
        <v>249</v>
      </c>
      <c r="D84" s="106">
        <v>24</v>
      </c>
      <c r="E84" s="106">
        <v>18748.8</v>
      </c>
      <c r="F84" s="106">
        <v>25</v>
      </c>
      <c r="G84" s="106">
        <v>19530</v>
      </c>
      <c r="H84" s="106">
        <v>18</v>
      </c>
      <c r="I84" s="106">
        <v>14061.599999999999</v>
      </c>
      <c r="J84" s="106">
        <v>26</v>
      </c>
      <c r="K84" s="106">
        <v>20311.199999999997</v>
      </c>
      <c r="L84" s="106">
        <v>28</v>
      </c>
      <c r="M84" s="106">
        <v>21873.599999999999</v>
      </c>
      <c r="N84" s="106">
        <v>23</v>
      </c>
      <c r="O84" s="106">
        <v>17967.599999999999</v>
      </c>
      <c r="P84" s="106">
        <v>21</v>
      </c>
      <c r="Q84" s="106">
        <v>16405.199999999997</v>
      </c>
      <c r="R84" s="106">
        <v>21</v>
      </c>
      <c r="S84" s="106">
        <v>16405.199999999997</v>
      </c>
      <c r="T84" s="106">
        <v>17</v>
      </c>
      <c r="U84" s="106">
        <v>13280.4</v>
      </c>
      <c r="V84" s="106">
        <v>10</v>
      </c>
      <c r="W84" s="106">
        <v>7811.9999999999991</v>
      </c>
      <c r="X84" s="106">
        <v>10</v>
      </c>
      <c r="Y84" s="106">
        <v>7811.9999999999991</v>
      </c>
      <c r="Z84" s="106">
        <v>12</v>
      </c>
      <c r="AA84" s="106">
        <v>9374.4</v>
      </c>
      <c r="AB84" s="106">
        <v>10</v>
      </c>
      <c r="AC84" s="106">
        <v>7811.9999999999991</v>
      </c>
      <c r="AD84" s="106">
        <v>8</v>
      </c>
      <c r="AE84" s="106">
        <v>6249.5999999999995</v>
      </c>
      <c r="AF84" s="106">
        <v>8</v>
      </c>
      <c r="AG84" s="106">
        <v>6249.5999999999995</v>
      </c>
      <c r="AH84" s="106">
        <v>13</v>
      </c>
      <c r="AI84" s="106">
        <v>10155.599999999999</v>
      </c>
      <c r="AJ84" s="106">
        <v>16</v>
      </c>
      <c r="AK84" s="106">
        <v>12499.199999999999</v>
      </c>
      <c r="AL84" s="106">
        <v>15</v>
      </c>
      <c r="AM84" s="106">
        <v>11717.999999999998</v>
      </c>
      <c r="AN84" s="106">
        <v>25</v>
      </c>
      <c r="AO84" s="106">
        <v>19530</v>
      </c>
      <c r="AP84" s="106">
        <v>14</v>
      </c>
      <c r="AQ84" s="106">
        <v>10936.8</v>
      </c>
      <c r="AR84" s="106">
        <v>22</v>
      </c>
      <c r="AS84" s="106">
        <v>17186.399999999998</v>
      </c>
      <c r="AT84" s="106">
        <v>24</v>
      </c>
      <c r="AU84" s="106">
        <v>18748.8</v>
      </c>
      <c r="AV84" s="106">
        <v>26</v>
      </c>
      <c r="AW84" s="106">
        <v>20311.199999999997</v>
      </c>
      <c r="AX84" s="106">
        <v>34</v>
      </c>
      <c r="AY84" s="106">
        <v>26560.799999999999</v>
      </c>
      <c r="AZ84" s="106">
        <v>3</v>
      </c>
      <c r="BA84" s="106">
        <v>2343.6</v>
      </c>
      <c r="BB84" s="106">
        <v>3</v>
      </c>
      <c r="BC84" s="106">
        <v>2343.6</v>
      </c>
      <c r="BD84" s="106">
        <v>2</v>
      </c>
      <c r="BE84" s="106">
        <v>1562.3999999999999</v>
      </c>
      <c r="BF84" s="106">
        <v>4</v>
      </c>
      <c r="BG84" s="106">
        <v>3124.7999999999997</v>
      </c>
      <c r="BH84" s="106">
        <v>4</v>
      </c>
      <c r="BI84" s="106">
        <v>3124.7999999999997</v>
      </c>
      <c r="BJ84" s="106">
        <v>3</v>
      </c>
      <c r="BK84" s="106">
        <v>2343.6</v>
      </c>
      <c r="BL84" s="106">
        <v>3</v>
      </c>
      <c r="BM84" s="106">
        <v>2343.6</v>
      </c>
      <c r="BN84" s="106">
        <v>4</v>
      </c>
      <c r="BO84" s="106">
        <v>3124.7999999999997</v>
      </c>
      <c r="BP84" s="106">
        <v>3</v>
      </c>
      <c r="BQ84" s="106">
        <v>2343.6</v>
      </c>
      <c r="BR84" s="106">
        <v>3</v>
      </c>
      <c r="BS84" s="106">
        <v>2343.6</v>
      </c>
      <c r="BT84" s="106">
        <v>4</v>
      </c>
      <c r="BU84" s="106">
        <v>3124.7999999999997</v>
      </c>
      <c r="BV84" s="106">
        <v>4</v>
      </c>
      <c r="BW84" s="106">
        <v>3124.7999999999997</v>
      </c>
      <c r="BX84" s="106">
        <v>16</v>
      </c>
      <c r="BY84" s="106">
        <v>12499.199999999999</v>
      </c>
      <c r="BZ84" s="106">
        <v>15</v>
      </c>
      <c r="CA84" s="106">
        <v>11717.999999999998</v>
      </c>
      <c r="CB84" s="106">
        <v>22</v>
      </c>
      <c r="CC84" s="106">
        <v>17186.399999999998</v>
      </c>
      <c r="CD84" s="106">
        <v>21</v>
      </c>
      <c r="CE84" s="106">
        <v>16405.199999999997</v>
      </c>
      <c r="CF84" s="106">
        <v>3</v>
      </c>
      <c r="CG84" s="106">
        <v>2343.6</v>
      </c>
      <c r="CH84" s="106">
        <v>3</v>
      </c>
      <c r="CI84" s="106">
        <v>2343.6</v>
      </c>
      <c r="CJ84" s="106">
        <v>2</v>
      </c>
      <c r="CK84" s="106">
        <v>1562.3999999999999</v>
      </c>
      <c r="CL84" s="106">
        <v>3</v>
      </c>
      <c r="CM84" s="106">
        <v>2343.6</v>
      </c>
      <c r="CN84" s="106">
        <v>4</v>
      </c>
      <c r="CO84" s="106">
        <v>3124.7999999999997</v>
      </c>
      <c r="CP84" s="106">
        <v>6</v>
      </c>
      <c r="CQ84" s="106">
        <v>4687.2</v>
      </c>
      <c r="CR84" s="106">
        <v>3</v>
      </c>
      <c r="CS84" s="106">
        <v>2343.6</v>
      </c>
      <c r="CT84" s="106">
        <v>4</v>
      </c>
      <c r="CU84" s="106">
        <v>3124.7999999999997</v>
      </c>
    </row>
    <row r="85" spans="2:99" x14ac:dyDescent="0.2">
      <c r="C85" s="105" t="s">
        <v>250</v>
      </c>
      <c r="D85" s="106">
        <v>23</v>
      </c>
      <c r="E85" s="106">
        <v>3450</v>
      </c>
      <c r="F85" s="106">
        <v>30</v>
      </c>
      <c r="G85" s="106">
        <v>4500</v>
      </c>
      <c r="H85" s="106">
        <v>21</v>
      </c>
      <c r="I85" s="106">
        <v>3150</v>
      </c>
      <c r="J85" s="106">
        <v>26</v>
      </c>
      <c r="K85" s="106">
        <v>3900</v>
      </c>
      <c r="L85" s="106">
        <v>29</v>
      </c>
      <c r="M85" s="106">
        <v>4350</v>
      </c>
      <c r="N85" s="106">
        <v>25</v>
      </c>
      <c r="O85" s="106">
        <v>3750</v>
      </c>
      <c r="P85" s="106">
        <v>23</v>
      </c>
      <c r="Q85" s="106">
        <v>3450</v>
      </c>
      <c r="R85" s="106">
        <v>26</v>
      </c>
      <c r="S85" s="106">
        <v>3900</v>
      </c>
      <c r="T85" s="106">
        <v>18</v>
      </c>
      <c r="U85" s="106">
        <v>2700</v>
      </c>
      <c r="V85" s="106">
        <v>10</v>
      </c>
      <c r="W85" s="106">
        <v>1500</v>
      </c>
      <c r="X85" s="106">
        <v>12</v>
      </c>
      <c r="Y85" s="106">
        <v>1800</v>
      </c>
      <c r="Z85" s="106">
        <v>13</v>
      </c>
      <c r="AA85" s="106">
        <v>1950</v>
      </c>
      <c r="AB85" s="106">
        <v>10</v>
      </c>
      <c r="AC85" s="106">
        <v>1500</v>
      </c>
      <c r="AD85" s="106">
        <v>9</v>
      </c>
      <c r="AE85" s="106">
        <v>1350</v>
      </c>
      <c r="AF85" s="106">
        <v>10</v>
      </c>
      <c r="AG85" s="106">
        <v>1500</v>
      </c>
      <c r="AH85" s="106">
        <v>16</v>
      </c>
      <c r="AI85" s="106">
        <v>2400</v>
      </c>
      <c r="AJ85" s="106">
        <v>19</v>
      </c>
      <c r="AK85" s="106">
        <v>2850</v>
      </c>
      <c r="AL85" s="106">
        <v>17</v>
      </c>
      <c r="AM85" s="106">
        <v>2550</v>
      </c>
      <c r="AN85" s="106">
        <v>28</v>
      </c>
      <c r="AO85" s="106">
        <v>4200</v>
      </c>
      <c r="AP85" s="106">
        <v>16</v>
      </c>
      <c r="AQ85" s="106">
        <v>2400</v>
      </c>
      <c r="AR85" s="106">
        <v>25</v>
      </c>
      <c r="AS85" s="106">
        <v>3750</v>
      </c>
      <c r="AT85" s="106">
        <v>24</v>
      </c>
      <c r="AU85" s="106">
        <v>3600</v>
      </c>
      <c r="AV85" s="106">
        <v>31</v>
      </c>
      <c r="AW85" s="106">
        <v>4650</v>
      </c>
      <c r="AX85" s="106">
        <v>35</v>
      </c>
      <c r="AY85" s="106">
        <v>5250</v>
      </c>
      <c r="AZ85" s="106">
        <v>4</v>
      </c>
      <c r="BA85" s="106">
        <v>600</v>
      </c>
      <c r="BB85" s="106">
        <v>3</v>
      </c>
      <c r="BC85" s="106">
        <v>450</v>
      </c>
      <c r="BD85" s="106">
        <v>2</v>
      </c>
      <c r="BE85" s="106">
        <v>300</v>
      </c>
      <c r="BF85" s="106">
        <v>4</v>
      </c>
      <c r="BG85" s="106">
        <v>600</v>
      </c>
      <c r="BH85" s="106">
        <v>4</v>
      </c>
      <c r="BI85" s="106">
        <v>600</v>
      </c>
      <c r="BJ85" s="106">
        <v>4</v>
      </c>
      <c r="BK85" s="106">
        <v>600</v>
      </c>
      <c r="BL85" s="106">
        <v>3</v>
      </c>
      <c r="BM85" s="106">
        <v>450</v>
      </c>
      <c r="BN85" s="106">
        <v>3</v>
      </c>
      <c r="BO85" s="106">
        <v>450</v>
      </c>
      <c r="BP85" s="106">
        <v>3</v>
      </c>
      <c r="BQ85" s="106">
        <v>450</v>
      </c>
      <c r="BR85" s="106">
        <v>3</v>
      </c>
      <c r="BS85" s="106">
        <v>450</v>
      </c>
      <c r="BT85" s="106">
        <v>5</v>
      </c>
      <c r="BU85" s="106">
        <v>750</v>
      </c>
      <c r="BV85" s="106">
        <v>5</v>
      </c>
      <c r="BW85" s="106">
        <v>750</v>
      </c>
      <c r="BX85" s="106">
        <v>19</v>
      </c>
      <c r="BY85" s="106">
        <v>2850</v>
      </c>
      <c r="BZ85" s="106">
        <v>17</v>
      </c>
      <c r="CA85" s="106">
        <v>2550</v>
      </c>
      <c r="CB85" s="106">
        <v>22</v>
      </c>
      <c r="CC85" s="106">
        <v>3300</v>
      </c>
      <c r="CD85" s="106">
        <v>22</v>
      </c>
      <c r="CE85" s="106">
        <v>3300</v>
      </c>
      <c r="CF85" s="106">
        <v>3</v>
      </c>
      <c r="CG85" s="106">
        <v>450</v>
      </c>
      <c r="CH85" s="106">
        <v>3</v>
      </c>
      <c r="CI85" s="106">
        <v>450</v>
      </c>
      <c r="CJ85" s="106">
        <v>2</v>
      </c>
      <c r="CK85" s="106">
        <v>300</v>
      </c>
      <c r="CL85" s="106">
        <v>2</v>
      </c>
      <c r="CM85" s="106">
        <v>300</v>
      </c>
      <c r="CN85" s="106">
        <v>5</v>
      </c>
      <c r="CO85" s="106">
        <v>750</v>
      </c>
      <c r="CP85" s="106">
        <v>7</v>
      </c>
      <c r="CQ85" s="106">
        <v>1050</v>
      </c>
      <c r="CR85" s="106">
        <v>3</v>
      </c>
      <c r="CS85" s="106">
        <v>450</v>
      </c>
      <c r="CT85" s="106">
        <v>4</v>
      </c>
      <c r="CU85" s="106">
        <v>600</v>
      </c>
    </row>
    <row r="86" spans="2:99" x14ac:dyDescent="0.2">
      <c r="C86" s="105" t="s">
        <v>251</v>
      </c>
      <c r="D86" s="106">
        <v>23</v>
      </c>
      <c r="E86" s="106">
        <v>12420</v>
      </c>
      <c r="F86" s="106">
        <v>26</v>
      </c>
      <c r="G86" s="106">
        <v>14040</v>
      </c>
      <c r="H86" s="106">
        <v>20</v>
      </c>
      <c r="I86" s="106">
        <v>10800</v>
      </c>
      <c r="J86" s="106">
        <v>25</v>
      </c>
      <c r="K86" s="106">
        <v>13500</v>
      </c>
      <c r="L86" s="106">
        <v>26</v>
      </c>
      <c r="M86" s="106">
        <v>14040</v>
      </c>
      <c r="N86" s="106">
        <v>22</v>
      </c>
      <c r="O86" s="106">
        <v>11880</v>
      </c>
      <c r="P86" s="106">
        <v>21</v>
      </c>
      <c r="Q86" s="106">
        <v>11340</v>
      </c>
      <c r="R86" s="106">
        <v>23</v>
      </c>
      <c r="S86" s="106">
        <v>12420</v>
      </c>
      <c r="T86" s="106">
        <v>19</v>
      </c>
      <c r="U86" s="106">
        <v>10260</v>
      </c>
      <c r="V86" s="106">
        <v>9</v>
      </c>
      <c r="W86" s="106">
        <v>4860</v>
      </c>
      <c r="X86" s="106">
        <v>10</v>
      </c>
      <c r="Y86" s="106">
        <v>5400</v>
      </c>
      <c r="Z86" s="106">
        <v>12</v>
      </c>
      <c r="AA86" s="106">
        <v>6480</v>
      </c>
      <c r="AB86" s="106">
        <v>9</v>
      </c>
      <c r="AC86" s="106">
        <v>4860</v>
      </c>
      <c r="AD86" s="106">
        <v>9</v>
      </c>
      <c r="AE86" s="106">
        <v>4860</v>
      </c>
      <c r="AF86" s="106">
        <v>9</v>
      </c>
      <c r="AG86" s="106">
        <v>4860</v>
      </c>
      <c r="AH86" s="106">
        <v>15</v>
      </c>
      <c r="AI86" s="106">
        <v>8100</v>
      </c>
      <c r="AJ86" s="106">
        <v>17</v>
      </c>
      <c r="AK86" s="106">
        <v>9180</v>
      </c>
      <c r="AL86" s="106">
        <v>16</v>
      </c>
      <c r="AM86" s="106">
        <v>8640</v>
      </c>
      <c r="AN86" s="106">
        <v>25</v>
      </c>
      <c r="AO86" s="106">
        <v>13500</v>
      </c>
      <c r="AP86" s="106">
        <v>16</v>
      </c>
      <c r="AQ86" s="106">
        <v>8640</v>
      </c>
      <c r="AR86" s="106">
        <v>23</v>
      </c>
      <c r="AS86" s="106">
        <v>12420</v>
      </c>
      <c r="AT86" s="106">
        <v>27</v>
      </c>
      <c r="AU86" s="106">
        <v>14580</v>
      </c>
      <c r="AV86" s="106">
        <v>27</v>
      </c>
      <c r="AW86" s="106">
        <v>14580</v>
      </c>
      <c r="AX86" s="106">
        <v>31</v>
      </c>
      <c r="AY86" s="106">
        <v>16740</v>
      </c>
      <c r="AZ86" s="106">
        <v>3</v>
      </c>
      <c r="BA86" s="106">
        <v>1620</v>
      </c>
      <c r="BB86" s="106">
        <v>3</v>
      </c>
      <c r="BC86" s="106">
        <v>1620</v>
      </c>
      <c r="BD86" s="106">
        <v>2</v>
      </c>
      <c r="BE86" s="106">
        <v>1080</v>
      </c>
      <c r="BF86" s="106">
        <v>4</v>
      </c>
      <c r="BG86" s="106">
        <v>2160</v>
      </c>
      <c r="BH86" s="106">
        <v>4</v>
      </c>
      <c r="BI86" s="106">
        <v>2160</v>
      </c>
      <c r="BJ86" s="106">
        <v>4</v>
      </c>
      <c r="BK86" s="106">
        <v>2160</v>
      </c>
      <c r="BL86" s="106">
        <v>3</v>
      </c>
      <c r="BM86" s="106">
        <v>1620</v>
      </c>
      <c r="BN86" s="106">
        <v>3</v>
      </c>
      <c r="BO86" s="106">
        <v>1620</v>
      </c>
      <c r="BP86" s="106">
        <v>3</v>
      </c>
      <c r="BQ86" s="106">
        <v>1620</v>
      </c>
      <c r="BR86" s="106">
        <v>3</v>
      </c>
      <c r="BS86" s="106">
        <v>1620</v>
      </c>
      <c r="BT86" s="106">
        <v>4</v>
      </c>
      <c r="BU86" s="106">
        <v>2160</v>
      </c>
      <c r="BV86" s="106">
        <v>5</v>
      </c>
      <c r="BW86" s="106">
        <v>2700</v>
      </c>
      <c r="BX86" s="106">
        <v>16</v>
      </c>
      <c r="BY86" s="106">
        <v>8640</v>
      </c>
      <c r="BZ86" s="106">
        <v>18</v>
      </c>
      <c r="CA86" s="106">
        <v>9720</v>
      </c>
      <c r="CB86" s="106">
        <v>20</v>
      </c>
      <c r="CC86" s="106">
        <v>10800</v>
      </c>
      <c r="CD86" s="106">
        <v>21</v>
      </c>
      <c r="CE86" s="106">
        <v>11340</v>
      </c>
      <c r="CF86" s="106">
        <v>2</v>
      </c>
      <c r="CG86" s="106">
        <v>1080</v>
      </c>
      <c r="CH86" s="106">
        <v>3</v>
      </c>
      <c r="CI86" s="106">
        <v>1620</v>
      </c>
      <c r="CJ86" s="106">
        <v>2</v>
      </c>
      <c r="CK86" s="106">
        <v>1080</v>
      </c>
      <c r="CL86" s="106">
        <v>3</v>
      </c>
      <c r="CM86" s="106">
        <v>1620</v>
      </c>
      <c r="CN86" s="106">
        <v>5</v>
      </c>
      <c r="CO86" s="106">
        <v>2700</v>
      </c>
      <c r="CP86" s="106">
        <v>6</v>
      </c>
      <c r="CQ86" s="106">
        <v>3240</v>
      </c>
      <c r="CR86" s="106">
        <v>3</v>
      </c>
      <c r="CS86" s="106">
        <v>1620</v>
      </c>
      <c r="CT86" s="106">
        <v>5</v>
      </c>
      <c r="CU86" s="106">
        <v>2700</v>
      </c>
    </row>
    <row r="87" spans="2:99" x14ac:dyDescent="0.2">
      <c r="B87" s="105" t="s">
        <v>131</v>
      </c>
      <c r="C87" s="105" t="s">
        <v>252</v>
      </c>
      <c r="D87" s="106">
        <v>5</v>
      </c>
      <c r="E87" s="106">
        <v>9774</v>
      </c>
      <c r="F87" s="106">
        <v>4</v>
      </c>
      <c r="G87" s="106">
        <v>7819.2</v>
      </c>
      <c r="H87" s="106">
        <v>4</v>
      </c>
      <c r="I87" s="106">
        <v>7819.2</v>
      </c>
      <c r="J87" s="106">
        <v>4</v>
      </c>
      <c r="K87" s="106">
        <v>7819.2</v>
      </c>
      <c r="L87" s="106">
        <v>6</v>
      </c>
      <c r="M87" s="106">
        <v>11728.8</v>
      </c>
      <c r="N87" s="106">
        <v>7</v>
      </c>
      <c r="O87" s="106">
        <v>13683.6</v>
      </c>
      <c r="P87" s="106">
        <v>5</v>
      </c>
      <c r="Q87" s="106">
        <v>9774</v>
      </c>
      <c r="R87" s="106">
        <v>5</v>
      </c>
      <c r="S87" s="106">
        <v>9774</v>
      </c>
      <c r="T87" s="106">
        <v>6</v>
      </c>
      <c r="U87" s="106">
        <v>11728.8</v>
      </c>
      <c r="V87" s="106">
        <v>8</v>
      </c>
      <c r="W87" s="106">
        <v>15638.4</v>
      </c>
      <c r="X87" s="106">
        <v>5</v>
      </c>
      <c r="Y87" s="106">
        <v>9774</v>
      </c>
      <c r="Z87" s="106">
        <v>5</v>
      </c>
      <c r="AA87" s="106">
        <v>9774</v>
      </c>
      <c r="AB87" s="106">
        <v>9</v>
      </c>
      <c r="AC87" s="106">
        <v>17593.2</v>
      </c>
      <c r="AD87" s="106">
        <v>14</v>
      </c>
      <c r="AE87" s="106">
        <v>27367.200000000001</v>
      </c>
      <c r="AF87" s="106">
        <v>11</v>
      </c>
      <c r="AG87" s="106">
        <v>21502.799999999999</v>
      </c>
      <c r="AH87" s="106">
        <v>12</v>
      </c>
      <c r="AI87" s="106">
        <v>23457.599999999999</v>
      </c>
      <c r="AJ87" s="106">
        <v>9</v>
      </c>
      <c r="AK87" s="106">
        <v>17593.2</v>
      </c>
      <c r="AL87" s="106">
        <v>8</v>
      </c>
      <c r="AM87" s="106">
        <v>15638.4</v>
      </c>
      <c r="AN87" s="106">
        <v>6</v>
      </c>
      <c r="AO87" s="106">
        <v>11728.8</v>
      </c>
      <c r="AP87" s="106">
        <v>11</v>
      </c>
      <c r="AQ87" s="106">
        <v>21502.799999999999</v>
      </c>
      <c r="AR87" s="106">
        <v>25</v>
      </c>
      <c r="AS87" s="106">
        <v>48870</v>
      </c>
      <c r="AT87" s="106">
        <v>15</v>
      </c>
      <c r="AU87" s="106">
        <v>29322</v>
      </c>
      <c r="AV87" s="106">
        <v>15</v>
      </c>
      <c r="AW87" s="106">
        <v>29322</v>
      </c>
      <c r="AX87" s="106">
        <v>20</v>
      </c>
      <c r="AY87" s="106">
        <v>39096</v>
      </c>
      <c r="AZ87" s="106">
        <v>4</v>
      </c>
      <c r="BA87" s="106">
        <v>7819.2</v>
      </c>
      <c r="BB87" s="106">
        <v>4</v>
      </c>
      <c r="BC87" s="106">
        <v>7819.2</v>
      </c>
      <c r="BD87" s="106">
        <v>4</v>
      </c>
      <c r="BE87" s="106">
        <v>7819.2</v>
      </c>
      <c r="BF87" s="106">
        <v>5</v>
      </c>
      <c r="BG87" s="106">
        <v>9774</v>
      </c>
      <c r="BH87" s="106">
        <v>9</v>
      </c>
      <c r="BI87" s="106">
        <v>17593.2</v>
      </c>
      <c r="BJ87" s="106">
        <v>11</v>
      </c>
      <c r="BK87" s="106">
        <v>21502.799999999999</v>
      </c>
      <c r="BL87" s="106">
        <v>6</v>
      </c>
      <c r="BM87" s="106">
        <v>11728.8</v>
      </c>
      <c r="BN87" s="106">
        <v>10</v>
      </c>
      <c r="BO87" s="106">
        <v>19548</v>
      </c>
      <c r="BP87" s="106">
        <v>14</v>
      </c>
      <c r="BQ87" s="106">
        <v>27367.200000000001</v>
      </c>
      <c r="BR87" s="106">
        <v>17</v>
      </c>
      <c r="BS87" s="106">
        <v>33231.599999999999</v>
      </c>
      <c r="BT87" s="106">
        <v>12</v>
      </c>
      <c r="BU87" s="106">
        <v>23457.599999999999</v>
      </c>
      <c r="BV87" s="106">
        <v>19</v>
      </c>
      <c r="BW87" s="106">
        <v>37141.199999999997</v>
      </c>
      <c r="BX87" s="106">
        <v>7</v>
      </c>
      <c r="BY87" s="106">
        <v>13683.6</v>
      </c>
      <c r="BZ87" s="106">
        <v>9</v>
      </c>
      <c r="CA87" s="106">
        <v>17593.2</v>
      </c>
      <c r="CB87" s="106">
        <v>9</v>
      </c>
      <c r="CC87" s="106">
        <v>17593.2</v>
      </c>
      <c r="CD87" s="106">
        <v>10</v>
      </c>
      <c r="CE87" s="106">
        <v>19548</v>
      </c>
      <c r="CF87" s="106">
        <v>3</v>
      </c>
      <c r="CG87" s="106">
        <v>5864.4</v>
      </c>
      <c r="CH87" s="106">
        <v>3</v>
      </c>
      <c r="CI87" s="106">
        <v>5864.4</v>
      </c>
      <c r="CJ87" s="106">
        <v>3</v>
      </c>
      <c r="CK87" s="106">
        <v>5864.4</v>
      </c>
      <c r="CL87" s="106">
        <v>4</v>
      </c>
      <c r="CM87" s="106">
        <v>7819.2</v>
      </c>
      <c r="CN87" s="106">
        <v>4</v>
      </c>
      <c r="CO87" s="106">
        <v>7819.2</v>
      </c>
      <c r="CP87" s="106">
        <v>2</v>
      </c>
      <c r="CQ87" s="106">
        <v>3909.6</v>
      </c>
      <c r="CR87" s="106">
        <v>3</v>
      </c>
      <c r="CS87" s="106">
        <v>5864.4</v>
      </c>
      <c r="CT87" s="106">
        <v>3</v>
      </c>
      <c r="CU87" s="106">
        <v>5864.4</v>
      </c>
    </row>
    <row r="88" spans="2:99" x14ac:dyDescent="0.2">
      <c r="C88" s="105" t="s">
        <v>253</v>
      </c>
      <c r="D88" s="106">
        <v>5</v>
      </c>
      <c r="E88" s="106">
        <v>9462</v>
      </c>
      <c r="F88" s="106">
        <v>4</v>
      </c>
      <c r="G88" s="106">
        <v>7569.5999999999995</v>
      </c>
      <c r="H88" s="106">
        <v>4</v>
      </c>
      <c r="I88" s="106">
        <v>7569.5999999999995</v>
      </c>
      <c r="J88" s="106">
        <v>4</v>
      </c>
      <c r="K88" s="106">
        <v>7569.5999999999995</v>
      </c>
      <c r="L88" s="106">
        <v>7</v>
      </c>
      <c r="M88" s="106">
        <v>13246.8</v>
      </c>
      <c r="N88" s="106">
        <v>7</v>
      </c>
      <c r="O88" s="106">
        <v>13246.8</v>
      </c>
      <c r="P88" s="106">
        <v>5</v>
      </c>
      <c r="Q88" s="106">
        <v>9462</v>
      </c>
      <c r="R88" s="106">
        <v>6</v>
      </c>
      <c r="S88" s="106">
        <v>11354.4</v>
      </c>
      <c r="T88" s="106">
        <v>7</v>
      </c>
      <c r="U88" s="106">
        <v>13246.8</v>
      </c>
      <c r="V88" s="106">
        <v>8</v>
      </c>
      <c r="W88" s="106">
        <v>15139.199999999999</v>
      </c>
      <c r="X88" s="106">
        <v>5</v>
      </c>
      <c r="Y88" s="106">
        <v>9462</v>
      </c>
      <c r="Z88" s="106">
        <v>5</v>
      </c>
      <c r="AA88" s="106">
        <v>9462</v>
      </c>
      <c r="AB88" s="106">
        <v>9</v>
      </c>
      <c r="AC88" s="106">
        <v>17031.599999999999</v>
      </c>
      <c r="AD88" s="106">
        <v>14</v>
      </c>
      <c r="AE88" s="106">
        <v>26493.599999999999</v>
      </c>
      <c r="AF88" s="106">
        <v>10</v>
      </c>
      <c r="AG88" s="106">
        <v>18924</v>
      </c>
      <c r="AH88" s="106">
        <v>11</v>
      </c>
      <c r="AI88" s="106">
        <v>20816.399999999998</v>
      </c>
      <c r="AJ88" s="106">
        <v>8</v>
      </c>
      <c r="AK88" s="106">
        <v>15139.199999999999</v>
      </c>
      <c r="AL88" s="106">
        <v>8</v>
      </c>
      <c r="AM88" s="106">
        <v>15139.199999999999</v>
      </c>
      <c r="AN88" s="106">
        <v>7</v>
      </c>
      <c r="AO88" s="106">
        <v>13246.8</v>
      </c>
      <c r="AP88" s="106">
        <v>11</v>
      </c>
      <c r="AQ88" s="106">
        <v>20816.399999999998</v>
      </c>
      <c r="AR88" s="106">
        <v>23</v>
      </c>
      <c r="AS88" s="106">
        <v>43525.2</v>
      </c>
      <c r="AT88" s="106">
        <v>18</v>
      </c>
      <c r="AU88" s="106">
        <v>34063.199999999997</v>
      </c>
      <c r="AV88" s="106">
        <v>17</v>
      </c>
      <c r="AW88" s="106">
        <v>32170.799999999999</v>
      </c>
      <c r="AX88" s="106">
        <v>21</v>
      </c>
      <c r="AY88" s="106">
        <v>39740.399999999994</v>
      </c>
      <c r="AZ88" s="106">
        <v>3</v>
      </c>
      <c r="BA88" s="106">
        <v>5677.2</v>
      </c>
      <c r="BB88" s="106">
        <v>4</v>
      </c>
      <c r="BC88" s="106">
        <v>7569.5999999999995</v>
      </c>
      <c r="BD88" s="106">
        <v>4</v>
      </c>
      <c r="BE88" s="106">
        <v>7569.5999999999995</v>
      </c>
      <c r="BF88" s="106">
        <v>4</v>
      </c>
      <c r="BG88" s="106">
        <v>7569.5999999999995</v>
      </c>
      <c r="BH88" s="106">
        <v>10</v>
      </c>
      <c r="BI88" s="106">
        <v>18924</v>
      </c>
      <c r="BJ88" s="106">
        <v>10</v>
      </c>
      <c r="BK88" s="106">
        <v>18924</v>
      </c>
      <c r="BL88" s="106">
        <v>7</v>
      </c>
      <c r="BM88" s="106">
        <v>13246.8</v>
      </c>
      <c r="BN88" s="106">
        <v>10</v>
      </c>
      <c r="BO88" s="106">
        <v>18924</v>
      </c>
      <c r="BP88" s="106">
        <v>13</v>
      </c>
      <c r="BQ88" s="106">
        <v>24601.199999999997</v>
      </c>
      <c r="BR88" s="106">
        <v>16</v>
      </c>
      <c r="BS88" s="106">
        <v>30278.399999999998</v>
      </c>
      <c r="BT88" s="106">
        <v>11</v>
      </c>
      <c r="BU88" s="106">
        <v>20816.399999999998</v>
      </c>
      <c r="BV88" s="106">
        <v>18</v>
      </c>
      <c r="BW88" s="106">
        <v>34063.199999999997</v>
      </c>
      <c r="BX88" s="106">
        <v>6</v>
      </c>
      <c r="BY88" s="106">
        <v>11354.4</v>
      </c>
      <c r="BZ88" s="106">
        <v>9</v>
      </c>
      <c r="CA88" s="106">
        <v>17031.599999999999</v>
      </c>
      <c r="CB88" s="106">
        <v>9</v>
      </c>
      <c r="CC88" s="106">
        <v>17031.599999999999</v>
      </c>
      <c r="CD88" s="106">
        <v>11</v>
      </c>
      <c r="CE88" s="106">
        <v>20816.399999999998</v>
      </c>
      <c r="CF88" s="106">
        <v>4</v>
      </c>
      <c r="CG88" s="106">
        <v>7569.5999999999995</v>
      </c>
      <c r="CH88" s="106">
        <v>4</v>
      </c>
      <c r="CI88" s="106">
        <v>7569.5999999999995</v>
      </c>
      <c r="CJ88" s="106">
        <v>3</v>
      </c>
      <c r="CK88" s="106">
        <v>5677.2</v>
      </c>
      <c r="CL88" s="106">
        <v>4</v>
      </c>
      <c r="CM88" s="106">
        <v>7569.5999999999995</v>
      </c>
      <c r="CN88" s="106">
        <v>4</v>
      </c>
      <c r="CO88" s="106">
        <v>7569.5999999999995</v>
      </c>
      <c r="CP88" s="106">
        <v>2</v>
      </c>
      <c r="CQ88" s="106">
        <v>3784.7999999999997</v>
      </c>
      <c r="CR88" s="106">
        <v>2</v>
      </c>
      <c r="CS88" s="106">
        <v>3784.7999999999997</v>
      </c>
      <c r="CT88" s="106">
        <v>2</v>
      </c>
      <c r="CU88" s="106">
        <v>3784.7999999999997</v>
      </c>
    </row>
    <row r="89" spans="2:99" x14ac:dyDescent="0.2">
      <c r="C89" s="105" t="s">
        <v>254</v>
      </c>
      <c r="D89" s="106">
        <v>5</v>
      </c>
      <c r="E89" s="106">
        <v>11988</v>
      </c>
      <c r="F89" s="106">
        <v>3</v>
      </c>
      <c r="G89" s="106">
        <v>7192.7999999999993</v>
      </c>
      <c r="H89" s="106">
        <v>4</v>
      </c>
      <c r="I89" s="106">
        <v>9590.4</v>
      </c>
      <c r="J89" s="106">
        <v>4</v>
      </c>
      <c r="K89" s="106">
        <v>9590.4</v>
      </c>
      <c r="L89" s="106">
        <v>6</v>
      </c>
      <c r="M89" s="106">
        <v>14385.599999999999</v>
      </c>
      <c r="N89" s="106">
        <v>6</v>
      </c>
      <c r="O89" s="106">
        <v>14385.599999999999</v>
      </c>
      <c r="P89" s="106">
        <v>5</v>
      </c>
      <c r="Q89" s="106">
        <v>11988</v>
      </c>
      <c r="R89" s="106">
        <v>5</v>
      </c>
      <c r="S89" s="106">
        <v>11988</v>
      </c>
      <c r="T89" s="106">
        <v>6</v>
      </c>
      <c r="U89" s="106">
        <v>14385.599999999999</v>
      </c>
      <c r="V89" s="106">
        <v>8</v>
      </c>
      <c r="W89" s="106">
        <v>19180.8</v>
      </c>
      <c r="X89" s="106">
        <v>6</v>
      </c>
      <c r="Y89" s="106">
        <v>14385.599999999999</v>
      </c>
      <c r="Z89" s="106">
        <v>5</v>
      </c>
      <c r="AA89" s="106">
        <v>11988</v>
      </c>
      <c r="AB89" s="106">
        <v>9</v>
      </c>
      <c r="AC89" s="106">
        <v>21578.399999999998</v>
      </c>
      <c r="AD89" s="106">
        <v>14</v>
      </c>
      <c r="AE89" s="106">
        <v>33566.400000000001</v>
      </c>
      <c r="AF89" s="106">
        <v>10</v>
      </c>
      <c r="AG89" s="106">
        <v>23976</v>
      </c>
      <c r="AH89" s="106">
        <v>11</v>
      </c>
      <c r="AI89" s="106">
        <v>26373.599999999999</v>
      </c>
      <c r="AJ89" s="106">
        <v>8</v>
      </c>
      <c r="AK89" s="106">
        <v>19180.8</v>
      </c>
      <c r="AL89" s="106">
        <v>8</v>
      </c>
      <c r="AM89" s="106">
        <v>19180.8</v>
      </c>
      <c r="AN89" s="106">
        <v>7</v>
      </c>
      <c r="AO89" s="106">
        <v>16783.2</v>
      </c>
      <c r="AP89" s="106">
        <v>12</v>
      </c>
      <c r="AQ89" s="106">
        <v>28771.199999999997</v>
      </c>
      <c r="AR89" s="106">
        <v>23</v>
      </c>
      <c r="AS89" s="106">
        <v>55144.799999999996</v>
      </c>
      <c r="AT89" s="106">
        <v>17</v>
      </c>
      <c r="AU89" s="106">
        <v>40759.199999999997</v>
      </c>
      <c r="AV89" s="106">
        <v>15</v>
      </c>
      <c r="AW89" s="106">
        <v>35964</v>
      </c>
      <c r="AX89" s="106">
        <v>18</v>
      </c>
      <c r="AY89" s="106">
        <v>43156.799999999996</v>
      </c>
      <c r="AZ89" s="106">
        <v>3</v>
      </c>
      <c r="BA89" s="106">
        <v>7192.7999999999993</v>
      </c>
      <c r="BB89" s="106">
        <v>3</v>
      </c>
      <c r="BC89" s="106">
        <v>7192.7999999999993</v>
      </c>
      <c r="BD89" s="106">
        <v>5</v>
      </c>
      <c r="BE89" s="106">
        <v>11988</v>
      </c>
      <c r="BF89" s="106">
        <v>4</v>
      </c>
      <c r="BG89" s="106">
        <v>9590.4</v>
      </c>
      <c r="BH89" s="106">
        <v>9</v>
      </c>
      <c r="BI89" s="106">
        <v>21578.399999999998</v>
      </c>
      <c r="BJ89" s="106">
        <v>8</v>
      </c>
      <c r="BK89" s="106">
        <v>19180.8</v>
      </c>
      <c r="BL89" s="106">
        <v>6</v>
      </c>
      <c r="BM89" s="106">
        <v>14385.599999999999</v>
      </c>
      <c r="BN89" s="106">
        <v>10</v>
      </c>
      <c r="BO89" s="106">
        <v>23976</v>
      </c>
      <c r="BP89" s="106">
        <v>13</v>
      </c>
      <c r="BQ89" s="106">
        <v>31168.799999999999</v>
      </c>
      <c r="BR89" s="106">
        <v>15</v>
      </c>
      <c r="BS89" s="106">
        <v>35964</v>
      </c>
      <c r="BT89" s="106">
        <v>11</v>
      </c>
      <c r="BU89" s="106">
        <v>26373.599999999999</v>
      </c>
      <c r="BV89" s="106">
        <v>16</v>
      </c>
      <c r="BW89" s="106">
        <v>38361.599999999999</v>
      </c>
      <c r="BX89" s="106">
        <v>6</v>
      </c>
      <c r="BY89" s="106">
        <v>14385.599999999999</v>
      </c>
      <c r="BZ89" s="106">
        <v>8</v>
      </c>
      <c r="CA89" s="106">
        <v>19180.8</v>
      </c>
      <c r="CB89" s="106">
        <v>9</v>
      </c>
      <c r="CC89" s="106">
        <v>21578.399999999998</v>
      </c>
      <c r="CD89" s="106">
        <v>9</v>
      </c>
      <c r="CE89" s="106">
        <v>21578.399999999998</v>
      </c>
      <c r="CF89" s="106">
        <v>3</v>
      </c>
      <c r="CG89" s="106">
        <v>7192.7999999999993</v>
      </c>
      <c r="CH89" s="106">
        <v>3</v>
      </c>
      <c r="CI89" s="106">
        <v>7192.7999999999993</v>
      </c>
      <c r="CJ89" s="106">
        <v>3</v>
      </c>
      <c r="CK89" s="106">
        <v>7192.7999999999993</v>
      </c>
      <c r="CL89" s="106">
        <v>4</v>
      </c>
      <c r="CM89" s="106">
        <v>9590.4</v>
      </c>
      <c r="CN89" s="106">
        <v>4</v>
      </c>
      <c r="CO89" s="106">
        <v>9590.4</v>
      </c>
      <c r="CP89" s="106">
        <v>2</v>
      </c>
      <c r="CQ89" s="106">
        <v>4795.2</v>
      </c>
      <c r="CR89" s="106">
        <v>3</v>
      </c>
      <c r="CS89" s="106">
        <v>7192.7999999999993</v>
      </c>
      <c r="CT89" s="106">
        <v>3</v>
      </c>
      <c r="CU89" s="106">
        <v>7192.7999999999993</v>
      </c>
    </row>
    <row r="90" spans="2:99" x14ac:dyDescent="0.2">
      <c r="C90" s="105" t="s">
        <v>255</v>
      </c>
      <c r="D90" s="106">
        <v>5</v>
      </c>
      <c r="E90" s="106">
        <v>10986</v>
      </c>
      <c r="F90" s="106">
        <v>4</v>
      </c>
      <c r="G90" s="106">
        <v>8788.7999999999993</v>
      </c>
      <c r="H90" s="106">
        <v>5</v>
      </c>
      <c r="I90" s="106">
        <v>10986</v>
      </c>
      <c r="J90" s="106">
        <v>4</v>
      </c>
      <c r="K90" s="106">
        <v>8788.7999999999993</v>
      </c>
      <c r="L90" s="106">
        <v>6</v>
      </c>
      <c r="M90" s="106">
        <v>13183.199999999999</v>
      </c>
      <c r="N90" s="106">
        <v>7</v>
      </c>
      <c r="O90" s="106">
        <v>15380.399999999998</v>
      </c>
      <c r="P90" s="106">
        <v>5</v>
      </c>
      <c r="Q90" s="106">
        <v>10986</v>
      </c>
      <c r="R90" s="106">
        <v>5</v>
      </c>
      <c r="S90" s="106">
        <v>10986</v>
      </c>
      <c r="T90" s="106">
        <v>6</v>
      </c>
      <c r="U90" s="106">
        <v>13183.199999999999</v>
      </c>
      <c r="V90" s="106">
        <v>8</v>
      </c>
      <c r="W90" s="106">
        <v>17577.599999999999</v>
      </c>
      <c r="X90" s="106">
        <v>6</v>
      </c>
      <c r="Y90" s="106">
        <v>13183.199999999999</v>
      </c>
      <c r="Z90" s="106">
        <v>6</v>
      </c>
      <c r="AA90" s="106">
        <v>13183.199999999999</v>
      </c>
      <c r="AB90" s="106">
        <v>8</v>
      </c>
      <c r="AC90" s="106">
        <v>17577.599999999999</v>
      </c>
      <c r="AD90" s="106">
        <v>14</v>
      </c>
      <c r="AE90" s="106">
        <v>30760.799999999996</v>
      </c>
      <c r="AF90" s="106">
        <v>10</v>
      </c>
      <c r="AG90" s="106">
        <v>21972</v>
      </c>
      <c r="AH90" s="106">
        <v>11</v>
      </c>
      <c r="AI90" s="106">
        <v>24169.199999999997</v>
      </c>
      <c r="AJ90" s="106">
        <v>8</v>
      </c>
      <c r="AK90" s="106">
        <v>17577.599999999999</v>
      </c>
      <c r="AL90" s="106">
        <v>9</v>
      </c>
      <c r="AM90" s="106">
        <v>19774.8</v>
      </c>
      <c r="AN90" s="106">
        <v>6</v>
      </c>
      <c r="AO90" s="106">
        <v>13183.199999999999</v>
      </c>
      <c r="AP90" s="106">
        <v>13</v>
      </c>
      <c r="AQ90" s="106">
        <v>28563.599999999999</v>
      </c>
      <c r="AR90" s="106">
        <v>20</v>
      </c>
      <c r="AS90" s="106">
        <v>43944</v>
      </c>
      <c r="AT90" s="106">
        <v>16</v>
      </c>
      <c r="AU90" s="106">
        <v>35155.199999999997</v>
      </c>
      <c r="AV90" s="106">
        <v>15</v>
      </c>
      <c r="AW90" s="106">
        <v>32958</v>
      </c>
      <c r="AX90" s="106">
        <v>22</v>
      </c>
      <c r="AY90" s="106">
        <v>48338.399999999994</v>
      </c>
      <c r="AZ90" s="106">
        <v>3</v>
      </c>
      <c r="BA90" s="106">
        <v>6591.5999999999995</v>
      </c>
      <c r="BB90" s="106">
        <v>4</v>
      </c>
      <c r="BC90" s="106">
        <v>8788.7999999999993</v>
      </c>
      <c r="BD90" s="106">
        <v>5</v>
      </c>
      <c r="BE90" s="106">
        <v>10986</v>
      </c>
      <c r="BF90" s="106">
        <v>5</v>
      </c>
      <c r="BG90" s="106">
        <v>10986</v>
      </c>
      <c r="BH90" s="106">
        <v>10</v>
      </c>
      <c r="BI90" s="106">
        <v>21972</v>
      </c>
      <c r="BJ90" s="106">
        <v>9</v>
      </c>
      <c r="BK90" s="106">
        <v>19774.8</v>
      </c>
      <c r="BL90" s="106">
        <v>6</v>
      </c>
      <c r="BM90" s="106">
        <v>13183.199999999999</v>
      </c>
      <c r="BN90" s="106">
        <v>9</v>
      </c>
      <c r="BO90" s="106">
        <v>19774.8</v>
      </c>
      <c r="BP90" s="106">
        <v>14</v>
      </c>
      <c r="BQ90" s="106">
        <v>30760.799999999996</v>
      </c>
      <c r="BR90" s="106">
        <v>15</v>
      </c>
      <c r="BS90" s="106">
        <v>32958</v>
      </c>
      <c r="BT90" s="106">
        <v>12</v>
      </c>
      <c r="BU90" s="106">
        <v>26366.399999999998</v>
      </c>
      <c r="BV90" s="106">
        <v>19</v>
      </c>
      <c r="BW90" s="106">
        <v>41746.799999999996</v>
      </c>
      <c r="BX90" s="106">
        <v>6</v>
      </c>
      <c r="BY90" s="106">
        <v>13183.199999999999</v>
      </c>
      <c r="BZ90" s="106">
        <v>8</v>
      </c>
      <c r="CA90" s="106">
        <v>17577.599999999999</v>
      </c>
      <c r="CB90" s="106">
        <v>8</v>
      </c>
      <c r="CC90" s="106">
        <v>17577.599999999999</v>
      </c>
      <c r="CD90" s="106">
        <v>9</v>
      </c>
      <c r="CE90" s="106">
        <v>19774.8</v>
      </c>
      <c r="CF90" s="106">
        <v>3</v>
      </c>
      <c r="CG90" s="106">
        <v>6591.5999999999995</v>
      </c>
      <c r="CH90" s="106">
        <v>4</v>
      </c>
      <c r="CI90" s="106">
        <v>8788.7999999999993</v>
      </c>
      <c r="CJ90" s="106">
        <v>3</v>
      </c>
      <c r="CK90" s="106">
        <v>6591.5999999999995</v>
      </c>
      <c r="CL90" s="106">
        <v>4</v>
      </c>
      <c r="CM90" s="106">
        <v>8788.7999999999993</v>
      </c>
      <c r="CN90" s="106">
        <v>4</v>
      </c>
      <c r="CO90" s="106">
        <v>8788.7999999999993</v>
      </c>
      <c r="CP90" s="106">
        <v>2</v>
      </c>
      <c r="CQ90" s="106">
        <v>4394.3999999999996</v>
      </c>
      <c r="CR90" s="106">
        <v>3</v>
      </c>
      <c r="CS90" s="106">
        <v>6591.5999999999995</v>
      </c>
      <c r="CT90" s="106">
        <v>3</v>
      </c>
      <c r="CU90" s="106">
        <v>6591.5999999999995</v>
      </c>
    </row>
    <row r="91" spans="2:99" x14ac:dyDescent="0.2">
      <c r="C91" s="105" t="s">
        <v>256</v>
      </c>
      <c r="D91" s="106">
        <v>5</v>
      </c>
      <c r="E91" s="106">
        <v>11483.999999999998</v>
      </c>
      <c r="F91" s="106">
        <v>4</v>
      </c>
      <c r="G91" s="106">
        <v>9187.1999999999989</v>
      </c>
      <c r="H91" s="106">
        <v>4</v>
      </c>
      <c r="I91" s="106">
        <v>9187.1999999999989</v>
      </c>
      <c r="J91" s="106">
        <v>4</v>
      </c>
      <c r="K91" s="106">
        <v>9187.1999999999989</v>
      </c>
      <c r="L91" s="106">
        <v>6</v>
      </c>
      <c r="M91" s="106">
        <v>13780.8</v>
      </c>
      <c r="N91" s="106">
        <v>7</v>
      </c>
      <c r="O91" s="106">
        <v>16077.599999999999</v>
      </c>
      <c r="P91" s="106">
        <v>5</v>
      </c>
      <c r="Q91" s="106">
        <v>11483.999999999998</v>
      </c>
      <c r="R91" s="106">
        <v>5</v>
      </c>
      <c r="S91" s="106">
        <v>11483.999999999998</v>
      </c>
      <c r="T91" s="106">
        <v>6</v>
      </c>
      <c r="U91" s="106">
        <v>13780.8</v>
      </c>
      <c r="V91" s="106">
        <v>8</v>
      </c>
      <c r="W91" s="106">
        <v>18374.399999999998</v>
      </c>
      <c r="X91" s="106">
        <v>6</v>
      </c>
      <c r="Y91" s="106">
        <v>13780.8</v>
      </c>
      <c r="Z91" s="106">
        <v>5</v>
      </c>
      <c r="AA91" s="106">
        <v>11483.999999999998</v>
      </c>
      <c r="AB91" s="106">
        <v>9</v>
      </c>
      <c r="AC91" s="106">
        <v>20671.199999999997</v>
      </c>
      <c r="AD91" s="106">
        <v>15</v>
      </c>
      <c r="AE91" s="106">
        <v>34451.999999999993</v>
      </c>
      <c r="AF91" s="106">
        <v>10</v>
      </c>
      <c r="AG91" s="106">
        <v>22967.999999999996</v>
      </c>
      <c r="AH91" s="106">
        <v>10</v>
      </c>
      <c r="AI91" s="106">
        <v>22967.999999999996</v>
      </c>
      <c r="AJ91" s="106">
        <v>8</v>
      </c>
      <c r="AK91" s="106">
        <v>18374.399999999998</v>
      </c>
      <c r="AL91" s="106">
        <v>8</v>
      </c>
      <c r="AM91" s="106">
        <v>18374.399999999998</v>
      </c>
      <c r="AN91" s="106">
        <v>7</v>
      </c>
      <c r="AO91" s="106">
        <v>16077.599999999999</v>
      </c>
      <c r="AP91" s="106">
        <v>12</v>
      </c>
      <c r="AQ91" s="106">
        <v>27561.599999999999</v>
      </c>
      <c r="AR91" s="106">
        <v>23</v>
      </c>
      <c r="AS91" s="106">
        <v>52826.399999999994</v>
      </c>
      <c r="AT91" s="106">
        <v>16</v>
      </c>
      <c r="AU91" s="106">
        <v>36748.799999999996</v>
      </c>
      <c r="AV91" s="106">
        <v>14</v>
      </c>
      <c r="AW91" s="106">
        <v>32155.199999999997</v>
      </c>
      <c r="AX91" s="106">
        <v>19</v>
      </c>
      <c r="AY91" s="106">
        <v>43639.199999999997</v>
      </c>
      <c r="AZ91" s="106">
        <v>3</v>
      </c>
      <c r="BA91" s="106">
        <v>6890.4</v>
      </c>
      <c r="BB91" s="106">
        <v>4</v>
      </c>
      <c r="BC91" s="106">
        <v>9187.1999999999989</v>
      </c>
      <c r="BD91" s="106">
        <v>4</v>
      </c>
      <c r="BE91" s="106">
        <v>9187.1999999999989</v>
      </c>
      <c r="BF91" s="106">
        <v>5</v>
      </c>
      <c r="BG91" s="106">
        <v>11483.999999999998</v>
      </c>
      <c r="BH91" s="106">
        <v>10</v>
      </c>
      <c r="BI91" s="106">
        <v>22967.999999999996</v>
      </c>
      <c r="BJ91" s="106">
        <v>9</v>
      </c>
      <c r="BK91" s="106">
        <v>20671.199999999997</v>
      </c>
      <c r="BL91" s="106">
        <v>6</v>
      </c>
      <c r="BM91" s="106">
        <v>13780.8</v>
      </c>
      <c r="BN91" s="106">
        <v>10</v>
      </c>
      <c r="BO91" s="106">
        <v>22967.999999999996</v>
      </c>
      <c r="BP91" s="106">
        <v>12</v>
      </c>
      <c r="BQ91" s="106">
        <v>27561.599999999999</v>
      </c>
      <c r="BR91" s="106">
        <v>16</v>
      </c>
      <c r="BS91" s="106">
        <v>36748.799999999996</v>
      </c>
      <c r="BT91" s="106">
        <v>13</v>
      </c>
      <c r="BU91" s="106">
        <v>29858.399999999998</v>
      </c>
      <c r="BV91" s="106">
        <v>18</v>
      </c>
      <c r="BW91" s="106">
        <v>41342.399999999994</v>
      </c>
      <c r="BX91" s="106">
        <v>7</v>
      </c>
      <c r="BY91" s="106">
        <v>16077.599999999999</v>
      </c>
      <c r="BZ91" s="106">
        <v>9</v>
      </c>
      <c r="CA91" s="106">
        <v>20671.199999999997</v>
      </c>
      <c r="CB91" s="106">
        <v>9</v>
      </c>
      <c r="CC91" s="106">
        <v>20671.199999999997</v>
      </c>
      <c r="CD91" s="106">
        <v>10</v>
      </c>
      <c r="CE91" s="106">
        <v>22967.999999999996</v>
      </c>
      <c r="CF91" s="106">
        <v>3</v>
      </c>
      <c r="CG91" s="106">
        <v>6890.4</v>
      </c>
      <c r="CH91" s="106">
        <v>3</v>
      </c>
      <c r="CI91" s="106">
        <v>6890.4</v>
      </c>
      <c r="CJ91" s="106">
        <v>3</v>
      </c>
      <c r="CK91" s="106">
        <v>6890.4</v>
      </c>
      <c r="CL91" s="106">
        <v>4</v>
      </c>
      <c r="CM91" s="106">
        <v>9187.1999999999989</v>
      </c>
      <c r="CN91" s="106">
        <v>4</v>
      </c>
      <c r="CO91" s="106">
        <v>9187.1999999999989</v>
      </c>
      <c r="CP91" s="106">
        <v>2</v>
      </c>
      <c r="CQ91" s="106">
        <v>4593.5999999999995</v>
      </c>
      <c r="CR91" s="106">
        <v>3</v>
      </c>
      <c r="CS91" s="106">
        <v>6890.4</v>
      </c>
      <c r="CT91" s="106">
        <v>2</v>
      </c>
      <c r="CU91" s="106">
        <v>4593.5999999999995</v>
      </c>
    </row>
    <row r="92" spans="2:99" x14ac:dyDescent="0.2">
      <c r="C92" s="105" t="s">
        <v>257</v>
      </c>
      <c r="D92" s="106">
        <v>5</v>
      </c>
      <c r="E92" s="106">
        <v>7104</v>
      </c>
      <c r="F92" s="106">
        <v>3</v>
      </c>
      <c r="G92" s="106">
        <v>4262.3999999999996</v>
      </c>
      <c r="H92" s="106">
        <v>5</v>
      </c>
      <c r="I92" s="106">
        <v>7104</v>
      </c>
      <c r="J92" s="106">
        <v>4</v>
      </c>
      <c r="K92" s="106">
        <v>5683.2</v>
      </c>
      <c r="L92" s="106">
        <v>7</v>
      </c>
      <c r="M92" s="106">
        <v>9945.6</v>
      </c>
      <c r="N92" s="106">
        <v>7</v>
      </c>
      <c r="O92" s="106">
        <v>9945.6</v>
      </c>
      <c r="P92" s="106">
        <v>6</v>
      </c>
      <c r="Q92" s="106">
        <v>8524.7999999999993</v>
      </c>
      <c r="R92" s="106">
        <v>5</v>
      </c>
      <c r="S92" s="106">
        <v>7104</v>
      </c>
      <c r="T92" s="106">
        <v>7</v>
      </c>
      <c r="U92" s="106">
        <v>9945.6</v>
      </c>
      <c r="V92" s="106">
        <v>9</v>
      </c>
      <c r="W92" s="106">
        <v>12787.199999999999</v>
      </c>
      <c r="X92" s="106">
        <v>6</v>
      </c>
      <c r="Y92" s="106">
        <v>8524.7999999999993</v>
      </c>
      <c r="Z92" s="106">
        <v>5</v>
      </c>
      <c r="AA92" s="106">
        <v>7104</v>
      </c>
      <c r="AB92" s="106">
        <v>9</v>
      </c>
      <c r="AC92" s="106">
        <v>12787.199999999999</v>
      </c>
      <c r="AD92" s="106">
        <v>14</v>
      </c>
      <c r="AE92" s="106">
        <v>19891.2</v>
      </c>
      <c r="AF92" s="106">
        <v>12</v>
      </c>
      <c r="AG92" s="106">
        <v>17049.599999999999</v>
      </c>
      <c r="AH92" s="106">
        <v>11</v>
      </c>
      <c r="AI92" s="106">
        <v>15628.8</v>
      </c>
      <c r="AJ92" s="106">
        <v>9</v>
      </c>
      <c r="AK92" s="106">
        <v>12787.199999999999</v>
      </c>
      <c r="AL92" s="106">
        <v>9</v>
      </c>
      <c r="AM92" s="106">
        <v>12787.199999999999</v>
      </c>
      <c r="AN92" s="106">
        <v>7</v>
      </c>
      <c r="AO92" s="106">
        <v>9945.6</v>
      </c>
      <c r="AP92" s="106">
        <v>14</v>
      </c>
      <c r="AQ92" s="106">
        <v>19891.2</v>
      </c>
      <c r="AR92" s="106">
        <v>26</v>
      </c>
      <c r="AS92" s="106">
        <v>36940.799999999996</v>
      </c>
      <c r="AT92" s="106">
        <v>19</v>
      </c>
      <c r="AU92" s="106">
        <v>26995.200000000001</v>
      </c>
      <c r="AV92" s="106">
        <v>17</v>
      </c>
      <c r="AW92" s="106">
        <v>24153.599999999999</v>
      </c>
      <c r="AX92" s="106">
        <v>24</v>
      </c>
      <c r="AY92" s="106">
        <v>34099.199999999997</v>
      </c>
      <c r="AZ92" s="106">
        <v>3</v>
      </c>
      <c r="BA92" s="106">
        <v>4262.3999999999996</v>
      </c>
      <c r="BB92" s="106">
        <v>4</v>
      </c>
      <c r="BC92" s="106">
        <v>5683.2</v>
      </c>
      <c r="BD92" s="106">
        <v>4</v>
      </c>
      <c r="BE92" s="106">
        <v>5683.2</v>
      </c>
      <c r="BF92" s="106">
        <v>5</v>
      </c>
      <c r="BG92" s="106">
        <v>7104</v>
      </c>
      <c r="BH92" s="106">
        <v>9</v>
      </c>
      <c r="BI92" s="106">
        <v>12787.199999999999</v>
      </c>
      <c r="BJ92" s="106">
        <v>10</v>
      </c>
      <c r="BK92" s="106">
        <v>14208</v>
      </c>
      <c r="BL92" s="106">
        <v>6</v>
      </c>
      <c r="BM92" s="106">
        <v>8524.7999999999993</v>
      </c>
      <c r="BN92" s="106">
        <v>10</v>
      </c>
      <c r="BO92" s="106">
        <v>14208</v>
      </c>
      <c r="BP92" s="106">
        <v>14</v>
      </c>
      <c r="BQ92" s="106">
        <v>19891.2</v>
      </c>
      <c r="BR92" s="106">
        <v>19</v>
      </c>
      <c r="BS92" s="106">
        <v>26995.200000000001</v>
      </c>
      <c r="BT92" s="106">
        <v>14</v>
      </c>
      <c r="BU92" s="106">
        <v>19891.2</v>
      </c>
      <c r="BV92" s="106">
        <v>19</v>
      </c>
      <c r="BW92" s="106">
        <v>26995.200000000001</v>
      </c>
      <c r="BX92" s="106">
        <v>8</v>
      </c>
      <c r="BY92" s="106">
        <v>11366.4</v>
      </c>
      <c r="BZ92" s="106">
        <v>9</v>
      </c>
      <c r="CA92" s="106">
        <v>12787.199999999999</v>
      </c>
      <c r="CB92" s="106">
        <v>10</v>
      </c>
      <c r="CC92" s="106">
        <v>14208</v>
      </c>
      <c r="CD92" s="106">
        <v>11</v>
      </c>
      <c r="CE92" s="106">
        <v>15628.8</v>
      </c>
      <c r="CF92" s="106">
        <v>3</v>
      </c>
      <c r="CG92" s="106">
        <v>4262.3999999999996</v>
      </c>
      <c r="CH92" s="106">
        <v>4</v>
      </c>
      <c r="CI92" s="106">
        <v>5683.2</v>
      </c>
      <c r="CJ92" s="106">
        <v>3</v>
      </c>
      <c r="CK92" s="106">
        <v>4262.3999999999996</v>
      </c>
      <c r="CL92" s="106">
        <v>5</v>
      </c>
      <c r="CM92" s="106">
        <v>7104</v>
      </c>
      <c r="CN92" s="106">
        <v>4</v>
      </c>
      <c r="CO92" s="106">
        <v>5683.2</v>
      </c>
      <c r="CP92" s="106">
        <v>2</v>
      </c>
      <c r="CQ92" s="106">
        <v>2841.6</v>
      </c>
      <c r="CR92" s="106">
        <v>3</v>
      </c>
      <c r="CS92" s="106">
        <v>4262.3999999999996</v>
      </c>
      <c r="CT92" s="106">
        <v>2</v>
      </c>
      <c r="CU92" s="106">
        <v>2841.6</v>
      </c>
    </row>
    <row r="93" spans="2:99" x14ac:dyDescent="0.2">
      <c r="C93" s="105" t="s">
        <v>258</v>
      </c>
      <c r="D93" s="106">
        <v>5</v>
      </c>
      <c r="E93" s="106">
        <v>8862</v>
      </c>
      <c r="F93" s="106">
        <v>3</v>
      </c>
      <c r="G93" s="106">
        <v>5317.2</v>
      </c>
      <c r="H93" s="106">
        <v>5</v>
      </c>
      <c r="I93" s="106">
        <v>8862</v>
      </c>
      <c r="J93" s="106">
        <v>4</v>
      </c>
      <c r="K93" s="106">
        <v>7089.5999999999995</v>
      </c>
      <c r="L93" s="106">
        <v>7</v>
      </c>
      <c r="M93" s="106">
        <v>12406.8</v>
      </c>
      <c r="N93" s="106">
        <v>6</v>
      </c>
      <c r="O93" s="106">
        <v>10634.4</v>
      </c>
      <c r="P93" s="106">
        <v>6</v>
      </c>
      <c r="Q93" s="106">
        <v>10634.4</v>
      </c>
      <c r="R93" s="106">
        <v>5</v>
      </c>
      <c r="S93" s="106">
        <v>8862</v>
      </c>
      <c r="T93" s="106">
        <v>7</v>
      </c>
      <c r="U93" s="106">
        <v>12406.8</v>
      </c>
      <c r="V93" s="106">
        <v>8</v>
      </c>
      <c r="W93" s="106">
        <v>14179.199999999999</v>
      </c>
      <c r="X93" s="106">
        <v>6</v>
      </c>
      <c r="Y93" s="106">
        <v>10634.4</v>
      </c>
      <c r="Z93" s="106">
        <v>5</v>
      </c>
      <c r="AA93" s="106">
        <v>8862</v>
      </c>
      <c r="AB93" s="106">
        <v>9</v>
      </c>
      <c r="AC93" s="106">
        <v>15951.599999999999</v>
      </c>
      <c r="AD93" s="106">
        <v>15</v>
      </c>
      <c r="AE93" s="106">
        <v>26585.999999999996</v>
      </c>
      <c r="AF93" s="106">
        <v>11</v>
      </c>
      <c r="AG93" s="106">
        <v>19496.399999999998</v>
      </c>
      <c r="AH93" s="106">
        <v>12</v>
      </c>
      <c r="AI93" s="106">
        <v>21268.799999999999</v>
      </c>
      <c r="AJ93" s="106">
        <v>7</v>
      </c>
      <c r="AK93" s="106">
        <v>12406.8</v>
      </c>
      <c r="AL93" s="106">
        <v>9</v>
      </c>
      <c r="AM93" s="106">
        <v>15951.599999999999</v>
      </c>
      <c r="AN93" s="106">
        <v>8</v>
      </c>
      <c r="AO93" s="106">
        <v>14179.199999999999</v>
      </c>
      <c r="AP93" s="106">
        <v>13</v>
      </c>
      <c r="AQ93" s="106">
        <v>23041.199999999997</v>
      </c>
      <c r="AR93" s="106">
        <v>22</v>
      </c>
      <c r="AS93" s="106">
        <v>38992.799999999996</v>
      </c>
      <c r="AT93" s="106">
        <v>16</v>
      </c>
      <c r="AU93" s="106">
        <v>28358.399999999998</v>
      </c>
      <c r="AV93" s="106">
        <v>16</v>
      </c>
      <c r="AW93" s="106">
        <v>28358.399999999998</v>
      </c>
      <c r="AX93" s="106">
        <v>23</v>
      </c>
      <c r="AY93" s="106">
        <v>40765.199999999997</v>
      </c>
      <c r="AZ93" s="106">
        <v>3</v>
      </c>
      <c r="BA93" s="106">
        <v>5317.2</v>
      </c>
      <c r="BB93" s="106">
        <v>4</v>
      </c>
      <c r="BC93" s="106">
        <v>7089.5999999999995</v>
      </c>
      <c r="BD93" s="106">
        <v>4</v>
      </c>
      <c r="BE93" s="106">
        <v>7089.5999999999995</v>
      </c>
      <c r="BF93" s="106">
        <v>5</v>
      </c>
      <c r="BG93" s="106">
        <v>8862</v>
      </c>
      <c r="BH93" s="106">
        <v>9</v>
      </c>
      <c r="BI93" s="106">
        <v>15951.599999999999</v>
      </c>
      <c r="BJ93" s="106">
        <v>11</v>
      </c>
      <c r="BK93" s="106">
        <v>19496.399999999998</v>
      </c>
      <c r="BL93" s="106">
        <v>7</v>
      </c>
      <c r="BM93" s="106">
        <v>12406.8</v>
      </c>
      <c r="BN93" s="106">
        <v>10</v>
      </c>
      <c r="BO93" s="106">
        <v>17724</v>
      </c>
      <c r="BP93" s="106">
        <v>14</v>
      </c>
      <c r="BQ93" s="106">
        <v>24813.599999999999</v>
      </c>
      <c r="BR93" s="106">
        <v>15</v>
      </c>
      <c r="BS93" s="106">
        <v>26585.999999999996</v>
      </c>
      <c r="BT93" s="106">
        <v>12</v>
      </c>
      <c r="BU93" s="106">
        <v>21268.799999999999</v>
      </c>
      <c r="BV93" s="106">
        <v>20</v>
      </c>
      <c r="BW93" s="106">
        <v>35448</v>
      </c>
      <c r="BX93" s="106">
        <v>7</v>
      </c>
      <c r="BY93" s="106">
        <v>12406.8</v>
      </c>
      <c r="BZ93" s="106">
        <v>9</v>
      </c>
      <c r="CA93" s="106">
        <v>15951.599999999999</v>
      </c>
      <c r="CB93" s="106">
        <v>9</v>
      </c>
      <c r="CC93" s="106">
        <v>15951.599999999999</v>
      </c>
      <c r="CD93" s="106">
        <v>10</v>
      </c>
      <c r="CE93" s="106">
        <v>17724</v>
      </c>
      <c r="CF93" s="106">
        <v>3</v>
      </c>
      <c r="CG93" s="106">
        <v>5317.2</v>
      </c>
      <c r="CH93" s="106">
        <v>4</v>
      </c>
      <c r="CI93" s="106">
        <v>7089.5999999999995</v>
      </c>
      <c r="CJ93" s="106">
        <v>3</v>
      </c>
      <c r="CK93" s="106">
        <v>5317.2</v>
      </c>
      <c r="CL93" s="106">
        <v>5</v>
      </c>
      <c r="CM93" s="106">
        <v>8862</v>
      </c>
      <c r="CN93" s="106">
        <v>4</v>
      </c>
      <c r="CO93" s="106">
        <v>7089.5999999999995</v>
      </c>
      <c r="CP93" s="106">
        <v>2</v>
      </c>
      <c r="CQ93" s="106">
        <v>3544.7999999999997</v>
      </c>
      <c r="CR93" s="106">
        <v>3</v>
      </c>
      <c r="CS93" s="106">
        <v>5317.2</v>
      </c>
      <c r="CT93" s="106">
        <v>2</v>
      </c>
      <c r="CU93" s="106">
        <v>3544.7999999999997</v>
      </c>
    </row>
    <row r="94" spans="2:99" x14ac:dyDescent="0.2">
      <c r="C94" s="105" t="s">
        <v>259</v>
      </c>
      <c r="D94" s="106">
        <v>4</v>
      </c>
      <c r="E94" s="106">
        <v>9580.7999999999993</v>
      </c>
      <c r="F94" s="106">
        <v>3</v>
      </c>
      <c r="G94" s="106">
        <v>7185.5999999999995</v>
      </c>
      <c r="H94" s="106">
        <v>4</v>
      </c>
      <c r="I94" s="106">
        <v>9580.7999999999993</v>
      </c>
      <c r="J94" s="106">
        <v>4</v>
      </c>
      <c r="K94" s="106">
        <v>9580.7999999999993</v>
      </c>
      <c r="L94" s="106">
        <v>7</v>
      </c>
      <c r="M94" s="106">
        <v>16766.399999999998</v>
      </c>
      <c r="N94" s="106">
        <v>6</v>
      </c>
      <c r="O94" s="106">
        <v>14371.199999999999</v>
      </c>
      <c r="P94" s="106">
        <v>5</v>
      </c>
      <c r="Q94" s="106">
        <v>11976</v>
      </c>
      <c r="R94" s="106">
        <v>5</v>
      </c>
      <c r="S94" s="106">
        <v>11976</v>
      </c>
      <c r="T94" s="106">
        <v>7</v>
      </c>
      <c r="U94" s="106">
        <v>16766.399999999998</v>
      </c>
      <c r="V94" s="106">
        <v>9</v>
      </c>
      <c r="W94" s="106">
        <v>21556.799999999999</v>
      </c>
      <c r="X94" s="106">
        <v>6</v>
      </c>
      <c r="Y94" s="106">
        <v>14371.199999999999</v>
      </c>
      <c r="Z94" s="106">
        <v>5</v>
      </c>
      <c r="AA94" s="106">
        <v>11976</v>
      </c>
      <c r="AB94" s="106">
        <v>9</v>
      </c>
      <c r="AC94" s="106">
        <v>21556.799999999999</v>
      </c>
      <c r="AD94" s="106">
        <v>12</v>
      </c>
      <c r="AE94" s="106">
        <v>28742.399999999998</v>
      </c>
      <c r="AF94" s="106">
        <v>11</v>
      </c>
      <c r="AG94" s="106">
        <v>26347.199999999997</v>
      </c>
      <c r="AH94" s="106">
        <v>11</v>
      </c>
      <c r="AI94" s="106">
        <v>26347.199999999997</v>
      </c>
      <c r="AJ94" s="106">
        <v>7</v>
      </c>
      <c r="AK94" s="106">
        <v>16766.399999999998</v>
      </c>
      <c r="AL94" s="106">
        <v>9</v>
      </c>
      <c r="AM94" s="106">
        <v>21556.799999999999</v>
      </c>
      <c r="AN94" s="106">
        <v>6</v>
      </c>
      <c r="AO94" s="106">
        <v>14371.199999999999</v>
      </c>
      <c r="AP94" s="106">
        <v>12</v>
      </c>
      <c r="AQ94" s="106">
        <v>28742.399999999998</v>
      </c>
      <c r="AR94" s="106">
        <v>22</v>
      </c>
      <c r="AS94" s="106">
        <v>52694.399999999994</v>
      </c>
      <c r="AT94" s="106">
        <v>14</v>
      </c>
      <c r="AU94" s="106">
        <v>33532.799999999996</v>
      </c>
      <c r="AV94" s="106">
        <v>15</v>
      </c>
      <c r="AW94" s="106">
        <v>35928</v>
      </c>
      <c r="AX94" s="106">
        <v>21</v>
      </c>
      <c r="AY94" s="106">
        <v>50299.199999999997</v>
      </c>
      <c r="AZ94" s="106">
        <v>3</v>
      </c>
      <c r="BA94" s="106">
        <v>7185.5999999999995</v>
      </c>
      <c r="BB94" s="106">
        <v>4</v>
      </c>
      <c r="BC94" s="106">
        <v>9580.7999999999993</v>
      </c>
      <c r="BD94" s="106">
        <v>4</v>
      </c>
      <c r="BE94" s="106">
        <v>9580.7999999999993</v>
      </c>
      <c r="BF94" s="106">
        <v>5</v>
      </c>
      <c r="BG94" s="106">
        <v>11976</v>
      </c>
      <c r="BH94" s="106">
        <v>9</v>
      </c>
      <c r="BI94" s="106">
        <v>21556.799999999999</v>
      </c>
      <c r="BJ94" s="106">
        <v>9</v>
      </c>
      <c r="BK94" s="106">
        <v>21556.799999999999</v>
      </c>
      <c r="BL94" s="106">
        <v>6</v>
      </c>
      <c r="BM94" s="106">
        <v>14371.199999999999</v>
      </c>
      <c r="BN94" s="106">
        <v>10</v>
      </c>
      <c r="BO94" s="106">
        <v>23952</v>
      </c>
      <c r="BP94" s="106">
        <v>13</v>
      </c>
      <c r="BQ94" s="106">
        <v>31137.599999999999</v>
      </c>
      <c r="BR94" s="106">
        <v>14</v>
      </c>
      <c r="BS94" s="106">
        <v>33532.799999999996</v>
      </c>
      <c r="BT94" s="106">
        <v>12</v>
      </c>
      <c r="BU94" s="106">
        <v>28742.399999999998</v>
      </c>
      <c r="BV94" s="106">
        <v>16</v>
      </c>
      <c r="BW94" s="106">
        <v>38323.199999999997</v>
      </c>
      <c r="BX94" s="106">
        <v>7</v>
      </c>
      <c r="BY94" s="106">
        <v>16766.399999999998</v>
      </c>
      <c r="BZ94" s="106">
        <v>8</v>
      </c>
      <c r="CA94" s="106">
        <v>19161.599999999999</v>
      </c>
      <c r="CB94" s="106">
        <v>9</v>
      </c>
      <c r="CC94" s="106">
        <v>21556.799999999999</v>
      </c>
      <c r="CD94" s="106">
        <v>10</v>
      </c>
      <c r="CE94" s="106">
        <v>23952</v>
      </c>
      <c r="CF94" s="106">
        <v>3</v>
      </c>
      <c r="CG94" s="106">
        <v>7185.5999999999995</v>
      </c>
      <c r="CH94" s="106">
        <v>3</v>
      </c>
      <c r="CI94" s="106">
        <v>7185.5999999999995</v>
      </c>
      <c r="CJ94" s="106">
        <v>3</v>
      </c>
      <c r="CK94" s="106">
        <v>7185.5999999999995</v>
      </c>
      <c r="CL94" s="106">
        <v>5</v>
      </c>
      <c r="CM94" s="106">
        <v>11976</v>
      </c>
      <c r="CN94" s="106">
        <v>4</v>
      </c>
      <c r="CO94" s="106">
        <v>9580.7999999999993</v>
      </c>
      <c r="CP94" s="106">
        <v>2</v>
      </c>
      <c r="CQ94" s="106">
        <v>4790.3999999999996</v>
      </c>
      <c r="CR94" s="106">
        <v>3</v>
      </c>
      <c r="CS94" s="106">
        <v>7185.5999999999995</v>
      </c>
      <c r="CT94" s="106">
        <v>2</v>
      </c>
      <c r="CU94" s="106">
        <v>4790.3999999999996</v>
      </c>
    </row>
    <row r="95" spans="2:99" x14ac:dyDescent="0.2">
      <c r="B95" s="105" t="s">
        <v>132</v>
      </c>
      <c r="C95" s="105" t="s">
        <v>260</v>
      </c>
      <c r="D95" s="106">
        <v>8</v>
      </c>
      <c r="E95" s="106">
        <v>13862.4</v>
      </c>
      <c r="F95" s="106">
        <v>13</v>
      </c>
      <c r="G95" s="106">
        <v>22526.399999999998</v>
      </c>
      <c r="H95" s="106">
        <v>17</v>
      </c>
      <c r="I95" s="106">
        <v>29457.599999999999</v>
      </c>
      <c r="J95" s="106">
        <v>17</v>
      </c>
      <c r="K95" s="106">
        <v>29457.599999999999</v>
      </c>
      <c r="L95" s="106">
        <v>29</v>
      </c>
      <c r="M95" s="106">
        <v>50251.199999999997</v>
      </c>
      <c r="N95" s="106">
        <v>31</v>
      </c>
      <c r="O95" s="106">
        <v>53716.799999999996</v>
      </c>
      <c r="P95" s="106">
        <v>18</v>
      </c>
      <c r="Q95" s="106">
        <v>31190.399999999998</v>
      </c>
      <c r="R95" s="106">
        <v>28</v>
      </c>
      <c r="S95" s="106">
        <v>48518.400000000001</v>
      </c>
      <c r="T95" s="106">
        <v>15</v>
      </c>
      <c r="U95" s="106">
        <v>25992</v>
      </c>
      <c r="V95" s="106">
        <v>10</v>
      </c>
      <c r="W95" s="106">
        <v>17328</v>
      </c>
      <c r="X95" s="106">
        <v>13</v>
      </c>
      <c r="Y95" s="106">
        <v>22526.399999999998</v>
      </c>
      <c r="Z95" s="106">
        <v>9</v>
      </c>
      <c r="AA95" s="106">
        <v>15595.199999999999</v>
      </c>
      <c r="AB95" s="106">
        <v>7</v>
      </c>
      <c r="AC95" s="106">
        <v>12129.6</v>
      </c>
      <c r="AD95" s="106">
        <v>6</v>
      </c>
      <c r="AE95" s="106">
        <v>10396.799999999999</v>
      </c>
      <c r="AF95" s="106">
        <v>6</v>
      </c>
      <c r="AG95" s="106">
        <v>10396.799999999999</v>
      </c>
      <c r="AH95" s="106">
        <v>5</v>
      </c>
      <c r="AI95" s="106">
        <v>8664</v>
      </c>
      <c r="AJ95" s="106">
        <v>8</v>
      </c>
      <c r="AK95" s="106">
        <v>13862.4</v>
      </c>
      <c r="AL95" s="106">
        <v>9</v>
      </c>
      <c r="AM95" s="106">
        <v>15595.199999999999</v>
      </c>
      <c r="AN95" s="106">
        <v>5</v>
      </c>
      <c r="AO95" s="106">
        <v>8664</v>
      </c>
      <c r="AP95" s="106">
        <v>7</v>
      </c>
      <c r="AQ95" s="106">
        <v>12129.6</v>
      </c>
      <c r="AR95" s="106">
        <v>2</v>
      </c>
      <c r="AS95" s="106">
        <v>3465.6</v>
      </c>
      <c r="AT95" s="106">
        <v>5</v>
      </c>
      <c r="AU95" s="106">
        <v>8664</v>
      </c>
      <c r="AV95" s="106">
        <v>3</v>
      </c>
      <c r="AW95" s="106">
        <v>5198.3999999999996</v>
      </c>
      <c r="AX95" s="106">
        <v>2</v>
      </c>
      <c r="AY95" s="106">
        <v>3465.6</v>
      </c>
      <c r="AZ95" s="106">
        <v>7</v>
      </c>
      <c r="BA95" s="106">
        <v>12129.6</v>
      </c>
      <c r="BB95" s="106">
        <v>7</v>
      </c>
      <c r="BC95" s="106">
        <v>12129.6</v>
      </c>
      <c r="BD95" s="106">
        <v>7</v>
      </c>
      <c r="BE95" s="106">
        <v>12129.6</v>
      </c>
      <c r="BF95" s="106">
        <v>9</v>
      </c>
      <c r="BG95" s="106">
        <v>15595.199999999999</v>
      </c>
      <c r="BH95" s="106">
        <v>10</v>
      </c>
      <c r="BI95" s="106">
        <v>17328</v>
      </c>
      <c r="BJ95" s="106">
        <v>10</v>
      </c>
      <c r="BK95" s="106">
        <v>17328</v>
      </c>
      <c r="BL95" s="106">
        <v>8</v>
      </c>
      <c r="BM95" s="106">
        <v>13862.4</v>
      </c>
      <c r="BN95" s="106">
        <v>9</v>
      </c>
      <c r="BO95" s="106">
        <v>15595.199999999999</v>
      </c>
      <c r="BP95" s="106">
        <v>4</v>
      </c>
      <c r="BQ95" s="106">
        <v>6931.2</v>
      </c>
      <c r="BR95" s="106">
        <v>3</v>
      </c>
      <c r="BS95" s="106">
        <v>5198.3999999999996</v>
      </c>
      <c r="BT95" s="106">
        <v>3</v>
      </c>
      <c r="BU95" s="106">
        <v>5198.3999999999996</v>
      </c>
      <c r="BV95" s="106">
        <v>3</v>
      </c>
      <c r="BW95" s="106">
        <v>5198.3999999999996</v>
      </c>
      <c r="BX95" s="106">
        <v>8</v>
      </c>
      <c r="BY95" s="106">
        <v>13862.4</v>
      </c>
      <c r="BZ95" s="106">
        <v>12</v>
      </c>
      <c r="CA95" s="106">
        <v>20793.599999999999</v>
      </c>
      <c r="CB95" s="106">
        <v>11</v>
      </c>
      <c r="CC95" s="106">
        <v>19060.8</v>
      </c>
      <c r="CD95" s="106">
        <v>7</v>
      </c>
      <c r="CE95" s="106">
        <v>12129.6</v>
      </c>
      <c r="CF95" s="106">
        <v>5</v>
      </c>
      <c r="CG95" s="106">
        <v>8664</v>
      </c>
      <c r="CH95" s="106">
        <v>5</v>
      </c>
      <c r="CI95" s="106">
        <v>8664</v>
      </c>
      <c r="CJ95" s="106">
        <v>5</v>
      </c>
      <c r="CK95" s="106">
        <v>8664</v>
      </c>
      <c r="CL95" s="106">
        <v>4</v>
      </c>
      <c r="CM95" s="106">
        <v>6931.2</v>
      </c>
      <c r="CN95" s="106">
        <v>8</v>
      </c>
      <c r="CO95" s="106">
        <v>13862.4</v>
      </c>
      <c r="CP95" s="106">
        <v>6</v>
      </c>
      <c r="CQ95" s="106">
        <v>10396.799999999999</v>
      </c>
      <c r="CR95" s="106">
        <v>6</v>
      </c>
      <c r="CS95" s="106">
        <v>10396.799999999999</v>
      </c>
      <c r="CT95" s="106">
        <v>11</v>
      </c>
      <c r="CU95" s="106">
        <v>19060.8</v>
      </c>
    </row>
    <row r="96" spans="2:99" x14ac:dyDescent="0.2">
      <c r="C96" s="105" t="s">
        <v>261</v>
      </c>
      <c r="D96" s="106">
        <v>11</v>
      </c>
      <c r="E96" s="106">
        <v>9055.1999999999989</v>
      </c>
      <c r="F96" s="106">
        <v>15</v>
      </c>
      <c r="G96" s="106">
        <v>12347.999999999998</v>
      </c>
      <c r="H96" s="106">
        <v>17</v>
      </c>
      <c r="I96" s="106">
        <v>13994.4</v>
      </c>
      <c r="J96" s="106">
        <v>16</v>
      </c>
      <c r="K96" s="106">
        <v>13171.199999999999</v>
      </c>
      <c r="L96" s="106">
        <v>37</v>
      </c>
      <c r="M96" s="106">
        <v>30458.399999999998</v>
      </c>
      <c r="N96" s="106">
        <v>37</v>
      </c>
      <c r="O96" s="106">
        <v>30458.399999999998</v>
      </c>
      <c r="P96" s="106">
        <v>21</v>
      </c>
      <c r="Q96" s="106">
        <v>17287.199999999997</v>
      </c>
      <c r="R96" s="106">
        <v>29</v>
      </c>
      <c r="S96" s="106">
        <v>23872.799999999999</v>
      </c>
      <c r="T96" s="106">
        <v>17</v>
      </c>
      <c r="U96" s="106">
        <v>13994.4</v>
      </c>
      <c r="V96" s="106">
        <v>13</v>
      </c>
      <c r="W96" s="106">
        <v>10701.599999999999</v>
      </c>
      <c r="X96" s="106">
        <v>14</v>
      </c>
      <c r="Y96" s="106">
        <v>11524.8</v>
      </c>
      <c r="Z96" s="106">
        <v>11</v>
      </c>
      <c r="AA96" s="106">
        <v>9055.1999999999989</v>
      </c>
      <c r="AB96" s="106">
        <v>8</v>
      </c>
      <c r="AC96" s="106">
        <v>6585.5999999999995</v>
      </c>
      <c r="AD96" s="106">
        <v>7</v>
      </c>
      <c r="AE96" s="106">
        <v>5762.4</v>
      </c>
      <c r="AF96" s="106">
        <v>7</v>
      </c>
      <c r="AG96" s="106">
        <v>5762.4</v>
      </c>
      <c r="AH96" s="106">
        <v>7</v>
      </c>
      <c r="AI96" s="106">
        <v>5762.4</v>
      </c>
      <c r="AJ96" s="106">
        <v>9</v>
      </c>
      <c r="AK96" s="106">
        <v>7408.7999999999993</v>
      </c>
      <c r="AL96" s="106">
        <v>9</v>
      </c>
      <c r="AM96" s="106">
        <v>7408.7999999999993</v>
      </c>
      <c r="AN96" s="106">
        <v>6</v>
      </c>
      <c r="AO96" s="106">
        <v>4939.2</v>
      </c>
      <c r="AP96" s="106">
        <v>8</v>
      </c>
      <c r="AQ96" s="106">
        <v>6585.5999999999995</v>
      </c>
      <c r="AR96" s="106">
        <v>3</v>
      </c>
      <c r="AS96" s="106">
        <v>2469.6</v>
      </c>
      <c r="AT96" s="106">
        <v>4</v>
      </c>
      <c r="AU96" s="106">
        <v>3292.7999999999997</v>
      </c>
      <c r="AV96" s="106">
        <v>4</v>
      </c>
      <c r="AW96" s="106">
        <v>3292.7999999999997</v>
      </c>
      <c r="AX96" s="106">
        <v>3</v>
      </c>
      <c r="AY96" s="106">
        <v>2469.6</v>
      </c>
      <c r="AZ96" s="106">
        <v>7</v>
      </c>
      <c r="BA96" s="106">
        <v>5762.4</v>
      </c>
      <c r="BB96" s="106">
        <v>9</v>
      </c>
      <c r="BC96" s="106">
        <v>7408.7999999999993</v>
      </c>
      <c r="BD96" s="106">
        <v>8</v>
      </c>
      <c r="BE96" s="106">
        <v>6585.5999999999995</v>
      </c>
      <c r="BF96" s="106">
        <v>10</v>
      </c>
      <c r="BG96" s="106">
        <v>8232</v>
      </c>
      <c r="BH96" s="106">
        <v>12</v>
      </c>
      <c r="BI96" s="106">
        <v>9878.4</v>
      </c>
      <c r="BJ96" s="106">
        <v>11</v>
      </c>
      <c r="BK96" s="106">
        <v>9055.1999999999989</v>
      </c>
      <c r="BL96" s="106">
        <v>9</v>
      </c>
      <c r="BM96" s="106">
        <v>7408.7999999999993</v>
      </c>
      <c r="BN96" s="106">
        <v>10</v>
      </c>
      <c r="BO96" s="106">
        <v>8232</v>
      </c>
      <c r="BP96" s="106">
        <v>5</v>
      </c>
      <c r="BQ96" s="106">
        <v>4116</v>
      </c>
      <c r="BR96" s="106">
        <v>4</v>
      </c>
      <c r="BS96" s="106">
        <v>3292.7999999999997</v>
      </c>
      <c r="BT96" s="106">
        <v>3</v>
      </c>
      <c r="BU96" s="106">
        <v>2469.6</v>
      </c>
      <c r="BV96" s="106">
        <v>4</v>
      </c>
      <c r="BW96" s="106">
        <v>3292.7999999999997</v>
      </c>
      <c r="BX96" s="106">
        <v>8</v>
      </c>
      <c r="BY96" s="106">
        <v>6585.5999999999995</v>
      </c>
      <c r="BZ96" s="106">
        <v>13</v>
      </c>
      <c r="CA96" s="106">
        <v>10701.599999999999</v>
      </c>
      <c r="CB96" s="106">
        <v>10</v>
      </c>
      <c r="CC96" s="106">
        <v>8232</v>
      </c>
      <c r="CD96" s="106">
        <v>8</v>
      </c>
      <c r="CE96" s="106">
        <v>6585.5999999999995</v>
      </c>
      <c r="CF96" s="106">
        <v>6</v>
      </c>
      <c r="CG96" s="106">
        <v>4939.2</v>
      </c>
      <c r="CH96" s="106">
        <v>5</v>
      </c>
      <c r="CI96" s="106">
        <v>4116</v>
      </c>
      <c r="CJ96" s="106">
        <v>6</v>
      </c>
      <c r="CK96" s="106">
        <v>4939.2</v>
      </c>
      <c r="CL96" s="106">
        <v>4</v>
      </c>
      <c r="CM96" s="106">
        <v>3292.7999999999997</v>
      </c>
      <c r="CN96" s="106">
        <v>8</v>
      </c>
      <c r="CO96" s="106">
        <v>6585.5999999999995</v>
      </c>
      <c r="CP96" s="106">
        <v>6</v>
      </c>
      <c r="CQ96" s="106">
        <v>4939.2</v>
      </c>
      <c r="CR96" s="106">
        <v>8</v>
      </c>
      <c r="CS96" s="106">
        <v>6585.5999999999995</v>
      </c>
      <c r="CT96" s="106">
        <v>11</v>
      </c>
      <c r="CU96" s="106">
        <v>9055.1999999999989</v>
      </c>
    </row>
    <row r="97" spans="2:99" x14ac:dyDescent="0.2">
      <c r="C97" s="105" t="s">
        <v>262</v>
      </c>
      <c r="D97" s="106">
        <v>8</v>
      </c>
      <c r="E97" s="106">
        <v>14630.4</v>
      </c>
      <c r="F97" s="106">
        <v>14</v>
      </c>
      <c r="G97" s="106">
        <v>25603.200000000001</v>
      </c>
      <c r="H97" s="106">
        <v>14</v>
      </c>
      <c r="I97" s="106">
        <v>25603.200000000001</v>
      </c>
      <c r="J97" s="106">
        <v>14</v>
      </c>
      <c r="K97" s="106">
        <v>25603.200000000001</v>
      </c>
      <c r="L97" s="106">
        <v>29</v>
      </c>
      <c r="M97" s="106">
        <v>53035.199999999997</v>
      </c>
      <c r="N97" s="106">
        <v>33</v>
      </c>
      <c r="O97" s="106">
        <v>60350.400000000001</v>
      </c>
      <c r="P97" s="106">
        <v>18</v>
      </c>
      <c r="Q97" s="106">
        <v>32918.400000000001</v>
      </c>
      <c r="R97" s="106">
        <v>24</v>
      </c>
      <c r="S97" s="106">
        <v>43891.199999999997</v>
      </c>
      <c r="T97" s="106">
        <v>14</v>
      </c>
      <c r="U97" s="106">
        <v>25603.200000000001</v>
      </c>
      <c r="V97" s="106">
        <v>10</v>
      </c>
      <c r="W97" s="106">
        <v>18288</v>
      </c>
      <c r="X97" s="106">
        <v>13</v>
      </c>
      <c r="Y97" s="106">
        <v>23774.399999999998</v>
      </c>
      <c r="Z97" s="106">
        <v>8</v>
      </c>
      <c r="AA97" s="106">
        <v>14630.4</v>
      </c>
      <c r="AB97" s="106">
        <v>6</v>
      </c>
      <c r="AC97" s="106">
        <v>10972.8</v>
      </c>
      <c r="AD97" s="106">
        <v>6</v>
      </c>
      <c r="AE97" s="106">
        <v>10972.8</v>
      </c>
      <c r="AF97" s="106">
        <v>6</v>
      </c>
      <c r="AG97" s="106">
        <v>10972.8</v>
      </c>
      <c r="AH97" s="106">
        <v>6</v>
      </c>
      <c r="AI97" s="106">
        <v>10972.8</v>
      </c>
      <c r="AJ97" s="106">
        <v>8</v>
      </c>
      <c r="AK97" s="106">
        <v>14630.4</v>
      </c>
      <c r="AL97" s="106">
        <v>9</v>
      </c>
      <c r="AM97" s="106">
        <v>16459.2</v>
      </c>
      <c r="AN97" s="106">
        <v>5</v>
      </c>
      <c r="AO97" s="106">
        <v>9144</v>
      </c>
      <c r="AP97" s="106">
        <v>7</v>
      </c>
      <c r="AQ97" s="106">
        <v>12801.6</v>
      </c>
      <c r="AR97" s="106">
        <v>2</v>
      </c>
      <c r="AS97" s="106">
        <v>3657.6</v>
      </c>
      <c r="AT97" s="106">
        <v>5</v>
      </c>
      <c r="AU97" s="106">
        <v>9144</v>
      </c>
      <c r="AV97" s="106">
        <v>4</v>
      </c>
      <c r="AW97" s="106">
        <v>7315.2</v>
      </c>
      <c r="AX97" s="106">
        <v>3</v>
      </c>
      <c r="AY97" s="106">
        <v>5486.4</v>
      </c>
      <c r="AZ97" s="106">
        <v>7</v>
      </c>
      <c r="BA97" s="106">
        <v>12801.6</v>
      </c>
      <c r="BB97" s="106">
        <v>7</v>
      </c>
      <c r="BC97" s="106">
        <v>12801.6</v>
      </c>
      <c r="BD97" s="106">
        <v>8</v>
      </c>
      <c r="BE97" s="106">
        <v>14630.4</v>
      </c>
      <c r="BF97" s="106">
        <v>9</v>
      </c>
      <c r="BG97" s="106">
        <v>16459.2</v>
      </c>
      <c r="BH97" s="106">
        <v>10</v>
      </c>
      <c r="BI97" s="106">
        <v>18288</v>
      </c>
      <c r="BJ97" s="106">
        <v>10</v>
      </c>
      <c r="BK97" s="106">
        <v>18288</v>
      </c>
      <c r="BL97" s="106">
        <v>8</v>
      </c>
      <c r="BM97" s="106">
        <v>14630.4</v>
      </c>
      <c r="BN97" s="106">
        <v>8</v>
      </c>
      <c r="BO97" s="106">
        <v>14630.4</v>
      </c>
      <c r="BP97" s="106">
        <v>4</v>
      </c>
      <c r="BQ97" s="106">
        <v>7315.2</v>
      </c>
      <c r="BR97" s="106">
        <v>3</v>
      </c>
      <c r="BS97" s="106">
        <v>5486.4</v>
      </c>
      <c r="BT97" s="106">
        <v>3</v>
      </c>
      <c r="BU97" s="106">
        <v>5486.4</v>
      </c>
      <c r="BV97" s="106">
        <v>3</v>
      </c>
      <c r="BW97" s="106">
        <v>5486.4</v>
      </c>
      <c r="BX97" s="106">
        <v>6</v>
      </c>
      <c r="BY97" s="106">
        <v>10972.8</v>
      </c>
      <c r="BZ97" s="106">
        <v>12</v>
      </c>
      <c r="CA97" s="106">
        <v>21945.599999999999</v>
      </c>
      <c r="CB97" s="106">
        <v>11</v>
      </c>
      <c r="CC97" s="106">
        <v>20116.8</v>
      </c>
      <c r="CD97" s="106">
        <v>7</v>
      </c>
      <c r="CE97" s="106">
        <v>12801.6</v>
      </c>
      <c r="CF97" s="106">
        <v>6</v>
      </c>
      <c r="CG97" s="106">
        <v>10972.8</v>
      </c>
      <c r="CH97" s="106">
        <v>6</v>
      </c>
      <c r="CI97" s="106">
        <v>10972.8</v>
      </c>
      <c r="CJ97" s="106">
        <v>5</v>
      </c>
      <c r="CK97" s="106">
        <v>9144</v>
      </c>
      <c r="CL97" s="106">
        <v>4</v>
      </c>
      <c r="CM97" s="106">
        <v>7315.2</v>
      </c>
      <c r="CN97" s="106">
        <v>8</v>
      </c>
      <c r="CO97" s="106">
        <v>14630.4</v>
      </c>
      <c r="CP97" s="106">
        <v>5</v>
      </c>
      <c r="CQ97" s="106">
        <v>9144</v>
      </c>
      <c r="CR97" s="106">
        <v>6</v>
      </c>
      <c r="CS97" s="106">
        <v>10972.8</v>
      </c>
      <c r="CT97" s="106">
        <v>11</v>
      </c>
      <c r="CU97" s="106">
        <v>20116.8</v>
      </c>
    </row>
    <row r="98" spans="2:99" x14ac:dyDescent="0.2">
      <c r="C98" s="105" t="s">
        <v>263</v>
      </c>
      <c r="D98" s="106">
        <v>9</v>
      </c>
      <c r="E98" s="106">
        <v>11372.4</v>
      </c>
      <c r="F98" s="106">
        <v>16</v>
      </c>
      <c r="G98" s="106">
        <v>20217.599999999999</v>
      </c>
      <c r="H98" s="106">
        <v>18</v>
      </c>
      <c r="I98" s="106">
        <v>22744.799999999999</v>
      </c>
      <c r="J98" s="106">
        <v>15</v>
      </c>
      <c r="K98" s="106">
        <v>18954</v>
      </c>
      <c r="L98" s="106">
        <v>33</v>
      </c>
      <c r="M98" s="106">
        <v>41698.799999999996</v>
      </c>
      <c r="N98" s="106">
        <v>34</v>
      </c>
      <c r="O98" s="106">
        <v>42962.399999999994</v>
      </c>
      <c r="P98" s="106">
        <v>21</v>
      </c>
      <c r="Q98" s="106">
        <v>26535.599999999999</v>
      </c>
      <c r="R98" s="106">
        <v>28</v>
      </c>
      <c r="S98" s="106">
        <v>35380.799999999996</v>
      </c>
      <c r="T98" s="106">
        <v>16</v>
      </c>
      <c r="U98" s="106">
        <v>20217.599999999999</v>
      </c>
      <c r="V98" s="106">
        <v>11</v>
      </c>
      <c r="W98" s="106">
        <v>13899.599999999999</v>
      </c>
      <c r="X98" s="106">
        <v>13</v>
      </c>
      <c r="Y98" s="106">
        <v>16426.8</v>
      </c>
      <c r="Z98" s="106">
        <v>11</v>
      </c>
      <c r="AA98" s="106">
        <v>13899.599999999999</v>
      </c>
      <c r="AB98" s="106">
        <v>8</v>
      </c>
      <c r="AC98" s="106">
        <v>10108.799999999999</v>
      </c>
      <c r="AD98" s="106">
        <v>7</v>
      </c>
      <c r="AE98" s="106">
        <v>8845.1999999999989</v>
      </c>
      <c r="AF98" s="106">
        <v>6</v>
      </c>
      <c r="AG98" s="106">
        <v>7581.5999999999995</v>
      </c>
      <c r="AH98" s="106">
        <v>6</v>
      </c>
      <c r="AI98" s="106">
        <v>7581.5999999999995</v>
      </c>
      <c r="AJ98" s="106">
        <v>9</v>
      </c>
      <c r="AK98" s="106">
        <v>11372.4</v>
      </c>
      <c r="AL98" s="106">
        <v>10</v>
      </c>
      <c r="AM98" s="106">
        <v>12636</v>
      </c>
      <c r="AN98" s="106">
        <v>5</v>
      </c>
      <c r="AO98" s="106">
        <v>6318</v>
      </c>
      <c r="AP98" s="106">
        <v>8</v>
      </c>
      <c r="AQ98" s="106">
        <v>10108.799999999999</v>
      </c>
      <c r="AR98" s="106">
        <v>2</v>
      </c>
      <c r="AS98" s="106">
        <v>2527.1999999999998</v>
      </c>
      <c r="AT98" s="106">
        <v>5</v>
      </c>
      <c r="AU98" s="106">
        <v>6318</v>
      </c>
      <c r="AV98" s="106">
        <v>3</v>
      </c>
      <c r="AW98" s="106">
        <v>3790.7999999999997</v>
      </c>
      <c r="AX98" s="106">
        <v>3</v>
      </c>
      <c r="AY98" s="106">
        <v>3790.7999999999997</v>
      </c>
      <c r="AZ98" s="106">
        <v>7</v>
      </c>
      <c r="BA98" s="106">
        <v>8845.1999999999989</v>
      </c>
      <c r="BB98" s="106">
        <v>9</v>
      </c>
      <c r="BC98" s="106">
        <v>11372.4</v>
      </c>
      <c r="BD98" s="106">
        <v>8</v>
      </c>
      <c r="BE98" s="106">
        <v>10108.799999999999</v>
      </c>
      <c r="BF98" s="106">
        <v>9</v>
      </c>
      <c r="BG98" s="106">
        <v>11372.4</v>
      </c>
      <c r="BH98" s="106">
        <v>10</v>
      </c>
      <c r="BI98" s="106">
        <v>12636</v>
      </c>
      <c r="BJ98" s="106">
        <v>10</v>
      </c>
      <c r="BK98" s="106">
        <v>12636</v>
      </c>
      <c r="BL98" s="106">
        <v>8</v>
      </c>
      <c r="BM98" s="106">
        <v>10108.799999999999</v>
      </c>
      <c r="BN98" s="106">
        <v>9</v>
      </c>
      <c r="BO98" s="106">
        <v>11372.4</v>
      </c>
      <c r="BP98" s="106">
        <v>5</v>
      </c>
      <c r="BQ98" s="106">
        <v>6318</v>
      </c>
      <c r="BR98" s="106">
        <v>4</v>
      </c>
      <c r="BS98" s="106">
        <v>5054.3999999999996</v>
      </c>
      <c r="BT98" s="106">
        <v>4</v>
      </c>
      <c r="BU98" s="106">
        <v>5054.3999999999996</v>
      </c>
      <c r="BV98" s="106">
        <v>3</v>
      </c>
      <c r="BW98" s="106">
        <v>3790.7999999999997</v>
      </c>
      <c r="BX98" s="106">
        <v>8</v>
      </c>
      <c r="BY98" s="106">
        <v>10108.799999999999</v>
      </c>
      <c r="BZ98" s="106">
        <v>11</v>
      </c>
      <c r="CA98" s="106">
        <v>13899.599999999999</v>
      </c>
      <c r="CB98" s="106">
        <v>10</v>
      </c>
      <c r="CC98" s="106">
        <v>12636</v>
      </c>
      <c r="CD98" s="106">
        <v>8</v>
      </c>
      <c r="CE98" s="106">
        <v>10108.799999999999</v>
      </c>
      <c r="CF98" s="106">
        <v>5</v>
      </c>
      <c r="CG98" s="106">
        <v>6318</v>
      </c>
      <c r="CH98" s="106">
        <v>6</v>
      </c>
      <c r="CI98" s="106">
        <v>7581.5999999999995</v>
      </c>
      <c r="CJ98" s="106">
        <v>5</v>
      </c>
      <c r="CK98" s="106">
        <v>6318</v>
      </c>
      <c r="CL98" s="106">
        <v>4</v>
      </c>
      <c r="CM98" s="106">
        <v>5054.3999999999996</v>
      </c>
      <c r="CN98" s="106">
        <v>9</v>
      </c>
      <c r="CO98" s="106">
        <v>11372.4</v>
      </c>
      <c r="CP98" s="106">
        <v>6</v>
      </c>
      <c r="CQ98" s="106">
        <v>7581.5999999999995</v>
      </c>
      <c r="CR98" s="106">
        <v>7</v>
      </c>
      <c r="CS98" s="106">
        <v>8845.1999999999989</v>
      </c>
      <c r="CT98" s="106">
        <v>12</v>
      </c>
      <c r="CU98" s="106">
        <v>15163.199999999999</v>
      </c>
    </row>
    <row r="99" spans="2:99" x14ac:dyDescent="0.2">
      <c r="C99" s="105" t="s">
        <v>264</v>
      </c>
      <c r="D99" s="106">
        <v>6</v>
      </c>
      <c r="E99" s="106">
        <v>32889.599999999999</v>
      </c>
      <c r="F99" s="106">
        <v>9</v>
      </c>
      <c r="G99" s="106">
        <v>49334.399999999994</v>
      </c>
      <c r="H99" s="106">
        <v>11</v>
      </c>
      <c r="I99" s="106">
        <v>60297.599999999991</v>
      </c>
      <c r="J99" s="106">
        <v>10</v>
      </c>
      <c r="K99" s="106">
        <v>54815.999999999993</v>
      </c>
      <c r="L99" s="106">
        <v>19</v>
      </c>
      <c r="M99" s="106">
        <v>104150.39999999999</v>
      </c>
      <c r="N99" s="106">
        <v>20</v>
      </c>
      <c r="O99" s="106">
        <v>109631.99999999999</v>
      </c>
      <c r="P99" s="106">
        <v>11</v>
      </c>
      <c r="Q99" s="106">
        <v>60297.599999999991</v>
      </c>
      <c r="R99" s="106">
        <v>15</v>
      </c>
      <c r="S99" s="106">
        <v>82223.999999999985</v>
      </c>
      <c r="T99" s="106">
        <v>10</v>
      </c>
      <c r="U99" s="106">
        <v>54815.999999999993</v>
      </c>
      <c r="V99" s="106">
        <v>8</v>
      </c>
      <c r="W99" s="106">
        <v>43852.799999999996</v>
      </c>
      <c r="X99" s="106">
        <v>8</v>
      </c>
      <c r="Y99" s="106">
        <v>43852.799999999996</v>
      </c>
      <c r="Z99" s="106">
        <v>6</v>
      </c>
      <c r="AA99" s="106">
        <v>32889.599999999999</v>
      </c>
      <c r="AB99" s="106">
        <v>5</v>
      </c>
      <c r="AC99" s="106">
        <v>27407.999999999996</v>
      </c>
      <c r="AD99" s="106">
        <v>5</v>
      </c>
      <c r="AE99" s="106">
        <v>27407.999999999996</v>
      </c>
      <c r="AF99" s="106">
        <v>4</v>
      </c>
      <c r="AG99" s="106">
        <v>21926.399999999998</v>
      </c>
      <c r="AH99" s="106">
        <v>4</v>
      </c>
      <c r="AI99" s="106">
        <v>21926.399999999998</v>
      </c>
      <c r="AJ99" s="106">
        <v>6</v>
      </c>
      <c r="AK99" s="106">
        <v>32889.599999999999</v>
      </c>
      <c r="AL99" s="106">
        <v>7</v>
      </c>
      <c r="AM99" s="106">
        <v>38371.199999999997</v>
      </c>
      <c r="AN99" s="106">
        <v>4</v>
      </c>
      <c r="AO99" s="106">
        <v>21926.399999999998</v>
      </c>
      <c r="AP99" s="106">
        <v>5</v>
      </c>
      <c r="AQ99" s="106">
        <v>27407.999999999996</v>
      </c>
      <c r="AR99" s="106">
        <v>2</v>
      </c>
      <c r="AS99" s="106">
        <v>10963.199999999999</v>
      </c>
      <c r="AT99" s="106">
        <v>4</v>
      </c>
      <c r="AU99" s="106">
        <v>21926.399999999998</v>
      </c>
      <c r="AV99" s="106">
        <v>3</v>
      </c>
      <c r="AW99" s="106">
        <v>16444.8</v>
      </c>
      <c r="AX99" s="106">
        <v>2</v>
      </c>
      <c r="AY99" s="106">
        <v>10963.199999999999</v>
      </c>
      <c r="AZ99" s="106">
        <v>5</v>
      </c>
      <c r="BA99" s="106">
        <v>27407.999999999996</v>
      </c>
      <c r="BB99" s="106">
        <v>5</v>
      </c>
      <c r="BC99" s="106">
        <v>27407.999999999996</v>
      </c>
      <c r="BD99" s="106">
        <v>6</v>
      </c>
      <c r="BE99" s="106">
        <v>32889.599999999999</v>
      </c>
      <c r="BF99" s="106">
        <v>7</v>
      </c>
      <c r="BG99" s="106">
        <v>38371.199999999997</v>
      </c>
      <c r="BH99" s="106">
        <v>8</v>
      </c>
      <c r="BI99" s="106">
        <v>43852.799999999996</v>
      </c>
      <c r="BJ99" s="106">
        <v>7</v>
      </c>
      <c r="BK99" s="106">
        <v>38371.199999999997</v>
      </c>
      <c r="BL99" s="106">
        <v>7</v>
      </c>
      <c r="BM99" s="106">
        <v>38371.199999999997</v>
      </c>
      <c r="BN99" s="106">
        <v>6</v>
      </c>
      <c r="BO99" s="106">
        <v>32889.599999999999</v>
      </c>
      <c r="BP99" s="106">
        <v>3</v>
      </c>
      <c r="BQ99" s="106">
        <v>16444.8</v>
      </c>
      <c r="BR99" s="106">
        <v>3</v>
      </c>
      <c r="BS99" s="106">
        <v>16444.8</v>
      </c>
      <c r="BT99" s="106">
        <v>3</v>
      </c>
      <c r="BU99" s="106">
        <v>16444.8</v>
      </c>
      <c r="BV99" s="106">
        <v>3</v>
      </c>
      <c r="BW99" s="106">
        <v>16444.8</v>
      </c>
      <c r="BX99" s="106">
        <v>5</v>
      </c>
      <c r="BY99" s="106">
        <v>27407.999999999996</v>
      </c>
      <c r="BZ99" s="106">
        <v>8</v>
      </c>
      <c r="CA99" s="106">
        <v>43852.799999999996</v>
      </c>
      <c r="CB99" s="106">
        <v>7</v>
      </c>
      <c r="CC99" s="106">
        <v>38371.199999999997</v>
      </c>
      <c r="CD99" s="106">
        <v>6</v>
      </c>
      <c r="CE99" s="106">
        <v>32889.599999999999</v>
      </c>
      <c r="CF99" s="106">
        <v>4</v>
      </c>
      <c r="CG99" s="106">
        <v>21926.399999999998</v>
      </c>
      <c r="CH99" s="106">
        <v>4</v>
      </c>
      <c r="CI99" s="106">
        <v>21926.399999999998</v>
      </c>
      <c r="CJ99" s="106">
        <v>4</v>
      </c>
      <c r="CK99" s="106">
        <v>21926.399999999998</v>
      </c>
      <c r="CL99" s="106">
        <v>3</v>
      </c>
      <c r="CM99" s="106">
        <v>16444.8</v>
      </c>
      <c r="CN99" s="106">
        <v>6</v>
      </c>
      <c r="CO99" s="106">
        <v>32889.599999999999</v>
      </c>
      <c r="CP99" s="106">
        <v>4</v>
      </c>
      <c r="CQ99" s="106">
        <v>21926.399999999998</v>
      </c>
      <c r="CR99" s="106">
        <v>5</v>
      </c>
      <c r="CS99" s="106">
        <v>27407.999999999996</v>
      </c>
      <c r="CT99" s="106">
        <v>8</v>
      </c>
      <c r="CU99" s="106">
        <v>43852.799999999996</v>
      </c>
    </row>
    <row r="100" spans="2:99" x14ac:dyDescent="0.2">
      <c r="C100" s="105" t="s">
        <v>265</v>
      </c>
      <c r="D100" s="106">
        <v>9</v>
      </c>
      <c r="E100" s="106">
        <v>14601.599999999999</v>
      </c>
      <c r="F100" s="106">
        <v>14</v>
      </c>
      <c r="G100" s="106">
        <v>22713.599999999999</v>
      </c>
      <c r="H100" s="106">
        <v>16</v>
      </c>
      <c r="I100" s="106">
        <v>25958.399999999998</v>
      </c>
      <c r="J100" s="106">
        <v>15</v>
      </c>
      <c r="K100" s="106">
        <v>24335.999999999996</v>
      </c>
      <c r="L100" s="106">
        <v>33</v>
      </c>
      <c r="M100" s="106">
        <v>53539.199999999997</v>
      </c>
      <c r="N100" s="106">
        <v>33</v>
      </c>
      <c r="O100" s="106">
        <v>53539.199999999997</v>
      </c>
      <c r="P100" s="106">
        <v>21</v>
      </c>
      <c r="Q100" s="106">
        <v>34070.399999999994</v>
      </c>
      <c r="R100" s="106">
        <v>27</v>
      </c>
      <c r="S100" s="106">
        <v>43804.799999999996</v>
      </c>
      <c r="T100" s="106">
        <v>14</v>
      </c>
      <c r="U100" s="106">
        <v>22713.599999999999</v>
      </c>
      <c r="V100" s="106">
        <v>11</v>
      </c>
      <c r="W100" s="106">
        <v>17846.399999999998</v>
      </c>
      <c r="X100" s="106">
        <v>12</v>
      </c>
      <c r="Y100" s="106">
        <v>19468.8</v>
      </c>
      <c r="Z100" s="106">
        <v>10</v>
      </c>
      <c r="AA100" s="106">
        <v>16223.999999999998</v>
      </c>
      <c r="AB100" s="106">
        <v>6</v>
      </c>
      <c r="AC100" s="106">
        <v>9734.4</v>
      </c>
      <c r="AD100" s="106">
        <v>7</v>
      </c>
      <c r="AE100" s="106">
        <v>11356.8</v>
      </c>
      <c r="AF100" s="106">
        <v>5</v>
      </c>
      <c r="AG100" s="106">
        <v>8111.9999999999991</v>
      </c>
      <c r="AH100" s="106">
        <v>7</v>
      </c>
      <c r="AI100" s="106">
        <v>11356.8</v>
      </c>
      <c r="AJ100" s="106">
        <v>10</v>
      </c>
      <c r="AK100" s="106">
        <v>16223.999999999998</v>
      </c>
      <c r="AL100" s="106">
        <v>9</v>
      </c>
      <c r="AM100" s="106">
        <v>14601.599999999999</v>
      </c>
      <c r="AN100" s="106">
        <v>5</v>
      </c>
      <c r="AO100" s="106">
        <v>8111.9999999999991</v>
      </c>
      <c r="AP100" s="106">
        <v>7</v>
      </c>
      <c r="AQ100" s="106">
        <v>11356.8</v>
      </c>
      <c r="AR100" s="106">
        <v>2</v>
      </c>
      <c r="AS100" s="106">
        <v>3244.7999999999997</v>
      </c>
      <c r="AT100" s="106">
        <v>4</v>
      </c>
      <c r="AU100" s="106">
        <v>6489.5999999999995</v>
      </c>
      <c r="AV100" s="106">
        <v>4</v>
      </c>
      <c r="AW100" s="106">
        <v>6489.5999999999995</v>
      </c>
      <c r="AX100" s="106">
        <v>2</v>
      </c>
      <c r="AY100" s="106">
        <v>3244.7999999999997</v>
      </c>
      <c r="AZ100" s="106">
        <v>7</v>
      </c>
      <c r="BA100" s="106">
        <v>11356.8</v>
      </c>
      <c r="BB100" s="106">
        <v>8</v>
      </c>
      <c r="BC100" s="106">
        <v>12979.199999999999</v>
      </c>
      <c r="BD100" s="106">
        <v>8</v>
      </c>
      <c r="BE100" s="106">
        <v>12979.199999999999</v>
      </c>
      <c r="BF100" s="106">
        <v>10</v>
      </c>
      <c r="BG100" s="106">
        <v>16223.999999999998</v>
      </c>
      <c r="BH100" s="106">
        <v>10</v>
      </c>
      <c r="BI100" s="106">
        <v>16223.999999999998</v>
      </c>
      <c r="BJ100" s="106">
        <v>10</v>
      </c>
      <c r="BK100" s="106">
        <v>16223.999999999998</v>
      </c>
      <c r="BL100" s="106">
        <v>9</v>
      </c>
      <c r="BM100" s="106">
        <v>14601.599999999999</v>
      </c>
      <c r="BN100" s="106">
        <v>9</v>
      </c>
      <c r="BO100" s="106">
        <v>14601.599999999999</v>
      </c>
      <c r="BP100" s="106">
        <v>4</v>
      </c>
      <c r="BQ100" s="106">
        <v>6489.5999999999995</v>
      </c>
      <c r="BR100" s="106">
        <v>4</v>
      </c>
      <c r="BS100" s="106">
        <v>6489.5999999999995</v>
      </c>
      <c r="BT100" s="106">
        <v>4</v>
      </c>
      <c r="BU100" s="106">
        <v>6489.5999999999995</v>
      </c>
      <c r="BV100" s="106">
        <v>3</v>
      </c>
      <c r="BW100" s="106">
        <v>4867.2</v>
      </c>
      <c r="BX100" s="106">
        <v>7</v>
      </c>
      <c r="BY100" s="106">
        <v>11356.8</v>
      </c>
      <c r="BZ100" s="106">
        <v>11</v>
      </c>
      <c r="CA100" s="106">
        <v>17846.399999999998</v>
      </c>
      <c r="CB100" s="106">
        <v>10</v>
      </c>
      <c r="CC100" s="106">
        <v>16223.999999999998</v>
      </c>
      <c r="CD100" s="106">
        <v>8</v>
      </c>
      <c r="CE100" s="106">
        <v>12979.199999999999</v>
      </c>
      <c r="CF100" s="106">
        <v>6</v>
      </c>
      <c r="CG100" s="106">
        <v>9734.4</v>
      </c>
      <c r="CH100" s="106">
        <v>5</v>
      </c>
      <c r="CI100" s="106">
        <v>8111.9999999999991</v>
      </c>
      <c r="CJ100" s="106">
        <v>5</v>
      </c>
      <c r="CK100" s="106">
        <v>8111.9999999999991</v>
      </c>
      <c r="CL100" s="106">
        <v>4</v>
      </c>
      <c r="CM100" s="106">
        <v>6489.5999999999995</v>
      </c>
      <c r="CN100" s="106">
        <v>8</v>
      </c>
      <c r="CO100" s="106">
        <v>12979.199999999999</v>
      </c>
      <c r="CP100" s="106">
        <v>6</v>
      </c>
      <c r="CQ100" s="106">
        <v>9734.4</v>
      </c>
      <c r="CR100" s="106">
        <v>6</v>
      </c>
      <c r="CS100" s="106">
        <v>9734.4</v>
      </c>
      <c r="CT100" s="106">
        <v>11</v>
      </c>
      <c r="CU100" s="106">
        <v>17846.399999999998</v>
      </c>
    </row>
    <row r="101" spans="2:99" x14ac:dyDescent="0.2">
      <c r="C101" s="105" t="s">
        <v>266</v>
      </c>
      <c r="D101" s="106">
        <v>9</v>
      </c>
      <c r="E101" s="106">
        <v>10713.599999999999</v>
      </c>
      <c r="F101" s="106">
        <v>15</v>
      </c>
      <c r="G101" s="106">
        <v>17855.999999999996</v>
      </c>
      <c r="H101" s="106">
        <v>16</v>
      </c>
      <c r="I101" s="106">
        <v>19046.399999999998</v>
      </c>
      <c r="J101" s="106">
        <v>16</v>
      </c>
      <c r="K101" s="106">
        <v>19046.399999999998</v>
      </c>
      <c r="L101" s="106">
        <v>36</v>
      </c>
      <c r="M101" s="106">
        <v>42854.399999999994</v>
      </c>
      <c r="N101" s="106">
        <v>33</v>
      </c>
      <c r="O101" s="106">
        <v>39283.199999999997</v>
      </c>
      <c r="P101" s="106">
        <v>22</v>
      </c>
      <c r="Q101" s="106">
        <v>26188.799999999996</v>
      </c>
      <c r="R101" s="106">
        <v>28</v>
      </c>
      <c r="S101" s="106">
        <v>33331.199999999997</v>
      </c>
      <c r="T101" s="106">
        <v>14</v>
      </c>
      <c r="U101" s="106">
        <v>16665.599999999999</v>
      </c>
      <c r="V101" s="106">
        <v>13</v>
      </c>
      <c r="W101" s="106">
        <v>15475.199999999999</v>
      </c>
      <c r="X101" s="106">
        <v>15</v>
      </c>
      <c r="Y101" s="106">
        <v>17855.999999999996</v>
      </c>
      <c r="Z101" s="106">
        <v>10</v>
      </c>
      <c r="AA101" s="106">
        <v>11903.999999999998</v>
      </c>
      <c r="AB101" s="106">
        <v>7</v>
      </c>
      <c r="AC101" s="106">
        <v>8332.7999999999993</v>
      </c>
      <c r="AD101" s="106">
        <v>6</v>
      </c>
      <c r="AE101" s="106">
        <v>7142.4</v>
      </c>
      <c r="AF101" s="106">
        <v>7</v>
      </c>
      <c r="AG101" s="106">
        <v>8332.7999999999993</v>
      </c>
      <c r="AH101" s="106">
        <v>6</v>
      </c>
      <c r="AI101" s="106">
        <v>7142.4</v>
      </c>
      <c r="AJ101" s="106">
        <v>10</v>
      </c>
      <c r="AK101" s="106">
        <v>11903.999999999998</v>
      </c>
      <c r="AL101" s="106">
        <v>10</v>
      </c>
      <c r="AM101" s="106">
        <v>11903.999999999998</v>
      </c>
      <c r="AN101" s="106">
        <v>6</v>
      </c>
      <c r="AO101" s="106">
        <v>7142.4</v>
      </c>
      <c r="AP101" s="106">
        <v>8</v>
      </c>
      <c r="AQ101" s="106">
        <v>9523.1999999999989</v>
      </c>
      <c r="AR101" s="106">
        <v>3</v>
      </c>
      <c r="AS101" s="106">
        <v>3571.2</v>
      </c>
      <c r="AT101" s="106">
        <v>5</v>
      </c>
      <c r="AU101" s="106">
        <v>5951.9999999999991</v>
      </c>
      <c r="AV101" s="106">
        <v>3</v>
      </c>
      <c r="AW101" s="106">
        <v>3571.2</v>
      </c>
      <c r="AX101" s="106">
        <v>3</v>
      </c>
      <c r="AY101" s="106">
        <v>3571.2</v>
      </c>
      <c r="AZ101" s="106">
        <v>7</v>
      </c>
      <c r="BA101" s="106">
        <v>8332.7999999999993</v>
      </c>
      <c r="BB101" s="106">
        <v>7</v>
      </c>
      <c r="BC101" s="106">
        <v>8332.7999999999993</v>
      </c>
      <c r="BD101" s="106">
        <v>8</v>
      </c>
      <c r="BE101" s="106">
        <v>9523.1999999999989</v>
      </c>
      <c r="BF101" s="106">
        <v>9</v>
      </c>
      <c r="BG101" s="106">
        <v>10713.599999999999</v>
      </c>
      <c r="BH101" s="106">
        <v>11</v>
      </c>
      <c r="BI101" s="106">
        <v>13094.399999999998</v>
      </c>
      <c r="BJ101" s="106">
        <v>10</v>
      </c>
      <c r="BK101" s="106">
        <v>11903.999999999998</v>
      </c>
      <c r="BL101" s="106">
        <v>8</v>
      </c>
      <c r="BM101" s="106">
        <v>9523.1999999999989</v>
      </c>
      <c r="BN101" s="106">
        <v>9</v>
      </c>
      <c r="BO101" s="106">
        <v>10713.599999999999</v>
      </c>
      <c r="BP101" s="106">
        <v>4</v>
      </c>
      <c r="BQ101" s="106">
        <v>4761.5999999999995</v>
      </c>
      <c r="BR101" s="106">
        <v>4</v>
      </c>
      <c r="BS101" s="106">
        <v>4761.5999999999995</v>
      </c>
      <c r="BT101" s="106">
        <v>3</v>
      </c>
      <c r="BU101" s="106">
        <v>3571.2</v>
      </c>
      <c r="BV101" s="106">
        <v>3</v>
      </c>
      <c r="BW101" s="106">
        <v>3571.2</v>
      </c>
      <c r="BX101" s="106">
        <v>7</v>
      </c>
      <c r="BY101" s="106">
        <v>8332.7999999999993</v>
      </c>
      <c r="BZ101" s="106">
        <v>13</v>
      </c>
      <c r="CA101" s="106">
        <v>15475.199999999999</v>
      </c>
      <c r="CB101" s="106">
        <v>11</v>
      </c>
      <c r="CC101" s="106">
        <v>13094.399999999998</v>
      </c>
      <c r="CD101" s="106">
        <v>8</v>
      </c>
      <c r="CE101" s="106">
        <v>9523.1999999999989</v>
      </c>
      <c r="CF101" s="106">
        <v>6</v>
      </c>
      <c r="CG101" s="106">
        <v>7142.4</v>
      </c>
      <c r="CH101" s="106">
        <v>5</v>
      </c>
      <c r="CI101" s="106">
        <v>5951.9999999999991</v>
      </c>
      <c r="CJ101" s="106">
        <v>5</v>
      </c>
      <c r="CK101" s="106">
        <v>5951.9999999999991</v>
      </c>
      <c r="CL101" s="106">
        <v>4</v>
      </c>
      <c r="CM101" s="106">
        <v>4761.5999999999995</v>
      </c>
      <c r="CN101" s="106">
        <v>9</v>
      </c>
      <c r="CO101" s="106">
        <v>10713.599999999999</v>
      </c>
      <c r="CP101" s="106">
        <v>6</v>
      </c>
      <c r="CQ101" s="106">
        <v>7142.4</v>
      </c>
      <c r="CR101" s="106">
        <v>6</v>
      </c>
      <c r="CS101" s="106">
        <v>7142.4</v>
      </c>
      <c r="CT101" s="106">
        <v>10</v>
      </c>
      <c r="CU101" s="106">
        <v>11903.999999999998</v>
      </c>
    </row>
    <row r="102" spans="2:99" x14ac:dyDescent="0.2">
      <c r="C102" s="105" t="s">
        <v>267</v>
      </c>
      <c r="D102" s="106">
        <v>8</v>
      </c>
      <c r="E102" s="106">
        <v>15513.599999999999</v>
      </c>
      <c r="F102" s="106">
        <v>13</v>
      </c>
      <c r="G102" s="106">
        <v>25209.599999999999</v>
      </c>
      <c r="H102" s="106">
        <v>14</v>
      </c>
      <c r="I102" s="106">
        <v>27148.799999999996</v>
      </c>
      <c r="J102" s="106">
        <v>17</v>
      </c>
      <c r="K102" s="106">
        <v>32966.399999999994</v>
      </c>
      <c r="L102" s="106">
        <v>30</v>
      </c>
      <c r="M102" s="106">
        <v>58175.999999999993</v>
      </c>
      <c r="N102" s="106">
        <v>30</v>
      </c>
      <c r="O102" s="106">
        <v>58175.999999999993</v>
      </c>
      <c r="P102" s="106">
        <v>18</v>
      </c>
      <c r="Q102" s="106">
        <v>34905.599999999999</v>
      </c>
      <c r="R102" s="106">
        <v>24</v>
      </c>
      <c r="S102" s="106">
        <v>46540.799999999996</v>
      </c>
      <c r="T102" s="106">
        <v>13</v>
      </c>
      <c r="U102" s="106">
        <v>25209.599999999999</v>
      </c>
      <c r="V102" s="106">
        <v>10</v>
      </c>
      <c r="W102" s="106">
        <v>19392</v>
      </c>
      <c r="X102" s="106">
        <v>13</v>
      </c>
      <c r="Y102" s="106">
        <v>25209.599999999999</v>
      </c>
      <c r="Z102" s="106">
        <v>10</v>
      </c>
      <c r="AA102" s="106">
        <v>19392</v>
      </c>
      <c r="AB102" s="106">
        <v>7</v>
      </c>
      <c r="AC102" s="106">
        <v>13574.399999999998</v>
      </c>
      <c r="AD102" s="106">
        <v>7</v>
      </c>
      <c r="AE102" s="106">
        <v>13574.399999999998</v>
      </c>
      <c r="AF102" s="106">
        <v>6</v>
      </c>
      <c r="AG102" s="106">
        <v>11635.199999999999</v>
      </c>
      <c r="AH102" s="106">
        <v>6</v>
      </c>
      <c r="AI102" s="106">
        <v>11635.199999999999</v>
      </c>
      <c r="AJ102" s="106">
        <v>10</v>
      </c>
      <c r="AK102" s="106">
        <v>19392</v>
      </c>
      <c r="AL102" s="106">
        <v>9</v>
      </c>
      <c r="AM102" s="106">
        <v>17452.8</v>
      </c>
      <c r="AN102" s="106">
        <v>5</v>
      </c>
      <c r="AO102" s="106">
        <v>9696</v>
      </c>
      <c r="AP102" s="106">
        <v>7</v>
      </c>
      <c r="AQ102" s="106">
        <v>13574.399999999998</v>
      </c>
      <c r="AR102" s="106">
        <v>3</v>
      </c>
      <c r="AS102" s="106">
        <v>5817.5999999999995</v>
      </c>
      <c r="AT102" s="106">
        <v>5</v>
      </c>
      <c r="AU102" s="106">
        <v>9696</v>
      </c>
      <c r="AV102" s="106">
        <v>4</v>
      </c>
      <c r="AW102" s="106">
        <v>7756.7999999999993</v>
      </c>
      <c r="AX102" s="106">
        <v>2</v>
      </c>
      <c r="AY102" s="106">
        <v>3878.3999999999996</v>
      </c>
      <c r="AZ102" s="106">
        <v>7</v>
      </c>
      <c r="BA102" s="106">
        <v>13574.399999999998</v>
      </c>
      <c r="BB102" s="106">
        <v>7</v>
      </c>
      <c r="BC102" s="106">
        <v>13574.399999999998</v>
      </c>
      <c r="BD102" s="106">
        <v>8</v>
      </c>
      <c r="BE102" s="106">
        <v>15513.599999999999</v>
      </c>
      <c r="BF102" s="106">
        <v>10</v>
      </c>
      <c r="BG102" s="106">
        <v>19392</v>
      </c>
      <c r="BH102" s="106">
        <v>10</v>
      </c>
      <c r="BI102" s="106">
        <v>19392</v>
      </c>
      <c r="BJ102" s="106">
        <v>9</v>
      </c>
      <c r="BK102" s="106">
        <v>17452.8</v>
      </c>
      <c r="BL102" s="106">
        <v>9</v>
      </c>
      <c r="BM102" s="106">
        <v>17452.8</v>
      </c>
      <c r="BN102" s="106">
        <v>8</v>
      </c>
      <c r="BO102" s="106">
        <v>15513.599999999999</v>
      </c>
      <c r="BP102" s="106">
        <v>4</v>
      </c>
      <c r="BQ102" s="106">
        <v>7756.7999999999993</v>
      </c>
      <c r="BR102" s="106">
        <v>3</v>
      </c>
      <c r="BS102" s="106">
        <v>5817.5999999999995</v>
      </c>
      <c r="BT102" s="106">
        <v>3</v>
      </c>
      <c r="BU102" s="106">
        <v>5817.5999999999995</v>
      </c>
      <c r="BV102" s="106">
        <v>3</v>
      </c>
      <c r="BW102" s="106">
        <v>5817.5999999999995</v>
      </c>
      <c r="BX102" s="106">
        <v>8</v>
      </c>
      <c r="BY102" s="106">
        <v>15513.599999999999</v>
      </c>
      <c r="BZ102" s="106">
        <v>12</v>
      </c>
      <c r="CA102" s="106">
        <v>23270.399999999998</v>
      </c>
      <c r="CB102" s="106">
        <v>10</v>
      </c>
      <c r="CC102" s="106">
        <v>19392</v>
      </c>
      <c r="CD102" s="106">
        <v>8</v>
      </c>
      <c r="CE102" s="106">
        <v>15513.599999999999</v>
      </c>
      <c r="CF102" s="106">
        <v>6</v>
      </c>
      <c r="CG102" s="106">
        <v>11635.199999999999</v>
      </c>
      <c r="CH102" s="106">
        <v>5</v>
      </c>
      <c r="CI102" s="106">
        <v>9696</v>
      </c>
      <c r="CJ102" s="106">
        <v>5</v>
      </c>
      <c r="CK102" s="106">
        <v>9696</v>
      </c>
      <c r="CL102" s="106">
        <v>4</v>
      </c>
      <c r="CM102" s="106">
        <v>7756.7999999999993</v>
      </c>
      <c r="CN102" s="106">
        <v>8</v>
      </c>
      <c r="CO102" s="106">
        <v>15513.599999999999</v>
      </c>
      <c r="CP102" s="106">
        <v>6</v>
      </c>
      <c r="CQ102" s="106">
        <v>11635.199999999999</v>
      </c>
      <c r="CR102" s="106">
        <v>6</v>
      </c>
      <c r="CS102" s="106">
        <v>11635.199999999999</v>
      </c>
      <c r="CT102" s="106">
        <v>10</v>
      </c>
      <c r="CU102" s="106">
        <v>19392</v>
      </c>
    </row>
    <row r="103" spans="2:99" x14ac:dyDescent="0.2">
      <c r="C103" s="105" t="s">
        <v>268</v>
      </c>
      <c r="D103" s="106">
        <v>8</v>
      </c>
      <c r="E103" s="106">
        <v>16224</v>
      </c>
      <c r="F103" s="106">
        <v>14</v>
      </c>
      <c r="G103" s="106">
        <v>28392</v>
      </c>
      <c r="H103" s="106">
        <v>14</v>
      </c>
      <c r="I103" s="106">
        <v>28392</v>
      </c>
      <c r="J103" s="106">
        <v>16</v>
      </c>
      <c r="K103" s="106">
        <v>32448</v>
      </c>
      <c r="L103" s="106">
        <v>33</v>
      </c>
      <c r="M103" s="106">
        <v>66924</v>
      </c>
      <c r="N103" s="106">
        <v>28</v>
      </c>
      <c r="O103" s="106">
        <v>56784</v>
      </c>
      <c r="P103" s="106">
        <v>18</v>
      </c>
      <c r="Q103" s="106">
        <v>36504</v>
      </c>
      <c r="R103" s="106">
        <v>23</v>
      </c>
      <c r="S103" s="106">
        <v>46644</v>
      </c>
      <c r="T103" s="106">
        <v>13</v>
      </c>
      <c r="U103" s="106">
        <v>26364</v>
      </c>
      <c r="V103" s="106">
        <v>10</v>
      </c>
      <c r="W103" s="106">
        <v>20280</v>
      </c>
      <c r="X103" s="106">
        <v>12</v>
      </c>
      <c r="Y103" s="106">
        <v>24336</v>
      </c>
      <c r="Z103" s="106">
        <v>8</v>
      </c>
      <c r="AA103" s="106">
        <v>16224</v>
      </c>
      <c r="AB103" s="106">
        <v>6</v>
      </c>
      <c r="AC103" s="106">
        <v>12168</v>
      </c>
      <c r="AD103" s="106">
        <v>7</v>
      </c>
      <c r="AE103" s="106">
        <v>14196</v>
      </c>
      <c r="AF103" s="106">
        <v>6</v>
      </c>
      <c r="AG103" s="106">
        <v>12168</v>
      </c>
      <c r="AH103" s="106">
        <v>6</v>
      </c>
      <c r="AI103" s="106">
        <v>12168</v>
      </c>
      <c r="AJ103" s="106">
        <v>9</v>
      </c>
      <c r="AK103" s="106">
        <v>18252</v>
      </c>
      <c r="AL103" s="106">
        <v>9</v>
      </c>
      <c r="AM103" s="106">
        <v>18252</v>
      </c>
      <c r="AN103" s="106">
        <v>5</v>
      </c>
      <c r="AO103" s="106">
        <v>10140</v>
      </c>
      <c r="AP103" s="106">
        <v>6</v>
      </c>
      <c r="AQ103" s="106">
        <v>12168</v>
      </c>
      <c r="AR103" s="106">
        <v>2</v>
      </c>
      <c r="AS103" s="106">
        <v>4056</v>
      </c>
      <c r="AT103" s="106">
        <v>4</v>
      </c>
      <c r="AU103" s="106">
        <v>8112</v>
      </c>
      <c r="AV103" s="106">
        <v>4</v>
      </c>
      <c r="AW103" s="106">
        <v>8112</v>
      </c>
      <c r="AX103" s="106">
        <v>2</v>
      </c>
      <c r="AY103" s="106">
        <v>4056</v>
      </c>
      <c r="AZ103" s="106">
        <v>6</v>
      </c>
      <c r="BA103" s="106">
        <v>12168</v>
      </c>
      <c r="BB103" s="106">
        <v>7</v>
      </c>
      <c r="BC103" s="106">
        <v>14196</v>
      </c>
      <c r="BD103" s="106">
        <v>7</v>
      </c>
      <c r="BE103" s="106">
        <v>14196</v>
      </c>
      <c r="BF103" s="106">
        <v>9</v>
      </c>
      <c r="BG103" s="106">
        <v>18252</v>
      </c>
      <c r="BH103" s="106">
        <v>9</v>
      </c>
      <c r="BI103" s="106">
        <v>18252</v>
      </c>
      <c r="BJ103" s="106">
        <v>9</v>
      </c>
      <c r="BK103" s="106">
        <v>18252</v>
      </c>
      <c r="BL103" s="106">
        <v>8</v>
      </c>
      <c r="BM103" s="106">
        <v>16224</v>
      </c>
      <c r="BN103" s="106">
        <v>8</v>
      </c>
      <c r="BO103" s="106">
        <v>16224</v>
      </c>
      <c r="BP103" s="106">
        <v>4</v>
      </c>
      <c r="BQ103" s="106">
        <v>8112</v>
      </c>
      <c r="BR103" s="106">
        <v>3</v>
      </c>
      <c r="BS103" s="106">
        <v>6084</v>
      </c>
      <c r="BT103" s="106">
        <v>3</v>
      </c>
      <c r="BU103" s="106">
        <v>6084</v>
      </c>
      <c r="BV103" s="106">
        <v>3</v>
      </c>
      <c r="BW103" s="106">
        <v>6084</v>
      </c>
      <c r="BX103" s="106">
        <v>7</v>
      </c>
      <c r="BY103" s="106">
        <v>14196</v>
      </c>
      <c r="BZ103" s="106">
        <v>12</v>
      </c>
      <c r="CA103" s="106">
        <v>24336</v>
      </c>
      <c r="CB103" s="106">
        <v>10</v>
      </c>
      <c r="CC103" s="106">
        <v>20280</v>
      </c>
      <c r="CD103" s="106">
        <v>8</v>
      </c>
      <c r="CE103" s="106">
        <v>16224</v>
      </c>
      <c r="CF103" s="106">
        <v>5</v>
      </c>
      <c r="CG103" s="106">
        <v>10140</v>
      </c>
      <c r="CH103" s="106">
        <v>5</v>
      </c>
      <c r="CI103" s="106">
        <v>10140</v>
      </c>
      <c r="CJ103" s="106">
        <v>5</v>
      </c>
      <c r="CK103" s="106">
        <v>10140</v>
      </c>
      <c r="CL103" s="106">
        <v>4</v>
      </c>
      <c r="CM103" s="106">
        <v>8112</v>
      </c>
      <c r="CN103" s="106">
        <v>8</v>
      </c>
      <c r="CO103" s="106">
        <v>16224</v>
      </c>
      <c r="CP103" s="106">
        <v>5</v>
      </c>
      <c r="CQ103" s="106">
        <v>10140</v>
      </c>
      <c r="CR103" s="106">
        <v>7</v>
      </c>
      <c r="CS103" s="106">
        <v>14196</v>
      </c>
      <c r="CT103" s="106">
        <v>10</v>
      </c>
      <c r="CU103" s="106">
        <v>20280</v>
      </c>
    </row>
    <row r="104" spans="2:99" x14ac:dyDescent="0.2">
      <c r="C104" s="105" t="s">
        <v>269</v>
      </c>
      <c r="D104" s="106">
        <v>9</v>
      </c>
      <c r="E104" s="106">
        <v>18651.600000000002</v>
      </c>
      <c r="F104" s="106">
        <v>13</v>
      </c>
      <c r="G104" s="106">
        <v>26941.200000000001</v>
      </c>
      <c r="H104" s="106">
        <v>14</v>
      </c>
      <c r="I104" s="106">
        <v>29013.600000000002</v>
      </c>
      <c r="J104" s="106">
        <v>15</v>
      </c>
      <c r="K104" s="106">
        <v>31086</v>
      </c>
      <c r="L104" s="106">
        <v>32</v>
      </c>
      <c r="M104" s="106">
        <v>66316.800000000003</v>
      </c>
      <c r="N104" s="106">
        <v>33</v>
      </c>
      <c r="O104" s="106">
        <v>68389.2</v>
      </c>
      <c r="P104" s="106">
        <v>16</v>
      </c>
      <c r="Q104" s="106">
        <v>33158.400000000001</v>
      </c>
      <c r="R104" s="106">
        <v>25</v>
      </c>
      <c r="S104" s="106">
        <v>51810</v>
      </c>
      <c r="T104" s="106">
        <v>13</v>
      </c>
      <c r="U104" s="106">
        <v>26941.200000000001</v>
      </c>
      <c r="V104" s="106">
        <v>11</v>
      </c>
      <c r="W104" s="106">
        <v>22796.400000000001</v>
      </c>
      <c r="X104" s="106">
        <v>12</v>
      </c>
      <c r="Y104" s="106">
        <v>24868.800000000003</v>
      </c>
      <c r="Z104" s="106">
        <v>9</v>
      </c>
      <c r="AA104" s="106">
        <v>18651.600000000002</v>
      </c>
      <c r="AB104" s="106">
        <v>7</v>
      </c>
      <c r="AC104" s="106">
        <v>14506.800000000001</v>
      </c>
      <c r="AD104" s="106">
        <v>6</v>
      </c>
      <c r="AE104" s="106">
        <v>12434.400000000001</v>
      </c>
      <c r="AF104" s="106">
        <v>5</v>
      </c>
      <c r="AG104" s="106">
        <v>10362</v>
      </c>
      <c r="AH104" s="106">
        <v>6</v>
      </c>
      <c r="AI104" s="106">
        <v>12434.400000000001</v>
      </c>
      <c r="AJ104" s="106">
        <v>9</v>
      </c>
      <c r="AK104" s="106">
        <v>18651.600000000002</v>
      </c>
      <c r="AL104" s="106">
        <v>8</v>
      </c>
      <c r="AM104" s="106">
        <v>16579.2</v>
      </c>
      <c r="AN104" s="106">
        <v>5</v>
      </c>
      <c r="AO104" s="106">
        <v>10362</v>
      </c>
      <c r="AP104" s="106">
        <v>7</v>
      </c>
      <c r="AQ104" s="106">
        <v>14506.800000000001</v>
      </c>
      <c r="AR104" s="106">
        <v>2</v>
      </c>
      <c r="AS104" s="106">
        <v>4144.8</v>
      </c>
      <c r="AT104" s="106">
        <v>4</v>
      </c>
      <c r="AU104" s="106">
        <v>8289.6</v>
      </c>
      <c r="AV104" s="106">
        <v>3</v>
      </c>
      <c r="AW104" s="106">
        <v>6217.2000000000007</v>
      </c>
      <c r="AX104" s="106">
        <v>3</v>
      </c>
      <c r="AY104" s="106">
        <v>6217.2000000000007</v>
      </c>
      <c r="AZ104" s="106">
        <v>6</v>
      </c>
      <c r="BA104" s="106">
        <v>12434.400000000001</v>
      </c>
      <c r="BB104" s="106">
        <v>8</v>
      </c>
      <c r="BC104" s="106">
        <v>16579.2</v>
      </c>
      <c r="BD104" s="106">
        <v>8</v>
      </c>
      <c r="BE104" s="106">
        <v>16579.2</v>
      </c>
      <c r="BF104" s="106">
        <v>9</v>
      </c>
      <c r="BG104" s="106">
        <v>18651.600000000002</v>
      </c>
      <c r="BH104" s="106">
        <v>10</v>
      </c>
      <c r="BI104" s="106">
        <v>20724</v>
      </c>
      <c r="BJ104" s="106">
        <v>9</v>
      </c>
      <c r="BK104" s="106">
        <v>18651.600000000002</v>
      </c>
      <c r="BL104" s="106">
        <v>9</v>
      </c>
      <c r="BM104" s="106">
        <v>18651.600000000002</v>
      </c>
      <c r="BN104" s="106">
        <v>8</v>
      </c>
      <c r="BO104" s="106">
        <v>16579.2</v>
      </c>
      <c r="BP104" s="106">
        <v>4</v>
      </c>
      <c r="BQ104" s="106">
        <v>8289.6</v>
      </c>
      <c r="BR104" s="106">
        <v>3</v>
      </c>
      <c r="BS104" s="106">
        <v>6217.2000000000007</v>
      </c>
      <c r="BT104" s="106">
        <v>4</v>
      </c>
      <c r="BU104" s="106">
        <v>8289.6</v>
      </c>
      <c r="BV104" s="106">
        <v>3</v>
      </c>
      <c r="BW104" s="106">
        <v>6217.2000000000007</v>
      </c>
      <c r="BX104" s="106">
        <v>7</v>
      </c>
      <c r="BY104" s="106">
        <v>14506.800000000001</v>
      </c>
      <c r="BZ104" s="106">
        <v>12</v>
      </c>
      <c r="CA104" s="106">
        <v>24868.800000000003</v>
      </c>
      <c r="CB104" s="106">
        <v>11</v>
      </c>
      <c r="CC104" s="106">
        <v>22796.400000000001</v>
      </c>
      <c r="CD104" s="106">
        <v>7</v>
      </c>
      <c r="CE104" s="106">
        <v>14506.800000000001</v>
      </c>
      <c r="CF104" s="106">
        <v>5</v>
      </c>
      <c r="CG104" s="106">
        <v>10362</v>
      </c>
      <c r="CH104" s="106">
        <v>5</v>
      </c>
      <c r="CI104" s="106">
        <v>10362</v>
      </c>
      <c r="CJ104" s="106">
        <v>5</v>
      </c>
      <c r="CK104" s="106">
        <v>10362</v>
      </c>
      <c r="CL104" s="106">
        <v>4</v>
      </c>
      <c r="CM104" s="106">
        <v>8289.6</v>
      </c>
      <c r="CN104" s="106">
        <v>8</v>
      </c>
      <c r="CO104" s="106">
        <v>16579.2</v>
      </c>
      <c r="CP104" s="106">
        <v>5</v>
      </c>
      <c r="CQ104" s="106">
        <v>10362</v>
      </c>
      <c r="CR104" s="106">
        <v>6</v>
      </c>
      <c r="CS104" s="106">
        <v>12434.400000000001</v>
      </c>
      <c r="CT104" s="106">
        <v>10</v>
      </c>
      <c r="CU104" s="106">
        <v>20724</v>
      </c>
    </row>
    <row r="105" spans="2:99" x14ac:dyDescent="0.2">
      <c r="C105" s="105" t="s">
        <v>270</v>
      </c>
      <c r="D105" s="106">
        <v>8</v>
      </c>
      <c r="E105" s="106">
        <v>15984</v>
      </c>
      <c r="F105" s="106">
        <v>14</v>
      </c>
      <c r="G105" s="106">
        <v>27972</v>
      </c>
      <c r="H105" s="106">
        <v>15</v>
      </c>
      <c r="I105" s="106">
        <v>29970</v>
      </c>
      <c r="J105" s="106">
        <v>16</v>
      </c>
      <c r="K105" s="106">
        <v>31968</v>
      </c>
      <c r="L105" s="106">
        <v>31</v>
      </c>
      <c r="M105" s="106">
        <v>61938</v>
      </c>
      <c r="N105" s="106">
        <v>29</v>
      </c>
      <c r="O105" s="106">
        <v>57942</v>
      </c>
      <c r="P105" s="106">
        <v>17</v>
      </c>
      <c r="Q105" s="106">
        <v>33966</v>
      </c>
      <c r="R105" s="106">
        <v>24</v>
      </c>
      <c r="S105" s="106">
        <v>47952</v>
      </c>
      <c r="T105" s="106">
        <v>13</v>
      </c>
      <c r="U105" s="106">
        <v>25974</v>
      </c>
      <c r="V105" s="106">
        <v>11</v>
      </c>
      <c r="W105" s="106">
        <v>21978</v>
      </c>
      <c r="X105" s="106">
        <v>14</v>
      </c>
      <c r="Y105" s="106">
        <v>27972</v>
      </c>
      <c r="Z105" s="106">
        <v>9</v>
      </c>
      <c r="AA105" s="106">
        <v>17982</v>
      </c>
      <c r="AB105" s="106">
        <v>6</v>
      </c>
      <c r="AC105" s="106">
        <v>11988</v>
      </c>
      <c r="AD105" s="106">
        <v>7</v>
      </c>
      <c r="AE105" s="106">
        <v>13986</v>
      </c>
      <c r="AF105" s="106">
        <v>5</v>
      </c>
      <c r="AG105" s="106">
        <v>9990</v>
      </c>
      <c r="AH105" s="106">
        <v>6</v>
      </c>
      <c r="AI105" s="106">
        <v>11988</v>
      </c>
      <c r="AJ105" s="106">
        <v>9</v>
      </c>
      <c r="AK105" s="106">
        <v>17982</v>
      </c>
      <c r="AL105" s="106">
        <v>8</v>
      </c>
      <c r="AM105" s="106">
        <v>15984</v>
      </c>
      <c r="AN105" s="106">
        <v>5</v>
      </c>
      <c r="AO105" s="106">
        <v>9990</v>
      </c>
      <c r="AP105" s="106">
        <v>7</v>
      </c>
      <c r="AQ105" s="106">
        <v>13986</v>
      </c>
      <c r="AR105" s="106">
        <v>2</v>
      </c>
      <c r="AS105" s="106">
        <v>3996</v>
      </c>
      <c r="AT105" s="106">
        <v>5</v>
      </c>
      <c r="AU105" s="106">
        <v>9990</v>
      </c>
      <c r="AV105" s="106">
        <v>3</v>
      </c>
      <c r="AW105" s="106">
        <v>5994</v>
      </c>
      <c r="AX105" s="106">
        <v>3</v>
      </c>
      <c r="AY105" s="106">
        <v>5994</v>
      </c>
      <c r="AZ105" s="106">
        <v>6</v>
      </c>
      <c r="BA105" s="106">
        <v>11988</v>
      </c>
      <c r="BB105" s="106">
        <v>7</v>
      </c>
      <c r="BC105" s="106">
        <v>13986</v>
      </c>
      <c r="BD105" s="106">
        <v>7</v>
      </c>
      <c r="BE105" s="106">
        <v>13986</v>
      </c>
      <c r="BF105" s="106">
        <v>9</v>
      </c>
      <c r="BG105" s="106">
        <v>17982</v>
      </c>
      <c r="BH105" s="106">
        <v>9</v>
      </c>
      <c r="BI105" s="106">
        <v>17982</v>
      </c>
      <c r="BJ105" s="106">
        <v>10</v>
      </c>
      <c r="BK105" s="106">
        <v>19980</v>
      </c>
      <c r="BL105" s="106">
        <v>8</v>
      </c>
      <c r="BM105" s="106">
        <v>15984</v>
      </c>
      <c r="BN105" s="106">
        <v>8</v>
      </c>
      <c r="BO105" s="106">
        <v>15984</v>
      </c>
      <c r="BP105" s="106">
        <v>4</v>
      </c>
      <c r="BQ105" s="106">
        <v>7992</v>
      </c>
      <c r="BR105" s="106">
        <v>3</v>
      </c>
      <c r="BS105" s="106">
        <v>5994</v>
      </c>
      <c r="BT105" s="106">
        <v>3</v>
      </c>
      <c r="BU105" s="106">
        <v>5994</v>
      </c>
      <c r="BV105" s="106">
        <v>3</v>
      </c>
      <c r="BW105" s="106">
        <v>5994</v>
      </c>
      <c r="BX105" s="106">
        <v>7</v>
      </c>
      <c r="BY105" s="106">
        <v>13986</v>
      </c>
      <c r="BZ105" s="106">
        <v>11</v>
      </c>
      <c r="CA105" s="106">
        <v>21978</v>
      </c>
      <c r="CB105" s="106">
        <v>11</v>
      </c>
      <c r="CC105" s="106">
        <v>21978</v>
      </c>
      <c r="CD105" s="106">
        <v>7</v>
      </c>
      <c r="CE105" s="106">
        <v>13986</v>
      </c>
      <c r="CF105" s="106">
        <v>6</v>
      </c>
      <c r="CG105" s="106">
        <v>11988</v>
      </c>
      <c r="CH105" s="106">
        <v>5</v>
      </c>
      <c r="CI105" s="106">
        <v>9990</v>
      </c>
      <c r="CJ105" s="106">
        <v>5</v>
      </c>
      <c r="CK105" s="106">
        <v>9990</v>
      </c>
      <c r="CL105" s="106">
        <v>4</v>
      </c>
      <c r="CM105" s="106">
        <v>7992</v>
      </c>
      <c r="CN105" s="106">
        <v>7</v>
      </c>
      <c r="CO105" s="106">
        <v>13986</v>
      </c>
      <c r="CP105" s="106">
        <v>6</v>
      </c>
      <c r="CQ105" s="106">
        <v>11988</v>
      </c>
      <c r="CR105" s="106">
        <v>7</v>
      </c>
      <c r="CS105" s="106">
        <v>13986</v>
      </c>
      <c r="CT105" s="106">
        <v>10</v>
      </c>
      <c r="CU105" s="106">
        <v>19980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70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238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123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186</v>
      </c>
      <c r="E112" s="106">
        <f>SUM(L$49:L$70)+SUM(N$49:N$70)+SUM(P$49:P$70)+SUM(R$49:R$70)</f>
        <v>48</v>
      </c>
      <c r="F112" s="106">
        <f>SUM(T$49:T$70)+SUM(V$49:V$70)+SUM(X$49:X$70)+SUM(Z$49:Z$70)</f>
        <v>498</v>
      </c>
      <c r="G112" s="106">
        <f>SUM(AB$49:AB$70)+SUM(AD$49:AD$70)+SUM(AF$49:AF$70)+SUM(AH$49:AH$70)</f>
        <v>109</v>
      </c>
      <c r="H112" s="106">
        <f>SUM(AJ$49:AJ$70)+SUM(AL$49:AL$70)+SUM(AN$49:AN$70)+SUM(AP$49:AP$70)</f>
        <v>138</v>
      </c>
      <c r="I112" s="106">
        <f>SUM(AR$49:AR$70)+SUM(AT$49:AT$70)+SUM(AV$49:AV$70)+SUM(AX$49:AX$70)</f>
        <v>34</v>
      </c>
      <c r="J112" s="106">
        <f>SUM(AZ$49:AZ$70)+SUM(BB$49:BB$70)+SUM(BD$49:BD$70)+SUM(BF$49:BF$70)</f>
        <v>53</v>
      </c>
      <c r="K112" s="106">
        <f>SUM(BH$49:BH$70)+SUM(BJ$49:BJ$70)+SUM(BL$49:BL$70)+SUM(BN$49:BN$70)</f>
        <v>54</v>
      </c>
      <c r="L112" s="106">
        <f>SUM(BP$49:BP$70)+SUM(BR$49:BR$70)+SUM(BT$49:BT$70)+SUM(BV$49:BV$70)</f>
        <v>120</v>
      </c>
      <c r="M112" s="106">
        <f>SUM(BX$49:BX$70)+SUM(BZ$49:BZ$70)+SUM(CB$49:CB$70)+SUM(CD$49:CD$70)</f>
        <v>35</v>
      </c>
      <c r="N112" s="106">
        <f>SUM(CF$49:CF$70)+SUM(CH$49:CH$70)+SUM(CJ$49:CJ$70)+SUM(CL$49:CL$70)</f>
        <v>632</v>
      </c>
      <c r="O112" s="106">
        <f>SUM(CN$49:CN$70)+SUM(CP$49:CP$70)+SUM(CR$49:CR$70)+SUM(CT$49:CT$70)</f>
        <v>77</v>
      </c>
    </row>
    <row r="113" spans="2:15" x14ac:dyDescent="0.2">
      <c r="C113" s="105" t="s">
        <v>130</v>
      </c>
      <c r="D113" s="106">
        <f>SUM(D$71:D$86)+SUM(F$71:F$86)+SUM(H$71:H$86)+SUM(J$71:J$86)</f>
        <v>1538</v>
      </c>
      <c r="E113" s="106">
        <f>SUM(L$71:L$86)+SUM(N$71:N$86)+SUM(P$71:P$86)+SUM(R$71:R$86)</f>
        <v>1510</v>
      </c>
      <c r="F113" s="106">
        <f>SUM(T$71:T$86)+SUM(V$71:V$86)+SUM(X$71:X$86)+SUM(Z$71:Z$86)</f>
        <v>796</v>
      </c>
      <c r="G113" s="106">
        <f>SUM(AB$71:AB$86)+SUM(AD$71:AD$86)+SUM(AF$71:AF$86)+SUM(AH$71:AH$86)</f>
        <v>671</v>
      </c>
      <c r="H113" s="106">
        <f>SUM(AJ$71:AJ$86)+SUM(AL$71:AL$86)+SUM(AN$71:AN$86)+SUM(AP$71:AP$86)</f>
        <v>1168</v>
      </c>
      <c r="I113" s="106">
        <f>SUM(AR$71:AR$86)+SUM(AT$71:AT$86)+SUM(AV$71:AV$86)+SUM(AX$71:AX$86)</f>
        <v>1756</v>
      </c>
      <c r="J113" s="106">
        <f>SUM(AZ$71:AZ$86)+SUM(BB$71:BB$86)+SUM(BD$71:BD$86)+SUM(BF$71:BF$86)</f>
        <v>193</v>
      </c>
      <c r="K113" s="106">
        <f>SUM(BH$71:BH$86)+SUM(BJ$71:BJ$86)+SUM(BL$71:BL$86)+SUM(BN$71:BN$86)</f>
        <v>218</v>
      </c>
      <c r="L113" s="106">
        <f>SUM(BP$71:BP$86)+SUM(BR$71:BR$86)+SUM(BT$71:BT$86)+SUM(BV$71:BV$86)</f>
        <v>242</v>
      </c>
      <c r="M113" s="106">
        <f>SUM(BX$71:BX$86)+SUM(BZ$71:BZ$86)+SUM(CB$71:CB$86)+SUM(CD$71:CD$86)</f>
        <v>1234</v>
      </c>
      <c r="N113" s="106">
        <f>SUM(CF$71:CF$86)+SUM(CH$71:CH$86)+SUM(CJ$71:CJ$86)+SUM(CL$71:CL$86)</f>
        <v>170</v>
      </c>
      <c r="O113" s="106">
        <f>SUM(CN$71:CN$86)+SUM(CP$71:CP$86)+SUM(CR$71:CR$86)+SUM(CT$71:CT$86)</f>
        <v>291</v>
      </c>
    </row>
    <row r="114" spans="2:15" x14ac:dyDescent="0.2">
      <c r="C114" s="105" t="s">
        <v>131</v>
      </c>
      <c r="D114" s="106">
        <f>SUM(D$87:D$94)+SUM(F$87:F$94)+SUM(H$87:H$94)+SUM(J$87:J$94)</f>
        <v>134</v>
      </c>
      <c r="E114" s="106">
        <f>SUM(L$87:L$94)+SUM(N$87:N$94)+SUM(P$87:P$94)+SUM(R$87:R$94)</f>
        <v>188</v>
      </c>
      <c r="F114" s="106">
        <f>SUM(T$87:T$94)+SUM(V$87:V$94)+SUM(X$87:X$94)+SUM(Z$87:Z$94)</f>
        <v>205</v>
      </c>
      <c r="G114" s="106">
        <f>SUM(AB$87:AB$94)+SUM(AD$87:AD$94)+SUM(AF$87:AF$94)+SUM(AH$87:AH$94)</f>
        <v>357</v>
      </c>
      <c r="H114" s="106">
        <f>SUM(AJ$87:AJ$94)+SUM(AL$87:AL$94)+SUM(AN$87:AN$94)+SUM(AP$87:AP$94)</f>
        <v>284</v>
      </c>
      <c r="I114" s="106">
        <f>SUM(AR$87:AR$94)+SUM(AT$87:AT$94)+SUM(AV$87:AV$94)+SUM(AX$87:AX$94)</f>
        <v>607</v>
      </c>
      <c r="J114" s="106">
        <f>SUM(AZ$87:AZ$94)+SUM(BB$87:BB$94)+SUM(BD$87:BD$94)+SUM(BF$87:BF$94)</f>
        <v>128</v>
      </c>
      <c r="K114" s="106">
        <f>SUM(BH$87:BH$94)+SUM(BJ$87:BJ$94)+SUM(BL$87:BL$94)+SUM(BN$87:BN$94)</f>
        <v>281</v>
      </c>
      <c r="L114" s="106">
        <f>SUM(BP$87:BP$94)+SUM(BR$87:BR$94)+SUM(BT$87:BT$94)+SUM(BV$87:BV$94)</f>
        <v>476</v>
      </c>
      <c r="M114" s="106">
        <f>SUM(BX$87:BX$94)+SUM(BZ$87:BZ$94)+SUM(CB$87:CB$94)+SUM(CD$87:CD$94)</f>
        <v>275</v>
      </c>
      <c r="N114" s="106">
        <f>SUM(CF$87:CF$94)+SUM(CH$87:CH$94)+SUM(CJ$87:CJ$94)+SUM(CL$87:CL$94)</f>
        <v>112</v>
      </c>
      <c r="O114" s="106">
        <f>SUM(CN$87:CN$94)+SUM(CP$87:CP$94)+SUM(CR$87:CR$94)+SUM(CT$87:CT$94)</f>
        <v>90</v>
      </c>
    </row>
    <row r="115" spans="2:15" x14ac:dyDescent="0.2">
      <c r="C115" s="105" t="s">
        <v>132</v>
      </c>
      <c r="D115" s="106">
        <f>SUM(D$95:D$105)+SUM(F$95:F$105)+SUM(H$95:H$105)+SUM(J$95:J$105)</f>
        <v>576</v>
      </c>
      <c r="E115" s="106">
        <f>SUM(L$95:L$105)+SUM(N$95:N$105)+SUM(P$95:P$105)+SUM(R$95:R$105)</f>
        <v>1159</v>
      </c>
      <c r="F115" s="106">
        <f>SUM(T$95:T$105)+SUM(V$95:V$105)+SUM(X$95:X$105)+SUM(Z$95:Z$105)</f>
        <v>510</v>
      </c>
      <c r="G115" s="106">
        <f>SUM(AB$95:AB$105)+SUM(AD$95:AD$105)+SUM(AF$95:AF$105)+SUM(AH$95:AH$105)</f>
        <v>272</v>
      </c>
      <c r="H115" s="106">
        <f>SUM(AJ$95:AJ$105)+SUM(AL$95:AL$105)+SUM(AN$95:AN$105)+SUM(AP$95:AP$105)</f>
        <v>327</v>
      </c>
      <c r="I115" s="106">
        <f>SUM(AR$95:AR$105)+SUM(AT$95:AT$105)+SUM(AV$95:AV$105)+SUM(AX$95:AX$105)</f>
        <v>141</v>
      </c>
      <c r="J115" s="106">
        <f>SUM(AZ$95:AZ$105)+SUM(BB$95:BB$105)+SUM(BD$95:BD$105)+SUM(BF$95:BF$105)</f>
        <v>336</v>
      </c>
      <c r="K115" s="106">
        <f>SUM(BH$95:BH$105)+SUM(BJ$95:BJ$105)+SUM(BL$95:BL$105)+SUM(BN$95:BN$105)</f>
        <v>397</v>
      </c>
      <c r="L115" s="106">
        <f>SUM(BP$95:BP$105)+SUM(BR$95:BR$105)+SUM(BT$95:BT$105)+SUM(BV$95:BV$105)</f>
        <v>152</v>
      </c>
      <c r="M115" s="106">
        <f>SUM(BX$95:BX$105)+SUM(BZ$95:BZ$105)+SUM(CB$95:CB$105)+SUM(CD$95:CD$105)</f>
        <v>399</v>
      </c>
      <c r="N115" s="106">
        <f>SUM(CF$95:CF$105)+SUM(CH$95:CH$105)+SUM(CJ$95:CJ$105)+SUM(CL$95:CL$105)</f>
        <v>214</v>
      </c>
      <c r="O115" s="106">
        <f>SUM(CN$95:CN$105)+SUM(CP$95:CP$105)+SUM(CR$95:CR$105)+SUM(CT$95:CT$105)</f>
        <v>332</v>
      </c>
    </row>
    <row r="116" spans="2:15" x14ac:dyDescent="0.2">
      <c r="C116" s="105" t="s">
        <v>277</v>
      </c>
      <c r="D116" s="106">
        <f t="shared" ref="D116:O116" si="0">SUM(D$109:D$115)</f>
        <v>2865</v>
      </c>
      <c r="E116" s="106">
        <f t="shared" si="0"/>
        <v>2905</v>
      </c>
      <c r="F116" s="106">
        <f t="shared" si="0"/>
        <v>2009</v>
      </c>
      <c r="G116" s="106">
        <f t="shared" si="0"/>
        <v>1409</v>
      </c>
      <c r="H116" s="106">
        <f t="shared" si="0"/>
        <v>1917</v>
      </c>
      <c r="I116" s="106">
        <f t="shared" si="0"/>
        <v>2538</v>
      </c>
      <c r="J116" s="106">
        <f t="shared" si="0"/>
        <v>710</v>
      </c>
      <c r="K116" s="106">
        <f t="shared" si="0"/>
        <v>950</v>
      </c>
      <c r="L116" s="106">
        <f t="shared" si="0"/>
        <v>990</v>
      </c>
      <c r="M116" s="106">
        <f t="shared" si="0"/>
        <v>1943</v>
      </c>
      <c r="N116" s="106">
        <f t="shared" si="0"/>
        <v>1128</v>
      </c>
      <c r="O116" s="106">
        <f t="shared" si="0"/>
        <v>790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495615.50580953772</v>
      </c>
      <c r="E120" s="106">
        <f>E109*pricing!E6*2000</f>
        <v>0</v>
      </c>
      <c r="F120" s="106">
        <f>F109*pricing!F6*2000</f>
        <v>0</v>
      </c>
      <c r="G120" s="106">
        <f>G109*pricing!G6*2000</f>
        <v>0</v>
      </c>
      <c r="H120" s="106">
        <f>H109*pricing!H6*2000</f>
        <v>0</v>
      </c>
      <c r="I120" s="106">
        <f>I109*pricing!I6*2000</f>
        <v>0</v>
      </c>
      <c r="J120" s="106">
        <f>J109*pricing!J6*2000</f>
        <v>0</v>
      </c>
      <c r="K120" s="106">
        <f>K109*pricing!K6*2000</f>
        <v>0</v>
      </c>
      <c r="L120" s="106">
        <f>L109*pricing!L6*2000</f>
        <v>0</v>
      </c>
      <c r="M120" s="106">
        <f>M109*pricing!M6*2000</f>
        <v>0</v>
      </c>
      <c r="N120" s="106">
        <f>N109*pricing!N6*2000</f>
        <v>0</v>
      </c>
      <c r="O120" s="106">
        <f>O109*pricing!O6*2000</f>
        <v>0</v>
      </c>
    </row>
    <row r="121" spans="2:15" x14ac:dyDescent="0.2">
      <c r="C121" s="105" t="s">
        <v>127</v>
      </c>
      <c r="D121" s="106">
        <f>D110*pricing!D7*2000</f>
        <v>1435635.9466493935</v>
      </c>
      <c r="E121" s="106">
        <f>E110*pricing!E7*2000</f>
        <v>0</v>
      </c>
      <c r="F121" s="106">
        <f>F110*pricing!F7*2000</f>
        <v>0</v>
      </c>
      <c r="G121" s="106">
        <f>G110*pricing!G7*2000</f>
        <v>0</v>
      </c>
      <c r="H121" s="106">
        <f>H110*pricing!H7*2000</f>
        <v>0</v>
      </c>
      <c r="I121" s="106">
        <f>I110*pricing!I7*2000</f>
        <v>0</v>
      </c>
      <c r="J121" s="106">
        <f>J110*pricing!J7*2000</f>
        <v>0</v>
      </c>
      <c r="K121" s="106">
        <f>K110*pricing!K7*2000</f>
        <v>0</v>
      </c>
      <c r="L121" s="106">
        <f>L110*pricing!L7*2000</f>
        <v>0</v>
      </c>
      <c r="M121" s="106">
        <f>M110*pricing!M7*2000</f>
        <v>0</v>
      </c>
      <c r="N121" s="106">
        <f>N110*pricing!N7*2000</f>
        <v>0</v>
      </c>
      <c r="O121" s="106">
        <f>O110*pricing!O7*2000</f>
        <v>0</v>
      </c>
    </row>
    <row r="122" spans="2:15" x14ac:dyDescent="0.2">
      <c r="C122" s="105" t="s">
        <v>128</v>
      </c>
      <c r="D122" s="106">
        <f>D111*pricing!D8*2000</f>
        <v>804924.3200153613</v>
      </c>
      <c r="E122" s="106">
        <f>E111*pricing!E8*2000</f>
        <v>0</v>
      </c>
      <c r="F122" s="106">
        <f>F111*pricing!F8*2000</f>
        <v>0</v>
      </c>
      <c r="G122" s="106">
        <f>G111*pricing!G8*2000</f>
        <v>0</v>
      </c>
      <c r="H122" s="106">
        <f>H111*pricing!H8*2000</f>
        <v>0</v>
      </c>
      <c r="I122" s="106">
        <f>I111*pricing!I8*2000</f>
        <v>0</v>
      </c>
      <c r="J122" s="106">
        <f>J111*pricing!J8*2000</f>
        <v>0</v>
      </c>
      <c r="K122" s="106">
        <f>K111*pricing!K8*2000</f>
        <v>0</v>
      </c>
      <c r="L122" s="106">
        <f>L111*pricing!L8*2000</f>
        <v>0</v>
      </c>
      <c r="M122" s="106">
        <f>M111*pricing!M8*2000</f>
        <v>0</v>
      </c>
      <c r="N122" s="106">
        <f>N111*pricing!N8*2000</f>
        <v>0</v>
      </c>
      <c r="O122" s="106">
        <f>O111*pricing!O8*2000</f>
        <v>0</v>
      </c>
    </row>
    <row r="123" spans="2:15" x14ac:dyDescent="0.2">
      <c r="C123" s="105" t="s">
        <v>129</v>
      </c>
      <c r="D123" s="106">
        <f>D112*pricing!D9*2000</f>
        <v>1245523.5121621259</v>
      </c>
      <c r="E123" s="106">
        <f>E112*pricing!E9*2000</f>
        <v>322723.13358800486</v>
      </c>
      <c r="F123" s="106">
        <f>F112*pricing!F9*2000</f>
        <v>1156524.4239254761</v>
      </c>
      <c r="G123" s="106">
        <f>G112*pricing!G9*2000</f>
        <v>514167.70116736973</v>
      </c>
      <c r="H123" s="106">
        <f>H112*pricing!H9*2000</f>
        <v>537028.58913000708</v>
      </c>
      <c r="I123" s="106">
        <f>I112*pricing!I9*2000</f>
        <v>244456.20624135275</v>
      </c>
      <c r="J123" s="106">
        <f>J112*pricing!J9*2000</f>
        <v>350172.00703471381</v>
      </c>
      <c r="K123" s="106">
        <f>K112*pricing!K9*2000</f>
        <v>326991.85012331785</v>
      </c>
      <c r="L123" s="106">
        <f>L112*pricing!L9*2000</f>
        <v>546645.71579410322</v>
      </c>
      <c r="M123" s="106">
        <f>M112*pricing!M9*2000</f>
        <v>251499.09998439043</v>
      </c>
      <c r="N123" s="106">
        <f>N112*pricing!N9*2000</f>
        <v>1405715.7179498912</v>
      </c>
      <c r="O123" s="106">
        <f>O112*pricing!O9*2000</f>
        <v>402267.86349398916</v>
      </c>
    </row>
    <row r="124" spans="2:15" x14ac:dyDescent="0.2">
      <c r="C124" s="105" t="s">
        <v>130</v>
      </c>
      <c r="D124" s="106">
        <f>D113*pricing!D10*2000</f>
        <v>4127067.1768378932</v>
      </c>
      <c r="E124" s="106">
        <f>E113*pricing!E10*2000</f>
        <v>4032456.8747330843</v>
      </c>
      <c r="F124" s="106">
        <f>F113*pricing!F10*2000</f>
        <v>2792210.1888814839</v>
      </c>
      <c r="G124" s="106">
        <f>G113*pricing!G10*2000</f>
        <v>2593669.8055362632</v>
      </c>
      <c r="H124" s="106">
        <f>H113*pricing!H10*2000</f>
        <v>3290617.1195785967</v>
      </c>
      <c r="I124" s="106">
        <f>I113*pricing!I10*2000</f>
        <v>4277354.6839837478</v>
      </c>
      <c r="J124" s="106">
        <f>J113*pricing!J10*2000</f>
        <v>1268943.7318525177</v>
      </c>
      <c r="K124" s="106">
        <f>K113*pricing!K10*2000</f>
        <v>1524305.0492532507</v>
      </c>
      <c r="L124" s="106">
        <f>L113*pricing!L10*2000</f>
        <v>1492639.1826913841</v>
      </c>
      <c r="M124" s="106">
        <f>M113*pricing!M10*2000</f>
        <v>3630215.244140869</v>
      </c>
      <c r="N124" s="106">
        <f>N113*pricing!N10*2000</f>
        <v>1208794.355972654</v>
      </c>
      <c r="O124" s="106">
        <f>O113*pricing!O10*2000</f>
        <v>1652392.0487234169</v>
      </c>
    </row>
    <row r="125" spans="2:15" x14ac:dyDescent="0.2">
      <c r="C125" s="105" t="s">
        <v>131</v>
      </c>
      <c r="D125" s="106">
        <f>D114*pricing!D11*2000</f>
        <v>863909.04808256892</v>
      </c>
      <c r="E125" s="106">
        <f>E114*pricing!E11*2000</f>
        <v>943332.86079843796</v>
      </c>
      <c r="F125" s="106">
        <f>F114*pricing!F11*2000</f>
        <v>1022265.8766603197</v>
      </c>
      <c r="G125" s="106">
        <f>G114*pricing!G11*2000</f>
        <v>1403230.5281806225</v>
      </c>
      <c r="H125" s="106">
        <f>H114*pricing!H11*2000</f>
        <v>1223229.9834462854</v>
      </c>
      <c r="I125" s="106">
        <f>I114*pricing!I11*2000</f>
        <v>1952607.7218800748</v>
      </c>
      <c r="J125" s="106">
        <f>J114*pricing!J11*2000</f>
        <v>850207.59324568568</v>
      </c>
      <c r="K125" s="106">
        <f>K114*pricing!K11*2000</f>
        <v>1266765.9300921399</v>
      </c>
      <c r="L125" s="106">
        <f>L114*pricing!L11*2000</f>
        <v>1622673.9670471819</v>
      </c>
      <c r="M125" s="106">
        <f>M114*pricing!M11*2000</f>
        <v>1322002.2954915741</v>
      </c>
      <c r="N125" s="106">
        <f>N114*pricing!N11*2000</f>
        <v>710104.13414676185</v>
      </c>
      <c r="O125" s="106">
        <f>O114*pricing!O11*2000</f>
        <v>647456.29568222957</v>
      </c>
    </row>
    <row r="126" spans="2:15" x14ac:dyDescent="0.2">
      <c r="C126" s="105" t="s">
        <v>132</v>
      </c>
      <c r="D126" s="106">
        <f>D115*pricing!D12*2000</f>
        <v>2224113.0785671496</v>
      </c>
      <c r="E126" s="106">
        <f>E115*pricing!E12*2000</f>
        <v>3108781.7767627491</v>
      </c>
      <c r="F126" s="106">
        <f>F115*pricing!F12*2000</f>
        <v>1879656.0120802503</v>
      </c>
      <c r="G126" s="106">
        <f>G115*pricing!G12*2000</f>
        <v>1467754.7592389409</v>
      </c>
      <c r="H126" s="106">
        <f>H115*pricing!H12*2000</f>
        <v>1589378.1241570811</v>
      </c>
      <c r="I126" s="106">
        <f>I115*pricing!I12*2000</f>
        <v>969386.66533189674</v>
      </c>
      <c r="J126" s="106">
        <f>J115*pricing!J12*2000</f>
        <v>1637450.0192142446</v>
      </c>
      <c r="K126" s="106">
        <f>K115*pricing!K12*2000</f>
        <v>1886102.4988567685</v>
      </c>
      <c r="L126" s="106">
        <f>L115*pricing!L12*2000</f>
        <v>1016845.8735895957</v>
      </c>
      <c r="M126" s="106">
        <f>M115*pricing!M12*2000</f>
        <v>1838934.8802528256</v>
      </c>
      <c r="N126" s="106">
        <f>N115*pricing!N12*2000</f>
        <v>1275158.0493031014</v>
      </c>
      <c r="O126" s="106">
        <f>O115*pricing!O12*2000</f>
        <v>1574857.0459468372</v>
      </c>
    </row>
    <row r="127" spans="2:15" x14ac:dyDescent="0.2">
      <c r="C127" s="105" t="s">
        <v>277</v>
      </c>
      <c r="D127" s="106">
        <f t="shared" ref="D127:O127" si="1">SUM(D$120:D$126)</f>
        <v>11196788.588124029</v>
      </c>
      <c r="E127" s="106">
        <f t="shared" si="1"/>
        <v>8407294.6458822768</v>
      </c>
      <c r="F127" s="106">
        <f t="shared" si="1"/>
        <v>6850656.5015475303</v>
      </c>
      <c r="G127" s="106">
        <f t="shared" si="1"/>
        <v>5978822.794123196</v>
      </c>
      <c r="H127" s="106">
        <f t="shared" si="1"/>
        <v>6640253.8163119704</v>
      </c>
      <c r="I127" s="106">
        <f t="shared" si="1"/>
        <v>7443805.2774370713</v>
      </c>
      <c r="J127" s="106">
        <f t="shared" si="1"/>
        <v>4106773.3513471619</v>
      </c>
      <c r="K127" s="106">
        <f t="shared" si="1"/>
        <v>5004165.3283254765</v>
      </c>
      <c r="L127" s="106">
        <f t="shared" si="1"/>
        <v>4678804.739122265</v>
      </c>
      <c r="M127" s="106">
        <f t="shared" si="1"/>
        <v>7042651.5198696591</v>
      </c>
      <c r="N127" s="106">
        <f t="shared" si="1"/>
        <v>4599772.2573724082</v>
      </c>
      <c r="O127" s="106">
        <f t="shared" si="1"/>
        <v>4276973.2538464731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35508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102474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128839.20000000001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165117.6</v>
      </c>
      <c r="E134" s="112">
        <f>SUM(M$49:M$70)+SUM(O$49:O$70)+SUM(Q$49:Q$70)+SUM(S$49:S$70)</f>
        <v>52845.600000000006</v>
      </c>
      <c r="F134" s="112">
        <f>SUM(U$49:U$70)+SUM(W$49:W$70)+SUM(Y$49:Y$70)+SUM(AA$49:AA$70)</f>
        <v>550322.39999999991</v>
      </c>
      <c r="G134" s="112">
        <f>SUM(AC$49:AC$70)+SUM(AE$49:AE$70)+SUM(AG$49:AG$70)+SUM(AI$49:AI$70)</f>
        <v>120260.4</v>
      </c>
      <c r="H134" s="112">
        <f>SUM(AK$49:AK$70)+SUM(AM$49:AM$70)+SUM(AO$49:AO$70)+SUM(AQ$49:AQ$70)</f>
        <v>152268</v>
      </c>
      <c r="I134" s="112">
        <f>SUM(AS$49:AS$70)+SUM(AU$49:AU$70)+SUM(AW$49:AW$70)+SUM(AY$49:AY$70)</f>
        <v>37622.400000000001</v>
      </c>
      <c r="J134" s="112">
        <f>SUM(BA$49:BA$70)+SUM(BC$49:BC$70)+SUM(BE$49:BE$70)+SUM(BG$49:BG$70)</f>
        <v>58460.399999999994</v>
      </c>
      <c r="K134" s="112">
        <f>SUM(BI$49:BI$70)+SUM(BK$49:BK$70)+SUM(BM$49:BM$70)+SUM(BO$49:BO$70)</f>
        <v>59280</v>
      </c>
      <c r="L134" s="112">
        <f>SUM(BQ$49:BQ$70)+SUM(BS$49:BS$70)+SUM(BU$49:BU$70)+SUM(BW$49:BW$70)</f>
        <v>132388.79999999999</v>
      </c>
      <c r="M134" s="112">
        <f>SUM(BY$49:BY$70)+SUM(CA$49:CA$70)+SUM(CC$49:CC$70)+SUM(CE$49:CE$70)</f>
        <v>38634</v>
      </c>
      <c r="N134" s="112">
        <f>SUM(CG$49:CG$70)+SUM(CI$49:CI$70)+SUM(CK$49:CK$70)+SUM(CM$49:CM$70)</f>
        <v>697147.2</v>
      </c>
      <c r="O134" s="112">
        <f>SUM(CO$49:CO$70)+SUM(CQ$49:CQ$70)+SUM(CS$49:CS$70)+SUM(CU$49:CU$70)</f>
        <v>84966</v>
      </c>
    </row>
    <row r="135" spans="2:15" x14ac:dyDescent="0.2">
      <c r="C135" s="111" t="s">
        <v>130</v>
      </c>
      <c r="D135" s="112">
        <f>SUM(E$71:E$86)+SUM(G$71:G$86)+SUM(I$71:I$86)+SUM(K$71:K$86)</f>
        <v>852079.2</v>
      </c>
      <c r="E135" s="112">
        <f>SUM(M$71:M$86)+SUM(O$71:O$86)+SUM(Q$71:Q$86)+SUM(S$71:S$86)</f>
        <v>835020</v>
      </c>
      <c r="F135" s="112">
        <f>SUM(U$71:U$86)+SUM(W$71:W$86)+SUM(Y$71:Y$86)+SUM(AA$71:AA$86)</f>
        <v>443267.99999999988</v>
      </c>
      <c r="G135" s="112">
        <f>SUM(AC$71:AC$86)+SUM(AE$71:AE$86)+SUM(AG$71:AG$86)+SUM(AI$71:AI$86)</f>
        <v>372819.60000000003</v>
      </c>
      <c r="H135" s="112">
        <f>SUM(AK$71:AK$86)+SUM(AM$71:AM$86)+SUM(AO$71:AO$86)+SUM(AQ$71:AQ$86)</f>
        <v>646249.19999999995</v>
      </c>
      <c r="I135" s="112">
        <f>SUM(AS$71:AS$86)+SUM(AU$71:AU$86)+SUM(AW$71:AW$86)+SUM(AY$71:AY$86)</f>
        <v>972106.8</v>
      </c>
      <c r="J135" s="112">
        <f>SUM(BA$71:BA$86)+SUM(BC$71:BC$86)+SUM(BE$71:BE$86)+SUM(BG$71:BG$86)</f>
        <v>106579.20000000001</v>
      </c>
      <c r="K135" s="112">
        <f>SUM(BI$71:BI$86)+SUM(BK$71:BK$86)+SUM(BM$71:BM$86)+SUM(BO$71:BO$86)</f>
        <v>120881.99999999999</v>
      </c>
      <c r="L135" s="112">
        <f>SUM(BQ$71:BQ$86)+SUM(BS$71:BS$86)+SUM(BU$71:BU$86)+SUM(BW$71:BW$86)</f>
        <v>134994</v>
      </c>
      <c r="M135" s="112">
        <f>SUM(BY$71:BY$86)+SUM(CA$71:CA$86)+SUM(CC$71:CC$86)+SUM(CE$71:CE$86)</f>
        <v>684796.79999999993</v>
      </c>
      <c r="N135" s="112">
        <f>SUM(CG$71:CG$86)+SUM(CI$71:CI$86)+SUM(CK$71:CK$86)+SUM(CM$71:CM$86)</f>
        <v>96193.2</v>
      </c>
      <c r="O135" s="112">
        <f>SUM(CO$71:CO$86)+SUM(CQ$71:CQ$86)+SUM(CS$71:CS$86)+SUM(CU$71:CU$86)</f>
        <v>161392.79999999999</v>
      </c>
    </row>
    <row r="136" spans="2:15" x14ac:dyDescent="0.2">
      <c r="C136" s="111" t="s">
        <v>131</v>
      </c>
      <c r="D136" s="112">
        <f>SUM(E$87:E$94)+SUM(G$87:G$94)+SUM(I$87:I$94)+SUM(K$87:K$94)</f>
        <v>272571.59999999998</v>
      </c>
      <c r="E136" s="112">
        <f>SUM(M$87:M$94)+SUM(O$87:O$94)+SUM(Q$87:Q$94)+SUM(S$87:S$94)</f>
        <v>381526.80000000005</v>
      </c>
      <c r="F136" s="112">
        <f>SUM(U$87:U$94)+SUM(W$87:W$94)+SUM(Y$87:Y$94)+SUM(AA$87:AA$94)</f>
        <v>417826.8</v>
      </c>
      <c r="G136" s="112">
        <f>SUM(AC$87:AC$94)+SUM(AE$87:AE$94)+SUM(AG$87:AG$94)+SUM(AI$87:AI$94)</f>
        <v>725872.79999999993</v>
      </c>
      <c r="H136" s="112">
        <f>SUM(AK$87:AK$94)+SUM(AM$87:AM$94)+SUM(AO$87:AO$94)+SUM(AQ$87:AQ$94)</f>
        <v>576634.79999999993</v>
      </c>
      <c r="I136" s="112">
        <f>SUM(AS$87:AS$94)+SUM(AU$87:AU$94)+SUM(AW$87:AW$94)+SUM(AY$87:AY$94)</f>
        <v>1228017.6000000001</v>
      </c>
      <c r="J136" s="112">
        <f>SUM(BA$87:BA$94)+SUM(BC$87:BC$94)+SUM(BE$87:BE$94)+SUM(BG$87:BG$94)</f>
        <v>261097.19999999998</v>
      </c>
      <c r="K136" s="112">
        <f>SUM(BI$87:BI$94)+SUM(BK$87:BK$94)+SUM(BM$87:BM$94)+SUM(BO$87:BO$94)</f>
        <v>571348.80000000005</v>
      </c>
      <c r="L136" s="112">
        <f>SUM(BQ$87:BQ$94)+SUM(BS$87:BS$94)+SUM(BU$87:BU$94)+SUM(BW$87:BW$94)</f>
        <v>963793.20000000007</v>
      </c>
      <c r="M136" s="112">
        <f>SUM(BY$87:BY$94)+SUM(CA$87:CA$94)+SUM(CC$87:CC$94)+SUM(CE$87:CE$94)</f>
        <v>557337.59999999998</v>
      </c>
      <c r="N136" s="112">
        <f>SUM(CG$87:CG$94)+SUM(CI$87:CI$94)+SUM(CK$87:CK$94)+SUM(CM$87:CM$94)</f>
        <v>227017.2</v>
      </c>
      <c r="O136" s="112">
        <f>SUM(CO$87:CO$94)+SUM(CQ$87:CQ$94)+SUM(CS$87:CS$94)+SUM(CU$87:CU$94)</f>
        <v>184256.39999999997</v>
      </c>
    </row>
    <row r="137" spans="2:15" x14ac:dyDescent="0.2">
      <c r="C137" s="111" t="s">
        <v>132</v>
      </c>
      <c r="D137" s="112">
        <f>SUM(E$95:E$105)+SUM(G$95:G$105)+SUM(I$95:I$105)+SUM(K$95:K$105)</f>
        <v>1078092</v>
      </c>
      <c r="E137" s="112">
        <f>SUM(M$95:M$105)+SUM(O$95:O$105)+SUM(Q$95:Q$105)+SUM(S$95:S$105)</f>
        <v>2131568.4</v>
      </c>
      <c r="F137" s="112">
        <f>SUM(U$95:U$105)+SUM(W$95:W$105)+SUM(Y$95:Y$105)+SUM(AA$95:AA$105)</f>
        <v>950593.20000000007</v>
      </c>
      <c r="G137" s="112">
        <f>SUM(AC$95:AC$105)+SUM(AE$95:AE$105)+SUM(AG$95:AG$105)+SUM(AI$95:AI$105)</f>
        <v>512456.4</v>
      </c>
      <c r="H137" s="112">
        <f>SUM(AK$95:AK$105)+SUM(AM$95:AM$105)+SUM(AO$95:AO$105)+SUM(AQ$95:AQ$105)</f>
        <v>618396</v>
      </c>
      <c r="I137" s="112">
        <f>SUM(AS$95:AS$105)+SUM(AU$95:AU$105)+SUM(AW$95:AW$105)+SUM(AY$95:AY$105)</f>
        <v>273108</v>
      </c>
      <c r="J137" s="112">
        <f>SUM(BA$95:BA$105)+SUM(BC$95:BC$105)+SUM(BE$95:BE$105)+SUM(BG$95:BG$105)</f>
        <v>637935.6</v>
      </c>
      <c r="K137" s="112">
        <f>SUM(BI$95:BI$105)+SUM(BK$95:BK$105)+SUM(BM$95:BM$105)+SUM(BO$95:BO$105)</f>
        <v>754948.8</v>
      </c>
      <c r="L137" s="112">
        <f>SUM(BQ$95:BQ$105)+SUM(BS$95:BS$105)+SUM(BU$95:BU$105)+SUM(BW$95:BW$105)</f>
        <v>293031.59999999998</v>
      </c>
      <c r="M137" s="112">
        <f>SUM(BY$95:BY$105)+SUM(CA$95:CA$105)+SUM(CC$95:CC$105)+SUM(CE$95:CE$105)</f>
        <v>755227.2</v>
      </c>
      <c r="N137" s="112">
        <f>SUM(CG$95:CG$105)+SUM(CI$95:CI$105)+SUM(CK$95:CK$105)+SUM(CM$95:CM$105)</f>
        <v>409018.8</v>
      </c>
      <c r="O137" s="112">
        <f>SUM(CO$95:CO$105)+SUM(CQ$95:CQ$105)+SUM(CS$95:CS$105)+SUM(CU$95:CU$105)</f>
        <v>631038</v>
      </c>
    </row>
    <row r="138" spans="2:15" x14ac:dyDescent="0.2">
      <c r="C138" s="111" t="s">
        <v>277</v>
      </c>
      <c r="D138" s="106">
        <f t="shared" ref="D138:O138" si="2">SUM(D$131:D$137)</f>
        <v>2634681.6</v>
      </c>
      <c r="E138" s="106">
        <f t="shared" si="2"/>
        <v>3400960.8</v>
      </c>
      <c r="F138" s="106">
        <f t="shared" si="2"/>
        <v>2362010.4</v>
      </c>
      <c r="G138" s="106">
        <f t="shared" si="2"/>
        <v>1731409.1999999997</v>
      </c>
      <c r="H138" s="106">
        <f t="shared" si="2"/>
        <v>1993548</v>
      </c>
      <c r="I138" s="106">
        <f t="shared" si="2"/>
        <v>2510854.8000000003</v>
      </c>
      <c r="J138" s="106">
        <f t="shared" si="2"/>
        <v>1064072.3999999999</v>
      </c>
      <c r="K138" s="106">
        <f t="shared" si="2"/>
        <v>1506459.6</v>
      </c>
      <c r="L138" s="106">
        <f t="shared" si="2"/>
        <v>1524207.6</v>
      </c>
      <c r="M138" s="106">
        <f t="shared" si="2"/>
        <v>2035995.5999999999</v>
      </c>
      <c r="N138" s="106">
        <f t="shared" si="2"/>
        <v>1429376.4</v>
      </c>
      <c r="O138" s="106">
        <f t="shared" si="2"/>
        <v>1061653.2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13.421485281332862</v>
      </c>
      <c r="I49" s="106">
        <v>13222.847299169134</v>
      </c>
      <c r="J49" s="106">
        <v>12.603483085861935</v>
      </c>
      <c r="K49" s="106">
        <v>12416.951536191178</v>
      </c>
      <c r="L49" s="106">
        <v>3.8142759744094064</v>
      </c>
      <c r="M49" s="106">
        <v>3757.8246899881469</v>
      </c>
      <c r="N49" s="106">
        <v>3.7303139246582555</v>
      </c>
      <c r="O49" s="106">
        <v>3675.1052785733132</v>
      </c>
      <c r="P49" s="106">
        <v>2.4260343646830282</v>
      </c>
      <c r="Q49" s="106">
        <v>2390.1290560857192</v>
      </c>
      <c r="R49" s="106">
        <v>2.0582530272550468</v>
      </c>
      <c r="S49" s="106">
        <v>2027.7908824516719</v>
      </c>
      <c r="T49" s="106">
        <v>0.98628762446088836</v>
      </c>
      <c r="U49" s="106">
        <v>971.69056761886714</v>
      </c>
      <c r="V49" s="106">
        <v>1.0960866971968817</v>
      </c>
      <c r="W49" s="106">
        <v>1079.8646140783678</v>
      </c>
      <c r="X49" s="106">
        <v>1.2943151424346155</v>
      </c>
      <c r="Y49" s="106">
        <v>1275.159278326583</v>
      </c>
      <c r="Z49" s="106">
        <v>1.3895819930199045</v>
      </c>
      <c r="AA49" s="106">
        <v>1369.0161795232098</v>
      </c>
      <c r="AB49" s="106">
        <v>3.2259824383408224</v>
      </c>
      <c r="AC49" s="106">
        <v>3178.2378982533783</v>
      </c>
      <c r="AD49" s="106">
        <v>3.4272006588409543</v>
      </c>
      <c r="AE49" s="106">
        <v>3376.4780890901079</v>
      </c>
      <c r="AF49" s="106">
        <v>4.2698940617405388</v>
      </c>
      <c r="AG49" s="106">
        <v>4206.6996296267789</v>
      </c>
      <c r="AH49" s="106">
        <v>2.8968005568774728</v>
      </c>
      <c r="AI49" s="106">
        <v>2853.927908635686</v>
      </c>
      <c r="AJ49" s="106">
        <v>6.8084750652853474</v>
      </c>
      <c r="AK49" s="106">
        <v>6707.7096343191242</v>
      </c>
      <c r="AL49" s="106">
        <v>6.4048410926108081</v>
      </c>
      <c r="AM49" s="106">
        <v>6310.0494444401675</v>
      </c>
      <c r="AN49" s="106">
        <v>5.5577146731750524</v>
      </c>
      <c r="AO49" s="106">
        <v>5475.4604960120614</v>
      </c>
      <c r="AP49" s="106">
        <v>4.4466623776636949</v>
      </c>
      <c r="AQ49" s="106">
        <v>4380.8517744742721</v>
      </c>
      <c r="AR49" s="106">
        <v>1.677375322456625</v>
      </c>
      <c r="AS49" s="106">
        <v>1652.5501676842669</v>
      </c>
      <c r="AT49" s="106">
        <v>3.5167384192442479</v>
      </c>
      <c r="AU49" s="106">
        <v>3464.6906906394329</v>
      </c>
      <c r="AV49" s="106">
        <v>2.7272493412196384</v>
      </c>
      <c r="AW49" s="106">
        <v>2686.8860509695874</v>
      </c>
      <c r="AX49" s="106">
        <v>3.3081287326274467</v>
      </c>
      <c r="AY49" s="106">
        <v>3259.1684273845603</v>
      </c>
      <c r="AZ49" s="106">
        <v>5.1178656110034133</v>
      </c>
      <c r="BA49" s="106">
        <v>5042.1211999605621</v>
      </c>
      <c r="BB49" s="106">
        <v>4.4242044868674135</v>
      </c>
      <c r="BC49" s="106">
        <v>4358.7262604617754</v>
      </c>
      <c r="BD49" s="106">
        <v>9.160846642959962</v>
      </c>
      <c r="BE49" s="106">
        <v>9025.2661126441544</v>
      </c>
      <c r="BF49" s="106">
        <v>6.3662244796493308</v>
      </c>
      <c r="BG49" s="106">
        <v>6272.00435735052</v>
      </c>
      <c r="BH49" s="106">
        <v>4.6211420459190888</v>
      </c>
      <c r="BI49" s="106">
        <v>4552.7491436394857</v>
      </c>
      <c r="BJ49" s="106">
        <v>4.3820245712087198</v>
      </c>
      <c r="BK49" s="106">
        <v>4317.1706075548309</v>
      </c>
      <c r="BL49" s="106">
        <v>3.3596030127099685</v>
      </c>
      <c r="BM49" s="106">
        <v>3309.8808881218606</v>
      </c>
      <c r="BN49" s="106">
        <v>5.0694009745355775</v>
      </c>
      <c r="BO49" s="106">
        <v>4994.373840112451</v>
      </c>
      <c r="BP49" s="106">
        <v>4.6454147112107842</v>
      </c>
      <c r="BQ49" s="106">
        <v>4576.662573484864</v>
      </c>
      <c r="BR49" s="106">
        <v>4.1773604597031371</v>
      </c>
      <c r="BS49" s="106">
        <v>4115.5355248995302</v>
      </c>
      <c r="BT49" s="106">
        <v>6.7083802369794112</v>
      </c>
      <c r="BU49" s="106">
        <v>6609.0962094721153</v>
      </c>
      <c r="BV49" s="106">
        <v>5.6297717763479938</v>
      </c>
      <c r="BW49" s="106">
        <v>5546.4511540580434</v>
      </c>
      <c r="BX49" s="106">
        <v>6.1096157199597618</v>
      </c>
      <c r="BY49" s="106">
        <v>6019.1934073043567</v>
      </c>
      <c r="BZ49" s="106">
        <v>6.1575969952474043</v>
      </c>
      <c r="CA49" s="106">
        <v>6066.4645597177423</v>
      </c>
      <c r="CB49" s="106">
        <v>8.8039446070326424</v>
      </c>
      <c r="CC49" s="106">
        <v>8673.6462268485593</v>
      </c>
      <c r="CD49" s="106">
        <v>4.2238800184594751</v>
      </c>
      <c r="CE49" s="106">
        <v>4161.3665941862746</v>
      </c>
      <c r="CF49" s="106">
        <v>6.466479983265855</v>
      </c>
      <c r="CG49" s="106">
        <v>6370.77607951352</v>
      </c>
      <c r="CH49" s="106">
        <v>8.4392339922904416</v>
      </c>
      <c r="CI49" s="106">
        <v>8314.3333292045427</v>
      </c>
      <c r="CJ49" s="106">
        <v>9.7632907657722239</v>
      </c>
      <c r="CK49" s="106">
        <v>9618.7940624387938</v>
      </c>
      <c r="CL49" s="106">
        <v>0</v>
      </c>
      <c r="CM49" s="106">
        <v>0</v>
      </c>
      <c r="CN49" s="106">
        <v>10.863002088290525</v>
      </c>
      <c r="CO49" s="106">
        <v>10702.229657383825</v>
      </c>
      <c r="CP49" s="106">
        <v>5.0570063511259553</v>
      </c>
      <c r="CQ49" s="106">
        <v>4982.1626571292909</v>
      </c>
      <c r="CR49" s="106">
        <v>3.9478520863639899</v>
      </c>
      <c r="CS49" s="106">
        <v>3889.4238754858025</v>
      </c>
      <c r="CT49" s="106">
        <v>7.6881910514283645</v>
      </c>
      <c r="CU49" s="106">
        <v>7574.4058238672242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14.181191995370572</v>
      </c>
      <c r="I56" s="106">
        <v>16319.715748272454</v>
      </c>
      <c r="J56" s="106">
        <v>10.586925792124024</v>
      </c>
      <c r="K56" s="106">
        <v>12183.434201576327</v>
      </c>
      <c r="L56" s="106">
        <v>4.1076818185947452</v>
      </c>
      <c r="M56" s="106">
        <v>4727.1202368388331</v>
      </c>
      <c r="N56" s="106">
        <v>4.3042083746056798</v>
      </c>
      <c r="O56" s="106">
        <v>4953.282997496216</v>
      </c>
      <c r="P56" s="106">
        <v>1.9408274917464226</v>
      </c>
      <c r="Q56" s="106">
        <v>2233.5042775017828</v>
      </c>
      <c r="R56" s="106">
        <v>2.2869478080611629</v>
      </c>
      <c r="S56" s="106">
        <v>2631.8195375167861</v>
      </c>
      <c r="T56" s="106">
        <v>0.84538939239504718</v>
      </c>
      <c r="U56" s="106">
        <v>972.87411276822024</v>
      </c>
      <c r="V56" s="106">
        <v>1.0960866971968817</v>
      </c>
      <c r="W56" s="106">
        <v>1261.3765711341714</v>
      </c>
      <c r="X56" s="106">
        <v>1.4561045352389426</v>
      </c>
      <c r="Y56" s="106">
        <v>1675.685099152975</v>
      </c>
      <c r="Z56" s="106">
        <v>1.3895819930199045</v>
      </c>
      <c r="AA56" s="106">
        <v>1599.130957567306</v>
      </c>
      <c r="AB56" s="106">
        <v>2.7651278042921335</v>
      </c>
      <c r="AC56" s="106">
        <v>3182.109077179387</v>
      </c>
      <c r="AD56" s="106">
        <v>2.9988005764858348</v>
      </c>
      <c r="AE56" s="106">
        <v>3451.0197034198986</v>
      </c>
      <c r="AF56" s="106">
        <v>3.7954613882138122</v>
      </c>
      <c r="AG56" s="106">
        <v>4367.8169655564552</v>
      </c>
      <c r="AH56" s="106">
        <v>2.8968005568774728</v>
      </c>
      <c r="AI56" s="106">
        <v>3333.6380808545955</v>
      </c>
      <c r="AJ56" s="106">
        <v>6.1041500585316912</v>
      </c>
      <c r="AK56" s="106">
        <v>7024.6558873582699</v>
      </c>
      <c r="AL56" s="106">
        <v>7.1164901029008982</v>
      </c>
      <c r="AM56" s="106">
        <v>8189.6568104183534</v>
      </c>
      <c r="AN56" s="106">
        <v>5.5577146731750524</v>
      </c>
      <c r="AO56" s="106">
        <v>6395.8180458898505</v>
      </c>
      <c r="AP56" s="106">
        <v>4.4466623776636949</v>
      </c>
      <c r="AQ56" s="106">
        <v>5117.2190642153801</v>
      </c>
      <c r="AR56" s="106">
        <v>1.677375322456625</v>
      </c>
      <c r="AS56" s="106">
        <v>1930.323521083084</v>
      </c>
      <c r="AT56" s="106">
        <v>3.1109609093314496</v>
      </c>
      <c r="AU56" s="106">
        <v>3580.0938144586321</v>
      </c>
      <c r="AV56" s="106">
        <v>2.7272493412196384</v>
      </c>
      <c r="AW56" s="106">
        <v>3138.5185418755595</v>
      </c>
      <c r="AX56" s="106">
        <v>3.3081287326274467</v>
      </c>
      <c r="AY56" s="106">
        <v>3806.9945455076654</v>
      </c>
      <c r="AZ56" s="106">
        <v>6.0483866311858527</v>
      </c>
      <c r="BA56" s="106">
        <v>6960.4833351686793</v>
      </c>
      <c r="BB56" s="106">
        <v>4.8666249355541549</v>
      </c>
      <c r="BC56" s="106">
        <v>5600.5119758357214</v>
      </c>
      <c r="BD56" s="106">
        <v>9.6997199748987839</v>
      </c>
      <c r="BE56" s="106">
        <v>11162.437747113519</v>
      </c>
      <c r="BF56" s="106">
        <v>6.3662244796493308</v>
      </c>
      <c r="BG56" s="106">
        <v>7326.2511311804492</v>
      </c>
      <c r="BH56" s="106">
        <v>4.4010876627800837</v>
      </c>
      <c r="BI56" s="106">
        <v>5064.7716823273204</v>
      </c>
      <c r="BJ56" s="106">
        <v>4.6397907224562918</v>
      </c>
      <c r="BK56" s="106">
        <v>5339.4711634027008</v>
      </c>
      <c r="BL56" s="106">
        <v>3.1196313689449711</v>
      </c>
      <c r="BM56" s="106">
        <v>3590.0717793818726</v>
      </c>
      <c r="BN56" s="106">
        <v>4.6469508933242807</v>
      </c>
      <c r="BO56" s="106">
        <v>5347.7110880375822</v>
      </c>
      <c r="BP56" s="106">
        <v>4.2029942625240428</v>
      </c>
      <c r="BQ56" s="106">
        <v>4836.8057973126679</v>
      </c>
      <c r="BR56" s="106">
        <v>4.1773604597031371</v>
      </c>
      <c r="BS56" s="106">
        <v>4807.3064170263697</v>
      </c>
      <c r="BT56" s="106">
        <v>6.0985274881631009</v>
      </c>
      <c r="BU56" s="106">
        <v>7018.1854333780966</v>
      </c>
      <c r="BV56" s="106">
        <v>6.2553019737199937</v>
      </c>
      <c r="BW56" s="106">
        <v>7198.6015113569683</v>
      </c>
      <c r="BX56" s="106">
        <v>6.1096157199597618</v>
      </c>
      <c r="BY56" s="106">
        <v>7030.9457705296936</v>
      </c>
      <c r="BZ56" s="106">
        <v>6.3699279261180042</v>
      </c>
      <c r="CA56" s="106">
        <v>7330.5130573765991</v>
      </c>
      <c r="CB56" s="106">
        <v>9.354191144972182</v>
      </c>
      <c r="CC56" s="106">
        <v>10764.803169633986</v>
      </c>
      <c r="CD56" s="106">
        <v>4.0227428747233098</v>
      </c>
      <c r="CE56" s="106">
        <v>4629.372500231585</v>
      </c>
      <c r="CF56" s="106">
        <v>6.466479983265855</v>
      </c>
      <c r="CG56" s="106">
        <v>7441.625164742346</v>
      </c>
      <c r="CH56" s="106">
        <v>7.9117818677722891</v>
      </c>
      <c r="CI56" s="106">
        <v>9104.8785734323501</v>
      </c>
      <c r="CJ56" s="106">
        <v>8.6367572158754289</v>
      </c>
      <c r="CK56" s="106">
        <v>9939.1802040294424</v>
      </c>
      <c r="CL56" s="106">
        <v>0</v>
      </c>
      <c r="CM56" s="106">
        <v>0</v>
      </c>
      <c r="CN56" s="106">
        <v>10.863002088290525</v>
      </c>
      <c r="CO56" s="106">
        <v>12501.142803204735</v>
      </c>
      <c r="CP56" s="106">
        <v>5.6519482747878325</v>
      </c>
      <c r="CQ56" s="106">
        <v>6504.2620746258372</v>
      </c>
      <c r="CR56" s="106">
        <v>3.9478520863639899</v>
      </c>
      <c r="CS56" s="106">
        <v>4543.1881809876795</v>
      </c>
      <c r="CT56" s="106">
        <v>6.5349623937141104</v>
      </c>
      <c r="CU56" s="106">
        <v>7520.4347226861983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14.687663138062376</v>
      </c>
      <c r="I58" s="106">
        <v>17290.317046127031</v>
      </c>
      <c r="J58" s="106">
        <v>10.082786468689548</v>
      </c>
      <c r="K58" s="106">
        <v>11869.456230941336</v>
      </c>
      <c r="L58" s="106">
        <v>3.520870130224067</v>
      </c>
      <c r="M58" s="106">
        <v>4144.7683172997722</v>
      </c>
      <c r="N58" s="106">
        <v>4.3042083746056798</v>
      </c>
      <c r="O58" s="106">
        <v>5066.9140985858066</v>
      </c>
      <c r="P58" s="106">
        <v>2.4260343646830282</v>
      </c>
      <c r="Q58" s="106">
        <v>2855.9276541048612</v>
      </c>
      <c r="R58" s="106">
        <v>2.2869478080611629</v>
      </c>
      <c r="S58" s="106">
        <v>2692.1949596496011</v>
      </c>
      <c r="T58" s="106">
        <v>0.84538939239504718</v>
      </c>
      <c r="U58" s="106">
        <v>995.1923927274496</v>
      </c>
      <c r="V58" s="106">
        <v>1.0960866971968817</v>
      </c>
      <c r="W58" s="106">
        <v>1290.3132599401692</v>
      </c>
      <c r="X58" s="106">
        <v>1.2943151424346155</v>
      </c>
      <c r="Y58" s="106">
        <v>1523.6677856740296</v>
      </c>
      <c r="Z58" s="106">
        <v>1.2351839937954707</v>
      </c>
      <c r="AA58" s="106">
        <v>1454.0585974960281</v>
      </c>
      <c r="AB58" s="106">
        <v>3.2259824383408224</v>
      </c>
      <c r="AC58" s="106">
        <v>3797.6265264148165</v>
      </c>
      <c r="AD58" s="106">
        <v>3.4272006588409543</v>
      </c>
      <c r="AE58" s="106">
        <v>4034.5006155875717</v>
      </c>
      <c r="AF58" s="106">
        <v>3.7954613882138122</v>
      </c>
      <c r="AG58" s="106">
        <v>4468.0171462052995</v>
      </c>
      <c r="AH58" s="106">
        <v>2.8968005568774728</v>
      </c>
      <c r="AI58" s="106">
        <v>3410.1136155561612</v>
      </c>
      <c r="AJ58" s="106">
        <v>7.043250067536567</v>
      </c>
      <c r="AK58" s="106">
        <v>8291.3139795040479</v>
      </c>
      <c r="AL58" s="106">
        <v>6.4048410926108081</v>
      </c>
      <c r="AM58" s="106">
        <v>7539.7789342214437</v>
      </c>
      <c r="AN58" s="106">
        <v>5.3160749047761371</v>
      </c>
      <c r="AO58" s="106">
        <v>6258.0833779024688</v>
      </c>
      <c r="AP58" s="106">
        <v>4.1996255789046009</v>
      </c>
      <c r="AQ58" s="106">
        <v>4943.799231486496</v>
      </c>
      <c r="AR58" s="106">
        <v>1.677375322456625</v>
      </c>
      <c r="AS58" s="106">
        <v>1974.6062295959391</v>
      </c>
      <c r="AT58" s="106">
        <v>3.5167384192442479</v>
      </c>
      <c r="AU58" s="106">
        <v>4139.904467134329</v>
      </c>
      <c r="AV58" s="106">
        <v>2.2727077843496986</v>
      </c>
      <c r="AW58" s="106">
        <v>2675.4316037364651</v>
      </c>
      <c r="AX58" s="106">
        <v>3.4919136622178604</v>
      </c>
      <c r="AY58" s="106">
        <v>4110.6807631628653</v>
      </c>
      <c r="AZ58" s="106">
        <v>6.0483866311858527</v>
      </c>
      <c r="BA58" s="106">
        <v>7120.1607422319858</v>
      </c>
      <c r="BB58" s="106">
        <v>4.8666249355541549</v>
      </c>
      <c r="BC58" s="106">
        <v>5728.9908741343515</v>
      </c>
      <c r="BD58" s="106">
        <v>8.6219733110211401</v>
      </c>
      <c r="BE58" s="106">
        <v>10149.786981734087</v>
      </c>
      <c r="BF58" s="106">
        <v>7.0028469276142635</v>
      </c>
      <c r="BG58" s="106">
        <v>8243.7514031875107</v>
      </c>
      <c r="BH58" s="106">
        <v>4.6211420459190888</v>
      </c>
      <c r="BI58" s="106">
        <v>5440.0084164559512</v>
      </c>
      <c r="BJ58" s="106">
        <v>4.3820245712087198</v>
      </c>
      <c r="BK58" s="106">
        <v>5158.5193252269055</v>
      </c>
      <c r="BL58" s="106">
        <v>3.5995746564749664</v>
      </c>
      <c r="BM58" s="106">
        <v>4237.419285602331</v>
      </c>
      <c r="BN58" s="106">
        <v>4.6469508933242807</v>
      </c>
      <c r="BO58" s="106">
        <v>5470.3905916213434</v>
      </c>
      <c r="BP58" s="106">
        <v>4.8666249355541549</v>
      </c>
      <c r="BQ58" s="106">
        <v>5728.9908741343515</v>
      </c>
      <c r="BR58" s="106">
        <v>4.1773604597031371</v>
      </c>
      <c r="BS58" s="106">
        <v>4917.5887331625336</v>
      </c>
      <c r="BT58" s="106">
        <v>6.7083802369794112</v>
      </c>
      <c r="BU58" s="106">
        <v>7897.1052149721636</v>
      </c>
      <c r="BV58" s="106">
        <v>5.6297717763479938</v>
      </c>
      <c r="BW58" s="106">
        <v>6627.3673351168582</v>
      </c>
      <c r="BX58" s="106">
        <v>5.6882629116866745</v>
      </c>
      <c r="BY58" s="106">
        <v>6696.2230996375538</v>
      </c>
      <c r="BZ58" s="106">
        <v>6.3699279261180042</v>
      </c>
      <c r="CA58" s="106">
        <v>7498.6791546261147</v>
      </c>
      <c r="CB58" s="106">
        <v>9.354191144972182</v>
      </c>
      <c r="CC58" s="106">
        <v>11011.753815861253</v>
      </c>
      <c r="CD58" s="106">
        <v>4.2238800184594751</v>
      </c>
      <c r="CE58" s="106">
        <v>4972.3515577304943</v>
      </c>
      <c r="CF58" s="106">
        <v>6.1072310953066413</v>
      </c>
      <c r="CG58" s="106">
        <v>7189.4324453949785</v>
      </c>
      <c r="CH58" s="106">
        <v>7.3843297432541366</v>
      </c>
      <c r="CI58" s="106">
        <v>8692.8329737587701</v>
      </c>
      <c r="CJ58" s="106">
        <v>9.3877795824732928</v>
      </c>
      <c r="CK58" s="106">
        <v>11051.29412448756</v>
      </c>
      <c r="CL58" s="106">
        <v>0</v>
      </c>
      <c r="CM58" s="106">
        <v>0</v>
      </c>
      <c r="CN58" s="106">
        <v>10.138801949071155</v>
      </c>
      <c r="CO58" s="106">
        <v>11935.397654446564</v>
      </c>
      <c r="CP58" s="106">
        <v>5.3544773129568943</v>
      </c>
      <c r="CQ58" s="106">
        <v>6303.2906928128559</v>
      </c>
      <c r="CR58" s="106">
        <v>3.5889564421490818</v>
      </c>
      <c r="CS58" s="106">
        <v>4224.9195236978994</v>
      </c>
      <c r="CT58" s="106">
        <v>6.9193719462855281</v>
      </c>
      <c r="CU58" s="106">
        <v>8145.4846551673236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4.5582402842262555</v>
      </c>
      <c r="I71" s="106">
        <v>2570.8475203036082</v>
      </c>
      <c r="J71" s="106">
        <v>6.5538112046482064</v>
      </c>
      <c r="K71" s="106">
        <v>3696.3495194215884</v>
      </c>
      <c r="L71" s="106">
        <v>6.7483344162627947</v>
      </c>
      <c r="M71" s="106">
        <v>3806.060610772216</v>
      </c>
      <c r="N71" s="106">
        <v>6.3128389494216632</v>
      </c>
      <c r="O71" s="106">
        <v>3560.441167473818</v>
      </c>
      <c r="P71" s="106">
        <v>5.0946721658343597</v>
      </c>
      <c r="Q71" s="106">
        <v>2873.3951015305788</v>
      </c>
      <c r="R71" s="106">
        <v>4.3452008353162093</v>
      </c>
      <c r="S71" s="106">
        <v>2450.6932711183422</v>
      </c>
      <c r="T71" s="106">
        <v>2.9588628733826652</v>
      </c>
      <c r="U71" s="106">
        <v>1668.7986605878232</v>
      </c>
      <c r="V71" s="106">
        <v>3.1316762777053762</v>
      </c>
      <c r="W71" s="106">
        <v>1766.2654206258321</v>
      </c>
      <c r="X71" s="106">
        <v>3.5593666416951932</v>
      </c>
      <c r="Y71" s="106">
        <v>2007.4827859160889</v>
      </c>
      <c r="Z71" s="106">
        <v>3.0879599844886769</v>
      </c>
      <c r="AA71" s="106">
        <v>1741.6094312516138</v>
      </c>
      <c r="AB71" s="106">
        <v>5.5302556085842669</v>
      </c>
      <c r="AC71" s="106">
        <v>3119.0641632415263</v>
      </c>
      <c r="AD71" s="106">
        <v>5.5692010706165505</v>
      </c>
      <c r="AE71" s="106">
        <v>3141.0294038277343</v>
      </c>
      <c r="AF71" s="106">
        <v>6.6420574293741712</v>
      </c>
      <c r="AG71" s="106">
        <v>3746.1203901670324</v>
      </c>
      <c r="AH71" s="106">
        <v>5.7936011137549457</v>
      </c>
      <c r="AI71" s="106">
        <v>3267.5910281577894</v>
      </c>
      <c r="AJ71" s="106">
        <v>3.0520750292658456</v>
      </c>
      <c r="AK71" s="106">
        <v>1721.3703165059369</v>
      </c>
      <c r="AL71" s="106">
        <v>4.0326777249771757</v>
      </c>
      <c r="AM71" s="106">
        <v>2274.4302368871272</v>
      </c>
      <c r="AN71" s="106">
        <v>2.8996772207869843</v>
      </c>
      <c r="AO71" s="106">
        <v>1635.4179525238592</v>
      </c>
      <c r="AP71" s="106">
        <v>3.7055519813864124</v>
      </c>
      <c r="AQ71" s="106">
        <v>2089.9313175019365</v>
      </c>
      <c r="AR71" s="106">
        <v>10.176076956236859</v>
      </c>
      <c r="AS71" s="106">
        <v>5739.3074033175881</v>
      </c>
      <c r="AT71" s="106">
        <v>10.550215257732743</v>
      </c>
      <c r="AU71" s="106">
        <v>5950.3214053612674</v>
      </c>
      <c r="AV71" s="106">
        <v>9.0908311373987942</v>
      </c>
      <c r="AW71" s="106">
        <v>5127.2287614929201</v>
      </c>
      <c r="AX71" s="106">
        <v>11.027095775424822</v>
      </c>
      <c r="AY71" s="106">
        <v>6219.2820173395994</v>
      </c>
      <c r="AZ71" s="106">
        <v>6.0483866311858527</v>
      </c>
      <c r="BA71" s="106">
        <v>3411.2900599888208</v>
      </c>
      <c r="BB71" s="106">
        <v>3.9817840381806726</v>
      </c>
      <c r="BC71" s="106">
        <v>2245.7261975338993</v>
      </c>
      <c r="BD71" s="106">
        <v>5.388733319388213</v>
      </c>
      <c r="BE71" s="106">
        <v>3039.2455921349519</v>
      </c>
      <c r="BF71" s="106">
        <v>5.7296020316843972</v>
      </c>
      <c r="BG71" s="106">
        <v>3231.4955458700001</v>
      </c>
      <c r="BH71" s="106">
        <v>10.782664773811206</v>
      </c>
      <c r="BI71" s="106">
        <v>6081.4229324295202</v>
      </c>
      <c r="BJ71" s="106">
        <v>11.083944503645586</v>
      </c>
      <c r="BK71" s="106">
        <v>6251.3447000561109</v>
      </c>
      <c r="BL71" s="106">
        <v>6.9591776691849354</v>
      </c>
      <c r="BM71" s="106">
        <v>3924.9762054203034</v>
      </c>
      <c r="BN71" s="106">
        <v>9.5051268272542089</v>
      </c>
      <c r="BO71" s="106">
        <v>5360.8915305713736</v>
      </c>
      <c r="BP71" s="106">
        <v>3.0969431408071895</v>
      </c>
      <c r="BQ71" s="106">
        <v>1746.6759314152548</v>
      </c>
      <c r="BR71" s="106">
        <v>2.8719353160459069</v>
      </c>
      <c r="BS71" s="106">
        <v>1619.7715182498914</v>
      </c>
      <c r="BT71" s="106">
        <v>2.1344846208570853</v>
      </c>
      <c r="BU71" s="106">
        <v>1203.8493261633962</v>
      </c>
      <c r="BV71" s="106">
        <v>3.4404160855459964</v>
      </c>
      <c r="BW71" s="106">
        <v>1940.394672247942</v>
      </c>
      <c r="BX71" s="106">
        <v>2.7387932537750657</v>
      </c>
      <c r="BY71" s="106">
        <v>1544.679395129137</v>
      </c>
      <c r="BZ71" s="106">
        <v>3.6096258248002022</v>
      </c>
      <c r="CA71" s="106">
        <v>2035.828965187314</v>
      </c>
      <c r="CB71" s="106">
        <v>3.3014792276372407</v>
      </c>
      <c r="CC71" s="106">
        <v>1862.0342843874037</v>
      </c>
      <c r="CD71" s="106">
        <v>3.0170571560424824</v>
      </c>
      <c r="CE71" s="106">
        <v>1701.6202360079601</v>
      </c>
      <c r="CF71" s="106">
        <v>4.6702355434697846</v>
      </c>
      <c r="CG71" s="106">
        <v>2634.0128465169587</v>
      </c>
      <c r="CH71" s="106">
        <v>4.2196169961452208</v>
      </c>
      <c r="CI71" s="106">
        <v>2379.8639858259044</v>
      </c>
      <c r="CJ71" s="106">
        <v>3.0040894663914535</v>
      </c>
      <c r="CK71" s="106">
        <v>1694.3064590447798</v>
      </c>
      <c r="CL71" s="106">
        <v>0</v>
      </c>
      <c r="CM71" s="106">
        <v>0</v>
      </c>
      <c r="CN71" s="106">
        <v>6.5178012529743139</v>
      </c>
      <c r="CO71" s="106">
        <v>3676.039906677513</v>
      </c>
      <c r="CP71" s="106">
        <v>4.4620644274640791</v>
      </c>
      <c r="CQ71" s="106">
        <v>2516.6043370897405</v>
      </c>
      <c r="CR71" s="106">
        <v>5.383434663223623</v>
      </c>
      <c r="CS71" s="106">
        <v>3036.2571500581234</v>
      </c>
      <c r="CT71" s="106">
        <v>4.9973241834284368</v>
      </c>
      <c r="CU71" s="106">
        <v>2818.4908394536383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4.5582402842262555</v>
      </c>
      <c r="I72" s="106">
        <v>339.13307714643338</v>
      </c>
      <c r="J72" s="106">
        <v>7.3100201897999222</v>
      </c>
      <c r="K72" s="106">
        <v>543.8655021211141</v>
      </c>
      <c r="L72" s="106">
        <v>6.4549285720774563</v>
      </c>
      <c r="M72" s="106">
        <v>480.24668576256272</v>
      </c>
      <c r="N72" s="106">
        <v>7.1736806243427989</v>
      </c>
      <c r="O72" s="106">
        <v>533.72183845110419</v>
      </c>
      <c r="P72" s="106">
        <v>4.6094652928977533</v>
      </c>
      <c r="Q72" s="106">
        <v>342.94421779159279</v>
      </c>
      <c r="R72" s="106">
        <v>5.0312851777345582</v>
      </c>
      <c r="S72" s="106">
        <v>374.32761722345111</v>
      </c>
      <c r="T72" s="106">
        <v>3.0997611054485064</v>
      </c>
      <c r="U72" s="106">
        <v>230.62222624536884</v>
      </c>
      <c r="V72" s="106">
        <v>3.7580115332464517</v>
      </c>
      <c r="W72" s="106">
        <v>279.59605807353597</v>
      </c>
      <c r="X72" s="106">
        <v>3.7211560344995198</v>
      </c>
      <c r="Y72" s="106">
        <v>276.85400896676424</v>
      </c>
      <c r="Z72" s="106">
        <v>3.5511539821619786</v>
      </c>
      <c r="AA72" s="106">
        <v>264.20585627285118</v>
      </c>
      <c r="AB72" s="106">
        <v>6.4519648766816449</v>
      </c>
      <c r="AC72" s="106">
        <v>480.02618682511434</v>
      </c>
      <c r="AD72" s="106">
        <v>5.5692010706165505</v>
      </c>
      <c r="AE72" s="106">
        <v>414.34855965387129</v>
      </c>
      <c r="AF72" s="106">
        <v>7.1164901029008982</v>
      </c>
      <c r="AG72" s="106">
        <v>529.46686365582673</v>
      </c>
      <c r="AH72" s="106">
        <v>7.2420013921936821</v>
      </c>
      <c r="AI72" s="106">
        <v>538.80490357920985</v>
      </c>
      <c r="AJ72" s="106">
        <v>3.5216250337682835</v>
      </c>
      <c r="AK72" s="106">
        <v>262.00890251236024</v>
      </c>
      <c r="AL72" s="106">
        <v>4.0326777249771757</v>
      </c>
      <c r="AM72" s="106">
        <v>300.03122273830184</v>
      </c>
      <c r="AN72" s="106">
        <v>2.8996772207869843</v>
      </c>
      <c r="AO72" s="106">
        <v>215.73598522655161</v>
      </c>
      <c r="AP72" s="106">
        <v>3.4585151826273184</v>
      </c>
      <c r="AQ72" s="106">
        <v>257.31352958747243</v>
      </c>
      <c r="AR72" s="106">
        <v>12.18892734318481</v>
      </c>
      <c r="AS72" s="106">
        <v>906.85619433294971</v>
      </c>
      <c r="AT72" s="106">
        <v>13.120139487180463</v>
      </c>
      <c r="AU72" s="106">
        <v>976.13837784622638</v>
      </c>
      <c r="AV72" s="106">
        <v>9.0908311373987942</v>
      </c>
      <c r="AW72" s="106">
        <v>676.35783662247024</v>
      </c>
      <c r="AX72" s="106">
        <v>10.843310845834408</v>
      </c>
      <c r="AY72" s="106">
        <v>806.7423269300798</v>
      </c>
      <c r="AZ72" s="106">
        <v>5.583126121094633</v>
      </c>
      <c r="BA72" s="106">
        <v>415.38458340944067</v>
      </c>
      <c r="BB72" s="106">
        <v>3.9817840381806726</v>
      </c>
      <c r="BC72" s="106">
        <v>296.244732440642</v>
      </c>
      <c r="BD72" s="106">
        <v>5.388733319388213</v>
      </c>
      <c r="BE72" s="106">
        <v>400.92175896248301</v>
      </c>
      <c r="BF72" s="106">
        <v>5.7296020316843972</v>
      </c>
      <c r="BG72" s="106">
        <v>426.28239115731913</v>
      </c>
      <c r="BH72" s="106">
        <v>11.442827923228217</v>
      </c>
      <c r="BI72" s="106">
        <v>851.34639748817926</v>
      </c>
      <c r="BJ72" s="106">
        <v>11.341710654893157</v>
      </c>
      <c r="BK72" s="106">
        <v>843.82327272405087</v>
      </c>
      <c r="BL72" s="106">
        <v>6.9591776691849354</v>
      </c>
      <c r="BM72" s="106">
        <v>517.76281858735911</v>
      </c>
      <c r="BN72" s="106">
        <v>9.9275769084655074</v>
      </c>
      <c r="BO72" s="106">
        <v>738.61172198983365</v>
      </c>
      <c r="BP72" s="106">
        <v>2.8757329164638188</v>
      </c>
      <c r="BQ72" s="106">
        <v>213.95452898490808</v>
      </c>
      <c r="BR72" s="106">
        <v>2.8719353160459069</v>
      </c>
      <c r="BS72" s="106">
        <v>213.67198751381545</v>
      </c>
      <c r="BT72" s="106">
        <v>2.4394109952652405</v>
      </c>
      <c r="BU72" s="106">
        <v>181.49217804773389</v>
      </c>
      <c r="BV72" s="106">
        <v>2.8148858881739969</v>
      </c>
      <c r="BW72" s="106">
        <v>209.42751008014534</v>
      </c>
      <c r="BX72" s="106">
        <v>3.160146062048153</v>
      </c>
      <c r="BY72" s="106">
        <v>235.11486701638256</v>
      </c>
      <c r="BZ72" s="106">
        <v>3.3972948939296019</v>
      </c>
      <c r="CA72" s="106">
        <v>252.75874010836236</v>
      </c>
      <c r="CB72" s="106">
        <v>3.8517257655767811</v>
      </c>
      <c r="CC72" s="106">
        <v>286.5683969589125</v>
      </c>
      <c r="CD72" s="106">
        <v>2.8159200123063171</v>
      </c>
      <c r="CE72" s="106">
        <v>209.50444891558996</v>
      </c>
      <c r="CF72" s="106">
        <v>5.0294844314289984</v>
      </c>
      <c r="CG72" s="106">
        <v>374.19364169831744</v>
      </c>
      <c r="CH72" s="106">
        <v>4.2196169961452208</v>
      </c>
      <c r="CI72" s="106">
        <v>313.93950451320438</v>
      </c>
      <c r="CJ72" s="106">
        <v>3.379600649690385</v>
      </c>
      <c r="CK72" s="106">
        <v>251.44228833696462</v>
      </c>
      <c r="CL72" s="106">
        <v>0</v>
      </c>
      <c r="CM72" s="106">
        <v>0</v>
      </c>
      <c r="CN72" s="106">
        <v>7.9662015314130521</v>
      </c>
      <c r="CO72" s="106">
        <v>592.68539393713104</v>
      </c>
      <c r="CP72" s="106">
        <v>5.6519482747878325</v>
      </c>
      <c r="CQ72" s="106">
        <v>420.50495164421471</v>
      </c>
      <c r="CR72" s="106">
        <v>5.383434663223623</v>
      </c>
      <c r="CS72" s="106">
        <v>400.5275389438375</v>
      </c>
      <c r="CT72" s="106">
        <v>5.7661432885712731</v>
      </c>
      <c r="CU72" s="106">
        <v>429.00106066970267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4.5582402842262555</v>
      </c>
      <c r="I73" s="106">
        <v>2548.9679669393217</v>
      </c>
      <c r="J73" s="106">
        <v>6.5538112046482064</v>
      </c>
      <c r="K73" s="106">
        <v>3664.8912256392764</v>
      </c>
      <c r="L73" s="106">
        <v>6.1615227278921179</v>
      </c>
      <c r="M73" s="106">
        <v>3445.523509437272</v>
      </c>
      <c r="N73" s="106">
        <v>6.5997861743953754</v>
      </c>
      <c r="O73" s="106">
        <v>3690.6004287218934</v>
      </c>
      <c r="P73" s="106">
        <v>4.366861856429451</v>
      </c>
      <c r="Q73" s="106">
        <v>2441.9491501153489</v>
      </c>
      <c r="R73" s="106">
        <v>4.5738956161223259</v>
      </c>
      <c r="S73" s="106">
        <v>2557.7224285356042</v>
      </c>
      <c r="T73" s="106">
        <v>2.817964641316824</v>
      </c>
      <c r="U73" s="106">
        <v>1575.8058274243679</v>
      </c>
      <c r="V73" s="106">
        <v>3.2882600915906455</v>
      </c>
      <c r="W73" s="106">
        <v>1838.7950432174887</v>
      </c>
      <c r="X73" s="106">
        <v>3.2357878560865392</v>
      </c>
      <c r="Y73" s="106">
        <v>1809.4525691235924</v>
      </c>
      <c r="Z73" s="106">
        <v>3.3967559829375449</v>
      </c>
      <c r="AA73" s="106">
        <v>1899.4659456586749</v>
      </c>
      <c r="AB73" s="106">
        <v>6.4519648766816449</v>
      </c>
      <c r="AC73" s="106">
        <v>3607.9387590403753</v>
      </c>
      <c r="AD73" s="106">
        <v>5.5692010706165505</v>
      </c>
      <c r="AE73" s="106">
        <v>3114.2972386887745</v>
      </c>
      <c r="AF73" s="106">
        <v>7.5909227764276244</v>
      </c>
      <c r="AG73" s="106">
        <v>4244.8440165783268</v>
      </c>
      <c r="AH73" s="106">
        <v>6.75920129938077</v>
      </c>
      <c r="AI73" s="106">
        <v>3779.7453666137262</v>
      </c>
      <c r="AJ73" s="106">
        <v>3.0520750292658456</v>
      </c>
      <c r="AK73" s="106">
        <v>1706.7203563654607</v>
      </c>
      <c r="AL73" s="106">
        <v>3.5582450514504491</v>
      </c>
      <c r="AM73" s="106">
        <v>1989.770632771091</v>
      </c>
      <c r="AN73" s="106">
        <v>3.3829567575848145</v>
      </c>
      <c r="AO73" s="106">
        <v>1891.749418841428</v>
      </c>
      <c r="AP73" s="106">
        <v>3.9525887801455069</v>
      </c>
      <c r="AQ73" s="106">
        <v>2210.2876458573674</v>
      </c>
      <c r="AR73" s="106">
        <v>11.182502149710835</v>
      </c>
      <c r="AS73" s="106">
        <v>6253.2552021182983</v>
      </c>
      <c r="AT73" s="106">
        <v>11.632288617500203</v>
      </c>
      <c r="AU73" s="106">
        <v>6504.7757949061124</v>
      </c>
      <c r="AV73" s="106">
        <v>9.2423449896887746</v>
      </c>
      <c r="AW73" s="106">
        <v>5168.3193182339619</v>
      </c>
      <c r="AX73" s="106">
        <v>9.373031409111098</v>
      </c>
      <c r="AY73" s="106">
        <v>5241.3991639749256</v>
      </c>
      <c r="AZ73" s="106">
        <v>6.0483866311858527</v>
      </c>
      <c r="BA73" s="106">
        <v>3382.2578041591282</v>
      </c>
      <c r="BB73" s="106">
        <v>3.9817840381806726</v>
      </c>
      <c r="BC73" s="106">
        <v>2226.6136341506317</v>
      </c>
      <c r="BD73" s="106">
        <v>5.388733319388213</v>
      </c>
      <c r="BE73" s="106">
        <v>3013.3796722018883</v>
      </c>
      <c r="BF73" s="106">
        <v>5.0929795837194645</v>
      </c>
      <c r="BG73" s="106">
        <v>2847.9941832159243</v>
      </c>
      <c r="BH73" s="106">
        <v>9.6823928581161844</v>
      </c>
      <c r="BI73" s="106">
        <v>5414.3940862585696</v>
      </c>
      <c r="BJ73" s="106">
        <v>9.5373475961601564</v>
      </c>
      <c r="BK73" s="106">
        <v>5333.2847757727586</v>
      </c>
      <c r="BL73" s="106">
        <v>7.1991493129499329</v>
      </c>
      <c r="BM73" s="106">
        <v>4025.7642958016017</v>
      </c>
      <c r="BN73" s="106">
        <v>10.772477070888105</v>
      </c>
      <c r="BO73" s="106">
        <v>6023.9691780406274</v>
      </c>
      <c r="BP73" s="106">
        <v>3.0969431408071895</v>
      </c>
      <c r="BQ73" s="106">
        <v>1731.8106043393802</v>
      </c>
      <c r="BR73" s="106">
        <v>2.6108502873144608</v>
      </c>
      <c r="BS73" s="106">
        <v>1459.9874806662463</v>
      </c>
      <c r="BT73" s="106">
        <v>2.1344846208570853</v>
      </c>
      <c r="BU73" s="106">
        <v>1193.603799983282</v>
      </c>
      <c r="BV73" s="106">
        <v>2.8148858881739969</v>
      </c>
      <c r="BW73" s="106">
        <v>1574.0841886668989</v>
      </c>
      <c r="BX73" s="106">
        <v>2.7387932537750657</v>
      </c>
      <c r="BY73" s="106">
        <v>1531.5331875110164</v>
      </c>
      <c r="BZ73" s="106">
        <v>3.6096258248002022</v>
      </c>
      <c r="CA73" s="106">
        <v>2018.5027612282729</v>
      </c>
      <c r="CB73" s="106">
        <v>3.3014792276372407</v>
      </c>
      <c r="CC73" s="106">
        <v>1846.1871840947447</v>
      </c>
      <c r="CD73" s="106">
        <v>2.413645724833986</v>
      </c>
      <c r="CE73" s="106">
        <v>1349.7106893271648</v>
      </c>
      <c r="CF73" s="106">
        <v>5.0294844314289984</v>
      </c>
      <c r="CG73" s="106">
        <v>2812.4876940550957</v>
      </c>
      <c r="CH73" s="106">
        <v>3.6921648716270683</v>
      </c>
      <c r="CI73" s="106">
        <v>2064.6585962138565</v>
      </c>
      <c r="CJ73" s="106">
        <v>3.379600649690385</v>
      </c>
      <c r="CK73" s="106">
        <v>1889.8726833068631</v>
      </c>
      <c r="CL73" s="106">
        <v>0</v>
      </c>
      <c r="CM73" s="106">
        <v>0</v>
      </c>
      <c r="CN73" s="106">
        <v>7.9662015314130521</v>
      </c>
      <c r="CO73" s="106">
        <v>4454.6998963661781</v>
      </c>
      <c r="CP73" s="106">
        <v>5.3544773129568943</v>
      </c>
      <c r="CQ73" s="106">
        <v>2994.2237134054949</v>
      </c>
      <c r="CR73" s="106">
        <v>4.665643374793806</v>
      </c>
      <c r="CS73" s="106">
        <v>2609.0277751846961</v>
      </c>
      <c r="CT73" s="106">
        <v>5.7661432885712731</v>
      </c>
      <c r="CU73" s="106">
        <v>3224.4273269690557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4.5582402842262555</v>
      </c>
      <c r="I74" s="106">
        <v>1837.8824826000262</v>
      </c>
      <c r="J74" s="106">
        <v>6.3017415429309676</v>
      </c>
      <c r="K74" s="106">
        <v>2540.8621901097658</v>
      </c>
      <c r="L74" s="106">
        <v>5.8681168837067785</v>
      </c>
      <c r="M74" s="106">
        <v>2366.024727510573</v>
      </c>
      <c r="N74" s="106">
        <v>6.8867333993690876</v>
      </c>
      <c r="O74" s="106">
        <v>2776.7309066256162</v>
      </c>
      <c r="P74" s="106">
        <v>4.8520687293660565</v>
      </c>
      <c r="Q74" s="106">
        <v>1956.354111680394</v>
      </c>
      <c r="R74" s="106">
        <v>5.0312851777345582</v>
      </c>
      <c r="S74" s="106">
        <v>2028.6141836625739</v>
      </c>
      <c r="T74" s="106">
        <v>3.0997611054485064</v>
      </c>
      <c r="U74" s="106">
        <v>1249.8236777168377</v>
      </c>
      <c r="V74" s="106">
        <v>3.2882600915906455</v>
      </c>
      <c r="W74" s="106">
        <v>1325.8264689293483</v>
      </c>
      <c r="X74" s="106">
        <v>4.0447348201081743</v>
      </c>
      <c r="Y74" s="106">
        <v>1630.8370794676159</v>
      </c>
      <c r="Z74" s="106">
        <v>3.0879599844886769</v>
      </c>
      <c r="AA74" s="106">
        <v>1245.0654657458344</v>
      </c>
      <c r="AB74" s="106">
        <v>5.5302556085842669</v>
      </c>
      <c r="AC74" s="106">
        <v>2229.7990613811762</v>
      </c>
      <c r="AD74" s="106">
        <v>5.5692010706165505</v>
      </c>
      <c r="AE74" s="106">
        <v>2245.5018716725931</v>
      </c>
      <c r="AF74" s="106">
        <v>7.1164901029008982</v>
      </c>
      <c r="AG74" s="106">
        <v>2869.368809489642</v>
      </c>
      <c r="AH74" s="106">
        <v>6.2764012065678578</v>
      </c>
      <c r="AI74" s="106">
        <v>2530.6449664881602</v>
      </c>
      <c r="AJ74" s="106">
        <v>3.5216250337682835</v>
      </c>
      <c r="AK74" s="106">
        <v>1419.919213615372</v>
      </c>
      <c r="AL74" s="106">
        <v>3.7954613882138122</v>
      </c>
      <c r="AM74" s="106">
        <v>1530.330031727809</v>
      </c>
      <c r="AN74" s="106">
        <v>3.1413169891858992</v>
      </c>
      <c r="AO74" s="106">
        <v>1266.5790100397546</v>
      </c>
      <c r="AP74" s="106">
        <v>3.7055519813864124</v>
      </c>
      <c r="AQ74" s="106">
        <v>1494.0785588950014</v>
      </c>
      <c r="AR74" s="106">
        <v>10.399726999231076</v>
      </c>
      <c r="AS74" s="106">
        <v>4193.1699260899695</v>
      </c>
      <c r="AT74" s="106">
        <v>11.632288617500203</v>
      </c>
      <c r="AU74" s="106">
        <v>4690.1387705760817</v>
      </c>
      <c r="AV74" s="106">
        <v>9.8484003988486943</v>
      </c>
      <c r="AW74" s="106">
        <v>3970.8750408157935</v>
      </c>
      <c r="AX74" s="106">
        <v>10.843310845834408</v>
      </c>
      <c r="AY74" s="106">
        <v>4372.0229330404327</v>
      </c>
      <c r="AZ74" s="106">
        <v>5.1178656110034133</v>
      </c>
      <c r="BA74" s="106">
        <v>2063.5234143565763</v>
      </c>
      <c r="BB74" s="106">
        <v>3.5393635894939308</v>
      </c>
      <c r="BC74" s="106">
        <v>1427.0713992839528</v>
      </c>
      <c r="BD74" s="106">
        <v>4.849859987449392</v>
      </c>
      <c r="BE74" s="106">
        <v>1955.4635469395948</v>
      </c>
      <c r="BF74" s="106">
        <v>5.0929795837194645</v>
      </c>
      <c r="BG74" s="106">
        <v>2053.4893681556882</v>
      </c>
      <c r="BH74" s="106">
        <v>9.6823928581161844</v>
      </c>
      <c r="BI74" s="106">
        <v>3903.9408003924455</v>
      </c>
      <c r="BJ74" s="106">
        <v>11.599476806140729</v>
      </c>
      <c r="BK74" s="106">
        <v>4676.9090482359416</v>
      </c>
      <c r="BL74" s="106">
        <v>6.4792343816549405</v>
      </c>
      <c r="BM74" s="106">
        <v>2612.427302683272</v>
      </c>
      <c r="BN74" s="106">
        <v>9.7163518678598564</v>
      </c>
      <c r="BO74" s="106">
        <v>3917.6330731210942</v>
      </c>
      <c r="BP74" s="106">
        <v>2.8757329164638188</v>
      </c>
      <c r="BQ74" s="106">
        <v>1159.4955119182116</v>
      </c>
      <c r="BR74" s="106">
        <v>3.133020344777353</v>
      </c>
      <c r="BS74" s="106">
        <v>1263.2338030142287</v>
      </c>
      <c r="BT74" s="106">
        <v>2.4394109952652405</v>
      </c>
      <c r="BU74" s="106">
        <v>983.57051329094497</v>
      </c>
      <c r="BV74" s="106">
        <v>3.4404160855459964</v>
      </c>
      <c r="BW74" s="106">
        <v>1387.1757656921457</v>
      </c>
      <c r="BX74" s="106">
        <v>2.7387932537750657</v>
      </c>
      <c r="BY74" s="106">
        <v>1104.2814399221065</v>
      </c>
      <c r="BZ74" s="106">
        <v>3.6096258248002022</v>
      </c>
      <c r="CA74" s="106">
        <v>1455.4011325594415</v>
      </c>
      <c r="CB74" s="106">
        <v>3.3014792276372407</v>
      </c>
      <c r="CC74" s="106">
        <v>1331.1564245833354</v>
      </c>
      <c r="CD74" s="106">
        <v>2.8159200123063171</v>
      </c>
      <c r="CE74" s="106">
        <v>1135.3789489619071</v>
      </c>
      <c r="CF74" s="106">
        <v>4.6702355434697846</v>
      </c>
      <c r="CG74" s="106">
        <v>1883.038971127017</v>
      </c>
      <c r="CH74" s="106">
        <v>4.2196169961452208</v>
      </c>
      <c r="CI74" s="106">
        <v>1701.3495728457531</v>
      </c>
      <c r="CJ74" s="106">
        <v>3.379600649690385</v>
      </c>
      <c r="CK74" s="106">
        <v>1362.6549819551633</v>
      </c>
      <c r="CL74" s="106">
        <v>0</v>
      </c>
      <c r="CM74" s="106">
        <v>0</v>
      </c>
      <c r="CN74" s="106">
        <v>7.2420013921936821</v>
      </c>
      <c r="CO74" s="106">
        <v>2919.9749613324925</v>
      </c>
      <c r="CP74" s="106">
        <v>5.0570063511259553</v>
      </c>
      <c r="CQ74" s="106">
        <v>2038.9849607739852</v>
      </c>
      <c r="CR74" s="106">
        <v>4.665643374793806</v>
      </c>
      <c r="CS74" s="106">
        <v>1881.1874087168626</v>
      </c>
      <c r="CT74" s="106">
        <v>5.7661432885712731</v>
      </c>
      <c r="CU74" s="106">
        <v>2324.9089739519372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5.0647114269180618</v>
      </c>
      <c r="I75" s="106">
        <v>3257.622389793697</v>
      </c>
      <c r="J75" s="106">
        <v>6.3017415429309676</v>
      </c>
      <c r="K75" s="106">
        <v>4053.2801604131978</v>
      </c>
      <c r="L75" s="106">
        <v>5.5747110395214392</v>
      </c>
      <c r="M75" s="106">
        <v>3585.6541406201895</v>
      </c>
      <c r="N75" s="106">
        <v>6.8867333993690876</v>
      </c>
      <c r="O75" s="106">
        <v>4429.5469224741964</v>
      </c>
      <c r="P75" s="106">
        <v>5.0946721658343597</v>
      </c>
      <c r="Q75" s="106">
        <v>3276.8931370646596</v>
      </c>
      <c r="R75" s="106">
        <v>4.5738956161223259</v>
      </c>
      <c r="S75" s="106">
        <v>2941.9296602898798</v>
      </c>
      <c r="T75" s="106">
        <v>2.9588628733826652</v>
      </c>
      <c r="U75" s="106">
        <v>1903.14060015973</v>
      </c>
      <c r="V75" s="106">
        <v>3.6014277193611828</v>
      </c>
      <c r="W75" s="106">
        <v>2316.4383090931124</v>
      </c>
      <c r="X75" s="106">
        <v>3.5593666416951932</v>
      </c>
      <c r="Y75" s="106">
        <v>2289.3846239383479</v>
      </c>
      <c r="Z75" s="106">
        <v>3.0879599844886769</v>
      </c>
      <c r="AA75" s="106">
        <v>1986.1758620231167</v>
      </c>
      <c r="AB75" s="106">
        <v>5.5302556085842669</v>
      </c>
      <c r="AC75" s="106">
        <v>3557.0604074414</v>
      </c>
      <c r="AD75" s="106">
        <v>5.5692010706165505</v>
      </c>
      <c r="AE75" s="106">
        <v>3582.1101286205649</v>
      </c>
      <c r="AF75" s="106">
        <v>7.1164901029008982</v>
      </c>
      <c r="AG75" s="106">
        <v>4577.3264341858576</v>
      </c>
      <c r="AH75" s="106">
        <v>6.2764012065678578</v>
      </c>
      <c r="AI75" s="106">
        <v>4036.9812560644459</v>
      </c>
      <c r="AJ75" s="106">
        <v>2.8173000270146269</v>
      </c>
      <c r="AK75" s="106">
        <v>1812.0873773758078</v>
      </c>
      <c r="AL75" s="106">
        <v>3.7954613882138122</v>
      </c>
      <c r="AM75" s="106">
        <v>2441.2407648991239</v>
      </c>
      <c r="AN75" s="106">
        <v>2.8996772207869843</v>
      </c>
      <c r="AO75" s="106">
        <v>1865.0723884101881</v>
      </c>
      <c r="AP75" s="106">
        <v>3.7055519813864124</v>
      </c>
      <c r="AQ75" s="106">
        <v>2383.4110344277401</v>
      </c>
      <c r="AR75" s="106">
        <v>11.182502149710835</v>
      </c>
      <c r="AS75" s="106">
        <v>7192.5853826940083</v>
      </c>
      <c r="AT75" s="106">
        <v>10.550215257732743</v>
      </c>
      <c r="AU75" s="106">
        <v>6785.8984537736997</v>
      </c>
      <c r="AV75" s="106">
        <v>8.6362895805288566</v>
      </c>
      <c r="AW75" s="106">
        <v>5554.8614581961601</v>
      </c>
      <c r="AX75" s="106">
        <v>9.5568163387015126</v>
      </c>
      <c r="AY75" s="106">
        <v>6146.9442690528122</v>
      </c>
      <c r="AZ75" s="106">
        <v>5.583126121094633</v>
      </c>
      <c r="BA75" s="106">
        <v>3591.0667210880674</v>
      </c>
      <c r="BB75" s="106">
        <v>3.5393635894939308</v>
      </c>
      <c r="BC75" s="106">
        <v>2276.518660762496</v>
      </c>
      <c r="BD75" s="106">
        <v>5.388733319388213</v>
      </c>
      <c r="BE75" s="106">
        <v>3466.0332710304983</v>
      </c>
      <c r="BF75" s="106">
        <v>5.0929795837194645</v>
      </c>
      <c r="BG75" s="106">
        <v>3275.8044682483592</v>
      </c>
      <c r="BH75" s="106">
        <v>10.782664773811206</v>
      </c>
      <c r="BI75" s="106">
        <v>6935.4099825153671</v>
      </c>
      <c r="BJ75" s="106">
        <v>11.083944503645586</v>
      </c>
      <c r="BK75" s="106">
        <v>7129.1931047448406</v>
      </c>
      <c r="BL75" s="106">
        <v>6.9591776691849354</v>
      </c>
      <c r="BM75" s="106">
        <v>4476.1430768197497</v>
      </c>
      <c r="BN75" s="106">
        <v>9.0826767460429103</v>
      </c>
      <c r="BO75" s="106">
        <v>5841.9776830547989</v>
      </c>
      <c r="BP75" s="106">
        <v>2.8757329164638188</v>
      </c>
      <c r="BQ75" s="106">
        <v>1849.6714118695281</v>
      </c>
      <c r="BR75" s="106">
        <v>2.6108502873144608</v>
      </c>
      <c r="BS75" s="106">
        <v>1679.2989048006609</v>
      </c>
      <c r="BT75" s="106">
        <v>2.4394109952652405</v>
      </c>
      <c r="BU75" s="106">
        <v>1569.0291521546026</v>
      </c>
      <c r="BV75" s="106">
        <v>2.8148858881739969</v>
      </c>
      <c r="BW75" s="106">
        <v>1810.5346032735147</v>
      </c>
      <c r="BX75" s="106">
        <v>2.7387932537750657</v>
      </c>
      <c r="BY75" s="106">
        <v>1761.5918208281221</v>
      </c>
      <c r="BZ75" s="106">
        <v>3.8219567556708021</v>
      </c>
      <c r="CA75" s="106">
        <v>2458.2825852474598</v>
      </c>
      <c r="CB75" s="106">
        <v>3.8517257655767811</v>
      </c>
      <c r="CC75" s="106">
        <v>2477.4300124189854</v>
      </c>
      <c r="CD75" s="106">
        <v>2.6147828685701513</v>
      </c>
      <c r="CE75" s="106">
        <v>1681.8283410643212</v>
      </c>
      <c r="CF75" s="106">
        <v>5.388733319388213</v>
      </c>
      <c r="CG75" s="106">
        <v>3466.0332710304983</v>
      </c>
      <c r="CH75" s="106">
        <v>4.2196169961452208</v>
      </c>
      <c r="CI75" s="106">
        <v>2714.0576519206056</v>
      </c>
      <c r="CJ75" s="106">
        <v>3.379600649690385</v>
      </c>
      <c r="CK75" s="106">
        <v>2173.7591378808552</v>
      </c>
      <c r="CL75" s="106">
        <v>0</v>
      </c>
      <c r="CM75" s="106">
        <v>0</v>
      </c>
      <c r="CN75" s="106">
        <v>7.2420013921936821</v>
      </c>
      <c r="CO75" s="106">
        <v>4658.0552954589757</v>
      </c>
      <c r="CP75" s="106">
        <v>4.4620644274640791</v>
      </c>
      <c r="CQ75" s="106">
        <v>2869.9998397448953</v>
      </c>
      <c r="CR75" s="106">
        <v>4.665643374793806</v>
      </c>
      <c r="CS75" s="106">
        <v>3000.9418186673756</v>
      </c>
      <c r="CT75" s="106">
        <v>5.3817337359998554</v>
      </c>
      <c r="CU75" s="106">
        <v>3461.5311389951066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4.8114758555721586</v>
      </c>
      <c r="I76" s="106">
        <v>3747.1773963195969</v>
      </c>
      <c r="J76" s="106">
        <v>6.0496718812137287</v>
      </c>
      <c r="K76" s="106">
        <v>4711.4844610892515</v>
      </c>
      <c r="L76" s="106">
        <v>5.8681168837067785</v>
      </c>
      <c r="M76" s="106">
        <v>4570.0894290308388</v>
      </c>
      <c r="N76" s="106">
        <v>6.0258917244479511</v>
      </c>
      <c r="O76" s="106">
        <v>4692.9644750000643</v>
      </c>
      <c r="P76" s="106">
        <v>4.6094652928977533</v>
      </c>
      <c r="Q76" s="106">
        <v>3589.8515701087699</v>
      </c>
      <c r="R76" s="106">
        <v>4.3452008353162093</v>
      </c>
      <c r="S76" s="106">
        <v>3384.0424105442635</v>
      </c>
      <c r="T76" s="106">
        <v>2.9588628733826652</v>
      </c>
      <c r="U76" s="106">
        <v>2304.3624057904194</v>
      </c>
      <c r="V76" s="106">
        <v>2.9750924638201073</v>
      </c>
      <c r="W76" s="106">
        <v>2317.0020108230992</v>
      </c>
      <c r="X76" s="106">
        <v>3.7211560344995198</v>
      </c>
      <c r="Y76" s="106">
        <v>2898.036319668226</v>
      </c>
      <c r="Z76" s="106">
        <v>2.9335619852642432</v>
      </c>
      <c r="AA76" s="106">
        <v>2284.6580741237926</v>
      </c>
      <c r="AB76" s="106">
        <v>5.5302556085842669</v>
      </c>
      <c r="AC76" s="106">
        <v>4306.9630679654265</v>
      </c>
      <c r="AD76" s="106">
        <v>5.9976011529716695</v>
      </c>
      <c r="AE76" s="106">
        <v>4670.9317779343355</v>
      </c>
      <c r="AF76" s="106">
        <v>6.6420574293741712</v>
      </c>
      <c r="AG76" s="106">
        <v>5172.8343259966041</v>
      </c>
      <c r="AH76" s="106">
        <v>6.75920129938077</v>
      </c>
      <c r="AI76" s="106">
        <v>5264.0659719577434</v>
      </c>
      <c r="AJ76" s="106">
        <v>2.8173000270146269</v>
      </c>
      <c r="AK76" s="106">
        <v>2194.1132610389914</v>
      </c>
      <c r="AL76" s="106">
        <v>4.0326777249771757</v>
      </c>
      <c r="AM76" s="106">
        <v>3140.6494122122244</v>
      </c>
      <c r="AN76" s="106">
        <v>2.8996772207869843</v>
      </c>
      <c r="AO76" s="106">
        <v>2258.2686195489032</v>
      </c>
      <c r="AP76" s="106">
        <v>3.7055519813864124</v>
      </c>
      <c r="AQ76" s="106">
        <v>2885.8838831037378</v>
      </c>
      <c r="AR76" s="106">
        <v>10.176076956236859</v>
      </c>
      <c r="AS76" s="106">
        <v>7925.1287335172647</v>
      </c>
      <c r="AT76" s="106">
        <v>10.144437747819945</v>
      </c>
      <c r="AU76" s="106">
        <v>7900.4881180021721</v>
      </c>
      <c r="AV76" s="106">
        <v>8.4847757282388763</v>
      </c>
      <c r="AW76" s="106">
        <v>6607.9433371524365</v>
      </c>
      <c r="AX76" s="106">
        <v>10.659525916243995</v>
      </c>
      <c r="AY76" s="106">
        <v>8301.6387835708229</v>
      </c>
      <c r="AZ76" s="106">
        <v>5.583126121094633</v>
      </c>
      <c r="BA76" s="106">
        <v>4348.1386231084998</v>
      </c>
      <c r="BB76" s="106">
        <v>3.5393635894939308</v>
      </c>
      <c r="BC76" s="106">
        <v>2756.4563634978731</v>
      </c>
      <c r="BD76" s="106">
        <v>5.388733319388213</v>
      </c>
      <c r="BE76" s="106">
        <v>4196.7455091395404</v>
      </c>
      <c r="BF76" s="106">
        <v>5.7296020316843972</v>
      </c>
      <c r="BG76" s="106">
        <v>4462.2140622758079</v>
      </c>
      <c r="BH76" s="106">
        <v>9.0222297086991716</v>
      </c>
      <c r="BI76" s="106">
        <v>7026.5124971349142</v>
      </c>
      <c r="BJ76" s="106">
        <v>10.31064604990287</v>
      </c>
      <c r="BK76" s="106">
        <v>8029.9311436643547</v>
      </c>
      <c r="BL76" s="106">
        <v>6.2392627378899421</v>
      </c>
      <c r="BM76" s="106">
        <v>4859.1378202686865</v>
      </c>
      <c r="BN76" s="106">
        <v>9.5051268272542089</v>
      </c>
      <c r="BO76" s="106">
        <v>7402.5927730655776</v>
      </c>
      <c r="BP76" s="106">
        <v>2.8757329164638188</v>
      </c>
      <c r="BQ76" s="106">
        <v>2239.6207953420221</v>
      </c>
      <c r="BR76" s="106">
        <v>2.6108502873144608</v>
      </c>
      <c r="BS76" s="106">
        <v>2033.3302037605019</v>
      </c>
      <c r="BT76" s="106">
        <v>2.4394109952652405</v>
      </c>
      <c r="BU76" s="106">
        <v>1899.8132831125693</v>
      </c>
      <c r="BV76" s="106">
        <v>2.8148858881739969</v>
      </c>
      <c r="BW76" s="106">
        <v>2192.2331297099086</v>
      </c>
      <c r="BX76" s="106">
        <v>2.7387932537750657</v>
      </c>
      <c r="BY76" s="106">
        <v>2132.9721860400209</v>
      </c>
      <c r="BZ76" s="106">
        <v>3.6096258248002022</v>
      </c>
      <c r="CA76" s="106">
        <v>2811.1765923543971</v>
      </c>
      <c r="CB76" s="106">
        <v>3.5766024966070109</v>
      </c>
      <c r="CC76" s="106">
        <v>2785.4580243575401</v>
      </c>
      <c r="CD76" s="106">
        <v>2.6147828685701513</v>
      </c>
      <c r="CE76" s="106">
        <v>2036.3928980424337</v>
      </c>
      <c r="CF76" s="106">
        <v>5.0294844314289984</v>
      </c>
      <c r="CG76" s="106">
        <v>3916.9624751969036</v>
      </c>
      <c r="CH76" s="106">
        <v>4.2196169961452208</v>
      </c>
      <c r="CI76" s="106">
        <v>3286.2377165978978</v>
      </c>
      <c r="CJ76" s="106">
        <v>3.7551118329893169</v>
      </c>
      <c r="CK76" s="106">
        <v>2924.48109553208</v>
      </c>
      <c r="CL76" s="106">
        <v>0</v>
      </c>
      <c r="CM76" s="106">
        <v>0</v>
      </c>
      <c r="CN76" s="106">
        <v>6.5178012529743139</v>
      </c>
      <c r="CO76" s="106">
        <v>5076.0636158163952</v>
      </c>
      <c r="CP76" s="106">
        <v>5.3544773129568943</v>
      </c>
      <c r="CQ76" s="106">
        <v>4170.066931330829</v>
      </c>
      <c r="CR76" s="106">
        <v>5.383434663223623</v>
      </c>
      <c r="CS76" s="106">
        <v>4192.6189157185572</v>
      </c>
      <c r="CT76" s="106">
        <v>4.9973241834284368</v>
      </c>
      <c r="CU76" s="106">
        <v>3891.9160740540665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4.8114758555721586</v>
      </c>
      <c r="I77" s="106">
        <v>1339.5148781912887</v>
      </c>
      <c r="J77" s="106">
        <v>6.3017415429309676</v>
      </c>
      <c r="K77" s="106">
        <v>1754.4048455519812</v>
      </c>
      <c r="L77" s="106">
        <v>7.0417402604481341</v>
      </c>
      <c r="M77" s="106">
        <v>1960.4204885087604</v>
      </c>
      <c r="N77" s="106">
        <v>6.3128389494216632</v>
      </c>
      <c r="O77" s="106">
        <v>1757.4943635189909</v>
      </c>
      <c r="P77" s="106">
        <v>5.0946721658343597</v>
      </c>
      <c r="Q77" s="106">
        <v>1418.3567309682855</v>
      </c>
      <c r="R77" s="106">
        <v>4.5738956161223259</v>
      </c>
      <c r="S77" s="106">
        <v>1273.3725395284555</v>
      </c>
      <c r="T77" s="106">
        <v>3.3815575695801887</v>
      </c>
      <c r="U77" s="106">
        <v>941.42562737112451</v>
      </c>
      <c r="V77" s="106">
        <v>3.6014277193611828</v>
      </c>
      <c r="W77" s="106">
        <v>1002.6374770701532</v>
      </c>
      <c r="X77" s="106">
        <v>3.3975772488908662</v>
      </c>
      <c r="Y77" s="106">
        <v>945.88550609121705</v>
      </c>
      <c r="Z77" s="106">
        <v>3.5511539821619786</v>
      </c>
      <c r="AA77" s="106">
        <v>988.64126863389481</v>
      </c>
      <c r="AB77" s="106">
        <v>6.4519648766816449</v>
      </c>
      <c r="AC77" s="106">
        <v>1796.2270216681698</v>
      </c>
      <c r="AD77" s="106">
        <v>5.5692010706165505</v>
      </c>
      <c r="AE77" s="106">
        <v>1550.4655780596474</v>
      </c>
      <c r="AF77" s="106">
        <v>7.1164901029008982</v>
      </c>
      <c r="AG77" s="106">
        <v>1981.23084464761</v>
      </c>
      <c r="AH77" s="106">
        <v>7.2420013921936821</v>
      </c>
      <c r="AI77" s="106">
        <v>2016.173187586721</v>
      </c>
      <c r="AJ77" s="106">
        <v>3.2868500315170643</v>
      </c>
      <c r="AK77" s="106">
        <v>915.05904877435069</v>
      </c>
      <c r="AL77" s="106">
        <v>3.7954613882138122</v>
      </c>
      <c r="AM77" s="106">
        <v>1056.6564504787252</v>
      </c>
      <c r="AN77" s="106">
        <v>2.8996772207869843</v>
      </c>
      <c r="AO77" s="106">
        <v>807.2701382670964</v>
      </c>
      <c r="AP77" s="106">
        <v>3.7055519813864124</v>
      </c>
      <c r="AQ77" s="106">
        <v>1031.6256716179771</v>
      </c>
      <c r="AR77" s="106">
        <v>11.182502149710835</v>
      </c>
      <c r="AS77" s="106">
        <v>3113.2085984794962</v>
      </c>
      <c r="AT77" s="106">
        <v>12.173325297383935</v>
      </c>
      <c r="AU77" s="106">
        <v>3389.0537627916869</v>
      </c>
      <c r="AV77" s="106">
        <v>9.5453726942687336</v>
      </c>
      <c r="AW77" s="106">
        <v>2657.4317580844154</v>
      </c>
      <c r="AX77" s="106">
        <v>10.659525916243995</v>
      </c>
      <c r="AY77" s="106">
        <v>2967.6120150823281</v>
      </c>
      <c r="AZ77" s="106">
        <v>6.5136471412770724</v>
      </c>
      <c r="BA77" s="106">
        <v>1813.3993641315369</v>
      </c>
      <c r="BB77" s="106">
        <v>3.5393635894939308</v>
      </c>
      <c r="BC77" s="106">
        <v>985.35882331511027</v>
      </c>
      <c r="BD77" s="106">
        <v>5.927606651327034</v>
      </c>
      <c r="BE77" s="106">
        <v>1650.2456917294462</v>
      </c>
      <c r="BF77" s="106">
        <v>5.7296020316843972</v>
      </c>
      <c r="BG77" s="106">
        <v>1595.1212056209361</v>
      </c>
      <c r="BH77" s="106">
        <v>9.6823928581161844</v>
      </c>
      <c r="BI77" s="106">
        <v>2695.5781716995457</v>
      </c>
      <c r="BJ77" s="106">
        <v>10.052879898655299</v>
      </c>
      <c r="BK77" s="106">
        <v>2798.7217637856347</v>
      </c>
      <c r="BL77" s="106">
        <v>7.4391209567149312</v>
      </c>
      <c r="BM77" s="106">
        <v>2071.0512743494369</v>
      </c>
      <c r="BN77" s="106">
        <v>10.138801949071155</v>
      </c>
      <c r="BO77" s="106">
        <v>2822.6424626214093</v>
      </c>
      <c r="BP77" s="106">
        <v>3.3181533651505601</v>
      </c>
      <c r="BQ77" s="106">
        <v>923.77389685791582</v>
      </c>
      <c r="BR77" s="106">
        <v>2.6108502873144608</v>
      </c>
      <c r="BS77" s="106">
        <v>726.86071998834586</v>
      </c>
      <c r="BT77" s="106">
        <v>2.4394109952652405</v>
      </c>
      <c r="BU77" s="106">
        <v>679.13202108184294</v>
      </c>
      <c r="BV77" s="106">
        <v>3.4404160855459964</v>
      </c>
      <c r="BW77" s="106">
        <v>957.8118382160053</v>
      </c>
      <c r="BX77" s="106">
        <v>2.9494696579116089</v>
      </c>
      <c r="BY77" s="106">
        <v>821.13235276259184</v>
      </c>
      <c r="BZ77" s="106">
        <v>3.3972948939296019</v>
      </c>
      <c r="CA77" s="106">
        <v>945.8068984700011</v>
      </c>
      <c r="CB77" s="106">
        <v>3.8517257655767811</v>
      </c>
      <c r="CC77" s="106">
        <v>1072.3204531365757</v>
      </c>
      <c r="CD77" s="106">
        <v>2.6147828685701513</v>
      </c>
      <c r="CE77" s="106">
        <v>727.95555060993001</v>
      </c>
      <c r="CF77" s="106">
        <v>4.6702355434697846</v>
      </c>
      <c r="CG77" s="106">
        <v>1300.1935753019879</v>
      </c>
      <c r="CH77" s="106">
        <v>4.7470691206633733</v>
      </c>
      <c r="CI77" s="106">
        <v>1321.5840431926831</v>
      </c>
      <c r="CJ77" s="106">
        <v>3.379600649690385</v>
      </c>
      <c r="CK77" s="106">
        <v>940.88082087380315</v>
      </c>
      <c r="CL77" s="106">
        <v>0</v>
      </c>
      <c r="CM77" s="106">
        <v>0</v>
      </c>
      <c r="CN77" s="106">
        <v>7.9662015314130521</v>
      </c>
      <c r="CO77" s="106">
        <v>2217.7905063453936</v>
      </c>
      <c r="CP77" s="106">
        <v>4.7595353892950172</v>
      </c>
      <c r="CQ77" s="106">
        <v>1325.0546523797327</v>
      </c>
      <c r="CR77" s="106">
        <v>5.383434663223623</v>
      </c>
      <c r="CS77" s="106">
        <v>1498.7482102414565</v>
      </c>
      <c r="CT77" s="106">
        <v>5.7661432885712731</v>
      </c>
      <c r="CU77" s="106">
        <v>1605.2942915382423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4.3050047128803524</v>
      </c>
      <c r="I78" s="106">
        <v>2376.3626015099544</v>
      </c>
      <c r="J78" s="106">
        <v>7.0579505280826833</v>
      </c>
      <c r="K78" s="106">
        <v>3895.9886915016414</v>
      </c>
      <c r="L78" s="106">
        <v>6.4549285720774563</v>
      </c>
      <c r="M78" s="106">
        <v>3563.120571786756</v>
      </c>
      <c r="N78" s="106">
        <v>6.8867333993690876</v>
      </c>
      <c r="O78" s="106">
        <v>3801.4768364517363</v>
      </c>
      <c r="P78" s="106">
        <v>4.366861856429451</v>
      </c>
      <c r="Q78" s="106">
        <v>2410.5077447490571</v>
      </c>
      <c r="R78" s="106">
        <v>4.8025903969284425</v>
      </c>
      <c r="S78" s="106">
        <v>2651.0298991045001</v>
      </c>
      <c r="T78" s="106">
        <v>2.9588628733826652</v>
      </c>
      <c r="U78" s="106">
        <v>1633.2923061072311</v>
      </c>
      <c r="V78" s="106">
        <v>3.1316762777053762</v>
      </c>
      <c r="W78" s="106">
        <v>1728.6853052933677</v>
      </c>
      <c r="X78" s="106">
        <v>3.7211560344995198</v>
      </c>
      <c r="Y78" s="106">
        <v>2054.0781310437351</v>
      </c>
      <c r="Z78" s="106">
        <v>3.0879599844886769</v>
      </c>
      <c r="AA78" s="106">
        <v>1704.5539114377498</v>
      </c>
      <c r="AB78" s="106">
        <v>5.5302556085842669</v>
      </c>
      <c r="AC78" s="106">
        <v>3052.7010959385152</v>
      </c>
      <c r="AD78" s="106">
        <v>5.9976011529716695</v>
      </c>
      <c r="AE78" s="106">
        <v>3310.6758364403618</v>
      </c>
      <c r="AF78" s="106">
        <v>6.6420574293741712</v>
      </c>
      <c r="AG78" s="106">
        <v>3666.4157010145427</v>
      </c>
      <c r="AH78" s="106">
        <v>6.75920129938077</v>
      </c>
      <c r="AI78" s="106">
        <v>3731.0791172581849</v>
      </c>
      <c r="AJ78" s="106">
        <v>3.0520750292658456</v>
      </c>
      <c r="AK78" s="106">
        <v>1684.7454161547469</v>
      </c>
      <c r="AL78" s="106">
        <v>3.3210287146870856</v>
      </c>
      <c r="AM78" s="106">
        <v>1833.2078505072714</v>
      </c>
      <c r="AN78" s="106">
        <v>3.3829567575848145</v>
      </c>
      <c r="AO78" s="106">
        <v>1867.3921301868177</v>
      </c>
      <c r="AP78" s="106">
        <v>3.2114783838682239</v>
      </c>
      <c r="AQ78" s="106">
        <v>1772.7360678952596</v>
      </c>
      <c r="AR78" s="106">
        <v>10.176076956236859</v>
      </c>
      <c r="AS78" s="106">
        <v>5617.1944798427457</v>
      </c>
      <c r="AT78" s="106">
        <v>12.443843637325799</v>
      </c>
      <c r="AU78" s="106">
        <v>6869.0016878038405</v>
      </c>
      <c r="AV78" s="106">
        <v>9.9999142511386747</v>
      </c>
      <c r="AW78" s="106">
        <v>5519.9526666285483</v>
      </c>
      <c r="AX78" s="106">
        <v>10.108171127472755</v>
      </c>
      <c r="AY78" s="106">
        <v>5579.7104623649602</v>
      </c>
      <c r="AZ78" s="106">
        <v>5.1178656110034133</v>
      </c>
      <c r="BA78" s="106">
        <v>2825.0618172738841</v>
      </c>
      <c r="BB78" s="106">
        <v>3.9817840381806726</v>
      </c>
      <c r="BC78" s="106">
        <v>2197.9447890757315</v>
      </c>
      <c r="BD78" s="106">
        <v>5.927606651327034</v>
      </c>
      <c r="BE78" s="106">
        <v>3272.038871532523</v>
      </c>
      <c r="BF78" s="106">
        <v>5.7296020316843972</v>
      </c>
      <c r="BG78" s="106">
        <v>3162.7403214897872</v>
      </c>
      <c r="BH78" s="106">
        <v>11.00271915695021</v>
      </c>
      <c r="BI78" s="106">
        <v>6073.5009746365158</v>
      </c>
      <c r="BJ78" s="106">
        <v>10.826178352398015</v>
      </c>
      <c r="BK78" s="106">
        <v>5976.0504505237041</v>
      </c>
      <c r="BL78" s="106">
        <v>7.1991493129499329</v>
      </c>
      <c r="BM78" s="106">
        <v>3973.9304207483628</v>
      </c>
      <c r="BN78" s="106">
        <v>10.772477070888105</v>
      </c>
      <c r="BO78" s="106">
        <v>5946.407343130234</v>
      </c>
      <c r="BP78" s="106">
        <v>2.8757329164638188</v>
      </c>
      <c r="BQ78" s="106">
        <v>1587.4045698880279</v>
      </c>
      <c r="BR78" s="106">
        <v>3.133020344777353</v>
      </c>
      <c r="BS78" s="106">
        <v>1729.427230317099</v>
      </c>
      <c r="BT78" s="106">
        <v>2.1344846208570853</v>
      </c>
      <c r="BU78" s="106">
        <v>1178.2355107131111</v>
      </c>
      <c r="BV78" s="106">
        <v>2.8148858881739969</v>
      </c>
      <c r="BW78" s="106">
        <v>1553.8170102720462</v>
      </c>
      <c r="BX78" s="106">
        <v>2.9494696579116089</v>
      </c>
      <c r="BY78" s="106">
        <v>1628.107251167208</v>
      </c>
      <c r="BZ78" s="106">
        <v>3.1849639630590021</v>
      </c>
      <c r="CA78" s="106">
        <v>1758.1001076085693</v>
      </c>
      <c r="CB78" s="106">
        <v>3.8517257655767811</v>
      </c>
      <c r="CC78" s="106">
        <v>2126.152622598383</v>
      </c>
      <c r="CD78" s="106">
        <v>2.8159200123063171</v>
      </c>
      <c r="CE78" s="106">
        <v>1554.387846793087</v>
      </c>
      <c r="CF78" s="106">
        <v>4.6702355434697846</v>
      </c>
      <c r="CG78" s="106">
        <v>2577.9700199953213</v>
      </c>
      <c r="CH78" s="106">
        <v>4.2196169961452208</v>
      </c>
      <c r="CI78" s="106">
        <v>2329.2285818721621</v>
      </c>
      <c r="CJ78" s="106">
        <v>3.7551118329893169</v>
      </c>
      <c r="CK78" s="106">
        <v>2072.8217318101028</v>
      </c>
      <c r="CL78" s="106">
        <v>0</v>
      </c>
      <c r="CM78" s="106">
        <v>0</v>
      </c>
      <c r="CN78" s="106">
        <v>7.2420013921936821</v>
      </c>
      <c r="CO78" s="106">
        <v>3997.5847684909127</v>
      </c>
      <c r="CP78" s="106">
        <v>4.7595353892950172</v>
      </c>
      <c r="CQ78" s="106">
        <v>2627.2635348908493</v>
      </c>
      <c r="CR78" s="106">
        <v>5.0245390190087145</v>
      </c>
      <c r="CS78" s="106">
        <v>2773.5455384928105</v>
      </c>
      <c r="CT78" s="106">
        <v>4.9973241834284368</v>
      </c>
      <c r="CU78" s="106">
        <v>2758.5229492524973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4.5582402842262555</v>
      </c>
      <c r="I79" s="106">
        <v>3451.4995432161204</v>
      </c>
      <c r="J79" s="106">
        <v>6.5538112046482064</v>
      </c>
      <c r="K79" s="106">
        <v>4962.5458441596211</v>
      </c>
      <c r="L79" s="106">
        <v>6.4549285720774563</v>
      </c>
      <c r="M79" s="106">
        <v>4887.6719147770491</v>
      </c>
      <c r="N79" s="106">
        <v>5.7389444994742398</v>
      </c>
      <c r="O79" s="106">
        <v>4345.5287750018942</v>
      </c>
      <c r="P79" s="106">
        <v>4.6094652928977533</v>
      </c>
      <c r="Q79" s="106">
        <v>3490.2871197821787</v>
      </c>
      <c r="R79" s="106">
        <v>4.8025903969284425</v>
      </c>
      <c r="S79" s="106">
        <v>3636.5214485542165</v>
      </c>
      <c r="T79" s="106">
        <v>2.9588628733826652</v>
      </c>
      <c r="U79" s="106">
        <v>2240.4509677253541</v>
      </c>
      <c r="V79" s="106">
        <v>3.1316762777053762</v>
      </c>
      <c r="W79" s="106">
        <v>2371.3052774785106</v>
      </c>
      <c r="X79" s="106">
        <v>3.8829454273038468</v>
      </c>
      <c r="Y79" s="106">
        <v>2940.1662775544723</v>
      </c>
      <c r="Z79" s="106">
        <v>3.3967559829375449</v>
      </c>
      <c r="AA79" s="106">
        <v>2572.0236302803087</v>
      </c>
      <c r="AB79" s="106">
        <v>5.9911102426329554</v>
      </c>
      <c r="AC79" s="106">
        <v>4536.4686757216732</v>
      </c>
      <c r="AD79" s="106">
        <v>5.1408009882614314</v>
      </c>
      <c r="AE79" s="106">
        <v>3892.6145083115557</v>
      </c>
      <c r="AF79" s="106">
        <v>6.6420574293741712</v>
      </c>
      <c r="AG79" s="106">
        <v>5029.365885522122</v>
      </c>
      <c r="AH79" s="106">
        <v>6.75920129938077</v>
      </c>
      <c r="AI79" s="106">
        <v>5118.0672238911184</v>
      </c>
      <c r="AJ79" s="106">
        <v>2.8173000270146269</v>
      </c>
      <c r="AK79" s="106">
        <v>2133.2595804554753</v>
      </c>
      <c r="AL79" s="106">
        <v>3.3210287146870856</v>
      </c>
      <c r="AM79" s="106">
        <v>2514.682942761061</v>
      </c>
      <c r="AN79" s="106">
        <v>2.8996772207869843</v>
      </c>
      <c r="AO79" s="106">
        <v>2195.6355915799045</v>
      </c>
      <c r="AP79" s="106">
        <v>3.4585151826273184</v>
      </c>
      <c r="AQ79" s="106">
        <v>2618.7876962854052</v>
      </c>
      <c r="AR79" s="106">
        <v>11.629802235699266</v>
      </c>
      <c r="AS79" s="106">
        <v>8806.0862528714842</v>
      </c>
      <c r="AT79" s="106">
        <v>10.685474427703674</v>
      </c>
      <c r="AU79" s="106">
        <v>8091.0412366572218</v>
      </c>
      <c r="AV79" s="106">
        <v>8.3332618759488941</v>
      </c>
      <c r="AW79" s="106">
        <v>6309.9458924685023</v>
      </c>
      <c r="AX79" s="106">
        <v>9.1892464795206852</v>
      </c>
      <c r="AY79" s="106">
        <v>6958.0974342930622</v>
      </c>
      <c r="AZ79" s="106">
        <v>5.583126121094633</v>
      </c>
      <c r="BA79" s="106">
        <v>4227.5430988928556</v>
      </c>
      <c r="BB79" s="106">
        <v>3.5393635894939308</v>
      </c>
      <c r="BC79" s="106">
        <v>2680.0061099648042</v>
      </c>
      <c r="BD79" s="106">
        <v>5.388733319388213</v>
      </c>
      <c r="BE79" s="106">
        <v>4080.3488694407547</v>
      </c>
      <c r="BF79" s="106">
        <v>5.7296020316843972</v>
      </c>
      <c r="BG79" s="106">
        <v>4338.4546583914253</v>
      </c>
      <c r="BH79" s="106">
        <v>10.562610390672202</v>
      </c>
      <c r="BI79" s="106">
        <v>7998.0085878169903</v>
      </c>
      <c r="BJ79" s="106">
        <v>9.7951137474077274</v>
      </c>
      <c r="BK79" s="106">
        <v>7416.8601295371309</v>
      </c>
      <c r="BL79" s="106">
        <v>7.1991493129499329</v>
      </c>
      <c r="BM79" s="106">
        <v>5451.1958597656885</v>
      </c>
      <c r="BN79" s="106">
        <v>10.561252030282454</v>
      </c>
      <c r="BO79" s="106">
        <v>7996.9800373298731</v>
      </c>
      <c r="BP79" s="106">
        <v>3.0969431408071895</v>
      </c>
      <c r="BQ79" s="106">
        <v>2345.0053462192036</v>
      </c>
      <c r="BR79" s="106">
        <v>3.133020344777353</v>
      </c>
      <c r="BS79" s="106">
        <v>2372.3230050654115</v>
      </c>
      <c r="BT79" s="106">
        <v>2.4394109952652405</v>
      </c>
      <c r="BU79" s="106">
        <v>1847.12200561484</v>
      </c>
      <c r="BV79" s="106">
        <v>3.1276509868599969</v>
      </c>
      <c r="BW79" s="106">
        <v>2368.2573272503896</v>
      </c>
      <c r="BX79" s="106">
        <v>2.7387932537750657</v>
      </c>
      <c r="BY79" s="106">
        <v>2073.8142517584797</v>
      </c>
      <c r="BZ79" s="106">
        <v>3.8219567556708021</v>
      </c>
      <c r="CA79" s="106">
        <v>2893.9856553939312</v>
      </c>
      <c r="CB79" s="106">
        <v>3.5766024966070109</v>
      </c>
      <c r="CC79" s="106">
        <v>2708.2034104308286</v>
      </c>
      <c r="CD79" s="106">
        <v>2.8159200123063171</v>
      </c>
      <c r="CE79" s="106">
        <v>2132.2146333183432</v>
      </c>
      <c r="CF79" s="106">
        <v>4.31098665551057</v>
      </c>
      <c r="CG79" s="106">
        <v>3264.2790955526034</v>
      </c>
      <c r="CH79" s="106">
        <v>4.7470691206633733</v>
      </c>
      <c r="CI79" s="106">
        <v>3594.4807381663059</v>
      </c>
      <c r="CJ79" s="106">
        <v>3.379600649690385</v>
      </c>
      <c r="CK79" s="106">
        <v>2559.0336119455592</v>
      </c>
      <c r="CL79" s="106">
        <v>0</v>
      </c>
      <c r="CM79" s="106">
        <v>0</v>
      </c>
      <c r="CN79" s="106">
        <v>7.9662015314130521</v>
      </c>
      <c r="CO79" s="106">
        <v>6032.0077995859629</v>
      </c>
      <c r="CP79" s="106">
        <v>4.7595353892950172</v>
      </c>
      <c r="CQ79" s="106">
        <v>3603.9201967741865</v>
      </c>
      <c r="CR79" s="106">
        <v>5.383434663223623</v>
      </c>
      <c r="CS79" s="106">
        <v>4076.3367269929267</v>
      </c>
      <c r="CT79" s="106">
        <v>5.3817337359998554</v>
      </c>
      <c r="CU79" s="106">
        <v>4075.0487848990902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4.3050047128803524</v>
      </c>
      <c r="I80" s="106">
        <v>3466.3897948112594</v>
      </c>
      <c r="J80" s="106">
        <v>6.5538112046482064</v>
      </c>
      <c r="K80" s="106">
        <v>5277.1287819827357</v>
      </c>
      <c r="L80" s="106">
        <v>6.4549285720774563</v>
      </c>
      <c r="M80" s="106">
        <v>5197.5084862367676</v>
      </c>
      <c r="N80" s="106">
        <v>6.0258917244479511</v>
      </c>
      <c r="O80" s="106">
        <v>4852.0480165254894</v>
      </c>
      <c r="P80" s="106">
        <v>4.366861856429451</v>
      </c>
      <c r="Q80" s="106">
        <v>3516.1971667969938</v>
      </c>
      <c r="R80" s="106">
        <v>4.3452008353162093</v>
      </c>
      <c r="S80" s="106">
        <v>3498.7557125966114</v>
      </c>
      <c r="T80" s="106">
        <v>2.817964641316824</v>
      </c>
      <c r="U80" s="106">
        <v>2269.0251291883064</v>
      </c>
      <c r="V80" s="106">
        <v>3.2882600915906455</v>
      </c>
      <c r="W80" s="106">
        <v>2647.7070257487876</v>
      </c>
      <c r="X80" s="106">
        <v>3.8829454273038468</v>
      </c>
      <c r="Y80" s="106">
        <v>3126.547658065057</v>
      </c>
      <c r="Z80" s="106">
        <v>2.9335619852642432</v>
      </c>
      <c r="AA80" s="106">
        <v>2362.1041105347686</v>
      </c>
      <c r="AB80" s="106">
        <v>5.5302556085842669</v>
      </c>
      <c r="AC80" s="106">
        <v>4452.9618160320515</v>
      </c>
      <c r="AD80" s="106">
        <v>5.9976011529716695</v>
      </c>
      <c r="AE80" s="106">
        <v>4829.268448372788</v>
      </c>
      <c r="AF80" s="106">
        <v>6.6420574293741712</v>
      </c>
      <c r="AG80" s="106">
        <v>5348.1846421320824</v>
      </c>
      <c r="AH80" s="106">
        <v>6.2764012065678578</v>
      </c>
      <c r="AI80" s="106">
        <v>5053.7582515284384</v>
      </c>
      <c r="AJ80" s="106">
        <v>3.0520750292658456</v>
      </c>
      <c r="AK80" s="106">
        <v>2457.5308135648588</v>
      </c>
      <c r="AL80" s="106">
        <v>3.7954613882138122</v>
      </c>
      <c r="AM80" s="106">
        <v>3056.1055097897615</v>
      </c>
      <c r="AN80" s="106">
        <v>2.6580374523880685</v>
      </c>
      <c r="AO80" s="106">
        <v>2140.2517566628726</v>
      </c>
      <c r="AP80" s="106">
        <v>3.4585151826273184</v>
      </c>
      <c r="AQ80" s="106">
        <v>2784.7964250515165</v>
      </c>
      <c r="AR80" s="106">
        <v>9.9524269132426415</v>
      </c>
      <c r="AS80" s="106">
        <v>8013.6941505429741</v>
      </c>
      <c r="AT80" s="106">
        <v>10.144437747819945</v>
      </c>
      <c r="AU80" s="106">
        <v>8168.3012745446185</v>
      </c>
      <c r="AV80" s="106">
        <v>8.1817480236589155</v>
      </c>
      <c r="AW80" s="106">
        <v>6587.943508650158</v>
      </c>
      <c r="AX80" s="106">
        <v>10.659525916243995</v>
      </c>
      <c r="AY80" s="106">
        <v>8583.0502677596633</v>
      </c>
      <c r="AZ80" s="106">
        <v>5.583126121094633</v>
      </c>
      <c r="BA80" s="106">
        <v>4495.5331527053977</v>
      </c>
      <c r="BB80" s="106">
        <v>3.5393635894939308</v>
      </c>
      <c r="BC80" s="106">
        <v>2849.8955622605126</v>
      </c>
      <c r="BD80" s="106">
        <v>4.849859987449392</v>
      </c>
      <c r="BE80" s="106">
        <v>3905.1072618942499</v>
      </c>
      <c r="BF80" s="106">
        <v>5.0929795837194645</v>
      </c>
      <c r="BG80" s="106">
        <v>4100.8671608109125</v>
      </c>
      <c r="BH80" s="106">
        <v>9.4623384749771802</v>
      </c>
      <c r="BI80" s="106">
        <v>7619.0749400516252</v>
      </c>
      <c r="BJ80" s="106">
        <v>9.2795814449125835</v>
      </c>
      <c r="BK80" s="106">
        <v>7471.9189794436115</v>
      </c>
      <c r="BL80" s="106">
        <v>6.7192060254199371</v>
      </c>
      <c r="BM80" s="106">
        <v>5410.3046916681333</v>
      </c>
      <c r="BN80" s="106">
        <v>10.350026989676806</v>
      </c>
      <c r="BO80" s="106">
        <v>8333.8417320877634</v>
      </c>
      <c r="BP80" s="106">
        <v>2.8757329164638188</v>
      </c>
      <c r="BQ80" s="106">
        <v>2315.5401443366668</v>
      </c>
      <c r="BR80" s="106">
        <v>3.133020344777353</v>
      </c>
      <c r="BS80" s="106">
        <v>2522.7079816147243</v>
      </c>
      <c r="BT80" s="106">
        <v>2.1344846208570853</v>
      </c>
      <c r="BU80" s="106">
        <v>1718.6870167141249</v>
      </c>
      <c r="BV80" s="106">
        <v>3.1276509868599969</v>
      </c>
      <c r="BW80" s="106">
        <v>2518.3845746196694</v>
      </c>
      <c r="BX80" s="106">
        <v>2.9494696579116089</v>
      </c>
      <c r="BY80" s="106">
        <v>2374.9129685504272</v>
      </c>
      <c r="BZ80" s="106">
        <v>3.3972948939296019</v>
      </c>
      <c r="CA80" s="106">
        <v>2735.501848592115</v>
      </c>
      <c r="CB80" s="106">
        <v>3.3014792276372407</v>
      </c>
      <c r="CC80" s="106">
        <v>2658.3510740935058</v>
      </c>
      <c r="CD80" s="106">
        <v>2.8159200123063171</v>
      </c>
      <c r="CE80" s="106">
        <v>2267.3787939090462</v>
      </c>
      <c r="CF80" s="106">
        <v>5.0294844314289984</v>
      </c>
      <c r="CG80" s="106">
        <v>4049.7408641866291</v>
      </c>
      <c r="CH80" s="106">
        <v>3.6921648716270683</v>
      </c>
      <c r="CI80" s="106">
        <v>2972.931154634115</v>
      </c>
      <c r="CJ80" s="106">
        <v>3.0040894663914535</v>
      </c>
      <c r="CK80" s="106">
        <v>2418.8928383383982</v>
      </c>
      <c r="CL80" s="106">
        <v>0</v>
      </c>
      <c r="CM80" s="106">
        <v>0</v>
      </c>
      <c r="CN80" s="106">
        <v>6.5178012529743139</v>
      </c>
      <c r="CO80" s="106">
        <v>5248.1335688949175</v>
      </c>
      <c r="CP80" s="106">
        <v>4.7595353892950172</v>
      </c>
      <c r="CQ80" s="106">
        <v>3832.3778954603476</v>
      </c>
      <c r="CR80" s="106">
        <v>5.0245390190087145</v>
      </c>
      <c r="CS80" s="106">
        <v>4045.7588181058168</v>
      </c>
      <c r="CT80" s="106">
        <v>5.7661432885712731</v>
      </c>
      <c r="CU80" s="106">
        <v>4642.8985759575889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4.5582402842262555</v>
      </c>
      <c r="I81" s="106">
        <v>3435.0898781929063</v>
      </c>
      <c r="J81" s="106">
        <v>7.0579505280826833</v>
      </c>
      <c r="K81" s="106">
        <v>5318.8715179631099</v>
      </c>
      <c r="L81" s="106">
        <v>5.8681168837067785</v>
      </c>
      <c r="M81" s="106">
        <v>4422.2128835614285</v>
      </c>
      <c r="N81" s="106">
        <v>5.7389444994742398</v>
      </c>
      <c r="O81" s="106">
        <v>4324.8685748037869</v>
      </c>
      <c r="P81" s="106">
        <v>4.8520687293660565</v>
      </c>
      <c r="Q81" s="106">
        <v>3656.5189944502604</v>
      </c>
      <c r="R81" s="106">
        <v>4.8025903969284425</v>
      </c>
      <c r="S81" s="106">
        <v>3619.2321231252745</v>
      </c>
      <c r="T81" s="106">
        <v>3.2406593375143475</v>
      </c>
      <c r="U81" s="106">
        <v>2442.1608767508123</v>
      </c>
      <c r="V81" s="106">
        <v>3.6014277193611828</v>
      </c>
      <c r="W81" s="106">
        <v>2714.0359293105876</v>
      </c>
      <c r="X81" s="106">
        <v>3.5593666416951932</v>
      </c>
      <c r="Y81" s="106">
        <v>2682.3387011814975</v>
      </c>
      <c r="Z81" s="106">
        <v>3.2423579837131107</v>
      </c>
      <c r="AA81" s="106">
        <v>2443.4409765262003</v>
      </c>
      <c r="AB81" s="106">
        <v>5.9911102426329554</v>
      </c>
      <c r="AC81" s="106">
        <v>4514.9006788481956</v>
      </c>
      <c r="AD81" s="106">
        <v>5.1408009882614314</v>
      </c>
      <c r="AE81" s="106">
        <v>3874.1076247538149</v>
      </c>
      <c r="AF81" s="106">
        <v>6.6420574293741712</v>
      </c>
      <c r="AG81" s="106">
        <v>5005.4544787763753</v>
      </c>
      <c r="AH81" s="106">
        <v>6.75920129938077</v>
      </c>
      <c r="AI81" s="106">
        <v>5093.7340992133486</v>
      </c>
      <c r="AJ81" s="106">
        <v>3.0520750292658456</v>
      </c>
      <c r="AK81" s="106">
        <v>2300.0437420547414</v>
      </c>
      <c r="AL81" s="106">
        <v>3.5582450514504491</v>
      </c>
      <c r="AM81" s="106">
        <v>2681.4934707730586</v>
      </c>
      <c r="AN81" s="106">
        <v>2.6580374523880685</v>
      </c>
      <c r="AO81" s="106">
        <v>2003.0970241196485</v>
      </c>
      <c r="AP81" s="106">
        <v>3.4585151826273184</v>
      </c>
      <c r="AQ81" s="106">
        <v>2606.3370416279472</v>
      </c>
      <c r="AR81" s="106">
        <v>11.741627257196376</v>
      </c>
      <c r="AS81" s="106">
        <v>8848.4903010231883</v>
      </c>
      <c r="AT81" s="106">
        <v>10.009178577849012</v>
      </c>
      <c r="AU81" s="106">
        <v>7542.9169762670153</v>
      </c>
      <c r="AV81" s="106">
        <v>8.0302341713689351</v>
      </c>
      <c r="AW81" s="106">
        <v>6051.5844715436297</v>
      </c>
      <c r="AX81" s="106">
        <v>9.373031409111098</v>
      </c>
      <c r="AY81" s="106">
        <v>7063.5164699061233</v>
      </c>
      <c r="AZ81" s="106">
        <v>6.0483866311858527</v>
      </c>
      <c r="BA81" s="106">
        <v>4558.0641652616587</v>
      </c>
      <c r="BB81" s="106">
        <v>3.5393635894939308</v>
      </c>
      <c r="BC81" s="106">
        <v>2667.2644010426266</v>
      </c>
      <c r="BD81" s="106">
        <v>4.849859987449392</v>
      </c>
      <c r="BE81" s="106">
        <v>3654.8544865418617</v>
      </c>
      <c r="BF81" s="106">
        <v>5.0929795837194645</v>
      </c>
      <c r="BG81" s="106">
        <v>3838.0694142909883</v>
      </c>
      <c r="BH81" s="106">
        <v>9.2422840918381777</v>
      </c>
      <c r="BI81" s="106">
        <v>6964.9852916092505</v>
      </c>
      <c r="BJ81" s="106">
        <v>10.826178352398015</v>
      </c>
      <c r="BK81" s="106">
        <v>8158.6080063671443</v>
      </c>
      <c r="BL81" s="106">
        <v>6.9591776691849354</v>
      </c>
      <c r="BM81" s="106">
        <v>5244.4362914977673</v>
      </c>
      <c r="BN81" s="106">
        <v>9.9275769084655074</v>
      </c>
      <c r="BO81" s="106">
        <v>7481.4219582196065</v>
      </c>
      <c r="BP81" s="106">
        <v>2.8757329164638188</v>
      </c>
      <c r="BQ81" s="106">
        <v>2167.1523258471339</v>
      </c>
      <c r="BR81" s="106">
        <v>2.8719353160459069</v>
      </c>
      <c r="BS81" s="106">
        <v>2164.2904541721955</v>
      </c>
      <c r="BT81" s="106">
        <v>2.4394109952652405</v>
      </c>
      <c r="BU81" s="106">
        <v>1838.3401260318853</v>
      </c>
      <c r="BV81" s="106">
        <v>3.4404160855459964</v>
      </c>
      <c r="BW81" s="106">
        <v>2592.697562067463</v>
      </c>
      <c r="BX81" s="106">
        <v>2.7387932537750657</v>
      </c>
      <c r="BY81" s="106">
        <v>2063.9545960448895</v>
      </c>
      <c r="BZ81" s="106">
        <v>3.6096258248002022</v>
      </c>
      <c r="CA81" s="106">
        <v>2720.2140215694326</v>
      </c>
      <c r="CB81" s="106">
        <v>3.5766024966070109</v>
      </c>
      <c r="CC81" s="106">
        <v>2695.3276414430434</v>
      </c>
      <c r="CD81" s="106">
        <v>2.6147828685701513</v>
      </c>
      <c r="CE81" s="106">
        <v>1970.500369754466</v>
      </c>
      <c r="CF81" s="106">
        <v>4.6702355434697846</v>
      </c>
      <c r="CG81" s="106">
        <v>3519.4895055588299</v>
      </c>
      <c r="CH81" s="106">
        <v>3.6921648716270683</v>
      </c>
      <c r="CI81" s="106">
        <v>2782.4154472581586</v>
      </c>
      <c r="CJ81" s="106">
        <v>3.379600649690385</v>
      </c>
      <c r="CK81" s="106">
        <v>2546.8670496066743</v>
      </c>
      <c r="CL81" s="106">
        <v>0</v>
      </c>
      <c r="CM81" s="106">
        <v>0</v>
      </c>
      <c r="CN81" s="106">
        <v>7.2420013921936821</v>
      </c>
      <c r="CO81" s="106">
        <v>5457.5722491571587</v>
      </c>
      <c r="CP81" s="106">
        <v>5.0570063511259553</v>
      </c>
      <c r="CQ81" s="106">
        <v>3810.9599862085201</v>
      </c>
      <c r="CR81" s="106">
        <v>4.665643374793806</v>
      </c>
      <c r="CS81" s="106">
        <v>3516.0288472446123</v>
      </c>
      <c r="CT81" s="106">
        <v>4.9973241834284368</v>
      </c>
      <c r="CU81" s="106">
        <v>3765.9835046316703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4.3050047128803524</v>
      </c>
      <c r="I82" s="106">
        <v>2190.3863979135226</v>
      </c>
      <c r="J82" s="106">
        <v>5.7976022194964898</v>
      </c>
      <c r="K82" s="106">
        <v>2949.8200092798133</v>
      </c>
      <c r="L82" s="106">
        <v>6.1615227278921179</v>
      </c>
      <c r="M82" s="106">
        <v>3134.9827639515088</v>
      </c>
      <c r="N82" s="106">
        <v>6.0258917244479511</v>
      </c>
      <c r="O82" s="106">
        <v>3065.9737093991171</v>
      </c>
      <c r="P82" s="106">
        <v>4.6094652928977533</v>
      </c>
      <c r="Q82" s="106">
        <v>2345.2959410263766</v>
      </c>
      <c r="R82" s="106">
        <v>5.0312851777345582</v>
      </c>
      <c r="S82" s="106">
        <v>2559.9178984313426</v>
      </c>
      <c r="T82" s="106">
        <v>2.9588628733826652</v>
      </c>
      <c r="U82" s="106">
        <v>1505.4694299770997</v>
      </c>
      <c r="V82" s="106">
        <v>3.6014277193611828</v>
      </c>
      <c r="W82" s="106">
        <v>1832.4064236109693</v>
      </c>
      <c r="X82" s="106">
        <v>3.8829454273038468</v>
      </c>
      <c r="Y82" s="106">
        <v>1975.6426334121968</v>
      </c>
      <c r="Z82" s="106">
        <v>3.2423579837131107</v>
      </c>
      <c r="AA82" s="106">
        <v>1649.7117421132305</v>
      </c>
      <c r="AB82" s="106">
        <v>5.5302556085842669</v>
      </c>
      <c r="AC82" s="106">
        <v>2813.7940536476744</v>
      </c>
      <c r="AD82" s="106">
        <v>5.1408009882614314</v>
      </c>
      <c r="AE82" s="106">
        <v>2615.6395428274159</v>
      </c>
      <c r="AF82" s="106">
        <v>7.1164901029008982</v>
      </c>
      <c r="AG82" s="106">
        <v>3620.8701643559762</v>
      </c>
      <c r="AH82" s="106">
        <v>6.75920129938077</v>
      </c>
      <c r="AI82" s="106">
        <v>3439.0816211249353</v>
      </c>
      <c r="AJ82" s="106">
        <v>3.2868500315170643</v>
      </c>
      <c r="AK82" s="106">
        <v>1672.3492960358819</v>
      </c>
      <c r="AL82" s="106">
        <v>3.5582450514504491</v>
      </c>
      <c r="AM82" s="106">
        <v>1810.4350821779881</v>
      </c>
      <c r="AN82" s="106">
        <v>2.6580374523880685</v>
      </c>
      <c r="AO82" s="106">
        <v>1352.4094557750491</v>
      </c>
      <c r="AP82" s="106">
        <v>3.7055519813864124</v>
      </c>
      <c r="AQ82" s="106">
        <v>1885.3848481294062</v>
      </c>
      <c r="AR82" s="106">
        <v>12.0771023216877</v>
      </c>
      <c r="AS82" s="106">
        <v>6144.8296612747008</v>
      </c>
      <c r="AT82" s="106">
        <v>10.95599276764554</v>
      </c>
      <c r="AU82" s="106">
        <v>5574.4091201780493</v>
      </c>
      <c r="AV82" s="106">
        <v>9.8484003988486943</v>
      </c>
      <c r="AW82" s="106">
        <v>5010.8661229342142</v>
      </c>
      <c r="AX82" s="106">
        <v>10.659525916243995</v>
      </c>
      <c r="AY82" s="106">
        <v>5423.5667861849433</v>
      </c>
      <c r="AZ82" s="106">
        <v>6.5136471412770724</v>
      </c>
      <c r="BA82" s="106">
        <v>3314.143665481774</v>
      </c>
      <c r="BB82" s="106">
        <v>3.9817840381806726</v>
      </c>
      <c r="BC82" s="106">
        <v>2025.9317186263258</v>
      </c>
      <c r="BD82" s="106">
        <v>4.849859987449392</v>
      </c>
      <c r="BE82" s="106">
        <v>2467.6087616142499</v>
      </c>
      <c r="BF82" s="106">
        <v>5.7296020316843972</v>
      </c>
      <c r="BG82" s="106">
        <v>2915.2215137210205</v>
      </c>
      <c r="BH82" s="106">
        <v>9.9024472412551887</v>
      </c>
      <c r="BI82" s="106">
        <v>5038.3651563506392</v>
      </c>
      <c r="BJ82" s="106">
        <v>11.083944503645586</v>
      </c>
      <c r="BK82" s="106">
        <v>5639.5109634548735</v>
      </c>
      <c r="BL82" s="106">
        <v>6.9591776691849354</v>
      </c>
      <c r="BM82" s="106">
        <v>3540.8295980812945</v>
      </c>
      <c r="BN82" s="106">
        <v>9.0826767460429103</v>
      </c>
      <c r="BO82" s="106">
        <v>4621.2659283866315</v>
      </c>
      <c r="BP82" s="106">
        <v>2.8757329164638188</v>
      </c>
      <c r="BQ82" s="106">
        <v>1463.1729078967908</v>
      </c>
      <c r="BR82" s="106">
        <v>2.8719353160459069</v>
      </c>
      <c r="BS82" s="106">
        <v>1461.2406888041571</v>
      </c>
      <c r="BT82" s="106">
        <v>2.4394109952652405</v>
      </c>
      <c r="BU82" s="106">
        <v>1241.1723143909542</v>
      </c>
      <c r="BV82" s="106">
        <v>3.4404160855459964</v>
      </c>
      <c r="BW82" s="106">
        <v>1750.4837043258026</v>
      </c>
      <c r="BX82" s="106">
        <v>2.7387932537750657</v>
      </c>
      <c r="BY82" s="106">
        <v>1393.4980075207532</v>
      </c>
      <c r="BZ82" s="106">
        <v>3.6096258248002022</v>
      </c>
      <c r="CA82" s="106">
        <v>1836.5776196583424</v>
      </c>
      <c r="CB82" s="106">
        <v>3.3014792276372407</v>
      </c>
      <c r="CC82" s="106">
        <v>1679.7926310218277</v>
      </c>
      <c r="CD82" s="106">
        <v>2.8159200123063171</v>
      </c>
      <c r="CE82" s="106">
        <v>1432.7401022614538</v>
      </c>
      <c r="CF82" s="106">
        <v>5.0294844314289984</v>
      </c>
      <c r="CG82" s="106">
        <v>2559.001678711074</v>
      </c>
      <c r="CH82" s="106">
        <v>4.2196169961452208</v>
      </c>
      <c r="CI82" s="106">
        <v>2146.9411276386877</v>
      </c>
      <c r="CJ82" s="106">
        <v>3.7551118329893169</v>
      </c>
      <c r="CK82" s="106">
        <v>1910.600900624964</v>
      </c>
      <c r="CL82" s="106">
        <v>0</v>
      </c>
      <c r="CM82" s="106">
        <v>0</v>
      </c>
      <c r="CN82" s="106">
        <v>7.9662015314130521</v>
      </c>
      <c r="CO82" s="106">
        <v>4053.20333918296</v>
      </c>
      <c r="CP82" s="106">
        <v>4.7595353892950172</v>
      </c>
      <c r="CQ82" s="106">
        <v>2421.6516060733043</v>
      </c>
      <c r="CR82" s="106">
        <v>5.383434663223623</v>
      </c>
      <c r="CS82" s="106">
        <v>2739.091556648179</v>
      </c>
      <c r="CT82" s="106">
        <v>5.7661432885712731</v>
      </c>
      <c r="CU82" s="106">
        <v>2933.8137052250631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4.8114758555721586</v>
      </c>
      <c r="I83" s="106">
        <v>4139.7938261342852</v>
      </c>
      <c r="J83" s="106">
        <v>6.3017415429309676</v>
      </c>
      <c r="K83" s="106">
        <v>5422.0184235378047</v>
      </c>
      <c r="L83" s="106">
        <v>6.7483344162627947</v>
      </c>
      <c r="M83" s="106">
        <v>5806.2669317525088</v>
      </c>
      <c r="N83" s="106">
        <v>6.5997861743953754</v>
      </c>
      <c r="O83" s="106">
        <v>5678.4560244497807</v>
      </c>
      <c r="P83" s="106">
        <v>4.8520687293660565</v>
      </c>
      <c r="Q83" s="106">
        <v>4174.7199347465548</v>
      </c>
      <c r="R83" s="106">
        <v>4.5738956161223259</v>
      </c>
      <c r="S83" s="106">
        <v>3935.3797881116488</v>
      </c>
      <c r="T83" s="106">
        <v>3.0997611054485064</v>
      </c>
      <c r="U83" s="106">
        <v>2667.0344551278949</v>
      </c>
      <c r="V83" s="106">
        <v>2.9750924638201073</v>
      </c>
      <c r="W83" s="106">
        <v>2559.7695558708201</v>
      </c>
      <c r="X83" s="106">
        <v>3.3975772488908662</v>
      </c>
      <c r="Y83" s="106">
        <v>2923.2754649457011</v>
      </c>
      <c r="Z83" s="106">
        <v>3.2423579837131107</v>
      </c>
      <c r="AA83" s="106">
        <v>2789.7248091867605</v>
      </c>
      <c r="AB83" s="106">
        <v>5.5302556085842669</v>
      </c>
      <c r="AC83" s="106">
        <v>4758.2319256259034</v>
      </c>
      <c r="AD83" s="106">
        <v>5.9976011529716695</v>
      </c>
      <c r="AE83" s="106">
        <v>5160.336032016824</v>
      </c>
      <c r="AF83" s="106">
        <v>6.6420574293741712</v>
      </c>
      <c r="AG83" s="106">
        <v>5714.8262122335364</v>
      </c>
      <c r="AH83" s="106">
        <v>5.7936011137549457</v>
      </c>
      <c r="AI83" s="106">
        <v>4984.8143982747551</v>
      </c>
      <c r="AJ83" s="106">
        <v>3.0520750292658456</v>
      </c>
      <c r="AK83" s="106">
        <v>2626.0053551803335</v>
      </c>
      <c r="AL83" s="106">
        <v>3.7954613882138122</v>
      </c>
      <c r="AM83" s="106">
        <v>3265.6149784191639</v>
      </c>
      <c r="AN83" s="106">
        <v>2.8996772207869843</v>
      </c>
      <c r="AO83" s="106">
        <v>2494.8822807651213</v>
      </c>
      <c r="AP83" s="106">
        <v>3.4585151826273184</v>
      </c>
      <c r="AQ83" s="106">
        <v>2975.7064631325447</v>
      </c>
      <c r="AR83" s="106">
        <v>10.511552020728184</v>
      </c>
      <c r="AS83" s="106">
        <v>9044.1393586345293</v>
      </c>
      <c r="AT83" s="106">
        <v>11.902806957442069</v>
      </c>
      <c r="AU83" s="106">
        <v>10241.175106183156</v>
      </c>
      <c r="AV83" s="106">
        <v>8.3332618759488941</v>
      </c>
      <c r="AW83" s="106">
        <v>7169.9385180664285</v>
      </c>
      <c r="AX83" s="106">
        <v>9.1892464795206852</v>
      </c>
      <c r="AY83" s="106">
        <v>7906.4276709795977</v>
      </c>
      <c r="AZ83" s="106">
        <v>5.1178656110034133</v>
      </c>
      <c r="BA83" s="106">
        <v>4403.4115717073364</v>
      </c>
      <c r="BB83" s="106">
        <v>3.5393635894939308</v>
      </c>
      <c r="BC83" s="106">
        <v>3045.2684324005781</v>
      </c>
      <c r="BD83" s="106">
        <v>4.849859987449392</v>
      </c>
      <c r="BE83" s="106">
        <v>4172.8195332014566</v>
      </c>
      <c r="BF83" s="106">
        <v>5.7296020316843972</v>
      </c>
      <c r="BG83" s="106">
        <v>4929.7495880612551</v>
      </c>
      <c r="BH83" s="106">
        <v>10.562610390672202</v>
      </c>
      <c r="BI83" s="106">
        <v>9088.0699801343617</v>
      </c>
      <c r="BJ83" s="106">
        <v>10.826178352398015</v>
      </c>
      <c r="BK83" s="106">
        <v>9314.8438544032524</v>
      </c>
      <c r="BL83" s="106">
        <v>6.7192060254199371</v>
      </c>
      <c r="BM83" s="106">
        <v>5781.2048642713135</v>
      </c>
      <c r="BN83" s="106">
        <v>9.2939017866485614</v>
      </c>
      <c r="BO83" s="106">
        <v>7996.4730972324223</v>
      </c>
      <c r="BP83" s="106">
        <v>3.3181533651505601</v>
      </c>
      <c r="BQ83" s="106">
        <v>2854.9391553755418</v>
      </c>
      <c r="BR83" s="106">
        <v>2.6108502873144608</v>
      </c>
      <c r="BS83" s="106">
        <v>2246.3755872053621</v>
      </c>
      <c r="BT83" s="106">
        <v>2.4394109952652405</v>
      </c>
      <c r="BU83" s="106">
        <v>2098.8692203262131</v>
      </c>
      <c r="BV83" s="106">
        <v>3.1276509868599969</v>
      </c>
      <c r="BW83" s="106">
        <v>2691.030909094341</v>
      </c>
      <c r="BX83" s="106">
        <v>2.9494696579116089</v>
      </c>
      <c r="BY83" s="106">
        <v>2537.7236936671484</v>
      </c>
      <c r="BZ83" s="106">
        <v>3.3972948939296019</v>
      </c>
      <c r="CA83" s="106">
        <v>2923.0325267370295</v>
      </c>
      <c r="CB83" s="106">
        <v>3.3014792276372407</v>
      </c>
      <c r="CC83" s="106">
        <v>2840.5927274590817</v>
      </c>
      <c r="CD83" s="106">
        <v>2.6147828685701513</v>
      </c>
      <c r="CE83" s="106">
        <v>2249.7591801177582</v>
      </c>
      <c r="CF83" s="106">
        <v>4.6702355434697846</v>
      </c>
      <c r="CG83" s="106">
        <v>4018.2706616014025</v>
      </c>
      <c r="CH83" s="106">
        <v>3.6921648716270683</v>
      </c>
      <c r="CI83" s="106">
        <v>3176.7386555479293</v>
      </c>
      <c r="CJ83" s="106">
        <v>3.379600649690385</v>
      </c>
      <c r="CK83" s="106">
        <v>2907.8083989936072</v>
      </c>
      <c r="CL83" s="106">
        <v>0</v>
      </c>
      <c r="CM83" s="106">
        <v>0</v>
      </c>
      <c r="CN83" s="106">
        <v>6.5178012529743139</v>
      </c>
      <c r="CO83" s="106">
        <v>5607.9161980590998</v>
      </c>
      <c r="CP83" s="106">
        <v>4.7595353892950172</v>
      </c>
      <c r="CQ83" s="106">
        <v>4095.1042489494325</v>
      </c>
      <c r="CR83" s="106">
        <v>5.383434663223623</v>
      </c>
      <c r="CS83" s="106">
        <v>4631.9071842376052</v>
      </c>
      <c r="CT83" s="106">
        <v>5.7661432885712731</v>
      </c>
      <c r="CU83" s="106">
        <v>4961.1896854867236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4.5582402842262555</v>
      </c>
      <c r="I84" s="106">
        <v>3560.8973100375506</v>
      </c>
      <c r="J84" s="106">
        <v>6.3017415429309676</v>
      </c>
      <c r="K84" s="106">
        <v>4922.9204933376714</v>
      </c>
      <c r="L84" s="106">
        <v>6.7483344162627947</v>
      </c>
      <c r="M84" s="106">
        <v>5271.7988459844946</v>
      </c>
      <c r="N84" s="106">
        <v>6.3128389494216632</v>
      </c>
      <c r="O84" s="106">
        <v>4931.5897872882033</v>
      </c>
      <c r="P84" s="106">
        <v>4.366861856429451</v>
      </c>
      <c r="Q84" s="106">
        <v>3411.392482242687</v>
      </c>
      <c r="R84" s="106">
        <v>5.2599799585406748</v>
      </c>
      <c r="S84" s="106">
        <v>4109.0963436119746</v>
      </c>
      <c r="T84" s="106">
        <v>2.6770664092509824</v>
      </c>
      <c r="U84" s="106">
        <v>2091.3242789068672</v>
      </c>
      <c r="V84" s="106">
        <v>3.1316762777053762</v>
      </c>
      <c r="W84" s="106">
        <v>2446.4655081434398</v>
      </c>
      <c r="X84" s="106">
        <v>3.7211560344995198</v>
      </c>
      <c r="Y84" s="106">
        <v>2906.9670941510244</v>
      </c>
      <c r="Z84" s="106">
        <v>3.0879599844886769</v>
      </c>
      <c r="AA84" s="106">
        <v>2412.3143398825541</v>
      </c>
      <c r="AB84" s="106">
        <v>5.5302556085842669</v>
      </c>
      <c r="AC84" s="106">
        <v>4320.2356814260293</v>
      </c>
      <c r="AD84" s="106">
        <v>5.5692010706165505</v>
      </c>
      <c r="AE84" s="106">
        <v>4350.6598763656484</v>
      </c>
      <c r="AF84" s="106">
        <v>7.5909227764276244</v>
      </c>
      <c r="AG84" s="106">
        <v>5930.0288729452595</v>
      </c>
      <c r="AH84" s="106">
        <v>5.7936011137549457</v>
      </c>
      <c r="AI84" s="106">
        <v>4525.9611900653636</v>
      </c>
      <c r="AJ84" s="106">
        <v>3.2868500315170643</v>
      </c>
      <c r="AK84" s="106">
        <v>2567.6872446211305</v>
      </c>
      <c r="AL84" s="106">
        <v>3.3210287146870856</v>
      </c>
      <c r="AM84" s="106">
        <v>2594.3876319135511</v>
      </c>
      <c r="AN84" s="106">
        <v>3.3829567575848145</v>
      </c>
      <c r="AO84" s="106">
        <v>2642.7658190252569</v>
      </c>
      <c r="AP84" s="106">
        <v>3.7055519813864124</v>
      </c>
      <c r="AQ84" s="106">
        <v>2894.7772078590651</v>
      </c>
      <c r="AR84" s="106">
        <v>9.7287768702484243</v>
      </c>
      <c r="AS84" s="106">
        <v>7600.1204910380684</v>
      </c>
      <c r="AT84" s="106">
        <v>10.144437747819945</v>
      </c>
      <c r="AU84" s="106">
        <v>7924.8347685969402</v>
      </c>
      <c r="AV84" s="106">
        <v>8.0302341713689351</v>
      </c>
      <c r="AW84" s="106">
        <v>6273.2189346734112</v>
      </c>
      <c r="AX84" s="106">
        <v>9.92438619788234</v>
      </c>
      <c r="AY84" s="106">
        <v>7752.9304977856837</v>
      </c>
      <c r="AZ84" s="106">
        <v>5.1178656110034133</v>
      </c>
      <c r="BA84" s="106">
        <v>3998.0766153158661</v>
      </c>
      <c r="BB84" s="106">
        <v>3.5393635894939308</v>
      </c>
      <c r="BC84" s="106">
        <v>2764.9508361126586</v>
      </c>
      <c r="BD84" s="106">
        <v>5.388733319388213</v>
      </c>
      <c r="BE84" s="106">
        <v>4209.678469106072</v>
      </c>
      <c r="BF84" s="106">
        <v>6.3662244796493308</v>
      </c>
      <c r="BG84" s="106">
        <v>4973.2945635020569</v>
      </c>
      <c r="BH84" s="106">
        <v>9.9024472412551887</v>
      </c>
      <c r="BI84" s="106">
        <v>7735.7917848685529</v>
      </c>
      <c r="BJ84" s="106">
        <v>10.31064604990287</v>
      </c>
      <c r="BK84" s="106">
        <v>8054.6766941841206</v>
      </c>
      <c r="BL84" s="106">
        <v>6.4792343816549405</v>
      </c>
      <c r="BM84" s="106">
        <v>5061.577898948839</v>
      </c>
      <c r="BN84" s="106">
        <v>9.0826767460429103</v>
      </c>
      <c r="BO84" s="106">
        <v>7095.3870740087214</v>
      </c>
      <c r="BP84" s="106">
        <v>3.0969431408071895</v>
      </c>
      <c r="BQ84" s="106">
        <v>2419.331981598576</v>
      </c>
      <c r="BR84" s="106">
        <v>2.6108502873144608</v>
      </c>
      <c r="BS84" s="106">
        <v>2039.5962444500565</v>
      </c>
      <c r="BT84" s="106">
        <v>2.4394109952652405</v>
      </c>
      <c r="BU84" s="106">
        <v>1905.6678695012058</v>
      </c>
      <c r="BV84" s="106">
        <v>2.8148858881739969</v>
      </c>
      <c r="BW84" s="106">
        <v>2198.9888558415259</v>
      </c>
      <c r="BX84" s="106">
        <v>2.528116849638522</v>
      </c>
      <c r="BY84" s="106">
        <v>1974.9648829376133</v>
      </c>
      <c r="BZ84" s="106">
        <v>3.3972948939296019</v>
      </c>
      <c r="CA84" s="106">
        <v>2653.9667711378047</v>
      </c>
      <c r="CB84" s="106">
        <v>3.3014792276372407</v>
      </c>
      <c r="CC84" s="106">
        <v>2579.1155726302122</v>
      </c>
      <c r="CD84" s="106">
        <v>2.6147828685701513</v>
      </c>
      <c r="CE84" s="106">
        <v>2042.6683769270021</v>
      </c>
      <c r="CF84" s="106">
        <v>5.0294844314289984</v>
      </c>
      <c r="CG84" s="106">
        <v>3929.0332378323333</v>
      </c>
      <c r="CH84" s="106">
        <v>4.2196169961452208</v>
      </c>
      <c r="CI84" s="106">
        <v>3296.3647973886464</v>
      </c>
      <c r="CJ84" s="106">
        <v>3.379600649690385</v>
      </c>
      <c r="CK84" s="106">
        <v>2640.1440275381287</v>
      </c>
      <c r="CL84" s="106">
        <v>0</v>
      </c>
      <c r="CM84" s="106">
        <v>0</v>
      </c>
      <c r="CN84" s="106">
        <v>7.9662015314130521</v>
      </c>
      <c r="CO84" s="106">
        <v>6223.196636339876</v>
      </c>
      <c r="CP84" s="106">
        <v>4.4620644274640791</v>
      </c>
      <c r="CQ84" s="106">
        <v>3485.7647307349384</v>
      </c>
      <c r="CR84" s="106">
        <v>5.0245390190087145</v>
      </c>
      <c r="CS84" s="106">
        <v>3925.1698816496073</v>
      </c>
      <c r="CT84" s="106">
        <v>5.3817337359998554</v>
      </c>
      <c r="CU84" s="106">
        <v>4204.210394563087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4.8114758555721586</v>
      </c>
      <c r="I85" s="106">
        <v>721.72137833582383</v>
      </c>
      <c r="J85" s="106">
        <v>6.8058808663654444</v>
      </c>
      <c r="K85" s="106">
        <v>1020.8821299548167</v>
      </c>
      <c r="L85" s="106">
        <v>6.4549285720774563</v>
      </c>
      <c r="M85" s="106">
        <v>968.2392858116184</v>
      </c>
      <c r="N85" s="106">
        <v>7.1736806243427989</v>
      </c>
      <c r="O85" s="106">
        <v>1076.0520936514199</v>
      </c>
      <c r="P85" s="106">
        <v>4.8520687293660565</v>
      </c>
      <c r="Q85" s="106">
        <v>727.81030940490848</v>
      </c>
      <c r="R85" s="106">
        <v>5.2599799585406748</v>
      </c>
      <c r="S85" s="106">
        <v>788.9969937811012</v>
      </c>
      <c r="T85" s="106">
        <v>3.0997611054485064</v>
      </c>
      <c r="U85" s="106">
        <v>464.96416581727595</v>
      </c>
      <c r="V85" s="106">
        <v>3.1316762777053762</v>
      </c>
      <c r="W85" s="106">
        <v>469.75144165580645</v>
      </c>
      <c r="X85" s="106">
        <v>3.3975772488908662</v>
      </c>
      <c r="Y85" s="106">
        <v>509.6365873336299</v>
      </c>
      <c r="Z85" s="106">
        <v>3.5511539821619786</v>
      </c>
      <c r="AA85" s="106">
        <v>532.6730973242968</v>
      </c>
      <c r="AB85" s="106">
        <v>6.4519648766816449</v>
      </c>
      <c r="AC85" s="106">
        <v>967.79473150224669</v>
      </c>
      <c r="AD85" s="106">
        <v>5.5692010706165505</v>
      </c>
      <c r="AE85" s="106">
        <v>835.38016059248253</v>
      </c>
      <c r="AF85" s="106">
        <v>7.1164901029008982</v>
      </c>
      <c r="AG85" s="106">
        <v>1067.4735154351347</v>
      </c>
      <c r="AH85" s="106">
        <v>6.75920129938077</v>
      </c>
      <c r="AI85" s="106">
        <v>1013.8801949071155</v>
      </c>
      <c r="AJ85" s="106">
        <v>3.0520750292658456</v>
      </c>
      <c r="AK85" s="106">
        <v>457.81125438987686</v>
      </c>
      <c r="AL85" s="106">
        <v>4.2698940617405388</v>
      </c>
      <c r="AM85" s="106">
        <v>640.48410926108079</v>
      </c>
      <c r="AN85" s="106">
        <v>3.1413169891858992</v>
      </c>
      <c r="AO85" s="106">
        <v>471.19754837788486</v>
      </c>
      <c r="AP85" s="106">
        <v>3.7055519813864124</v>
      </c>
      <c r="AQ85" s="106">
        <v>555.8327972079619</v>
      </c>
      <c r="AR85" s="106">
        <v>11.294327171207943</v>
      </c>
      <c r="AS85" s="106">
        <v>1694.1490756811913</v>
      </c>
      <c r="AT85" s="106">
        <v>11.49702944752927</v>
      </c>
      <c r="AU85" s="106">
        <v>1724.5544171293905</v>
      </c>
      <c r="AV85" s="106">
        <v>9.8484003988486943</v>
      </c>
      <c r="AW85" s="106">
        <v>1477.2600598273041</v>
      </c>
      <c r="AX85" s="106">
        <v>11.578450564196064</v>
      </c>
      <c r="AY85" s="106">
        <v>1736.7675846294096</v>
      </c>
      <c r="AZ85" s="106">
        <v>5.583126121094633</v>
      </c>
      <c r="BA85" s="106">
        <v>837.46891816419497</v>
      </c>
      <c r="BB85" s="106">
        <v>3.9817840381806726</v>
      </c>
      <c r="BC85" s="106">
        <v>597.26760572710089</v>
      </c>
      <c r="BD85" s="106">
        <v>5.388733319388213</v>
      </c>
      <c r="BE85" s="106">
        <v>808.30999790823194</v>
      </c>
      <c r="BF85" s="106">
        <v>5.7296020316843972</v>
      </c>
      <c r="BG85" s="106">
        <v>859.44030475265959</v>
      </c>
      <c r="BH85" s="106">
        <v>10.122501624394193</v>
      </c>
      <c r="BI85" s="106">
        <v>1518.375243659129</v>
      </c>
      <c r="BJ85" s="106">
        <v>10.31064604990287</v>
      </c>
      <c r="BK85" s="106">
        <v>1546.5969074854304</v>
      </c>
      <c r="BL85" s="106">
        <v>7.6790926004799296</v>
      </c>
      <c r="BM85" s="106">
        <v>1151.8638900719895</v>
      </c>
      <c r="BN85" s="106">
        <v>10.983702111493752</v>
      </c>
      <c r="BO85" s="106">
        <v>1647.5553167240628</v>
      </c>
      <c r="BP85" s="106">
        <v>3.0969431408071895</v>
      </c>
      <c r="BQ85" s="106">
        <v>464.54147112107842</v>
      </c>
      <c r="BR85" s="106">
        <v>3.133020344777353</v>
      </c>
      <c r="BS85" s="106">
        <v>469.95305171660294</v>
      </c>
      <c r="BT85" s="106">
        <v>2.4394109952652405</v>
      </c>
      <c r="BU85" s="106">
        <v>365.91164928978606</v>
      </c>
      <c r="BV85" s="106">
        <v>3.1276509868599969</v>
      </c>
      <c r="BW85" s="106">
        <v>469.14764802899953</v>
      </c>
      <c r="BX85" s="106">
        <v>2.7387932537750657</v>
      </c>
      <c r="BY85" s="106">
        <v>410.81898806625986</v>
      </c>
      <c r="BZ85" s="106">
        <v>3.8219567556708021</v>
      </c>
      <c r="CA85" s="106">
        <v>573.29351335062029</v>
      </c>
      <c r="CB85" s="106">
        <v>3.8517257655767811</v>
      </c>
      <c r="CC85" s="106">
        <v>577.7588648365172</v>
      </c>
      <c r="CD85" s="106">
        <v>2.6147828685701513</v>
      </c>
      <c r="CE85" s="106">
        <v>392.21743028552271</v>
      </c>
      <c r="CF85" s="106">
        <v>5.0294844314289984</v>
      </c>
      <c r="CG85" s="106">
        <v>754.42266471434971</v>
      </c>
      <c r="CH85" s="106">
        <v>4.7470691206633733</v>
      </c>
      <c r="CI85" s="106">
        <v>712.06036809950604</v>
      </c>
      <c r="CJ85" s="106">
        <v>3.379600649690385</v>
      </c>
      <c r="CK85" s="106">
        <v>506.94009745355777</v>
      </c>
      <c r="CL85" s="106">
        <v>0</v>
      </c>
      <c r="CM85" s="106">
        <v>0</v>
      </c>
      <c r="CN85" s="106">
        <v>7.9662015314130521</v>
      </c>
      <c r="CO85" s="106">
        <v>1194.9302297119577</v>
      </c>
      <c r="CP85" s="106">
        <v>5.0570063511259553</v>
      </c>
      <c r="CQ85" s="106">
        <v>758.55095266889327</v>
      </c>
      <c r="CR85" s="106">
        <v>5.0245390190087145</v>
      </c>
      <c r="CS85" s="106">
        <v>753.68085285130712</v>
      </c>
      <c r="CT85" s="106">
        <v>5.7661432885712731</v>
      </c>
      <c r="CU85" s="106">
        <v>864.92149328569099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4.8114758555721586</v>
      </c>
      <c r="I86" s="106">
        <v>2598.1969620089658</v>
      </c>
      <c r="J86" s="106">
        <v>6.5538112046482064</v>
      </c>
      <c r="K86" s="106">
        <v>3539.0580505100315</v>
      </c>
      <c r="L86" s="106">
        <v>6.7483344162627947</v>
      </c>
      <c r="M86" s="106">
        <v>3644.1005847819092</v>
      </c>
      <c r="N86" s="106">
        <v>5.7389444994742398</v>
      </c>
      <c r="O86" s="106">
        <v>3099.0300297160893</v>
      </c>
      <c r="P86" s="106">
        <v>4.6094652928977533</v>
      </c>
      <c r="Q86" s="106">
        <v>2489.1112581647867</v>
      </c>
      <c r="R86" s="106">
        <v>5.0312851777345582</v>
      </c>
      <c r="S86" s="106">
        <v>2716.8939959766612</v>
      </c>
      <c r="T86" s="106">
        <v>2.9588628733826652</v>
      </c>
      <c r="U86" s="106">
        <v>1597.7859516266392</v>
      </c>
      <c r="V86" s="106">
        <v>3.6014277193611828</v>
      </c>
      <c r="W86" s="106">
        <v>1944.7709684550387</v>
      </c>
      <c r="X86" s="106">
        <v>3.3975772488908662</v>
      </c>
      <c r="Y86" s="106">
        <v>1834.6917144010677</v>
      </c>
      <c r="Z86" s="106">
        <v>3.5511539821619786</v>
      </c>
      <c r="AA86" s="106">
        <v>1917.6231503674685</v>
      </c>
      <c r="AB86" s="106">
        <v>5.9911102426329554</v>
      </c>
      <c r="AC86" s="106">
        <v>3235.1995310217958</v>
      </c>
      <c r="AD86" s="106">
        <v>5.5692010706165505</v>
      </c>
      <c r="AE86" s="106">
        <v>3007.3685781329373</v>
      </c>
      <c r="AF86" s="106">
        <v>6.6420574293741712</v>
      </c>
      <c r="AG86" s="106">
        <v>3586.7110118620526</v>
      </c>
      <c r="AH86" s="106">
        <v>6.75920129938077</v>
      </c>
      <c r="AI86" s="106">
        <v>3649.9687016656158</v>
      </c>
      <c r="AJ86" s="106">
        <v>3.2868500315170643</v>
      </c>
      <c r="AK86" s="106">
        <v>1774.8990170192149</v>
      </c>
      <c r="AL86" s="106">
        <v>3.3210287146870856</v>
      </c>
      <c r="AM86" s="106">
        <v>1793.3555059310263</v>
      </c>
      <c r="AN86" s="106">
        <v>3.1413169891858992</v>
      </c>
      <c r="AO86" s="106">
        <v>1696.3111741603855</v>
      </c>
      <c r="AP86" s="106">
        <v>3.7055519813864124</v>
      </c>
      <c r="AQ86" s="106">
        <v>2000.9980699486628</v>
      </c>
      <c r="AR86" s="106">
        <v>11.406152192705051</v>
      </c>
      <c r="AS86" s="106">
        <v>6159.3221840607275</v>
      </c>
      <c r="AT86" s="106">
        <v>12.443843637325799</v>
      </c>
      <c r="AU86" s="106">
        <v>6719.6755641559312</v>
      </c>
      <c r="AV86" s="106">
        <v>8.4847757282388763</v>
      </c>
      <c r="AW86" s="106">
        <v>4581.778893248993</v>
      </c>
      <c r="AX86" s="106">
        <v>9.5568163387015126</v>
      </c>
      <c r="AY86" s="106">
        <v>5160.6808228988166</v>
      </c>
      <c r="AZ86" s="106">
        <v>5.583126121094633</v>
      </c>
      <c r="BA86" s="106">
        <v>3014.8881053911018</v>
      </c>
      <c r="BB86" s="106">
        <v>3.9817840381806726</v>
      </c>
      <c r="BC86" s="106">
        <v>2150.1633806175632</v>
      </c>
      <c r="BD86" s="106">
        <v>4.849859987449392</v>
      </c>
      <c r="BE86" s="106">
        <v>2618.9243932226718</v>
      </c>
      <c r="BF86" s="106">
        <v>6.3662244796493308</v>
      </c>
      <c r="BG86" s="106">
        <v>3437.7612190106388</v>
      </c>
      <c r="BH86" s="106">
        <v>10.562610390672202</v>
      </c>
      <c r="BI86" s="106">
        <v>5703.8096109629887</v>
      </c>
      <c r="BJ86" s="106">
        <v>10.052879898655299</v>
      </c>
      <c r="BK86" s="106">
        <v>5428.5551452738609</v>
      </c>
      <c r="BL86" s="106">
        <v>6.7192060254199371</v>
      </c>
      <c r="BM86" s="106">
        <v>3628.3712537267661</v>
      </c>
      <c r="BN86" s="106">
        <v>9.7163518678598564</v>
      </c>
      <c r="BO86" s="106">
        <v>5246.8300086443223</v>
      </c>
      <c r="BP86" s="106">
        <v>3.3181533651505601</v>
      </c>
      <c r="BQ86" s="106">
        <v>1791.8028171813025</v>
      </c>
      <c r="BR86" s="106">
        <v>3.133020344777353</v>
      </c>
      <c r="BS86" s="106">
        <v>1691.8309861797707</v>
      </c>
      <c r="BT86" s="106">
        <v>2.4394109952652405</v>
      </c>
      <c r="BU86" s="106">
        <v>1317.2819374432299</v>
      </c>
      <c r="BV86" s="106">
        <v>2.8148858881739969</v>
      </c>
      <c r="BW86" s="106">
        <v>1520.0383796139583</v>
      </c>
      <c r="BX86" s="106">
        <v>2.528116849638522</v>
      </c>
      <c r="BY86" s="106">
        <v>1365.1830988048018</v>
      </c>
      <c r="BZ86" s="106">
        <v>3.1849639630590021</v>
      </c>
      <c r="CA86" s="106">
        <v>1719.8805400518611</v>
      </c>
      <c r="CB86" s="106">
        <v>3.8517257655767811</v>
      </c>
      <c r="CC86" s="106">
        <v>2079.9319134114617</v>
      </c>
      <c r="CD86" s="106">
        <v>2.8159200123063171</v>
      </c>
      <c r="CE86" s="106">
        <v>1520.5968066454111</v>
      </c>
      <c r="CF86" s="106">
        <v>5.388733319388213</v>
      </c>
      <c r="CG86" s="106">
        <v>2909.9159924696351</v>
      </c>
      <c r="CH86" s="106">
        <v>3.6921648716270683</v>
      </c>
      <c r="CI86" s="106">
        <v>1993.7690306786169</v>
      </c>
      <c r="CJ86" s="106">
        <v>3.379600649690385</v>
      </c>
      <c r="CK86" s="106">
        <v>1824.9843508328079</v>
      </c>
      <c r="CL86" s="106">
        <v>0</v>
      </c>
      <c r="CM86" s="106">
        <v>0</v>
      </c>
      <c r="CN86" s="106">
        <v>7.9662015314130521</v>
      </c>
      <c r="CO86" s="106">
        <v>4301.7488269630485</v>
      </c>
      <c r="CP86" s="106">
        <v>5.3544773129568943</v>
      </c>
      <c r="CQ86" s="106">
        <v>2891.4177489967228</v>
      </c>
      <c r="CR86" s="106">
        <v>5.0245390190087145</v>
      </c>
      <c r="CS86" s="106">
        <v>2713.251070264706</v>
      </c>
      <c r="CT86" s="106">
        <v>4.9973241834284368</v>
      </c>
      <c r="CU86" s="106">
        <v>2698.5550590513558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3.0388268561508367</v>
      </c>
      <c r="I87" s="106">
        <v>5940.2987384036551</v>
      </c>
      <c r="J87" s="106">
        <v>3.2769056023241032</v>
      </c>
      <c r="K87" s="106">
        <v>6405.6950714231571</v>
      </c>
      <c r="L87" s="106">
        <v>6.7483344162627947</v>
      </c>
      <c r="M87" s="106">
        <v>13191.644116910511</v>
      </c>
      <c r="N87" s="106">
        <v>8.3214695242376475</v>
      </c>
      <c r="O87" s="106">
        <v>16266.808625979753</v>
      </c>
      <c r="P87" s="106">
        <v>8.2485168399222957</v>
      </c>
      <c r="Q87" s="106">
        <v>16124.200718680104</v>
      </c>
      <c r="R87" s="106">
        <v>10.748654697887465</v>
      </c>
      <c r="S87" s="106">
        <v>21011.470203430417</v>
      </c>
      <c r="T87" s="106">
        <v>8.031199227752948</v>
      </c>
      <c r="U87" s="106">
        <v>15699.388250411463</v>
      </c>
      <c r="V87" s="106">
        <v>10.64769934419828</v>
      </c>
      <c r="W87" s="106">
        <v>20814.122678038799</v>
      </c>
      <c r="X87" s="106">
        <v>10.354521139476924</v>
      </c>
      <c r="Y87" s="106">
        <v>20241.01792344949</v>
      </c>
      <c r="Z87" s="106">
        <v>9.418277952690465</v>
      </c>
      <c r="AA87" s="106">
        <v>18410.849741919319</v>
      </c>
      <c r="AB87" s="106">
        <v>12.90392975336329</v>
      </c>
      <c r="AC87" s="106">
        <v>25224.601881874558</v>
      </c>
      <c r="AD87" s="106">
        <v>10.710002058877981</v>
      </c>
      <c r="AE87" s="106">
        <v>20935.912024694677</v>
      </c>
      <c r="AF87" s="106">
        <v>10.91195149111471</v>
      </c>
      <c r="AG87" s="106">
        <v>21330.682774831035</v>
      </c>
      <c r="AH87" s="106">
        <v>11.587202227509891</v>
      </c>
      <c r="AI87" s="106">
        <v>22650.662914336335</v>
      </c>
      <c r="AJ87" s="106">
        <v>15.729925150831665</v>
      </c>
      <c r="AK87" s="106">
        <v>30748.857684845738</v>
      </c>
      <c r="AL87" s="106">
        <v>18.028441594015607</v>
      </c>
      <c r="AM87" s="106">
        <v>35241.997627981706</v>
      </c>
      <c r="AN87" s="106">
        <v>12.081988419945766</v>
      </c>
      <c r="AO87" s="106">
        <v>23617.870963309982</v>
      </c>
      <c r="AP87" s="106">
        <v>11.116655944159236</v>
      </c>
      <c r="AQ87" s="106">
        <v>21730.839039642473</v>
      </c>
      <c r="AR87" s="106">
        <v>1.7892003439537334</v>
      </c>
      <c r="AS87" s="106">
        <v>3497.5288323607579</v>
      </c>
      <c r="AT87" s="106">
        <v>1.758369209622124</v>
      </c>
      <c r="AU87" s="106">
        <v>3437.2601309693277</v>
      </c>
      <c r="AV87" s="106">
        <v>1.3636246706098192</v>
      </c>
      <c r="AW87" s="106">
        <v>2665.6135061080745</v>
      </c>
      <c r="AX87" s="106">
        <v>1.6540643663137233</v>
      </c>
      <c r="AY87" s="106">
        <v>3233.3650232700661</v>
      </c>
      <c r="AZ87" s="106">
        <v>8.3746891816419495</v>
      </c>
      <c r="BA87" s="106">
        <v>16370.842412273683</v>
      </c>
      <c r="BB87" s="106">
        <v>9.2908294224215684</v>
      </c>
      <c r="BC87" s="106">
        <v>18161.713354949683</v>
      </c>
      <c r="BD87" s="106">
        <v>10.238593306837606</v>
      </c>
      <c r="BE87" s="106">
        <v>20014.402196206152</v>
      </c>
      <c r="BF87" s="106">
        <v>11.459204063368794</v>
      </c>
      <c r="BG87" s="106">
        <v>22400.452103073319</v>
      </c>
      <c r="BH87" s="106">
        <v>3.520870130224067</v>
      </c>
      <c r="BI87" s="106">
        <v>6882.5969305620065</v>
      </c>
      <c r="BJ87" s="106">
        <v>4.8975568737038637</v>
      </c>
      <c r="BK87" s="106">
        <v>9573.7441767163127</v>
      </c>
      <c r="BL87" s="106">
        <v>6.2392627378899421</v>
      </c>
      <c r="BM87" s="106">
        <v>12196.510800027259</v>
      </c>
      <c r="BN87" s="106">
        <v>4.0132757715073328</v>
      </c>
      <c r="BO87" s="106">
        <v>7845.151478142534</v>
      </c>
      <c r="BP87" s="106">
        <v>12.830193011915499</v>
      </c>
      <c r="BQ87" s="106">
        <v>25080.461299692419</v>
      </c>
      <c r="BR87" s="106">
        <v>10.965571206720735</v>
      </c>
      <c r="BS87" s="106">
        <v>21435.498594897694</v>
      </c>
      <c r="BT87" s="106">
        <v>11.892128601918047</v>
      </c>
      <c r="BU87" s="106">
        <v>23246.732991029399</v>
      </c>
      <c r="BV87" s="106">
        <v>11.259543552695988</v>
      </c>
      <c r="BW87" s="106">
        <v>22010.155736810117</v>
      </c>
      <c r="BX87" s="106">
        <v>2.7387932537750657</v>
      </c>
      <c r="BY87" s="106">
        <v>5353.7930524794983</v>
      </c>
      <c r="BZ87" s="106">
        <v>2.9726330321884018</v>
      </c>
      <c r="CA87" s="106">
        <v>5810.9030513218877</v>
      </c>
      <c r="CB87" s="106">
        <v>3.3014792276372407</v>
      </c>
      <c r="CC87" s="106">
        <v>6453.7315941852776</v>
      </c>
      <c r="CD87" s="106">
        <v>4.4250171621956405</v>
      </c>
      <c r="CE87" s="106">
        <v>8650.0235486600377</v>
      </c>
      <c r="CF87" s="106">
        <v>14.010706630409354</v>
      </c>
      <c r="CG87" s="106">
        <v>27388.129321124205</v>
      </c>
      <c r="CH87" s="106">
        <v>14.768659486508273</v>
      </c>
      <c r="CI87" s="106">
        <v>28869.775564226373</v>
      </c>
      <c r="CJ87" s="106">
        <v>12.767380232163678</v>
      </c>
      <c r="CK87" s="106">
        <v>24957.674877833557</v>
      </c>
      <c r="CL87" s="106">
        <v>0</v>
      </c>
      <c r="CM87" s="106">
        <v>0</v>
      </c>
      <c r="CN87" s="106">
        <v>5.0694009745355775</v>
      </c>
      <c r="CO87" s="106">
        <v>9909.6650250221464</v>
      </c>
      <c r="CP87" s="106">
        <v>2.08229673281657</v>
      </c>
      <c r="CQ87" s="106">
        <v>4070.4736533098308</v>
      </c>
      <c r="CR87" s="106">
        <v>3.5889564421490818</v>
      </c>
      <c r="CS87" s="106">
        <v>7015.6920531130254</v>
      </c>
      <c r="CT87" s="106">
        <v>3.0752764205713459</v>
      </c>
      <c r="CU87" s="106">
        <v>6011.5503469328669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3.2920624274967398</v>
      </c>
      <c r="I88" s="106">
        <v>6229.8989377948301</v>
      </c>
      <c r="J88" s="106">
        <v>3.5289752640413417</v>
      </c>
      <c r="K88" s="106">
        <v>6678.2327896718343</v>
      </c>
      <c r="L88" s="106">
        <v>6.7483344162627947</v>
      </c>
      <c r="M88" s="106">
        <v>12770.548049335712</v>
      </c>
      <c r="N88" s="106">
        <v>8.8953639741850701</v>
      </c>
      <c r="O88" s="106">
        <v>16833.586784747826</v>
      </c>
      <c r="P88" s="106">
        <v>7.7633099669856902</v>
      </c>
      <c r="Q88" s="106">
        <v>14691.287781523719</v>
      </c>
      <c r="R88" s="106">
        <v>10.062570355469116</v>
      </c>
      <c r="S88" s="106">
        <v>19042.408140689753</v>
      </c>
      <c r="T88" s="106">
        <v>9.7219780125430422</v>
      </c>
      <c r="U88" s="106">
        <v>18397.87119093645</v>
      </c>
      <c r="V88" s="106">
        <v>9.3950288331161289</v>
      </c>
      <c r="W88" s="106">
        <v>17779.152563788961</v>
      </c>
      <c r="X88" s="106">
        <v>11.163468103498561</v>
      </c>
      <c r="Y88" s="106">
        <v>21125.747039060676</v>
      </c>
      <c r="Z88" s="106">
        <v>11.116655944159236</v>
      </c>
      <c r="AA88" s="106">
        <v>21037.159708726937</v>
      </c>
      <c r="AB88" s="106">
        <v>13.364784387411978</v>
      </c>
      <c r="AC88" s="106">
        <v>25291.517974738425</v>
      </c>
      <c r="AD88" s="106">
        <v>11.138402141233101</v>
      </c>
      <c r="AE88" s="106">
        <v>21078.312212069519</v>
      </c>
      <c r="AF88" s="106">
        <v>10.437518817587984</v>
      </c>
      <c r="AG88" s="106">
        <v>19751.960610403497</v>
      </c>
      <c r="AH88" s="106">
        <v>10.621602041884067</v>
      </c>
      <c r="AI88" s="106">
        <v>20100.319704061407</v>
      </c>
      <c r="AJ88" s="106">
        <v>16.434250157585321</v>
      </c>
      <c r="AK88" s="106">
        <v>31100.174998214461</v>
      </c>
      <c r="AL88" s="106">
        <v>16.130710899908703</v>
      </c>
      <c r="AM88" s="106">
        <v>30525.757306987227</v>
      </c>
      <c r="AN88" s="106">
        <v>12.806907725142512</v>
      </c>
      <c r="AO88" s="106">
        <v>24235.792179059688</v>
      </c>
      <c r="AP88" s="106">
        <v>11.363692742918332</v>
      </c>
      <c r="AQ88" s="106">
        <v>21504.652146698649</v>
      </c>
      <c r="AR88" s="106">
        <v>1.677375322456625</v>
      </c>
      <c r="AS88" s="106">
        <v>3174.2650602169169</v>
      </c>
      <c r="AT88" s="106">
        <v>1.758369209622124</v>
      </c>
      <c r="AU88" s="106">
        <v>3327.5378922889072</v>
      </c>
      <c r="AV88" s="106">
        <v>1.3636246706098192</v>
      </c>
      <c r="AW88" s="106">
        <v>2580.5233266620216</v>
      </c>
      <c r="AX88" s="106">
        <v>1.8378492959041373</v>
      </c>
      <c r="AY88" s="106">
        <v>3477.946007568989</v>
      </c>
      <c r="AZ88" s="106">
        <v>8.8399496917331692</v>
      </c>
      <c r="BA88" s="106">
        <v>16728.720796635847</v>
      </c>
      <c r="BB88" s="106">
        <v>10.175670319795051</v>
      </c>
      <c r="BC88" s="106">
        <v>19256.438513180154</v>
      </c>
      <c r="BD88" s="106">
        <v>10.238593306837606</v>
      </c>
      <c r="BE88" s="106">
        <v>19375.513973859484</v>
      </c>
      <c r="BF88" s="106">
        <v>11.459204063368794</v>
      </c>
      <c r="BG88" s="106">
        <v>21685.397769519106</v>
      </c>
      <c r="BH88" s="106">
        <v>3.520870130224067</v>
      </c>
      <c r="BI88" s="106">
        <v>6662.8946344360238</v>
      </c>
      <c r="BJ88" s="106">
        <v>4.8975568737038637</v>
      </c>
      <c r="BK88" s="106">
        <v>9268.1366277971902</v>
      </c>
      <c r="BL88" s="106">
        <v>6.4792343816549405</v>
      </c>
      <c r="BM88" s="106">
        <v>12261.303143843808</v>
      </c>
      <c r="BN88" s="106">
        <v>4.0132757715073328</v>
      </c>
      <c r="BO88" s="106">
        <v>7594.7230700004757</v>
      </c>
      <c r="BP88" s="106">
        <v>10.618090768481794</v>
      </c>
      <c r="BQ88" s="106">
        <v>20093.674970274948</v>
      </c>
      <c r="BR88" s="106">
        <v>10.965571206720735</v>
      </c>
      <c r="BS88" s="106">
        <v>20751.246951598318</v>
      </c>
      <c r="BT88" s="106">
        <v>13.111834099550668</v>
      </c>
      <c r="BU88" s="106">
        <v>24812.834849989682</v>
      </c>
      <c r="BV88" s="106">
        <v>12.197838848753989</v>
      </c>
      <c r="BW88" s="106">
        <v>23083.190237382049</v>
      </c>
      <c r="BX88" s="106">
        <v>2.9494696579116089</v>
      </c>
      <c r="BY88" s="106">
        <v>5581.5763806319283</v>
      </c>
      <c r="BZ88" s="106">
        <v>2.9726330321884018</v>
      </c>
      <c r="CA88" s="106">
        <v>5625.4107501133312</v>
      </c>
      <c r="CB88" s="106">
        <v>3.5766024966070109</v>
      </c>
      <c r="CC88" s="106">
        <v>6768.3625645791071</v>
      </c>
      <c r="CD88" s="106">
        <v>4.6261543059318058</v>
      </c>
      <c r="CE88" s="106">
        <v>8754.5344085453489</v>
      </c>
      <c r="CF88" s="106">
        <v>14.729204406327781</v>
      </c>
      <c r="CG88" s="106">
        <v>27873.54641853469</v>
      </c>
      <c r="CH88" s="106">
        <v>15.823563735544578</v>
      </c>
      <c r="CI88" s="106">
        <v>29944.512013144558</v>
      </c>
      <c r="CJ88" s="106">
        <v>12.767380232163678</v>
      </c>
      <c r="CK88" s="106">
        <v>24160.990351346543</v>
      </c>
      <c r="CL88" s="106">
        <v>0</v>
      </c>
      <c r="CM88" s="106">
        <v>0</v>
      </c>
      <c r="CN88" s="106">
        <v>5.7936011137549457</v>
      </c>
      <c r="CO88" s="106">
        <v>10963.810747669859</v>
      </c>
      <c r="CP88" s="106">
        <v>2.3797676946475086</v>
      </c>
      <c r="CQ88" s="106">
        <v>4503.4723853509449</v>
      </c>
      <c r="CR88" s="106">
        <v>3.9478520863639899</v>
      </c>
      <c r="CS88" s="106">
        <v>7470.9152882352137</v>
      </c>
      <c r="CT88" s="106">
        <v>3.0752764205713459</v>
      </c>
      <c r="CU88" s="106">
        <v>5819.6530982892145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2.7855912848049336</v>
      </c>
      <c r="I89" s="106">
        <v>6678.7336644483084</v>
      </c>
      <c r="J89" s="106">
        <v>3.2769056023241032</v>
      </c>
      <c r="K89" s="106">
        <v>7856.7088721322698</v>
      </c>
      <c r="L89" s="106">
        <v>6.7483344162627947</v>
      </c>
      <c r="M89" s="106">
        <v>16179.806596431676</v>
      </c>
      <c r="N89" s="106">
        <v>8.8953639741850701</v>
      </c>
      <c r="O89" s="106">
        <v>21327.524664506123</v>
      </c>
      <c r="P89" s="106">
        <v>7.2781030940490847</v>
      </c>
      <c r="Q89" s="106">
        <v>17449.979978292085</v>
      </c>
      <c r="R89" s="106">
        <v>10.977349478693583</v>
      </c>
      <c r="S89" s="106">
        <v>26319.293110115734</v>
      </c>
      <c r="T89" s="106">
        <v>7.7494027636212657</v>
      </c>
      <c r="U89" s="106">
        <v>18579.968066058347</v>
      </c>
      <c r="V89" s="106">
        <v>10.491115530313012</v>
      </c>
      <c r="W89" s="106">
        <v>25153.498595478475</v>
      </c>
      <c r="X89" s="106">
        <v>11.163468103498561</v>
      </c>
      <c r="Y89" s="106">
        <v>26765.531124948149</v>
      </c>
      <c r="Z89" s="106">
        <v>9.2638799534660325</v>
      </c>
      <c r="AA89" s="106">
        <v>22211.078576430158</v>
      </c>
      <c r="AB89" s="106">
        <v>10.599656583119845</v>
      </c>
      <c r="AC89" s="106">
        <v>25413.736623688139</v>
      </c>
      <c r="AD89" s="106">
        <v>11.995202305943339</v>
      </c>
      <c r="AE89" s="106">
        <v>28759.697048729748</v>
      </c>
      <c r="AF89" s="106">
        <v>11.386384164641438</v>
      </c>
      <c r="AG89" s="106">
        <v>27299.994673144309</v>
      </c>
      <c r="AH89" s="106">
        <v>11.587202227509891</v>
      </c>
      <c r="AI89" s="106">
        <v>27781.476060677716</v>
      </c>
      <c r="AJ89" s="106">
        <v>14.790825141826788</v>
      </c>
      <c r="AK89" s="106">
        <v>35462.482360043905</v>
      </c>
      <c r="AL89" s="106">
        <v>15.419061889618611</v>
      </c>
      <c r="AM89" s="106">
        <v>36968.742786549577</v>
      </c>
      <c r="AN89" s="106">
        <v>10.632149809552274</v>
      </c>
      <c r="AO89" s="106">
        <v>25491.642383382532</v>
      </c>
      <c r="AP89" s="106">
        <v>9.6344351516046718</v>
      </c>
      <c r="AQ89" s="106">
        <v>23099.521719487358</v>
      </c>
      <c r="AR89" s="106">
        <v>1.5655503009595166</v>
      </c>
      <c r="AS89" s="106">
        <v>3753.5634015805372</v>
      </c>
      <c r="AT89" s="106">
        <v>1.623110039651191</v>
      </c>
      <c r="AU89" s="106">
        <v>3891.5686310676956</v>
      </c>
      <c r="AV89" s="106">
        <v>1.2121108183198392</v>
      </c>
      <c r="AW89" s="106">
        <v>2906.1568980036463</v>
      </c>
      <c r="AX89" s="106">
        <v>1.4702794367233096</v>
      </c>
      <c r="AY89" s="106">
        <v>3525.1419774878073</v>
      </c>
      <c r="AZ89" s="106">
        <v>7.4441681614595101</v>
      </c>
      <c r="BA89" s="106">
        <v>17848.137583915322</v>
      </c>
      <c r="BB89" s="106">
        <v>8.4059885250480857</v>
      </c>
      <c r="BC89" s="106">
        <v>20154.198087655288</v>
      </c>
      <c r="BD89" s="106">
        <v>10.238593306837606</v>
      </c>
      <c r="BE89" s="106">
        <v>24548.051312473843</v>
      </c>
      <c r="BF89" s="106">
        <v>9.5493367194739953</v>
      </c>
      <c r="BG89" s="106">
        <v>22895.48971861085</v>
      </c>
      <c r="BH89" s="106">
        <v>3.3008157470850628</v>
      </c>
      <c r="BI89" s="106">
        <v>7914.0358352111461</v>
      </c>
      <c r="BJ89" s="106">
        <v>4.3820245712087198</v>
      </c>
      <c r="BK89" s="106">
        <v>10506.342111930026</v>
      </c>
      <c r="BL89" s="106">
        <v>6.2392627378899421</v>
      </c>
      <c r="BM89" s="106">
        <v>14959.256340364926</v>
      </c>
      <c r="BN89" s="106">
        <v>3.5908256902960343</v>
      </c>
      <c r="BO89" s="106">
        <v>8609.3636750537717</v>
      </c>
      <c r="BP89" s="106">
        <v>11.060511217168534</v>
      </c>
      <c r="BQ89" s="106">
        <v>26518.681694283274</v>
      </c>
      <c r="BR89" s="106">
        <v>10.182316120526396</v>
      </c>
      <c r="BS89" s="106">
        <v>24413.121130574087</v>
      </c>
      <c r="BT89" s="106">
        <v>11.282275853101737</v>
      </c>
      <c r="BU89" s="106">
        <v>27050.384585396725</v>
      </c>
      <c r="BV89" s="106">
        <v>11.259543552695988</v>
      </c>
      <c r="BW89" s="106">
        <v>26995.8816219439</v>
      </c>
      <c r="BX89" s="106">
        <v>2.9494696579116089</v>
      </c>
      <c r="BY89" s="106">
        <v>7071.6484518088728</v>
      </c>
      <c r="BZ89" s="106">
        <v>2.9726330321884018</v>
      </c>
      <c r="CA89" s="106">
        <v>7127.1849579749123</v>
      </c>
      <c r="CB89" s="106">
        <v>3.3014792276372407</v>
      </c>
      <c r="CC89" s="106">
        <v>7915.6265961830477</v>
      </c>
      <c r="CD89" s="106">
        <v>4.4250171621956405</v>
      </c>
      <c r="CE89" s="106">
        <v>10609.421148080268</v>
      </c>
      <c r="CF89" s="106">
        <v>14.369955518368567</v>
      </c>
      <c r="CG89" s="106">
        <v>34453.405350840476</v>
      </c>
      <c r="CH89" s="106">
        <v>13.713755237471968</v>
      </c>
      <c r="CI89" s="106">
        <v>32880.099557362788</v>
      </c>
      <c r="CJ89" s="106">
        <v>12.016357865565814</v>
      </c>
      <c r="CK89" s="106">
        <v>28810.419618480595</v>
      </c>
      <c r="CL89" s="106">
        <v>0</v>
      </c>
      <c r="CM89" s="106">
        <v>0</v>
      </c>
      <c r="CN89" s="106">
        <v>5.0694009745355775</v>
      </c>
      <c r="CO89" s="106">
        <v>12154.3957765465</v>
      </c>
      <c r="CP89" s="106">
        <v>2.08229673281657</v>
      </c>
      <c r="CQ89" s="106">
        <v>4992.5146466010083</v>
      </c>
      <c r="CR89" s="106">
        <v>3.9478520863639899</v>
      </c>
      <c r="CS89" s="106">
        <v>9465.3701622663011</v>
      </c>
      <c r="CT89" s="106">
        <v>3.0752764205713459</v>
      </c>
      <c r="CU89" s="106">
        <v>7373.2827459618584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3.2920624274967398</v>
      </c>
      <c r="I90" s="106">
        <v>7233.319565695836</v>
      </c>
      <c r="J90" s="106">
        <v>3.2769056023241032</v>
      </c>
      <c r="K90" s="106">
        <v>7200.0169894265191</v>
      </c>
      <c r="L90" s="106">
        <v>7.3351461046334734</v>
      </c>
      <c r="M90" s="106">
        <v>16116.783021100666</v>
      </c>
      <c r="N90" s="106">
        <v>9.182311199158784</v>
      </c>
      <c r="O90" s="106">
        <v>20175.37416679168</v>
      </c>
      <c r="P90" s="106">
        <v>7.0354996575807824</v>
      </c>
      <c r="Q90" s="106">
        <v>15458.399847636494</v>
      </c>
      <c r="R90" s="106">
        <v>11.434739040305814</v>
      </c>
      <c r="S90" s="106">
        <v>25124.408619359932</v>
      </c>
      <c r="T90" s="106">
        <v>8.1720974598187901</v>
      </c>
      <c r="U90" s="106">
        <v>17955.732538713844</v>
      </c>
      <c r="V90" s="106">
        <v>10.960866971968818</v>
      </c>
      <c r="W90" s="106">
        <v>24083.216910809882</v>
      </c>
      <c r="X90" s="106">
        <v>10.354521139476924</v>
      </c>
      <c r="Y90" s="106">
        <v>22750.953847658697</v>
      </c>
      <c r="Z90" s="106">
        <v>9.5726759519148992</v>
      </c>
      <c r="AA90" s="106">
        <v>21033.083601547416</v>
      </c>
      <c r="AB90" s="106">
        <v>13.364784387411978</v>
      </c>
      <c r="AC90" s="106">
        <v>29365.104256021597</v>
      </c>
      <c r="AD90" s="106">
        <v>12.423602388298459</v>
      </c>
      <c r="AE90" s="106">
        <v>27297.13916756937</v>
      </c>
      <c r="AF90" s="106">
        <v>10.437518817587984</v>
      </c>
      <c r="AG90" s="106">
        <v>22933.316346004318</v>
      </c>
      <c r="AH90" s="106">
        <v>11.104402134696979</v>
      </c>
      <c r="AI90" s="106">
        <v>24398.5923703562</v>
      </c>
      <c r="AJ90" s="106">
        <v>14.55605013957557</v>
      </c>
      <c r="AK90" s="106">
        <v>31982.553366675438</v>
      </c>
      <c r="AL90" s="106">
        <v>17.316792583725515</v>
      </c>
      <c r="AM90" s="106">
        <v>38048.456664961697</v>
      </c>
      <c r="AN90" s="106">
        <v>12.323628188344683</v>
      </c>
      <c r="AO90" s="106">
        <v>27077.475855430937</v>
      </c>
      <c r="AP90" s="106">
        <v>10.869619145400142</v>
      </c>
      <c r="AQ90" s="106">
        <v>23882.72718627319</v>
      </c>
      <c r="AR90" s="106">
        <v>1.677375322456625</v>
      </c>
      <c r="AS90" s="106">
        <v>3685.529058501696</v>
      </c>
      <c r="AT90" s="106">
        <v>1.8936283795930564</v>
      </c>
      <c r="AU90" s="106">
        <v>4160.6802756418629</v>
      </c>
      <c r="AV90" s="106">
        <v>1.2121108183198392</v>
      </c>
      <c r="AW90" s="106">
        <v>2663.2498900123505</v>
      </c>
      <c r="AX90" s="106">
        <v>1.6540643663137233</v>
      </c>
      <c r="AY90" s="106">
        <v>3634.3102256645125</v>
      </c>
      <c r="AZ90" s="106">
        <v>7.9094286715507307</v>
      </c>
      <c r="BA90" s="106">
        <v>17378.596677131263</v>
      </c>
      <c r="BB90" s="106">
        <v>9.2908294224215684</v>
      </c>
      <c r="BC90" s="106">
        <v>20413.810406944667</v>
      </c>
      <c r="BD90" s="106">
        <v>10.238593306837606</v>
      </c>
      <c r="BE90" s="106">
        <v>22496.237213783585</v>
      </c>
      <c r="BF90" s="106">
        <v>10.822581615403863</v>
      </c>
      <c r="BG90" s="106">
        <v>23779.376325365363</v>
      </c>
      <c r="BH90" s="106">
        <v>3.520870130224067</v>
      </c>
      <c r="BI90" s="106">
        <v>7736.0558501283194</v>
      </c>
      <c r="BJ90" s="106">
        <v>4.6397907224562918</v>
      </c>
      <c r="BK90" s="106">
        <v>10194.548175380964</v>
      </c>
      <c r="BL90" s="106">
        <v>5.9992910941249447</v>
      </c>
      <c r="BM90" s="106">
        <v>13181.642392011327</v>
      </c>
      <c r="BN90" s="106">
        <v>3.8020507309016836</v>
      </c>
      <c r="BO90" s="106">
        <v>8353.8658659371777</v>
      </c>
      <c r="BP90" s="106">
        <v>11.945352114542017</v>
      </c>
      <c r="BQ90" s="106">
        <v>26246.327666071717</v>
      </c>
      <c r="BR90" s="106">
        <v>11.226656235452182</v>
      </c>
      <c r="BS90" s="106">
        <v>24667.209080535533</v>
      </c>
      <c r="BT90" s="106">
        <v>11.587202227509891</v>
      </c>
      <c r="BU90" s="106">
        <v>25459.400734284733</v>
      </c>
      <c r="BV90" s="106">
        <v>10.32124825663799</v>
      </c>
      <c r="BW90" s="106">
        <v>22677.846669484989</v>
      </c>
      <c r="BX90" s="106">
        <v>2.9494696579116089</v>
      </c>
      <c r="BY90" s="106">
        <v>6480.5747323633868</v>
      </c>
      <c r="BZ90" s="106">
        <v>2.9726330321884018</v>
      </c>
      <c r="CA90" s="106">
        <v>6531.4692983243558</v>
      </c>
      <c r="CB90" s="106">
        <v>3.5766024966070109</v>
      </c>
      <c r="CC90" s="106">
        <v>7858.511005544924</v>
      </c>
      <c r="CD90" s="106">
        <v>4.2238800184594751</v>
      </c>
      <c r="CE90" s="106">
        <v>9280.7091765591576</v>
      </c>
      <c r="CF90" s="106">
        <v>15.447702182246211</v>
      </c>
      <c r="CG90" s="106">
        <v>33941.691234831371</v>
      </c>
      <c r="CH90" s="106">
        <v>15.823563735544578</v>
      </c>
      <c r="CI90" s="106">
        <v>34767.534239738547</v>
      </c>
      <c r="CJ90" s="106">
        <v>12.391869048864745</v>
      </c>
      <c r="CK90" s="106">
        <v>27227.414674165615</v>
      </c>
      <c r="CL90" s="106">
        <v>0</v>
      </c>
      <c r="CM90" s="106">
        <v>0</v>
      </c>
      <c r="CN90" s="106">
        <v>4.3452008353162093</v>
      </c>
      <c r="CO90" s="106">
        <v>9547.2752753567747</v>
      </c>
      <c r="CP90" s="106">
        <v>1.7848257709856314</v>
      </c>
      <c r="CQ90" s="106">
        <v>3921.619184009629</v>
      </c>
      <c r="CR90" s="106">
        <v>3.9478520863639899</v>
      </c>
      <c r="CS90" s="106">
        <v>8674.2206041589579</v>
      </c>
      <c r="CT90" s="106">
        <v>2.6908668679999277</v>
      </c>
      <c r="CU90" s="106">
        <v>5912.3726823694406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2.7855912848049336</v>
      </c>
      <c r="I91" s="106">
        <v>6397.9460629399709</v>
      </c>
      <c r="J91" s="106">
        <v>3.5289752640413417</v>
      </c>
      <c r="K91" s="106">
        <v>8105.3503864501527</v>
      </c>
      <c r="L91" s="106">
        <v>6.1615227278921179</v>
      </c>
      <c r="M91" s="106">
        <v>14151.785401422614</v>
      </c>
      <c r="N91" s="106">
        <v>8.6084167492113597</v>
      </c>
      <c r="O91" s="106">
        <v>19771.811589588648</v>
      </c>
      <c r="P91" s="106">
        <v>7.5207065305173879</v>
      </c>
      <c r="Q91" s="106">
        <v>17273.558759292333</v>
      </c>
      <c r="R91" s="106">
        <v>10.977349478693583</v>
      </c>
      <c r="S91" s="106">
        <v>25212.776282663417</v>
      </c>
      <c r="T91" s="106">
        <v>8.8765886201479951</v>
      </c>
      <c r="U91" s="106">
        <v>20387.748742755914</v>
      </c>
      <c r="V91" s="106">
        <v>10.491115530313012</v>
      </c>
      <c r="W91" s="106">
        <v>24095.994150022922</v>
      </c>
      <c r="X91" s="106">
        <v>9.8691529610639446</v>
      </c>
      <c r="Y91" s="106">
        <v>22667.470520971667</v>
      </c>
      <c r="Z91" s="106">
        <v>8.8006859557927282</v>
      </c>
      <c r="AA91" s="106">
        <v>20213.415503264736</v>
      </c>
      <c r="AB91" s="106">
        <v>11.060511217168534</v>
      </c>
      <c r="AC91" s="106">
        <v>25403.782163592685</v>
      </c>
      <c r="AD91" s="106">
        <v>11.566802223588221</v>
      </c>
      <c r="AE91" s="106">
        <v>26566.631347137423</v>
      </c>
      <c r="AF91" s="106">
        <v>11.860816838168164</v>
      </c>
      <c r="AG91" s="106">
        <v>27241.924113904635</v>
      </c>
      <c r="AH91" s="106">
        <v>11.587202227509891</v>
      </c>
      <c r="AI91" s="106">
        <v>26613.486076144716</v>
      </c>
      <c r="AJ91" s="106">
        <v>16.903800162087759</v>
      </c>
      <c r="AK91" s="106">
        <v>38824.648212283159</v>
      </c>
      <c r="AL91" s="106">
        <v>16.605143573435431</v>
      </c>
      <c r="AM91" s="106">
        <v>38138.693759466492</v>
      </c>
      <c r="AN91" s="106">
        <v>10.390510041153359</v>
      </c>
      <c r="AO91" s="106">
        <v>23864.92346252103</v>
      </c>
      <c r="AP91" s="106">
        <v>9.8814719503637658</v>
      </c>
      <c r="AQ91" s="106">
        <v>22695.764775595493</v>
      </c>
      <c r="AR91" s="106">
        <v>1.7892003439537334</v>
      </c>
      <c r="AS91" s="106">
        <v>4109.4353499929348</v>
      </c>
      <c r="AT91" s="106">
        <v>1.8936283795930564</v>
      </c>
      <c r="AU91" s="106">
        <v>4349.2856622493318</v>
      </c>
      <c r="AV91" s="106">
        <v>1.3636246706098192</v>
      </c>
      <c r="AW91" s="106">
        <v>3131.9731434566324</v>
      </c>
      <c r="AX91" s="106">
        <v>1.6540643663137233</v>
      </c>
      <c r="AY91" s="106">
        <v>3799.0550365493591</v>
      </c>
      <c r="AZ91" s="106">
        <v>8.3746891816419495</v>
      </c>
      <c r="BA91" s="106">
        <v>19234.986112395229</v>
      </c>
      <c r="BB91" s="106">
        <v>10.175670319795051</v>
      </c>
      <c r="BC91" s="106">
        <v>23371.479590505271</v>
      </c>
      <c r="BD91" s="106">
        <v>9.6997199748987839</v>
      </c>
      <c r="BE91" s="106">
        <v>22278.316838347524</v>
      </c>
      <c r="BF91" s="106">
        <v>10.185959167438929</v>
      </c>
      <c r="BG91" s="106">
        <v>23395.111015773728</v>
      </c>
      <c r="BH91" s="106">
        <v>3.0807613639460589</v>
      </c>
      <c r="BI91" s="106">
        <v>7075.892700711307</v>
      </c>
      <c r="BJ91" s="106">
        <v>4.1242584199611478</v>
      </c>
      <c r="BK91" s="106">
        <v>9472.596738966764</v>
      </c>
      <c r="BL91" s="106">
        <v>6.2392627378899421</v>
      </c>
      <c r="BM91" s="106">
        <v>14330.338656385617</v>
      </c>
      <c r="BN91" s="106">
        <v>4.0132757715073328</v>
      </c>
      <c r="BO91" s="106">
        <v>9217.6917919980406</v>
      </c>
      <c r="BP91" s="106">
        <v>11.060511217168534</v>
      </c>
      <c r="BQ91" s="106">
        <v>25403.782163592685</v>
      </c>
      <c r="BR91" s="106">
        <v>11.487741264183628</v>
      </c>
      <c r="BS91" s="106">
        <v>26385.044135576954</v>
      </c>
      <c r="BT91" s="106">
        <v>10.977349478693583</v>
      </c>
      <c r="BU91" s="106">
        <v>25212.776282663417</v>
      </c>
      <c r="BV91" s="106">
        <v>9.6957180592659888</v>
      </c>
      <c r="BW91" s="106">
        <v>22269.12523852212</v>
      </c>
      <c r="BX91" s="106">
        <v>3.160146062048153</v>
      </c>
      <c r="BY91" s="106">
        <v>7258.2234753121966</v>
      </c>
      <c r="BZ91" s="106">
        <v>3.1849639630590021</v>
      </c>
      <c r="CA91" s="106">
        <v>7315.2252303539153</v>
      </c>
      <c r="CB91" s="106">
        <v>3.5766024966070109</v>
      </c>
      <c r="CC91" s="106">
        <v>8214.7406142069813</v>
      </c>
      <c r="CD91" s="106">
        <v>3.8216057309871441</v>
      </c>
      <c r="CE91" s="106">
        <v>8777.4640429312713</v>
      </c>
      <c r="CF91" s="106">
        <v>15.088453294286996</v>
      </c>
      <c r="CG91" s="106">
        <v>34655.15952631837</v>
      </c>
      <c r="CH91" s="106">
        <v>15.823563735544578</v>
      </c>
      <c r="CI91" s="106">
        <v>36343.561187798783</v>
      </c>
      <c r="CJ91" s="106">
        <v>13.893913782060473</v>
      </c>
      <c r="CK91" s="106">
        <v>31911.541174636492</v>
      </c>
      <c r="CL91" s="106">
        <v>0</v>
      </c>
      <c r="CM91" s="106">
        <v>0</v>
      </c>
      <c r="CN91" s="106">
        <v>5.0694009745355775</v>
      </c>
      <c r="CO91" s="106">
        <v>11643.400158313312</v>
      </c>
      <c r="CP91" s="106">
        <v>2.08229673281657</v>
      </c>
      <c r="CQ91" s="106">
        <v>4782.6191359330978</v>
      </c>
      <c r="CR91" s="106">
        <v>3.9478520863639899</v>
      </c>
      <c r="CS91" s="106">
        <v>9067.4266719608113</v>
      </c>
      <c r="CT91" s="106">
        <v>2.6908668679999277</v>
      </c>
      <c r="CU91" s="106">
        <v>6180.3830224222329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3.2920624274967398</v>
      </c>
      <c r="I92" s="106">
        <v>4677.3622969873677</v>
      </c>
      <c r="J92" s="106">
        <v>4.0331145874758194</v>
      </c>
      <c r="K92" s="106">
        <v>5730.2492058856442</v>
      </c>
      <c r="L92" s="106">
        <v>8.2153636371894905</v>
      </c>
      <c r="M92" s="106">
        <v>11672.388655718827</v>
      </c>
      <c r="N92" s="106">
        <v>9.7562056491062066</v>
      </c>
      <c r="O92" s="106">
        <v>13861.616986250097</v>
      </c>
      <c r="P92" s="106">
        <v>8.0059134034539934</v>
      </c>
      <c r="Q92" s="106">
        <v>11374.801763627433</v>
      </c>
      <c r="R92" s="106">
        <v>12.349518163530279</v>
      </c>
      <c r="S92" s="106">
        <v>17546.19540674382</v>
      </c>
      <c r="T92" s="106">
        <v>9.5810797804772019</v>
      </c>
      <c r="U92" s="106">
        <v>13612.798152102008</v>
      </c>
      <c r="V92" s="106">
        <v>10.960866971968818</v>
      </c>
      <c r="W92" s="106">
        <v>15573.199793773296</v>
      </c>
      <c r="X92" s="106">
        <v>11.648836281911541</v>
      </c>
      <c r="Y92" s="106">
        <v>16550.666589339915</v>
      </c>
      <c r="Z92" s="106">
        <v>10.962257944934803</v>
      </c>
      <c r="AA92" s="106">
        <v>15575.176088163369</v>
      </c>
      <c r="AB92" s="106">
        <v>13.364784387411978</v>
      </c>
      <c r="AC92" s="106">
        <v>18988.685657634938</v>
      </c>
      <c r="AD92" s="106">
        <v>13.280402553008697</v>
      </c>
      <c r="AE92" s="106">
        <v>18868.795947314757</v>
      </c>
      <c r="AF92" s="106">
        <v>11.860816838168164</v>
      </c>
      <c r="AG92" s="106">
        <v>16851.848563669326</v>
      </c>
      <c r="AH92" s="106">
        <v>11.587202227509891</v>
      </c>
      <c r="AI92" s="106">
        <v>16463.096924846053</v>
      </c>
      <c r="AJ92" s="106">
        <v>16.903800162087759</v>
      </c>
      <c r="AK92" s="106">
        <v>24016.919270294286</v>
      </c>
      <c r="AL92" s="106">
        <v>18.265657930778975</v>
      </c>
      <c r="AM92" s="106">
        <v>25951.846788050767</v>
      </c>
      <c r="AN92" s="106">
        <v>11.840348651546851</v>
      </c>
      <c r="AO92" s="106">
        <v>16822.767364117764</v>
      </c>
      <c r="AP92" s="106">
        <v>12.104803139195614</v>
      </c>
      <c r="AQ92" s="106">
        <v>17198.504300169127</v>
      </c>
      <c r="AR92" s="106">
        <v>1.7892003439537334</v>
      </c>
      <c r="AS92" s="106">
        <v>2542.0958486894642</v>
      </c>
      <c r="AT92" s="106">
        <v>2.0288875495639891</v>
      </c>
      <c r="AU92" s="106">
        <v>2882.6434304205154</v>
      </c>
      <c r="AV92" s="106">
        <v>1.3636246706098192</v>
      </c>
      <c r="AW92" s="106">
        <v>1937.4379320024311</v>
      </c>
      <c r="AX92" s="106">
        <v>1.8378492959041373</v>
      </c>
      <c r="AY92" s="106">
        <v>2611.216279620598</v>
      </c>
      <c r="AZ92" s="106">
        <v>10.235731222006827</v>
      </c>
      <c r="BA92" s="106">
        <v>14542.926920227299</v>
      </c>
      <c r="BB92" s="106">
        <v>10.618090768481794</v>
      </c>
      <c r="BC92" s="106">
        <v>15086.183363858932</v>
      </c>
      <c r="BD92" s="106">
        <v>11.316339970715248</v>
      </c>
      <c r="BE92" s="106">
        <v>16078.255830392223</v>
      </c>
      <c r="BF92" s="106">
        <v>10.185959167438929</v>
      </c>
      <c r="BG92" s="106">
        <v>14472.21078509723</v>
      </c>
      <c r="BH92" s="106">
        <v>3.520870130224067</v>
      </c>
      <c r="BI92" s="106">
        <v>5002.4522810223543</v>
      </c>
      <c r="BJ92" s="106">
        <v>4.6397907224562918</v>
      </c>
      <c r="BK92" s="106">
        <v>6592.2146584658994</v>
      </c>
      <c r="BL92" s="106">
        <v>5.7593194503599463</v>
      </c>
      <c r="BM92" s="106">
        <v>8182.8410750714111</v>
      </c>
      <c r="BN92" s="106">
        <v>3.8020507309016836</v>
      </c>
      <c r="BO92" s="106">
        <v>5401.9536784651118</v>
      </c>
      <c r="BP92" s="106">
        <v>11.945352114542017</v>
      </c>
      <c r="BQ92" s="106">
        <v>16971.956284341297</v>
      </c>
      <c r="BR92" s="106">
        <v>12.532081379109412</v>
      </c>
      <c r="BS92" s="106">
        <v>17805.58122343865</v>
      </c>
      <c r="BT92" s="106">
        <v>13.111834099550668</v>
      </c>
      <c r="BU92" s="106">
        <v>18629.29388864159</v>
      </c>
      <c r="BV92" s="106">
        <v>11.885073750067987</v>
      </c>
      <c r="BW92" s="106">
        <v>16886.312784096594</v>
      </c>
      <c r="BX92" s="106">
        <v>2.7387932537750657</v>
      </c>
      <c r="BY92" s="106">
        <v>3891.2774549636133</v>
      </c>
      <c r="BZ92" s="106">
        <v>3.3972948939296019</v>
      </c>
      <c r="CA92" s="106">
        <v>4826.8765852951783</v>
      </c>
      <c r="CB92" s="106">
        <v>3.3014792276372407</v>
      </c>
      <c r="CC92" s="106">
        <v>4690.7416866269914</v>
      </c>
      <c r="CD92" s="106">
        <v>4.4250171621956405</v>
      </c>
      <c r="CE92" s="106">
        <v>6287.0643840475659</v>
      </c>
      <c r="CF92" s="106">
        <v>14.729204406327781</v>
      </c>
      <c r="CG92" s="106">
        <v>20927.25362051051</v>
      </c>
      <c r="CH92" s="106">
        <v>17.405920109099036</v>
      </c>
      <c r="CI92" s="106">
        <v>24730.331291007908</v>
      </c>
      <c r="CJ92" s="106">
        <v>13.893913782060473</v>
      </c>
      <c r="CK92" s="106">
        <v>19740.47270155152</v>
      </c>
      <c r="CL92" s="106">
        <v>0</v>
      </c>
      <c r="CM92" s="106">
        <v>0</v>
      </c>
      <c r="CN92" s="106">
        <v>5.0694009745355775</v>
      </c>
      <c r="CO92" s="106">
        <v>7202.6049046201479</v>
      </c>
      <c r="CP92" s="106">
        <v>2.3797676946475086</v>
      </c>
      <c r="CQ92" s="106">
        <v>3381.1739405551803</v>
      </c>
      <c r="CR92" s="106">
        <v>4.3067477305788984</v>
      </c>
      <c r="CS92" s="106">
        <v>6119.0271756064985</v>
      </c>
      <c r="CT92" s="106">
        <v>3.0752764205713459</v>
      </c>
      <c r="CU92" s="106">
        <v>4369.3527383477676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2.7855912848049336</v>
      </c>
      <c r="I93" s="106">
        <v>4937.1819931882637</v>
      </c>
      <c r="J93" s="106">
        <v>3.2769056023241032</v>
      </c>
      <c r="K93" s="106">
        <v>5807.9874895592402</v>
      </c>
      <c r="L93" s="106">
        <v>7.3351461046334734</v>
      </c>
      <c r="M93" s="106">
        <v>13000.812955852367</v>
      </c>
      <c r="N93" s="106">
        <v>8.3214695242376475</v>
      </c>
      <c r="O93" s="106">
        <v>14748.972584758805</v>
      </c>
      <c r="P93" s="106">
        <v>8.2485168399222957</v>
      </c>
      <c r="Q93" s="106">
        <v>14619.671247078275</v>
      </c>
      <c r="R93" s="106">
        <v>12.349518163530279</v>
      </c>
      <c r="S93" s="106">
        <v>21888.285993041063</v>
      </c>
      <c r="T93" s="106">
        <v>8.3129956918846304</v>
      </c>
      <c r="U93" s="106">
        <v>14733.953564296318</v>
      </c>
      <c r="V93" s="106">
        <v>11.743786041395161</v>
      </c>
      <c r="W93" s="106">
        <v>20814.686379768784</v>
      </c>
      <c r="X93" s="106">
        <v>11.001678710694234</v>
      </c>
      <c r="Y93" s="106">
        <v>19499.375346834458</v>
      </c>
      <c r="Z93" s="106">
        <v>10.0358699495882</v>
      </c>
      <c r="AA93" s="106">
        <v>17787.575898650124</v>
      </c>
      <c r="AB93" s="106">
        <v>13.825639021460667</v>
      </c>
      <c r="AC93" s="106">
        <v>24504.562601636884</v>
      </c>
      <c r="AD93" s="106">
        <v>11.566802223588221</v>
      </c>
      <c r="AE93" s="106">
        <v>20501.00026108776</v>
      </c>
      <c r="AF93" s="106">
        <v>11.860816838168164</v>
      </c>
      <c r="AG93" s="106">
        <v>21022.111763969253</v>
      </c>
      <c r="AH93" s="106">
        <v>12.070002320322804</v>
      </c>
      <c r="AI93" s="106">
        <v>21392.872112540135</v>
      </c>
      <c r="AJ93" s="106">
        <v>15.495150148580446</v>
      </c>
      <c r="AK93" s="106">
        <v>27463.604123343983</v>
      </c>
      <c r="AL93" s="106">
        <v>18.740090604305699</v>
      </c>
      <c r="AM93" s="106">
        <v>33214.936587071417</v>
      </c>
      <c r="AN93" s="106">
        <v>12.806907725142512</v>
      </c>
      <c r="AO93" s="106">
        <v>22698.963252042588</v>
      </c>
      <c r="AP93" s="106">
        <v>11.85776634043652</v>
      </c>
      <c r="AQ93" s="106">
        <v>21016.705061789686</v>
      </c>
      <c r="AR93" s="106">
        <v>1.7892003439537334</v>
      </c>
      <c r="AS93" s="106">
        <v>3171.1786896235967</v>
      </c>
      <c r="AT93" s="106">
        <v>1.8936283795930564</v>
      </c>
      <c r="AU93" s="106">
        <v>3356.2669399907331</v>
      </c>
      <c r="AV93" s="106">
        <v>1.3636246706098192</v>
      </c>
      <c r="AW93" s="106">
        <v>2416.8883661888435</v>
      </c>
      <c r="AX93" s="106">
        <v>1.8378492959041373</v>
      </c>
      <c r="AY93" s="106">
        <v>3257.4040920604925</v>
      </c>
      <c r="AZ93" s="106">
        <v>7.9094286715507307</v>
      </c>
      <c r="BA93" s="106">
        <v>14018.671377456514</v>
      </c>
      <c r="BB93" s="106">
        <v>8.848408973734827</v>
      </c>
      <c r="BC93" s="106">
        <v>15682.920065047607</v>
      </c>
      <c r="BD93" s="106">
        <v>11.855213302654068</v>
      </c>
      <c r="BE93" s="106">
        <v>21012.180057624068</v>
      </c>
      <c r="BF93" s="106">
        <v>12.095826511333728</v>
      </c>
      <c r="BG93" s="106">
        <v>21438.642908687896</v>
      </c>
      <c r="BH93" s="106">
        <v>3.3008157470850628</v>
      </c>
      <c r="BI93" s="106">
        <v>5850.3658301335645</v>
      </c>
      <c r="BJ93" s="106">
        <v>4.1242584199611478</v>
      </c>
      <c r="BK93" s="106">
        <v>7309.8356235391375</v>
      </c>
      <c r="BL93" s="106">
        <v>6.2392627378899421</v>
      </c>
      <c r="BM93" s="106">
        <v>11058.469276636133</v>
      </c>
      <c r="BN93" s="106">
        <v>4.2245008121129821</v>
      </c>
      <c r="BO93" s="106">
        <v>7487.5052393890492</v>
      </c>
      <c r="BP93" s="106">
        <v>10.839300992825164</v>
      </c>
      <c r="BQ93" s="106">
        <v>19211.57707968332</v>
      </c>
      <c r="BR93" s="106">
        <v>11.487741264183628</v>
      </c>
      <c r="BS93" s="106">
        <v>20360.872616639059</v>
      </c>
      <c r="BT93" s="106">
        <v>12.501981350734358</v>
      </c>
      <c r="BU93" s="106">
        <v>22158.511746041575</v>
      </c>
      <c r="BV93" s="106">
        <v>11.572308651381988</v>
      </c>
      <c r="BW93" s="106">
        <v>20510.759853709435</v>
      </c>
      <c r="BX93" s="106">
        <v>2.9494696579116089</v>
      </c>
      <c r="BY93" s="106">
        <v>5227.640021682535</v>
      </c>
      <c r="BZ93" s="106">
        <v>2.7603021013178015</v>
      </c>
      <c r="CA93" s="106">
        <v>4892.359444375671</v>
      </c>
      <c r="CB93" s="106">
        <v>3.5766024966070109</v>
      </c>
      <c r="CC93" s="106">
        <v>6339.1702649862655</v>
      </c>
      <c r="CD93" s="106">
        <v>4.827291449667972</v>
      </c>
      <c r="CE93" s="106">
        <v>8555.8913653915133</v>
      </c>
      <c r="CF93" s="106">
        <v>16.884697734083066</v>
      </c>
      <c r="CG93" s="106">
        <v>29926.438263888824</v>
      </c>
      <c r="CH93" s="106">
        <v>15.296111611026427</v>
      </c>
      <c r="CI93" s="106">
        <v>27110.828219383238</v>
      </c>
      <c r="CJ93" s="106">
        <v>14.644936148658337</v>
      </c>
      <c r="CK93" s="106">
        <v>25956.684829882033</v>
      </c>
      <c r="CL93" s="106">
        <v>0</v>
      </c>
      <c r="CM93" s="106">
        <v>0</v>
      </c>
      <c r="CN93" s="106">
        <v>4.3452008353162093</v>
      </c>
      <c r="CO93" s="106">
        <v>7701.4339605144487</v>
      </c>
      <c r="CP93" s="106">
        <v>2.08229673281657</v>
      </c>
      <c r="CQ93" s="106">
        <v>3690.6627292440885</v>
      </c>
      <c r="CR93" s="106">
        <v>4.3067477305788984</v>
      </c>
      <c r="CS93" s="106">
        <v>7633.2796776780388</v>
      </c>
      <c r="CT93" s="106">
        <v>3.0752764205713459</v>
      </c>
      <c r="CU93" s="106">
        <v>5450.6199278206532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2.7855912848049336</v>
      </c>
      <c r="I94" s="106">
        <v>6672.0482453647764</v>
      </c>
      <c r="J94" s="106">
        <v>3.2769056023241032</v>
      </c>
      <c r="K94" s="106">
        <v>7848.8442986866912</v>
      </c>
      <c r="L94" s="106">
        <v>6.4549285720774563</v>
      </c>
      <c r="M94" s="106">
        <v>15460.844915839922</v>
      </c>
      <c r="N94" s="106">
        <v>8.3214695242376475</v>
      </c>
      <c r="O94" s="106">
        <v>19931.583804454011</v>
      </c>
      <c r="P94" s="106">
        <v>7.5207065305173879</v>
      </c>
      <c r="Q94" s="106">
        <v>18013.596281895247</v>
      </c>
      <c r="R94" s="106">
        <v>11.206044259499699</v>
      </c>
      <c r="S94" s="106">
        <v>26840.717210353676</v>
      </c>
      <c r="T94" s="106">
        <v>8.3129956918846304</v>
      </c>
      <c r="U94" s="106">
        <v>19911.287281202065</v>
      </c>
      <c r="V94" s="106">
        <v>10.334531716427742</v>
      </c>
      <c r="W94" s="106">
        <v>24753.270367187724</v>
      </c>
      <c r="X94" s="106">
        <v>10.354521139476924</v>
      </c>
      <c r="Y94" s="106">
        <v>24801.149033275127</v>
      </c>
      <c r="Z94" s="106">
        <v>9.7270739511393334</v>
      </c>
      <c r="AA94" s="106">
        <v>23298.287527768931</v>
      </c>
      <c r="AB94" s="106">
        <v>12.443075119314601</v>
      </c>
      <c r="AC94" s="106">
        <v>29803.653525782331</v>
      </c>
      <c r="AD94" s="106">
        <v>10.710002058877981</v>
      </c>
      <c r="AE94" s="106">
        <v>25652.596931424538</v>
      </c>
      <c r="AF94" s="106">
        <v>10.91195149111471</v>
      </c>
      <c r="AG94" s="106">
        <v>26136.306211517953</v>
      </c>
      <c r="AH94" s="106">
        <v>12.070002320322804</v>
      </c>
      <c r="AI94" s="106">
        <v>28910.069557637176</v>
      </c>
      <c r="AJ94" s="106">
        <v>16.199475155334103</v>
      </c>
      <c r="AK94" s="106">
        <v>38800.982892056236</v>
      </c>
      <c r="AL94" s="106">
        <v>16.605143573435431</v>
      </c>
      <c r="AM94" s="106">
        <v>39772.63988709254</v>
      </c>
      <c r="AN94" s="106">
        <v>11.115429346350105</v>
      </c>
      <c r="AO94" s="106">
        <v>26623.676370377769</v>
      </c>
      <c r="AP94" s="106">
        <v>10.622582346641048</v>
      </c>
      <c r="AQ94" s="106">
        <v>25443.209236674636</v>
      </c>
      <c r="AR94" s="106">
        <v>1.677375322456625</v>
      </c>
      <c r="AS94" s="106">
        <v>4017.649372348108</v>
      </c>
      <c r="AT94" s="106">
        <v>1.8936283795930564</v>
      </c>
      <c r="AU94" s="106">
        <v>4535.6186948012883</v>
      </c>
      <c r="AV94" s="106">
        <v>1.3636246706098192</v>
      </c>
      <c r="AW94" s="106">
        <v>3266.1538110446386</v>
      </c>
      <c r="AX94" s="106">
        <v>1.8378492959041373</v>
      </c>
      <c r="AY94" s="106">
        <v>4402.0166335495896</v>
      </c>
      <c r="AZ94" s="106">
        <v>7.9094286715507307</v>
      </c>
      <c r="BA94" s="106">
        <v>18944.663554098308</v>
      </c>
      <c r="BB94" s="106">
        <v>8.848408973734827</v>
      </c>
      <c r="BC94" s="106">
        <v>21193.709173889656</v>
      </c>
      <c r="BD94" s="106">
        <v>9.6997199748987839</v>
      </c>
      <c r="BE94" s="106">
        <v>23232.769283877566</v>
      </c>
      <c r="BF94" s="106">
        <v>9.5493367194739953</v>
      </c>
      <c r="BG94" s="106">
        <v>22872.571310484112</v>
      </c>
      <c r="BH94" s="106">
        <v>3.3008157470850628</v>
      </c>
      <c r="BI94" s="106">
        <v>7906.1138774181418</v>
      </c>
      <c r="BJ94" s="106">
        <v>3.8664922687135763</v>
      </c>
      <c r="BK94" s="106">
        <v>9261.0222820227573</v>
      </c>
      <c r="BL94" s="106">
        <v>6.2392627378899421</v>
      </c>
      <c r="BM94" s="106">
        <v>14944.282109793989</v>
      </c>
      <c r="BN94" s="106">
        <v>3.8020507309016836</v>
      </c>
      <c r="BO94" s="106">
        <v>9106.6719106557121</v>
      </c>
      <c r="BP94" s="106">
        <v>9.9544600954516813</v>
      </c>
      <c r="BQ94" s="106">
        <v>23842.922820625867</v>
      </c>
      <c r="BR94" s="106">
        <v>10.70448617798929</v>
      </c>
      <c r="BS94" s="106">
        <v>25639.385293519947</v>
      </c>
      <c r="BT94" s="106">
        <v>10.977349478693583</v>
      </c>
      <c r="BU94" s="106">
        <v>26292.947471366868</v>
      </c>
      <c r="BV94" s="106">
        <v>10.32124825663799</v>
      </c>
      <c r="BW94" s="106">
        <v>24721.453824299311</v>
      </c>
      <c r="BX94" s="106">
        <v>2.528116849638522</v>
      </c>
      <c r="BY94" s="106">
        <v>6055.3454782541876</v>
      </c>
      <c r="BZ94" s="106">
        <v>3.1849639630590021</v>
      </c>
      <c r="CA94" s="106">
        <v>7628.6256843189212</v>
      </c>
      <c r="CB94" s="106">
        <v>3.5766024966070109</v>
      </c>
      <c r="CC94" s="106">
        <v>8566.6782998731123</v>
      </c>
      <c r="CD94" s="106">
        <v>4.2238800184594751</v>
      </c>
      <c r="CE94" s="106">
        <v>10117.037420214134</v>
      </c>
      <c r="CF94" s="106">
        <v>15.447702182246211</v>
      </c>
      <c r="CG94" s="106">
        <v>37000.336266916122</v>
      </c>
      <c r="CH94" s="106">
        <v>16.351015860062731</v>
      </c>
      <c r="CI94" s="106">
        <v>39163.953188022249</v>
      </c>
      <c r="CJ94" s="106">
        <v>11.26533549896795</v>
      </c>
      <c r="CK94" s="106">
        <v>26982.731587128033</v>
      </c>
      <c r="CL94" s="106">
        <v>0</v>
      </c>
      <c r="CM94" s="106">
        <v>0</v>
      </c>
      <c r="CN94" s="106">
        <v>5.0694009745355775</v>
      </c>
      <c r="CO94" s="106">
        <v>12142.229214207615</v>
      </c>
      <c r="CP94" s="106">
        <v>1.7848257709856314</v>
      </c>
      <c r="CQ94" s="106">
        <v>4275.0146866647838</v>
      </c>
      <c r="CR94" s="106">
        <v>3.9478520863639899</v>
      </c>
      <c r="CS94" s="106">
        <v>9455.8953172590282</v>
      </c>
      <c r="CT94" s="106">
        <v>2.6908668679999277</v>
      </c>
      <c r="CU94" s="106">
        <v>6445.164322233426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12.915014138641055</v>
      </c>
      <c r="I95" s="106">
        <v>22379.13649943722</v>
      </c>
      <c r="J95" s="106">
        <v>9.3265774835378323</v>
      </c>
      <c r="K95" s="106">
        <v>16161.093463474355</v>
      </c>
      <c r="L95" s="106">
        <v>9.0955811697455058</v>
      </c>
      <c r="M95" s="106">
        <v>15760.823050935012</v>
      </c>
      <c r="N95" s="106">
        <v>7.460627849316511</v>
      </c>
      <c r="O95" s="106">
        <v>12927.77593729565</v>
      </c>
      <c r="P95" s="106">
        <v>8.733723712858902</v>
      </c>
      <c r="Q95" s="106">
        <v>15133.796449641904</v>
      </c>
      <c r="R95" s="106">
        <v>6.1747590817651394</v>
      </c>
      <c r="S95" s="106">
        <v>10699.622536882633</v>
      </c>
      <c r="T95" s="106">
        <v>11.553655029398978</v>
      </c>
      <c r="U95" s="106">
        <v>20020.17343494255</v>
      </c>
      <c r="V95" s="106">
        <v>8.6121097636897854</v>
      </c>
      <c r="W95" s="106">
        <v>14923.06379852166</v>
      </c>
      <c r="X95" s="106">
        <v>7.9276802474120212</v>
      </c>
      <c r="Y95" s="106">
        <v>13737.084332715551</v>
      </c>
      <c r="Z95" s="106">
        <v>11.116655944159236</v>
      </c>
      <c r="AA95" s="106">
        <v>19262.941420039122</v>
      </c>
      <c r="AB95" s="106">
        <v>3.6868370723895114</v>
      </c>
      <c r="AC95" s="106">
        <v>6388.5512790365456</v>
      </c>
      <c r="AD95" s="106">
        <v>4.2840008235511933</v>
      </c>
      <c r="AE95" s="106">
        <v>7423.3166270495076</v>
      </c>
      <c r="AF95" s="106">
        <v>5.6931920823207189</v>
      </c>
      <c r="AG95" s="106">
        <v>9865.1632402453415</v>
      </c>
      <c r="AH95" s="106">
        <v>6.75920129938077</v>
      </c>
      <c r="AI95" s="106">
        <v>11712.344011566998</v>
      </c>
      <c r="AJ95" s="106">
        <v>7.9823500765414428</v>
      </c>
      <c r="AK95" s="106">
        <v>13831.816212631013</v>
      </c>
      <c r="AL95" s="106">
        <v>5.2187594087939919</v>
      </c>
      <c r="AM95" s="106">
        <v>9043.0663035582293</v>
      </c>
      <c r="AN95" s="106">
        <v>8.2157521255631227</v>
      </c>
      <c r="AO95" s="106">
        <v>14236.255283175778</v>
      </c>
      <c r="AP95" s="106">
        <v>7.1640671640137308</v>
      </c>
      <c r="AQ95" s="106">
        <v>12413.895581802992</v>
      </c>
      <c r="AR95" s="106">
        <v>5.0321259673698755</v>
      </c>
      <c r="AS95" s="106">
        <v>8719.6678762585198</v>
      </c>
      <c r="AT95" s="106">
        <v>3.6519975892151804</v>
      </c>
      <c r="AU95" s="106">
        <v>6328.1814225920643</v>
      </c>
      <c r="AV95" s="106">
        <v>6.969637205339076</v>
      </c>
      <c r="AW95" s="106">
        <v>12076.987349411551</v>
      </c>
      <c r="AX95" s="106">
        <v>4.96219309894117</v>
      </c>
      <c r="AY95" s="106">
        <v>8598.488201845259</v>
      </c>
      <c r="AZ95" s="106">
        <v>6.5136471412770724</v>
      </c>
      <c r="BA95" s="106">
        <v>11286.847766404911</v>
      </c>
      <c r="BB95" s="106">
        <v>7.9635680763613452</v>
      </c>
      <c r="BC95" s="106">
        <v>13799.270762718939</v>
      </c>
      <c r="BD95" s="106">
        <v>8.0830999790823199</v>
      </c>
      <c r="BE95" s="106">
        <v>14006.395643753844</v>
      </c>
      <c r="BF95" s="106">
        <v>7.6394693755791963</v>
      </c>
      <c r="BG95" s="106">
        <v>13237.67253400363</v>
      </c>
      <c r="BH95" s="106">
        <v>6.3815771110311212</v>
      </c>
      <c r="BI95" s="106">
        <v>11057.996817994726</v>
      </c>
      <c r="BJ95" s="106">
        <v>5.1553230249514348</v>
      </c>
      <c r="BK95" s="106">
        <v>8933.1437376358463</v>
      </c>
      <c r="BL95" s="106">
        <v>7.4391209567149312</v>
      </c>
      <c r="BM95" s="106">
        <v>12890.508793795632</v>
      </c>
      <c r="BN95" s="106">
        <v>3.379600649690385</v>
      </c>
      <c r="BO95" s="106">
        <v>5856.1720057834991</v>
      </c>
      <c r="BP95" s="106">
        <v>7.9635680763613452</v>
      </c>
      <c r="BQ95" s="106">
        <v>13799.270762718939</v>
      </c>
      <c r="BR95" s="106">
        <v>8.6158059481377212</v>
      </c>
      <c r="BS95" s="106">
        <v>14929.468546933043</v>
      </c>
      <c r="BT95" s="106">
        <v>8.5379384834283414</v>
      </c>
      <c r="BU95" s="106">
        <v>14794.53980408463</v>
      </c>
      <c r="BV95" s="106">
        <v>8.1318925658359902</v>
      </c>
      <c r="BW95" s="106">
        <v>14090.943438080603</v>
      </c>
      <c r="BX95" s="106">
        <v>15.800730310240761</v>
      </c>
      <c r="BY95" s="106">
        <v>27379.505481585191</v>
      </c>
      <c r="BZ95" s="106">
        <v>14.438503299200809</v>
      </c>
      <c r="CA95" s="106">
        <v>25019.038516855162</v>
      </c>
      <c r="CB95" s="106">
        <v>13.756163448488504</v>
      </c>
      <c r="CC95" s="106">
        <v>23836.680023540881</v>
      </c>
      <c r="CD95" s="106">
        <v>18.303480079991061</v>
      </c>
      <c r="CE95" s="106">
        <v>31716.270282608511</v>
      </c>
      <c r="CF95" s="106">
        <v>5.388733319388213</v>
      </c>
      <c r="CG95" s="106">
        <v>9337.5970958358957</v>
      </c>
      <c r="CH95" s="106">
        <v>4.7470691206633733</v>
      </c>
      <c r="CI95" s="106">
        <v>8225.7213722854922</v>
      </c>
      <c r="CJ95" s="106">
        <v>5.632667749483975</v>
      </c>
      <c r="CK95" s="106">
        <v>9760.2866763058319</v>
      </c>
      <c r="CL95" s="106">
        <v>0</v>
      </c>
      <c r="CM95" s="106">
        <v>0</v>
      </c>
      <c r="CN95" s="106">
        <v>25.347004872677893</v>
      </c>
      <c r="CO95" s="106">
        <v>43921.290043376248</v>
      </c>
      <c r="CP95" s="106">
        <v>12.196309435068482</v>
      </c>
      <c r="CQ95" s="106">
        <v>21133.764989086663</v>
      </c>
      <c r="CR95" s="106">
        <v>10.049078038017429</v>
      </c>
      <c r="CS95" s="106">
        <v>17413.042424276602</v>
      </c>
      <c r="CT95" s="106">
        <v>9.9946483668568735</v>
      </c>
      <c r="CU95" s="106">
        <v>17318.726690089588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12.408542995949249</v>
      </c>
      <c r="I96" s="106">
        <v>10214.71259426542</v>
      </c>
      <c r="J96" s="106">
        <v>12.099343762427457</v>
      </c>
      <c r="K96" s="106">
        <v>9960.1797852302825</v>
      </c>
      <c r="L96" s="106">
        <v>10.85601623485754</v>
      </c>
      <c r="M96" s="106">
        <v>8936.6725645347269</v>
      </c>
      <c r="N96" s="106">
        <v>9.182311199158784</v>
      </c>
      <c r="O96" s="106">
        <v>7558.8785791475102</v>
      </c>
      <c r="P96" s="106">
        <v>10.431947768137022</v>
      </c>
      <c r="Q96" s="106">
        <v>8587.5794027303964</v>
      </c>
      <c r="R96" s="106">
        <v>7.5469277666018373</v>
      </c>
      <c r="S96" s="106">
        <v>6212.6309374666316</v>
      </c>
      <c r="T96" s="106">
        <v>13.808026742452437</v>
      </c>
      <c r="U96" s="106">
        <v>11366.767614386845</v>
      </c>
      <c r="V96" s="106">
        <v>11.117450785854087</v>
      </c>
      <c r="W96" s="106">
        <v>9151.8854869150837</v>
      </c>
      <c r="X96" s="106">
        <v>9.5455741754552896</v>
      </c>
      <c r="Y96" s="106">
        <v>7857.9166612347935</v>
      </c>
      <c r="Z96" s="106">
        <v>10.807859945710369</v>
      </c>
      <c r="AA96" s="106">
        <v>8897.0303073087744</v>
      </c>
      <c r="AB96" s="106">
        <v>4.1476917064381995</v>
      </c>
      <c r="AC96" s="106">
        <v>3414.3798127399255</v>
      </c>
      <c r="AD96" s="106">
        <v>4.7124009059063114</v>
      </c>
      <c r="AE96" s="106">
        <v>3879.2484257420751</v>
      </c>
      <c r="AF96" s="106">
        <v>6.1676247558474451</v>
      </c>
      <c r="AG96" s="106">
        <v>5077.1886990136163</v>
      </c>
      <c r="AH96" s="106">
        <v>6.2764012065678578</v>
      </c>
      <c r="AI96" s="106">
        <v>5166.7334732466597</v>
      </c>
      <c r="AJ96" s="106">
        <v>7.5128000720390045</v>
      </c>
      <c r="AK96" s="106">
        <v>6184.5370193025083</v>
      </c>
      <c r="AL96" s="106">
        <v>5.6931920823207189</v>
      </c>
      <c r="AM96" s="106">
        <v>4686.6357221664157</v>
      </c>
      <c r="AN96" s="106">
        <v>9.1823111991587822</v>
      </c>
      <c r="AO96" s="106">
        <v>7558.8785791475093</v>
      </c>
      <c r="AP96" s="106">
        <v>8.6462879565682957</v>
      </c>
      <c r="AQ96" s="106">
        <v>7117.6242458470206</v>
      </c>
      <c r="AR96" s="106">
        <v>4.6966509028785506</v>
      </c>
      <c r="AS96" s="106">
        <v>3866.2830232496226</v>
      </c>
      <c r="AT96" s="106">
        <v>4.0577750991279782</v>
      </c>
      <c r="AU96" s="106">
        <v>3340.3604616021512</v>
      </c>
      <c r="AV96" s="106">
        <v>8.9393172851088156</v>
      </c>
      <c r="AW96" s="106">
        <v>7358.8459891015764</v>
      </c>
      <c r="AX96" s="106">
        <v>6.0649026764836522</v>
      </c>
      <c r="AY96" s="106">
        <v>4992.6278832813423</v>
      </c>
      <c r="AZ96" s="106">
        <v>6.0483866311858527</v>
      </c>
      <c r="BA96" s="106">
        <v>4979.0318747921938</v>
      </c>
      <c r="BB96" s="106">
        <v>10.175670319795051</v>
      </c>
      <c r="BC96" s="106">
        <v>8376.6118072552854</v>
      </c>
      <c r="BD96" s="106">
        <v>7.005353315204677</v>
      </c>
      <c r="BE96" s="106">
        <v>5766.8068490764899</v>
      </c>
      <c r="BF96" s="106">
        <v>7.0028469276142635</v>
      </c>
      <c r="BG96" s="106">
        <v>5764.7435908120615</v>
      </c>
      <c r="BH96" s="106">
        <v>7.0417402604481341</v>
      </c>
      <c r="BI96" s="106">
        <v>5796.7605824009033</v>
      </c>
      <c r="BJ96" s="106">
        <v>5.9286214786941507</v>
      </c>
      <c r="BK96" s="106">
        <v>4880.4412012610246</v>
      </c>
      <c r="BL96" s="106">
        <v>6.9591776691849354</v>
      </c>
      <c r="BM96" s="106">
        <v>5728.7950572730388</v>
      </c>
      <c r="BN96" s="106">
        <v>4.2245008121129821</v>
      </c>
      <c r="BO96" s="106">
        <v>3477.6090685314066</v>
      </c>
      <c r="BP96" s="106">
        <v>9.51203964676494</v>
      </c>
      <c r="BQ96" s="106">
        <v>7830.3110372168976</v>
      </c>
      <c r="BR96" s="106">
        <v>10.443401149257843</v>
      </c>
      <c r="BS96" s="106">
        <v>8597.0078260690552</v>
      </c>
      <c r="BT96" s="106">
        <v>8.8428648578364974</v>
      </c>
      <c r="BU96" s="106">
        <v>7279.446350971004</v>
      </c>
      <c r="BV96" s="106">
        <v>9.6957180592659888</v>
      </c>
      <c r="BW96" s="106">
        <v>7981.5151063877611</v>
      </c>
      <c r="BX96" s="106">
        <v>15.590053906104218</v>
      </c>
      <c r="BY96" s="106">
        <v>12833.732375504991</v>
      </c>
      <c r="BZ96" s="106">
        <v>14.013841437459607</v>
      </c>
      <c r="CA96" s="106">
        <v>11536.194271316748</v>
      </c>
      <c r="CB96" s="106">
        <v>17.057642676125745</v>
      </c>
      <c r="CC96" s="106">
        <v>14041.851450986713</v>
      </c>
      <c r="CD96" s="106">
        <v>18.504617223727223</v>
      </c>
      <c r="CE96" s="106">
        <v>15233.000898572249</v>
      </c>
      <c r="CF96" s="106">
        <v>5.0294844314289984</v>
      </c>
      <c r="CG96" s="106">
        <v>4140.2715839523507</v>
      </c>
      <c r="CH96" s="106">
        <v>6.3294254942178316</v>
      </c>
      <c r="CI96" s="106">
        <v>5210.3830668401188</v>
      </c>
      <c r="CJ96" s="106">
        <v>6.0081789327829069</v>
      </c>
      <c r="CK96" s="106">
        <v>4945.9328974668888</v>
      </c>
      <c r="CL96" s="106">
        <v>0</v>
      </c>
      <c r="CM96" s="106">
        <v>0</v>
      </c>
      <c r="CN96" s="106">
        <v>31.140605986432835</v>
      </c>
      <c r="CO96" s="106">
        <v>25634.946848031508</v>
      </c>
      <c r="CP96" s="106">
        <v>14.278606167885052</v>
      </c>
      <c r="CQ96" s="106">
        <v>11754.148597402973</v>
      </c>
      <c r="CR96" s="106">
        <v>12.561347547521786</v>
      </c>
      <c r="CS96" s="106">
        <v>10340.501301119933</v>
      </c>
      <c r="CT96" s="106">
        <v>11.532286577142546</v>
      </c>
      <c r="CU96" s="106">
        <v>9493.378310303744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12.915014138641055</v>
      </c>
      <c r="I97" s="106">
        <v>23618.977856746762</v>
      </c>
      <c r="J97" s="106">
        <v>9.0745078218205926</v>
      </c>
      <c r="K97" s="106">
        <v>16595.4599045455</v>
      </c>
      <c r="L97" s="106">
        <v>9.6823928581161844</v>
      </c>
      <c r="M97" s="106">
        <v>17707.160058922876</v>
      </c>
      <c r="N97" s="106">
        <v>7.7475750742902232</v>
      </c>
      <c r="O97" s="106">
        <v>14168.76529586196</v>
      </c>
      <c r="P97" s="106">
        <v>9.2189305857955066</v>
      </c>
      <c r="Q97" s="106">
        <v>16859.580255302822</v>
      </c>
      <c r="R97" s="106">
        <v>6.1747590817651394</v>
      </c>
      <c r="S97" s="106">
        <v>11292.399408732086</v>
      </c>
      <c r="T97" s="106">
        <v>10.144672708740567</v>
      </c>
      <c r="U97" s="106">
        <v>18552.577449744749</v>
      </c>
      <c r="V97" s="106">
        <v>10.177947902542474</v>
      </c>
      <c r="W97" s="106">
        <v>18613.431124169678</v>
      </c>
      <c r="X97" s="106">
        <v>8.7366272114336567</v>
      </c>
      <c r="Y97" s="106">
        <v>15977.543844269871</v>
      </c>
      <c r="Z97" s="106">
        <v>9.8814719503637658</v>
      </c>
      <c r="AA97" s="106">
        <v>18071.235902825254</v>
      </c>
      <c r="AB97" s="106">
        <v>3.2259824383408224</v>
      </c>
      <c r="AC97" s="106">
        <v>5899.6766832376961</v>
      </c>
      <c r="AD97" s="106">
        <v>4.7124009059063114</v>
      </c>
      <c r="AE97" s="106">
        <v>8618.0387767214615</v>
      </c>
      <c r="AF97" s="106">
        <v>6.1676247558474451</v>
      </c>
      <c r="AG97" s="106">
        <v>11279.352153493808</v>
      </c>
      <c r="AH97" s="106">
        <v>6.75920129938077</v>
      </c>
      <c r="AI97" s="106">
        <v>12361.227336307551</v>
      </c>
      <c r="AJ97" s="106">
        <v>6.5737000630341287</v>
      </c>
      <c r="AK97" s="106">
        <v>12021.982675276815</v>
      </c>
      <c r="AL97" s="106">
        <v>4.9815430720306288</v>
      </c>
      <c r="AM97" s="106">
        <v>9110.2459701296139</v>
      </c>
      <c r="AN97" s="106">
        <v>7.7324725887652903</v>
      </c>
      <c r="AO97" s="106">
        <v>14141.145870333963</v>
      </c>
      <c r="AP97" s="106">
        <v>7.4111039627728248</v>
      </c>
      <c r="AQ97" s="106">
        <v>13553.426927118942</v>
      </c>
      <c r="AR97" s="106">
        <v>4.584825881381442</v>
      </c>
      <c r="AS97" s="106">
        <v>8384.7295718703808</v>
      </c>
      <c r="AT97" s="106">
        <v>3.6519975892151804</v>
      </c>
      <c r="AU97" s="106">
        <v>6678.7731911567216</v>
      </c>
      <c r="AV97" s="106">
        <v>7.4241787622090163</v>
      </c>
      <c r="AW97" s="106">
        <v>13577.33812032785</v>
      </c>
      <c r="AX97" s="106">
        <v>4.5946232397603426</v>
      </c>
      <c r="AY97" s="106">
        <v>8402.6469808737147</v>
      </c>
      <c r="AZ97" s="106">
        <v>6.9789076513682904</v>
      </c>
      <c r="BA97" s="106">
        <v>12763.026312822329</v>
      </c>
      <c r="BB97" s="106">
        <v>7.9635680763613452</v>
      </c>
      <c r="BC97" s="106">
        <v>14563.773298049628</v>
      </c>
      <c r="BD97" s="106">
        <v>7.544226647143498</v>
      </c>
      <c r="BE97" s="106">
        <v>13796.881692296029</v>
      </c>
      <c r="BF97" s="106">
        <v>7.0028469276142635</v>
      </c>
      <c r="BG97" s="106">
        <v>12806.806461220966</v>
      </c>
      <c r="BH97" s="106">
        <v>6.3815771110311212</v>
      </c>
      <c r="BI97" s="106">
        <v>11670.628220653714</v>
      </c>
      <c r="BJ97" s="106">
        <v>4.8975568737038637</v>
      </c>
      <c r="BK97" s="106">
        <v>8956.6520106296266</v>
      </c>
      <c r="BL97" s="106">
        <v>6.9591776691849354</v>
      </c>
      <c r="BM97" s="106">
        <v>12726.94412140541</v>
      </c>
      <c r="BN97" s="106">
        <v>3.5908256902960343</v>
      </c>
      <c r="BO97" s="106">
        <v>6566.9020224133874</v>
      </c>
      <c r="BP97" s="106">
        <v>7.7423578520179728</v>
      </c>
      <c r="BQ97" s="106">
        <v>14159.224039770468</v>
      </c>
      <c r="BR97" s="106">
        <v>8.8768909768691664</v>
      </c>
      <c r="BS97" s="106">
        <v>16234.05821849833</v>
      </c>
      <c r="BT97" s="106">
        <v>7.3182329857957216</v>
      </c>
      <c r="BU97" s="106">
        <v>13383.584484423216</v>
      </c>
      <c r="BV97" s="106">
        <v>8.1318925658359902</v>
      </c>
      <c r="BW97" s="106">
        <v>14871.605124400858</v>
      </c>
      <c r="BX97" s="106">
        <v>13.693966268875329</v>
      </c>
      <c r="BY97" s="106">
        <v>25043.525512519202</v>
      </c>
      <c r="BZ97" s="106">
        <v>14.438503299200809</v>
      </c>
      <c r="CA97" s="106">
        <v>26405.134833578439</v>
      </c>
      <c r="CB97" s="106">
        <v>13.481040179518732</v>
      </c>
      <c r="CC97" s="106">
        <v>24654.126280303859</v>
      </c>
      <c r="CD97" s="106">
        <v>18.102342936254892</v>
      </c>
      <c r="CE97" s="106">
        <v>33105.564761822949</v>
      </c>
      <c r="CF97" s="106">
        <v>5.0294844314289984</v>
      </c>
      <c r="CG97" s="106">
        <v>9197.9211281973512</v>
      </c>
      <c r="CH97" s="106">
        <v>5.8019733696996783</v>
      </c>
      <c r="CI97" s="106">
        <v>10610.648898506772</v>
      </c>
      <c r="CJ97" s="106">
        <v>4.8816453828861119</v>
      </c>
      <c r="CK97" s="106">
        <v>8927.5530762221206</v>
      </c>
      <c r="CL97" s="106">
        <v>0</v>
      </c>
      <c r="CM97" s="106">
        <v>0</v>
      </c>
      <c r="CN97" s="106">
        <v>25.347004872677893</v>
      </c>
      <c r="CO97" s="106">
        <v>46354.602511153331</v>
      </c>
      <c r="CP97" s="106">
        <v>12.196309435068482</v>
      </c>
      <c r="CQ97" s="106">
        <v>22304.61069485324</v>
      </c>
      <c r="CR97" s="106">
        <v>11.484660614877061</v>
      </c>
      <c r="CS97" s="106">
        <v>21003.147332487169</v>
      </c>
      <c r="CT97" s="106">
        <v>10.763467471999711</v>
      </c>
      <c r="CU97" s="106">
        <v>19684.229312793072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13.674720852678766</v>
      </c>
      <c r="I98" s="106">
        <v>17279.377269444885</v>
      </c>
      <c r="J98" s="106">
        <v>10.586925792124024</v>
      </c>
      <c r="K98" s="106">
        <v>13377.639430927917</v>
      </c>
      <c r="L98" s="106">
        <v>10.269204546486863</v>
      </c>
      <c r="M98" s="106">
        <v>12976.166864940798</v>
      </c>
      <c r="N98" s="106">
        <v>8.6084167492113597</v>
      </c>
      <c r="O98" s="106">
        <v>10877.595404303473</v>
      </c>
      <c r="P98" s="106">
        <v>10.431947768137022</v>
      </c>
      <c r="Q98" s="106">
        <v>13181.809199817939</v>
      </c>
      <c r="R98" s="106">
        <v>6.403453862571256</v>
      </c>
      <c r="S98" s="106">
        <v>8091.4043007450382</v>
      </c>
      <c r="T98" s="106">
        <v>11.130960333201454</v>
      </c>
      <c r="U98" s="106">
        <v>14065.081477033356</v>
      </c>
      <c r="V98" s="106">
        <v>9.7081964608866667</v>
      </c>
      <c r="W98" s="106">
        <v>12267.277047976391</v>
      </c>
      <c r="X98" s="106">
        <v>10.354521139476924</v>
      </c>
      <c r="Y98" s="106">
        <v>13083.97291184304</v>
      </c>
      <c r="Z98" s="106">
        <v>11.425451942608106</v>
      </c>
      <c r="AA98" s="106">
        <v>14437.201074679602</v>
      </c>
      <c r="AB98" s="106">
        <v>3.6868370723895114</v>
      </c>
      <c r="AC98" s="106">
        <v>4658.6873246713867</v>
      </c>
      <c r="AD98" s="106">
        <v>4.7124009059063114</v>
      </c>
      <c r="AE98" s="106">
        <v>5954.5897847032147</v>
      </c>
      <c r="AF98" s="106">
        <v>6.1676247558474451</v>
      </c>
      <c r="AG98" s="106">
        <v>7793.4106414888311</v>
      </c>
      <c r="AH98" s="106">
        <v>6.2764012065678578</v>
      </c>
      <c r="AI98" s="106">
        <v>7930.8605646191445</v>
      </c>
      <c r="AJ98" s="106">
        <v>7.7475750742902232</v>
      </c>
      <c r="AK98" s="106">
        <v>9789.8358638731261</v>
      </c>
      <c r="AL98" s="106">
        <v>5.2187594087939919</v>
      </c>
      <c r="AM98" s="106">
        <v>6594.4243889520876</v>
      </c>
      <c r="AN98" s="106">
        <v>7.7324725887652903</v>
      </c>
      <c r="AO98" s="106">
        <v>9770.7523631638196</v>
      </c>
      <c r="AP98" s="106">
        <v>8.8933247553273898</v>
      </c>
      <c r="AQ98" s="106">
        <v>11237.605160831688</v>
      </c>
      <c r="AR98" s="106">
        <v>4.3611758383872248</v>
      </c>
      <c r="AS98" s="106">
        <v>5510.7817893860965</v>
      </c>
      <c r="AT98" s="106">
        <v>3.5167384192442479</v>
      </c>
      <c r="AU98" s="106">
        <v>4443.7506665570318</v>
      </c>
      <c r="AV98" s="106">
        <v>8.3332618759488941</v>
      </c>
      <c r="AW98" s="106">
        <v>10529.909706449022</v>
      </c>
      <c r="AX98" s="106">
        <v>5.3297629581219974</v>
      </c>
      <c r="AY98" s="106">
        <v>6734.6884738829558</v>
      </c>
      <c r="AZ98" s="106">
        <v>6.9789076513682904</v>
      </c>
      <c r="BA98" s="106">
        <v>8818.5477082689704</v>
      </c>
      <c r="BB98" s="106">
        <v>8.4059885250480857</v>
      </c>
      <c r="BC98" s="106">
        <v>10621.80710025076</v>
      </c>
      <c r="BD98" s="106">
        <v>7.005353315204677</v>
      </c>
      <c r="BE98" s="106">
        <v>8851.9644490926294</v>
      </c>
      <c r="BF98" s="106">
        <v>8.2760918235441299</v>
      </c>
      <c r="BG98" s="106">
        <v>10457.669628230362</v>
      </c>
      <c r="BH98" s="106">
        <v>7.0417402604481341</v>
      </c>
      <c r="BI98" s="106">
        <v>8897.9429931022623</v>
      </c>
      <c r="BJ98" s="106">
        <v>5.4130891761990076</v>
      </c>
      <c r="BK98" s="106">
        <v>6839.9794830450655</v>
      </c>
      <c r="BL98" s="106">
        <v>6.7192060254199371</v>
      </c>
      <c r="BM98" s="106">
        <v>8490.3887337206324</v>
      </c>
      <c r="BN98" s="106">
        <v>3.5908256902960343</v>
      </c>
      <c r="BO98" s="106">
        <v>4537.3673422580687</v>
      </c>
      <c r="BP98" s="106">
        <v>9.51203964676494</v>
      </c>
      <c r="BQ98" s="106">
        <v>12019.413297652178</v>
      </c>
      <c r="BR98" s="106">
        <v>8.3547209194062741</v>
      </c>
      <c r="BS98" s="106">
        <v>10557.025353761766</v>
      </c>
      <c r="BT98" s="106">
        <v>8.8428648578364974</v>
      </c>
      <c r="BU98" s="106">
        <v>11173.844034362197</v>
      </c>
      <c r="BV98" s="106">
        <v>8.7574227632079911</v>
      </c>
      <c r="BW98" s="106">
        <v>11065.879403589617</v>
      </c>
      <c r="BX98" s="106">
        <v>17.064788735060024</v>
      </c>
      <c r="BY98" s="106">
        <v>21563.067045621843</v>
      </c>
      <c r="BZ98" s="106">
        <v>14.438503299200809</v>
      </c>
      <c r="CA98" s="106">
        <v>18244.492768870139</v>
      </c>
      <c r="CB98" s="106">
        <v>17.607889214065285</v>
      </c>
      <c r="CC98" s="106">
        <v>22249.328810892894</v>
      </c>
      <c r="CD98" s="106">
        <v>17.901205792518727</v>
      </c>
      <c r="CE98" s="106">
        <v>22619.963639426664</v>
      </c>
      <c r="CF98" s="106">
        <v>5.0294844314289984</v>
      </c>
      <c r="CG98" s="106">
        <v>6355.2565275536817</v>
      </c>
      <c r="CH98" s="106">
        <v>5.2745212451815258</v>
      </c>
      <c r="CI98" s="106">
        <v>6664.8850454113754</v>
      </c>
      <c r="CJ98" s="106">
        <v>5.2571565661850439</v>
      </c>
      <c r="CK98" s="106">
        <v>6642.9430370314212</v>
      </c>
      <c r="CL98" s="106">
        <v>0</v>
      </c>
      <c r="CM98" s="106">
        <v>0</v>
      </c>
      <c r="CN98" s="106">
        <v>31.140605986432835</v>
      </c>
      <c r="CO98" s="106">
        <v>39349.269724456528</v>
      </c>
      <c r="CP98" s="106">
        <v>13.088722320561297</v>
      </c>
      <c r="CQ98" s="106">
        <v>16538.909524261253</v>
      </c>
      <c r="CR98" s="106">
        <v>11.843556259091971</v>
      </c>
      <c r="CS98" s="106">
        <v>14965.517688988613</v>
      </c>
      <c r="CT98" s="106">
        <v>11.532286577142546</v>
      </c>
      <c r="CU98" s="106">
        <v>14572.197318877321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7.3438315690311882</v>
      </c>
      <c r="I99" s="106">
        <v>40255.947128801359</v>
      </c>
      <c r="J99" s="106">
        <v>7.0579505280826833</v>
      </c>
      <c r="K99" s="106">
        <v>38688.861614738031</v>
      </c>
      <c r="L99" s="106">
        <v>6.4549285720774563</v>
      </c>
      <c r="M99" s="106">
        <v>35383.336460699778</v>
      </c>
      <c r="N99" s="106">
        <v>5.7389444994742398</v>
      </c>
      <c r="O99" s="106">
        <v>31458.598168317989</v>
      </c>
      <c r="P99" s="106">
        <v>6.3076893481758738</v>
      </c>
      <c r="Q99" s="106">
        <v>34576.229930960864</v>
      </c>
      <c r="R99" s="106">
        <v>3.8878112737039769</v>
      </c>
      <c r="S99" s="106">
        <v>21311.42627793572</v>
      </c>
      <c r="T99" s="106">
        <v>6.1995222108970127</v>
      </c>
      <c r="U99" s="106">
        <v>33983.300951253063</v>
      </c>
      <c r="V99" s="106">
        <v>5.4804334859844088</v>
      </c>
      <c r="W99" s="106">
        <v>30041.544196772131</v>
      </c>
      <c r="X99" s="106">
        <v>5.5008393553471171</v>
      </c>
      <c r="Y99" s="106">
        <v>30153.401010270754</v>
      </c>
      <c r="Z99" s="106">
        <v>5.5583279720796179</v>
      </c>
      <c r="AA99" s="106">
        <v>30468.53061175163</v>
      </c>
      <c r="AB99" s="106">
        <v>2.7651278042921335</v>
      </c>
      <c r="AC99" s="106">
        <v>15157.324572007758</v>
      </c>
      <c r="AD99" s="106">
        <v>3.4272006588409543</v>
      </c>
      <c r="AE99" s="106">
        <v>18786.543131502574</v>
      </c>
      <c r="AF99" s="106">
        <v>4.2698940617405388</v>
      </c>
      <c r="AG99" s="106">
        <v>23405.851288836933</v>
      </c>
      <c r="AH99" s="106">
        <v>5.3108010209420335</v>
      </c>
      <c r="AI99" s="106">
        <v>29111.686876395848</v>
      </c>
      <c r="AJ99" s="106">
        <v>5.1650500495268155</v>
      </c>
      <c r="AK99" s="106">
        <v>28312.73835148619</v>
      </c>
      <c r="AL99" s="106">
        <v>4.0326777249771757</v>
      </c>
      <c r="AM99" s="106">
        <v>22105.526217234885</v>
      </c>
      <c r="AN99" s="106">
        <v>5.3160749047761371</v>
      </c>
      <c r="AO99" s="106">
        <v>29140.59619802087</v>
      </c>
      <c r="AP99" s="106">
        <v>5.4348095727000709</v>
      </c>
      <c r="AQ99" s="106">
        <v>29791.452153712708</v>
      </c>
      <c r="AR99" s="106">
        <v>3.35475064491325</v>
      </c>
      <c r="AS99" s="106">
        <v>18389.40113515647</v>
      </c>
      <c r="AT99" s="106">
        <v>2.299405889505854</v>
      </c>
      <c r="AU99" s="106">
        <v>12604.423323915287</v>
      </c>
      <c r="AV99" s="106">
        <v>5.3029848301492972</v>
      </c>
      <c r="AW99" s="106">
        <v>29068.841644946384</v>
      </c>
      <c r="AX99" s="106">
        <v>3.3081287326274467</v>
      </c>
      <c r="AY99" s="106">
        <v>18133.83846077061</v>
      </c>
      <c r="AZ99" s="106">
        <v>4.6526051009121945</v>
      </c>
      <c r="BA99" s="106">
        <v>25503.720121160284</v>
      </c>
      <c r="BB99" s="106">
        <v>6.1938862816143789</v>
      </c>
      <c r="BC99" s="106">
        <v>33952.407041297374</v>
      </c>
      <c r="BD99" s="106">
        <v>5.388733319388213</v>
      </c>
      <c r="BE99" s="106">
        <v>29538.880563558425</v>
      </c>
      <c r="BF99" s="106">
        <v>5.0929795837194645</v>
      </c>
      <c r="BG99" s="106">
        <v>27917.676886116613</v>
      </c>
      <c r="BH99" s="106">
        <v>4.6211420459190888</v>
      </c>
      <c r="BI99" s="106">
        <v>25331.252238910074</v>
      </c>
      <c r="BJ99" s="106">
        <v>3.6087261174660048</v>
      </c>
      <c r="BK99" s="106">
        <v>19781.593085501649</v>
      </c>
      <c r="BL99" s="106">
        <v>4.7994328752999555</v>
      </c>
      <c r="BM99" s="106">
        <v>26308.571249244233</v>
      </c>
      <c r="BN99" s="106">
        <v>2.745925527873438</v>
      </c>
      <c r="BO99" s="106">
        <v>15052.065373591036</v>
      </c>
      <c r="BP99" s="106">
        <v>6.1938862816143789</v>
      </c>
      <c r="BQ99" s="106">
        <v>33952.407041297374</v>
      </c>
      <c r="BR99" s="106">
        <v>5.4827856033603677</v>
      </c>
      <c r="BS99" s="106">
        <v>30054.43756338019</v>
      </c>
      <c r="BT99" s="106">
        <v>6.0985274881631009</v>
      </c>
      <c r="BU99" s="106">
        <v>33429.688279114853</v>
      </c>
      <c r="BV99" s="106">
        <v>5.6297717763479938</v>
      </c>
      <c r="BW99" s="106">
        <v>30860.15696922916</v>
      </c>
      <c r="BX99" s="106">
        <v>8.6377325695982847</v>
      </c>
      <c r="BY99" s="106">
        <v>47348.594853509952</v>
      </c>
      <c r="BZ99" s="106">
        <v>7.2192516496004044</v>
      </c>
      <c r="CA99" s="106">
        <v>39573.049842449574</v>
      </c>
      <c r="CB99" s="106">
        <v>8.253698069093101</v>
      </c>
      <c r="CC99" s="106">
        <v>45243.471335540737</v>
      </c>
      <c r="CD99" s="106">
        <v>9.8557200430721075</v>
      </c>
      <c r="CE99" s="106">
        <v>54025.114988104062</v>
      </c>
      <c r="CF99" s="106">
        <v>4.31098665551057</v>
      </c>
      <c r="CG99" s="106">
        <v>23631.104450846738</v>
      </c>
      <c r="CH99" s="106">
        <v>4.7470691206633733</v>
      </c>
      <c r="CI99" s="106">
        <v>26021.534091828344</v>
      </c>
      <c r="CJ99" s="106">
        <v>4.1306230162882489</v>
      </c>
      <c r="CK99" s="106">
        <v>22642.423126085661</v>
      </c>
      <c r="CL99" s="106">
        <v>0</v>
      </c>
      <c r="CM99" s="106">
        <v>0</v>
      </c>
      <c r="CN99" s="106">
        <v>18.105003480484207</v>
      </c>
      <c r="CO99" s="106">
        <v>99244.387078622225</v>
      </c>
      <c r="CP99" s="106">
        <v>8.0317159694353411</v>
      </c>
      <c r="CQ99" s="106">
        <v>44026.654258056762</v>
      </c>
      <c r="CR99" s="106">
        <v>7.5368085285130721</v>
      </c>
      <c r="CS99" s="106">
        <v>41313.769629897251</v>
      </c>
      <c r="CT99" s="106">
        <v>7.6881910514283645</v>
      </c>
      <c r="CU99" s="106">
        <v>42143.588067509721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12.661778567295153</v>
      </c>
      <c r="I100" s="106">
        <v>20542.469547579654</v>
      </c>
      <c r="J100" s="106">
        <v>10.082786468689548</v>
      </c>
      <c r="K100" s="106">
        <v>16358.312766801921</v>
      </c>
      <c r="L100" s="106">
        <v>9.388987013930846</v>
      </c>
      <c r="M100" s="106">
        <v>15232.692531401402</v>
      </c>
      <c r="N100" s="106">
        <v>9.182311199158784</v>
      </c>
      <c r="O100" s="106">
        <v>14897.38168951521</v>
      </c>
      <c r="P100" s="106">
        <v>8.9763271493272043</v>
      </c>
      <c r="Q100" s="106">
        <v>14563.193167068455</v>
      </c>
      <c r="R100" s="106">
        <v>6.8608434241834884</v>
      </c>
      <c r="S100" s="106">
        <v>11131.032371395291</v>
      </c>
      <c r="T100" s="106">
        <v>12.680840885925708</v>
      </c>
      <c r="U100" s="106">
        <v>20573.396253325867</v>
      </c>
      <c r="V100" s="106">
        <v>10.334531716427742</v>
      </c>
      <c r="W100" s="106">
        <v>16766.744256732367</v>
      </c>
      <c r="X100" s="106">
        <v>8.2512590330206734</v>
      </c>
      <c r="Y100" s="106">
        <v>13386.842655172739</v>
      </c>
      <c r="Z100" s="106">
        <v>10.344665948037068</v>
      </c>
      <c r="AA100" s="106">
        <v>16783.186034095339</v>
      </c>
      <c r="AB100" s="106">
        <v>3.6868370723895114</v>
      </c>
      <c r="AC100" s="106">
        <v>5981.5244662447431</v>
      </c>
      <c r="AD100" s="106">
        <v>5.1408009882614314</v>
      </c>
      <c r="AE100" s="106">
        <v>8340.4355233553451</v>
      </c>
      <c r="AF100" s="106">
        <v>5.2187594087939919</v>
      </c>
      <c r="AG100" s="106">
        <v>8466.9152648273721</v>
      </c>
      <c r="AH100" s="106">
        <v>6.2764012065678578</v>
      </c>
      <c r="AI100" s="106">
        <v>10182.833317535691</v>
      </c>
      <c r="AJ100" s="106">
        <v>7.043250067536567</v>
      </c>
      <c r="AK100" s="106">
        <v>11426.968909571326</v>
      </c>
      <c r="AL100" s="106">
        <v>5.930408419084082</v>
      </c>
      <c r="AM100" s="106">
        <v>9621.4946191220133</v>
      </c>
      <c r="AN100" s="106">
        <v>7.9741123571642056</v>
      </c>
      <c r="AO100" s="106">
        <v>12937.199888263207</v>
      </c>
      <c r="AP100" s="106">
        <v>7.4111039627728248</v>
      </c>
      <c r="AQ100" s="106">
        <v>12023.775069202629</v>
      </c>
      <c r="AR100" s="106">
        <v>4.3611758383872248</v>
      </c>
      <c r="AS100" s="106">
        <v>7075.5716801994331</v>
      </c>
      <c r="AT100" s="106">
        <v>3.6519975892151804</v>
      </c>
      <c r="AU100" s="106">
        <v>5925.0008887427084</v>
      </c>
      <c r="AV100" s="106">
        <v>7.7272064667889762</v>
      </c>
      <c r="AW100" s="106">
        <v>12536.619771718433</v>
      </c>
      <c r="AX100" s="106">
        <v>5.5135478877124111</v>
      </c>
      <c r="AY100" s="106">
        <v>8945.1800930246154</v>
      </c>
      <c r="AZ100" s="106">
        <v>6.0483866311858527</v>
      </c>
      <c r="BA100" s="106">
        <v>9812.9024704359272</v>
      </c>
      <c r="BB100" s="106">
        <v>8.4059885250480857</v>
      </c>
      <c r="BC100" s="106">
        <v>13637.875783038013</v>
      </c>
      <c r="BD100" s="106">
        <v>7.544226647143498</v>
      </c>
      <c r="BE100" s="106">
        <v>12239.753312325611</v>
      </c>
      <c r="BF100" s="106">
        <v>7.6394693755791963</v>
      </c>
      <c r="BG100" s="106">
        <v>12394.275114939686</v>
      </c>
      <c r="BH100" s="106">
        <v>7.0417402604481341</v>
      </c>
      <c r="BI100" s="106">
        <v>11424.519398551052</v>
      </c>
      <c r="BJ100" s="106">
        <v>5.4130891761990076</v>
      </c>
      <c r="BK100" s="106">
        <v>8782.1958794652692</v>
      </c>
      <c r="BL100" s="106">
        <v>6.4792343816549405</v>
      </c>
      <c r="BM100" s="106">
        <v>10511.909860796975</v>
      </c>
      <c r="BN100" s="106">
        <v>3.379600649690385</v>
      </c>
      <c r="BO100" s="106">
        <v>5483.0640940576804</v>
      </c>
      <c r="BP100" s="106">
        <v>8.1847783007047159</v>
      </c>
      <c r="BQ100" s="106">
        <v>13278.98431506333</v>
      </c>
      <c r="BR100" s="106">
        <v>8.6158059481377212</v>
      </c>
      <c r="BS100" s="106">
        <v>13978.283570258638</v>
      </c>
      <c r="BT100" s="106">
        <v>9.1477912322446517</v>
      </c>
      <c r="BU100" s="106">
        <v>14841.376495193721</v>
      </c>
      <c r="BV100" s="106">
        <v>8.4446576645219924</v>
      </c>
      <c r="BW100" s="106">
        <v>13700.61259492048</v>
      </c>
      <c r="BX100" s="106">
        <v>14.747348289558046</v>
      </c>
      <c r="BY100" s="106">
        <v>23926.097864978972</v>
      </c>
      <c r="BZ100" s="106">
        <v>14.438503299200809</v>
      </c>
      <c r="CA100" s="106">
        <v>23425.027752623391</v>
      </c>
      <c r="CB100" s="106">
        <v>13.756163448488504</v>
      </c>
      <c r="CC100" s="106">
        <v>22317.999578827748</v>
      </c>
      <c r="CD100" s="106">
        <v>16.49324578636557</v>
      </c>
      <c r="CE100" s="106">
        <v>26758.641963799499</v>
      </c>
      <c r="CF100" s="106">
        <v>5.0294844314289984</v>
      </c>
      <c r="CG100" s="106">
        <v>8159.8355415504066</v>
      </c>
      <c r="CH100" s="106">
        <v>5.2745212451815258</v>
      </c>
      <c r="CI100" s="106">
        <v>8557.3832681825061</v>
      </c>
      <c r="CJ100" s="106">
        <v>5.632667749483975</v>
      </c>
      <c r="CK100" s="106">
        <v>9138.4401567628011</v>
      </c>
      <c r="CL100" s="106">
        <v>0</v>
      </c>
      <c r="CM100" s="106">
        <v>0</v>
      </c>
      <c r="CN100" s="106">
        <v>28.968005568774728</v>
      </c>
      <c r="CO100" s="106">
        <v>46997.692234780116</v>
      </c>
      <c r="CP100" s="106">
        <v>11.601367511406604</v>
      </c>
      <c r="CQ100" s="106">
        <v>18822.058650506071</v>
      </c>
      <c r="CR100" s="106">
        <v>11.125764970662154</v>
      </c>
      <c r="CS100" s="106">
        <v>18050.441088402276</v>
      </c>
      <c r="CT100" s="106">
        <v>9.9946483668568735</v>
      </c>
      <c r="CU100" s="106">
        <v>16215.31751038859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12.155307424603347</v>
      </c>
      <c r="I101" s="106">
        <v>14469.677958247823</v>
      </c>
      <c r="J101" s="106">
        <v>11.091065115558502</v>
      </c>
      <c r="K101" s="106">
        <v>13202.80391356084</v>
      </c>
      <c r="L101" s="106">
        <v>10.562610390672202</v>
      </c>
      <c r="M101" s="106">
        <v>12573.731409056187</v>
      </c>
      <c r="N101" s="106">
        <v>8.6084167492113597</v>
      </c>
      <c r="O101" s="106">
        <v>10247.459298261201</v>
      </c>
      <c r="P101" s="106">
        <v>9.704137458732113</v>
      </c>
      <c r="Q101" s="106">
        <v>11551.805230874706</v>
      </c>
      <c r="R101" s="106">
        <v>7.089538204989605</v>
      </c>
      <c r="S101" s="106">
        <v>8439.3862792196251</v>
      </c>
      <c r="T101" s="106">
        <v>12.539942653859868</v>
      </c>
      <c r="U101" s="106">
        <v>14927.547735154785</v>
      </c>
      <c r="V101" s="106">
        <v>9.8647802747719364</v>
      </c>
      <c r="W101" s="106">
        <v>11743.034439088511</v>
      </c>
      <c r="X101" s="106">
        <v>10.030942353868271</v>
      </c>
      <c r="Y101" s="106">
        <v>11940.833778044789</v>
      </c>
      <c r="Z101" s="106">
        <v>10.344665948037068</v>
      </c>
      <c r="AA101" s="106">
        <v>12314.290344543324</v>
      </c>
      <c r="AB101" s="106">
        <v>3.6868370723895114</v>
      </c>
      <c r="AC101" s="106">
        <v>4388.8108509724743</v>
      </c>
      <c r="AD101" s="106">
        <v>5.1408009882614314</v>
      </c>
      <c r="AE101" s="106">
        <v>6119.6094964264075</v>
      </c>
      <c r="AF101" s="106">
        <v>5.6931920823207189</v>
      </c>
      <c r="AG101" s="106">
        <v>6777.1758547945828</v>
      </c>
      <c r="AH101" s="106">
        <v>6.2764012065678578</v>
      </c>
      <c r="AI101" s="106">
        <v>7471.4279962983774</v>
      </c>
      <c r="AJ101" s="106">
        <v>8.2171250787926606</v>
      </c>
      <c r="AK101" s="106">
        <v>9781.6656937947828</v>
      </c>
      <c r="AL101" s="106">
        <v>5.6931920823207189</v>
      </c>
      <c r="AM101" s="106">
        <v>6777.1758547945828</v>
      </c>
      <c r="AN101" s="106">
        <v>8.2157521255631227</v>
      </c>
      <c r="AO101" s="106">
        <v>9780.0313302703398</v>
      </c>
      <c r="AP101" s="106">
        <v>7.9051775602910137</v>
      </c>
      <c r="AQ101" s="106">
        <v>9410.3233677704211</v>
      </c>
      <c r="AR101" s="106">
        <v>5.0321259673698755</v>
      </c>
      <c r="AS101" s="106">
        <v>5990.2427515570989</v>
      </c>
      <c r="AT101" s="106">
        <v>4.0577750991279782</v>
      </c>
      <c r="AU101" s="106">
        <v>4830.3754780019444</v>
      </c>
      <c r="AV101" s="106">
        <v>7.8787203190789548</v>
      </c>
      <c r="AW101" s="106">
        <v>9378.8286678315872</v>
      </c>
      <c r="AX101" s="106">
        <v>5.6973328173028248</v>
      </c>
      <c r="AY101" s="106">
        <v>6782.104985717282</v>
      </c>
      <c r="AZ101" s="106">
        <v>6.0483866311858527</v>
      </c>
      <c r="BA101" s="106">
        <v>7199.9994457636385</v>
      </c>
      <c r="BB101" s="106">
        <v>9.7332498711083097</v>
      </c>
      <c r="BC101" s="106">
        <v>11586.460646567331</v>
      </c>
      <c r="BD101" s="106">
        <v>7.005353315204677</v>
      </c>
      <c r="BE101" s="106">
        <v>8339.1725864196469</v>
      </c>
      <c r="BF101" s="106">
        <v>8.2760918235441299</v>
      </c>
      <c r="BG101" s="106">
        <v>9851.8597067469309</v>
      </c>
      <c r="BH101" s="106">
        <v>7.4818490267261426</v>
      </c>
      <c r="BI101" s="106">
        <v>8906.3930814147989</v>
      </c>
      <c r="BJ101" s="106">
        <v>5.6708553274465787</v>
      </c>
      <c r="BK101" s="106">
        <v>6750.5861817924069</v>
      </c>
      <c r="BL101" s="106">
        <v>6.9591776691849354</v>
      </c>
      <c r="BM101" s="106">
        <v>8284.2050973977457</v>
      </c>
      <c r="BN101" s="106">
        <v>3.8020507309016836</v>
      </c>
      <c r="BO101" s="106">
        <v>4525.9611900653636</v>
      </c>
      <c r="BP101" s="106">
        <v>9.0696191980781968</v>
      </c>
      <c r="BQ101" s="106">
        <v>10796.474693392283</v>
      </c>
      <c r="BR101" s="106">
        <v>9.9212310917949509</v>
      </c>
      <c r="BS101" s="106">
        <v>11810.233491672709</v>
      </c>
      <c r="BT101" s="106">
        <v>7.928085734612031</v>
      </c>
      <c r="BU101" s="106">
        <v>9437.5932584821603</v>
      </c>
      <c r="BV101" s="106">
        <v>8.4446576645219924</v>
      </c>
      <c r="BW101" s="106">
        <v>10052.520483846978</v>
      </c>
      <c r="BX101" s="106">
        <v>15.168701097831132</v>
      </c>
      <c r="BY101" s="106">
        <v>18056.821786858178</v>
      </c>
      <c r="BZ101" s="106">
        <v>14.650834230071409</v>
      </c>
      <c r="CA101" s="106">
        <v>17440.353067477005</v>
      </c>
      <c r="CB101" s="106">
        <v>17.332765945095513</v>
      </c>
      <c r="CC101" s="106">
        <v>20632.924581041698</v>
      </c>
      <c r="CD101" s="106">
        <v>18.705754367463388</v>
      </c>
      <c r="CE101" s="106">
        <v>22267.329999028414</v>
      </c>
      <c r="CF101" s="106">
        <v>5.0294844314289984</v>
      </c>
      <c r="CG101" s="106">
        <v>5987.098267173079</v>
      </c>
      <c r="CH101" s="106">
        <v>5.2745212451815258</v>
      </c>
      <c r="CI101" s="106">
        <v>6278.7900902640877</v>
      </c>
      <c r="CJ101" s="106">
        <v>5.632667749483975</v>
      </c>
      <c r="CK101" s="106">
        <v>6705.1276889857227</v>
      </c>
      <c r="CL101" s="106">
        <v>0</v>
      </c>
      <c r="CM101" s="106">
        <v>0</v>
      </c>
      <c r="CN101" s="106">
        <v>28.968005568774728</v>
      </c>
      <c r="CO101" s="106">
        <v>34483.51382906943</v>
      </c>
      <c r="CP101" s="106">
        <v>13.088722320561297</v>
      </c>
      <c r="CQ101" s="106">
        <v>15580.815050396166</v>
      </c>
      <c r="CR101" s="106">
        <v>10.766869326447246</v>
      </c>
      <c r="CS101" s="106">
        <v>12816.8812462028</v>
      </c>
      <c r="CT101" s="106">
        <v>12.301105682285383</v>
      </c>
      <c r="CU101" s="106">
        <v>14643.236204192519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12.915014138641055</v>
      </c>
      <c r="I102" s="106">
        <v>25044.795417652731</v>
      </c>
      <c r="J102" s="106">
        <v>9.8307168069723083</v>
      </c>
      <c r="K102" s="106">
        <v>19063.7260320807</v>
      </c>
      <c r="L102" s="106">
        <v>9.0955811697455058</v>
      </c>
      <c r="M102" s="106">
        <v>17638.151004370484</v>
      </c>
      <c r="N102" s="106">
        <v>8.0345222992639354</v>
      </c>
      <c r="O102" s="106">
        <v>15580.545642732623</v>
      </c>
      <c r="P102" s="106">
        <v>8.733723712858902</v>
      </c>
      <c r="Q102" s="106">
        <v>16936.437023975981</v>
      </c>
      <c r="R102" s="106">
        <v>6.403453862571256</v>
      </c>
      <c r="S102" s="106">
        <v>12417.577730298179</v>
      </c>
      <c r="T102" s="106">
        <v>11.835451493530661</v>
      </c>
      <c r="U102" s="106">
        <v>22951.307536254655</v>
      </c>
      <c r="V102" s="106">
        <v>8.6121097636897854</v>
      </c>
      <c r="W102" s="106">
        <v>16700.603253747231</v>
      </c>
      <c r="X102" s="106">
        <v>9.0602059970423099</v>
      </c>
      <c r="Y102" s="106">
        <v>17569.551469464444</v>
      </c>
      <c r="Z102" s="106">
        <v>9.8814719503637658</v>
      </c>
      <c r="AA102" s="106">
        <v>19162.150406145414</v>
      </c>
      <c r="AB102" s="106">
        <v>3.6868370723895114</v>
      </c>
      <c r="AC102" s="106">
        <v>7149.5144507777395</v>
      </c>
      <c r="AD102" s="106">
        <v>5.1408009882614314</v>
      </c>
      <c r="AE102" s="106">
        <v>9969.0412764365665</v>
      </c>
      <c r="AF102" s="106">
        <v>5.6931920823207189</v>
      </c>
      <c r="AG102" s="106">
        <v>11040.238086036337</v>
      </c>
      <c r="AH102" s="106">
        <v>5.7936011137549457</v>
      </c>
      <c r="AI102" s="106">
        <v>11234.951279793589</v>
      </c>
      <c r="AJ102" s="106">
        <v>7.043250067536567</v>
      </c>
      <c r="AK102" s="106">
        <v>13658.270530966909</v>
      </c>
      <c r="AL102" s="106">
        <v>5.6931920823207189</v>
      </c>
      <c r="AM102" s="106">
        <v>11040.238086036337</v>
      </c>
      <c r="AN102" s="106">
        <v>7.2491930519674606</v>
      </c>
      <c r="AO102" s="106">
        <v>14057.635166375298</v>
      </c>
      <c r="AP102" s="106">
        <v>8.6462879565682957</v>
      </c>
      <c r="AQ102" s="106">
        <v>16766.881605377239</v>
      </c>
      <c r="AR102" s="106">
        <v>4.9203009458727669</v>
      </c>
      <c r="AS102" s="106">
        <v>9541.4475942364679</v>
      </c>
      <c r="AT102" s="106">
        <v>3.1109609093314496</v>
      </c>
      <c r="AU102" s="106">
        <v>6032.7753953755464</v>
      </c>
      <c r="AV102" s="106">
        <v>7.4241787622090163</v>
      </c>
      <c r="AW102" s="106">
        <v>14396.967455675724</v>
      </c>
      <c r="AX102" s="106">
        <v>5.3297629581219974</v>
      </c>
      <c r="AY102" s="106">
        <v>10335.476328390176</v>
      </c>
      <c r="AZ102" s="106">
        <v>6.0483866311858527</v>
      </c>
      <c r="BA102" s="106">
        <v>11729.031355195604</v>
      </c>
      <c r="BB102" s="106">
        <v>9.2908294224215684</v>
      </c>
      <c r="BC102" s="106">
        <v>18016.776415959903</v>
      </c>
      <c r="BD102" s="106">
        <v>7.005353315204677</v>
      </c>
      <c r="BE102" s="106">
        <v>13584.781148844908</v>
      </c>
      <c r="BF102" s="106">
        <v>7.0028469276142635</v>
      </c>
      <c r="BG102" s="106">
        <v>13579.920762029578</v>
      </c>
      <c r="BH102" s="106">
        <v>6.8216858773091298</v>
      </c>
      <c r="BI102" s="106">
        <v>13228.613253277863</v>
      </c>
      <c r="BJ102" s="106">
        <v>5.1553230249514348</v>
      </c>
      <c r="BK102" s="106">
        <v>9997.2024099858209</v>
      </c>
      <c r="BL102" s="106">
        <v>6.7192060254199371</v>
      </c>
      <c r="BM102" s="106">
        <v>13029.88432449434</v>
      </c>
      <c r="BN102" s="106">
        <v>3.379600649690385</v>
      </c>
      <c r="BO102" s="106">
        <v>6553.7215798795942</v>
      </c>
      <c r="BP102" s="106">
        <v>8.4059885250480857</v>
      </c>
      <c r="BQ102" s="106">
        <v>16300.892947773245</v>
      </c>
      <c r="BR102" s="106">
        <v>8.6158059481377212</v>
      </c>
      <c r="BS102" s="106">
        <v>16707.770894628666</v>
      </c>
      <c r="BT102" s="106">
        <v>8.2330121090201871</v>
      </c>
      <c r="BU102" s="106">
        <v>15965.457081811945</v>
      </c>
      <c r="BV102" s="106">
        <v>7.506362368463992</v>
      </c>
      <c r="BW102" s="106">
        <v>14556.337904925373</v>
      </c>
      <c r="BX102" s="106">
        <v>13.904642673011871</v>
      </c>
      <c r="BY102" s="106">
        <v>26963.883071504617</v>
      </c>
      <c r="BZ102" s="106">
        <v>12.527524921365409</v>
      </c>
      <c r="CA102" s="106">
        <v>24293.376327511796</v>
      </c>
      <c r="CB102" s="106">
        <v>15.131779793337355</v>
      </c>
      <c r="CC102" s="106">
        <v>29343.547375239796</v>
      </c>
      <c r="CD102" s="106">
        <v>15.487560067684742</v>
      </c>
      <c r="CE102" s="106">
        <v>30033.47648325425</v>
      </c>
      <c r="CF102" s="106">
        <v>5.0294844314289984</v>
      </c>
      <c r="CG102" s="106">
        <v>9753.1762094271126</v>
      </c>
      <c r="CH102" s="106">
        <v>4.7470691206633733</v>
      </c>
      <c r="CI102" s="106">
        <v>9205.5164387904133</v>
      </c>
      <c r="CJ102" s="106">
        <v>5.2571565661850439</v>
      </c>
      <c r="CK102" s="106">
        <v>10194.678013146036</v>
      </c>
      <c r="CL102" s="106">
        <v>0</v>
      </c>
      <c r="CM102" s="106">
        <v>0</v>
      </c>
      <c r="CN102" s="106">
        <v>27.519605290335996</v>
      </c>
      <c r="CO102" s="106">
        <v>53366.018579019561</v>
      </c>
      <c r="CP102" s="106">
        <v>12.493780396899419</v>
      </c>
      <c r="CQ102" s="106">
        <v>24227.938945667353</v>
      </c>
      <c r="CR102" s="106">
        <v>10.766869326447246</v>
      </c>
      <c r="CS102" s="106">
        <v>20879.112997846496</v>
      </c>
      <c r="CT102" s="106">
        <v>9.2258292617140381</v>
      </c>
      <c r="CU102" s="106">
        <v>17890.728104315862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12.661778567295153</v>
      </c>
      <c r="I103" s="106">
        <v>25678.08693447457</v>
      </c>
      <c r="J103" s="106">
        <v>10.586925792124024</v>
      </c>
      <c r="K103" s="106">
        <v>21470.285506427521</v>
      </c>
      <c r="L103" s="106">
        <v>9.9757987023015229</v>
      </c>
      <c r="M103" s="106">
        <v>20230.919768267489</v>
      </c>
      <c r="N103" s="106">
        <v>8.3214695242376475</v>
      </c>
      <c r="O103" s="106">
        <v>16875.940195153948</v>
      </c>
      <c r="P103" s="106">
        <v>8.733723712858902</v>
      </c>
      <c r="Q103" s="106">
        <v>17711.991689677852</v>
      </c>
      <c r="R103" s="106">
        <v>6.8608434241834884</v>
      </c>
      <c r="S103" s="106">
        <v>13913.790464244114</v>
      </c>
      <c r="T103" s="106">
        <v>10.426469172872249</v>
      </c>
      <c r="U103" s="106">
        <v>21144.879482584922</v>
      </c>
      <c r="V103" s="106">
        <v>8.9252773914603232</v>
      </c>
      <c r="W103" s="106">
        <v>18100.462549881537</v>
      </c>
      <c r="X103" s="106">
        <v>8.8984166042379833</v>
      </c>
      <c r="Y103" s="106">
        <v>18045.988873394632</v>
      </c>
      <c r="Z103" s="106">
        <v>9.418277952690465</v>
      </c>
      <c r="AA103" s="106">
        <v>19100.267688056261</v>
      </c>
      <c r="AB103" s="106">
        <v>3.6868370723895114</v>
      </c>
      <c r="AC103" s="106">
        <v>7476.905582805929</v>
      </c>
      <c r="AD103" s="106">
        <v>4.2840008235511933</v>
      </c>
      <c r="AE103" s="106">
        <v>8687.9536701618199</v>
      </c>
      <c r="AF103" s="106">
        <v>5.2187594087939919</v>
      </c>
      <c r="AG103" s="106">
        <v>10583.644081034216</v>
      </c>
      <c r="AH103" s="106">
        <v>5.7936011137549457</v>
      </c>
      <c r="AI103" s="106">
        <v>11749.423058695031</v>
      </c>
      <c r="AJ103" s="106">
        <v>6.8084750652853474</v>
      </c>
      <c r="AK103" s="106">
        <v>13807.587432398685</v>
      </c>
      <c r="AL103" s="106">
        <v>4.9815430720306288</v>
      </c>
      <c r="AM103" s="106">
        <v>10102.569350078114</v>
      </c>
      <c r="AN103" s="106">
        <v>7.2491930519674606</v>
      </c>
      <c r="AO103" s="106">
        <v>14701.36350939001</v>
      </c>
      <c r="AP103" s="106">
        <v>8.1522143590501077</v>
      </c>
      <c r="AQ103" s="106">
        <v>16532.69072015362</v>
      </c>
      <c r="AR103" s="106">
        <v>4.3611758383872248</v>
      </c>
      <c r="AS103" s="106">
        <v>8844.4646002492918</v>
      </c>
      <c r="AT103" s="106">
        <v>3.381479249273315</v>
      </c>
      <c r="AU103" s="106">
        <v>6857.6399175262832</v>
      </c>
      <c r="AV103" s="106">
        <v>7.8787203190789548</v>
      </c>
      <c r="AW103" s="106">
        <v>15978.044807092121</v>
      </c>
      <c r="AX103" s="106">
        <v>4.5946232397603426</v>
      </c>
      <c r="AY103" s="106">
        <v>9317.8959302339754</v>
      </c>
      <c r="AZ103" s="106">
        <v>6.5136471412770724</v>
      </c>
      <c r="BA103" s="106">
        <v>13209.676402509904</v>
      </c>
      <c r="BB103" s="106">
        <v>9.2908294224215684</v>
      </c>
      <c r="BC103" s="106">
        <v>18841.802068670942</v>
      </c>
      <c r="BD103" s="106">
        <v>7.005353315204677</v>
      </c>
      <c r="BE103" s="106">
        <v>14206.856523235085</v>
      </c>
      <c r="BF103" s="106">
        <v>7.6394693755791963</v>
      </c>
      <c r="BG103" s="106">
        <v>15492.84389367461</v>
      </c>
      <c r="BH103" s="106">
        <v>5.7214139616141084</v>
      </c>
      <c r="BI103" s="106">
        <v>11603.027514153411</v>
      </c>
      <c r="BJ103" s="106">
        <v>4.8975568737038637</v>
      </c>
      <c r="BK103" s="106">
        <v>9932.2453398714351</v>
      </c>
      <c r="BL103" s="106">
        <v>7.4391209567149312</v>
      </c>
      <c r="BM103" s="106">
        <v>15086.53730021788</v>
      </c>
      <c r="BN103" s="106">
        <v>3.8020507309016836</v>
      </c>
      <c r="BO103" s="106">
        <v>7710.5588822686141</v>
      </c>
      <c r="BP103" s="106">
        <v>9.0696191980781968</v>
      </c>
      <c r="BQ103" s="106">
        <v>18393.187733702584</v>
      </c>
      <c r="BR103" s="106">
        <v>8.8768909768691664</v>
      </c>
      <c r="BS103" s="106">
        <v>18002.334901090668</v>
      </c>
      <c r="BT103" s="106">
        <v>8.8428648578364974</v>
      </c>
      <c r="BU103" s="106">
        <v>17933.329931692417</v>
      </c>
      <c r="BV103" s="106">
        <v>7.8191274671499915</v>
      </c>
      <c r="BW103" s="106">
        <v>15857.190503380183</v>
      </c>
      <c r="BX103" s="106">
        <v>14.536671885421502</v>
      </c>
      <c r="BY103" s="106">
        <v>29480.370583634805</v>
      </c>
      <c r="BZ103" s="106">
        <v>12.952186783106608</v>
      </c>
      <c r="CA103" s="106">
        <v>26267.0347961402</v>
      </c>
      <c r="CB103" s="106">
        <v>14.031286717458274</v>
      </c>
      <c r="CC103" s="106">
        <v>28455.449463005378</v>
      </c>
      <c r="CD103" s="106">
        <v>16.694382930101735</v>
      </c>
      <c r="CE103" s="106">
        <v>33856.20858224632</v>
      </c>
      <c r="CF103" s="106">
        <v>5.0294844314289984</v>
      </c>
      <c r="CG103" s="106">
        <v>10199.79442693801</v>
      </c>
      <c r="CH103" s="106">
        <v>5.8019733696996783</v>
      </c>
      <c r="CI103" s="106">
        <v>11766.401993750947</v>
      </c>
      <c r="CJ103" s="106">
        <v>4.8816453828861119</v>
      </c>
      <c r="CK103" s="106">
        <v>9899.9768364930351</v>
      </c>
      <c r="CL103" s="106">
        <v>0</v>
      </c>
      <c r="CM103" s="106">
        <v>0</v>
      </c>
      <c r="CN103" s="106">
        <v>25.347004872677893</v>
      </c>
      <c r="CO103" s="106">
        <v>51403.725881790764</v>
      </c>
      <c r="CP103" s="106">
        <v>11.601367511406604</v>
      </c>
      <c r="CQ103" s="106">
        <v>23527.573313132594</v>
      </c>
      <c r="CR103" s="106">
        <v>11.125764970662154</v>
      </c>
      <c r="CS103" s="106">
        <v>22563.051360502846</v>
      </c>
      <c r="CT103" s="106">
        <v>9.2258292617140381</v>
      </c>
      <c r="CU103" s="106">
        <v>18709.98174275607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12.408542995949249</v>
      </c>
      <c r="I104" s="106">
        <v>25715.464504805226</v>
      </c>
      <c r="J104" s="106">
        <v>9.0745078218205926</v>
      </c>
      <c r="K104" s="106">
        <v>18806.010009940997</v>
      </c>
      <c r="L104" s="106">
        <v>9.6823928581161844</v>
      </c>
      <c r="M104" s="106">
        <v>20065.790959159982</v>
      </c>
      <c r="N104" s="106">
        <v>8.3214695242376475</v>
      </c>
      <c r="O104" s="106">
        <v>17245.413442030102</v>
      </c>
      <c r="P104" s="106">
        <v>8.491120276390598</v>
      </c>
      <c r="Q104" s="106">
        <v>17596.997660791876</v>
      </c>
      <c r="R104" s="106">
        <v>6.1747590817651394</v>
      </c>
      <c r="S104" s="106">
        <v>12796.570721050075</v>
      </c>
      <c r="T104" s="106">
        <v>11.553655029398978</v>
      </c>
      <c r="U104" s="106">
        <v>23943.794682926444</v>
      </c>
      <c r="V104" s="106">
        <v>9.0818612053455912</v>
      </c>
      <c r="W104" s="106">
        <v>18821.249161958203</v>
      </c>
      <c r="X104" s="106">
        <v>9.2219953898466365</v>
      </c>
      <c r="Y104" s="106">
        <v>19111.663245918171</v>
      </c>
      <c r="Z104" s="106">
        <v>9.5726759519148992</v>
      </c>
      <c r="AA104" s="106">
        <v>19838.413642748437</v>
      </c>
      <c r="AB104" s="106">
        <v>3.6868370723895114</v>
      </c>
      <c r="AC104" s="106">
        <v>7640.6011488200238</v>
      </c>
      <c r="AD104" s="106">
        <v>4.7124009059063114</v>
      </c>
      <c r="AE104" s="106">
        <v>9765.9796374002399</v>
      </c>
      <c r="AF104" s="106">
        <v>5.6931920823207189</v>
      </c>
      <c r="AG104" s="106">
        <v>11798.571271401459</v>
      </c>
      <c r="AH104" s="106">
        <v>6.75920129938077</v>
      </c>
      <c r="AI104" s="106">
        <v>14007.768772836709</v>
      </c>
      <c r="AJ104" s="106">
        <v>6.33892506078291</v>
      </c>
      <c r="AK104" s="106">
        <v>13136.788295966504</v>
      </c>
      <c r="AL104" s="106">
        <v>5.2187594087939919</v>
      </c>
      <c r="AM104" s="106">
        <v>10815.356998784669</v>
      </c>
      <c r="AN104" s="106">
        <v>8.2157521255631227</v>
      </c>
      <c r="AO104" s="106">
        <v>17026.324705017018</v>
      </c>
      <c r="AP104" s="106">
        <v>8.1522143590501077</v>
      </c>
      <c r="AQ104" s="106">
        <v>16894.649037695443</v>
      </c>
      <c r="AR104" s="106">
        <v>4.1375257953930085</v>
      </c>
      <c r="AS104" s="106">
        <v>8574.6084583724714</v>
      </c>
      <c r="AT104" s="106">
        <v>3.6519975892151804</v>
      </c>
      <c r="AU104" s="106">
        <v>7568.3998038895397</v>
      </c>
      <c r="AV104" s="106">
        <v>6.8181233530490966</v>
      </c>
      <c r="AW104" s="106">
        <v>14129.878836858948</v>
      </c>
      <c r="AX104" s="106">
        <v>5.3297629581219974</v>
      </c>
      <c r="AY104" s="106">
        <v>11045.400754412029</v>
      </c>
      <c r="AZ104" s="106">
        <v>6.0483866311858527</v>
      </c>
      <c r="BA104" s="106">
        <v>12534.676454469562</v>
      </c>
      <c r="BB104" s="106">
        <v>7.9635680763613452</v>
      </c>
      <c r="BC104" s="106">
        <v>16503.698481451254</v>
      </c>
      <c r="BD104" s="106">
        <v>7.544226647143498</v>
      </c>
      <c r="BE104" s="106">
        <v>15634.655303540187</v>
      </c>
      <c r="BF104" s="106">
        <v>6.3662244796493308</v>
      </c>
      <c r="BG104" s="106">
        <v>13193.363611625275</v>
      </c>
      <c r="BH104" s="106">
        <v>6.1615227278921179</v>
      </c>
      <c r="BI104" s="106">
        <v>12769.139701283626</v>
      </c>
      <c r="BJ104" s="106">
        <v>5.4130891761990076</v>
      </c>
      <c r="BK104" s="106">
        <v>11218.086008754824</v>
      </c>
      <c r="BL104" s="106">
        <v>6.2392627378899421</v>
      </c>
      <c r="BM104" s="106">
        <v>12930.248098003116</v>
      </c>
      <c r="BN104" s="106">
        <v>3.5908256902960343</v>
      </c>
      <c r="BO104" s="106">
        <v>7441.6271605695019</v>
      </c>
      <c r="BP104" s="106">
        <v>7.521147627674603</v>
      </c>
      <c r="BQ104" s="106">
        <v>15586.826343592847</v>
      </c>
      <c r="BR104" s="106">
        <v>8.3547209194062741</v>
      </c>
      <c r="BS104" s="106">
        <v>17314.323633377564</v>
      </c>
      <c r="BT104" s="106">
        <v>8.5379384834283414</v>
      </c>
      <c r="BU104" s="106">
        <v>17694.023713056897</v>
      </c>
      <c r="BV104" s="106">
        <v>8.1318925658359902</v>
      </c>
      <c r="BW104" s="106">
        <v>16852.534153438508</v>
      </c>
      <c r="BX104" s="106">
        <v>13.483289864738785</v>
      </c>
      <c r="BY104" s="106">
        <v>27942.769915684657</v>
      </c>
      <c r="BZ104" s="106">
        <v>12.527524921365409</v>
      </c>
      <c r="CA104" s="106">
        <v>25962.042647037673</v>
      </c>
      <c r="CB104" s="106">
        <v>15.406903062307125</v>
      </c>
      <c r="CC104" s="106">
        <v>31929.265906325287</v>
      </c>
      <c r="CD104" s="106">
        <v>16.49324578636557</v>
      </c>
      <c r="CE104" s="106">
        <v>34180.602567664006</v>
      </c>
      <c r="CF104" s="106">
        <v>5.388733319388213</v>
      </c>
      <c r="CG104" s="106">
        <v>11167.610931100133</v>
      </c>
      <c r="CH104" s="106">
        <v>5.2745212451815258</v>
      </c>
      <c r="CI104" s="106">
        <v>10930.917828514195</v>
      </c>
      <c r="CJ104" s="106">
        <v>5.2571565661850439</v>
      </c>
      <c r="CK104" s="106">
        <v>10894.931267761885</v>
      </c>
      <c r="CL104" s="106">
        <v>0</v>
      </c>
      <c r="CM104" s="106">
        <v>0</v>
      </c>
      <c r="CN104" s="106">
        <v>26.071205011897256</v>
      </c>
      <c r="CO104" s="106">
        <v>54029.965266655876</v>
      </c>
      <c r="CP104" s="106">
        <v>11.898838473237543</v>
      </c>
      <c r="CQ104" s="106">
        <v>24659.152851937484</v>
      </c>
      <c r="CR104" s="106">
        <v>10.766869326447246</v>
      </c>
      <c r="CS104" s="106">
        <v>22313.259992129275</v>
      </c>
      <c r="CT104" s="106">
        <v>9.2258292617140381</v>
      </c>
      <c r="CU104" s="106">
        <v>19119.608561976172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11.395600710565638</v>
      </c>
      <c r="I105" s="106">
        <v>22768.410219710146</v>
      </c>
      <c r="J105" s="106">
        <v>9.8307168069723083</v>
      </c>
      <c r="K105" s="106">
        <v>19641.77218033067</v>
      </c>
      <c r="L105" s="106">
        <v>9.6823928581161844</v>
      </c>
      <c r="M105" s="106">
        <v>19345.420930516135</v>
      </c>
      <c r="N105" s="106">
        <v>7.460627849316511</v>
      </c>
      <c r="O105" s="106">
        <v>14906.334442934389</v>
      </c>
      <c r="P105" s="106">
        <v>9.9467408952004153</v>
      </c>
      <c r="Q105" s="106">
        <v>19873.58830861043</v>
      </c>
      <c r="R105" s="106">
        <v>6.6321486433773726</v>
      </c>
      <c r="S105" s="106">
        <v>13251.032989467991</v>
      </c>
      <c r="T105" s="106">
        <v>11.976349725596503</v>
      </c>
      <c r="U105" s="106">
        <v>23928.746751741812</v>
      </c>
      <c r="V105" s="106">
        <v>9.8647802747719364</v>
      </c>
      <c r="W105" s="106">
        <v>19709.83098899433</v>
      </c>
      <c r="X105" s="106">
        <v>7.7658908546076937</v>
      </c>
      <c r="Y105" s="106">
        <v>15516.249927506173</v>
      </c>
      <c r="Z105" s="106">
        <v>10.0358699495882</v>
      </c>
      <c r="AA105" s="106">
        <v>20051.668159277222</v>
      </c>
      <c r="AB105" s="106">
        <v>3.6868370723895114</v>
      </c>
      <c r="AC105" s="106">
        <v>7366.3004706342435</v>
      </c>
      <c r="AD105" s="106">
        <v>4.2840008235511933</v>
      </c>
      <c r="AE105" s="106">
        <v>8559.4336454552849</v>
      </c>
      <c r="AF105" s="106">
        <v>5.2187594087939919</v>
      </c>
      <c r="AG105" s="106">
        <v>10427.081298770396</v>
      </c>
      <c r="AH105" s="106">
        <v>5.7936011137549457</v>
      </c>
      <c r="AI105" s="106">
        <v>11575.615025282381</v>
      </c>
      <c r="AJ105" s="106">
        <v>6.33892506078291</v>
      </c>
      <c r="AK105" s="106">
        <v>12665.172271444255</v>
      </c>
      <c r="AL105" s="106">
        <v>4.7443267352672649</v>
      </c>
      <c r="AM105" s="106">
        <v>9479.1648170639946</v>
      </c>
      <c r="AN105" s="106">
        <v>7.9741123571642056</v>
      </c>
      <c r="AO105" s="106">
        <v>15932.276489614083</v>
      </c>
      <c r="AP105" s="106">
        <v>7.1640671640137308</v>
      </c>
      <c r="AQ105" s="106">
        <v>14313.806193699435</v>
      </c>
      <c r="AR105" s="106">
        <v>4.6966509028785506</v>
      </c>
      <c r="AS105" s="106">
        <v>9383.9085039513448</v>
      </c>
      <c r="AT105" s="106">
        <v>3.381479249273315</v>
      </c>
      <c r="AU105" s="106">
        <v>6756.1955400480838</v>
      </c>
      <c r="AV105" s="106">
        <v>7.2726649099190368</v>
      </c>
      <c r="AW105" s="106">
        <v>14530.784490018235</v>
      </c>
      <c r="AX105" s="106">
        <v>5.5135478877124111</v>
      </c>
      <c r="AY105" s="106">
        <v>11016.068679649397</v>
      </c>
      <c r="AZ105" s="106">
        <v>6.5136471412770724</v>
      </c>
      <c r="BA105" s="106">
        <v>13014.266988271591</v>
      </c>
      <c r="BB105" s="106">
        <v>8.4059885250480857</v>
      </c>
      <c r="BC105" s="106">
        <v>16795.165073046075</v>
      </c>
      <c r="BD105" s="106">
        <v>7.544226647143498</v>
      </c>
      <c r="BE105" s="106">
        <v>15073.364840992708</v>
      </c>
      <c r="BF105" s="106">
        <v>7.0028469276142635</v>
      </c>
      <c r="BG105" s="106">
        <v>13991.688161373298</v>
      </c>
      <c r="BH105" s="106">
        <v>5.9414683447531136</v>
      </c>
      <c r="BI105" s="106">
        <v>11871.053752816721</v>
      </c>
      <c r="BJ105" s="106">
        <v>4.8975568737038637</v>
      </c>
      <c r="BK105" s="106">
        <v>9785.3186336603194</v>
      </c>
      <c r="BL105" s="106">
        <v>6.2392627378899421</v>
      </c>
      <c r="BM105" s="106">
        <v>12466.046950304104</v>
      </c>
      <c r="BN105" s="106">
        <v>3.8020507309016836</v>
      </c>
      <c r="BO105" s="106">
        <v>7596.4973603415638</v>
      </c>
      <c r="BP105" s="106">
        <v>7.7423578520179728</v>
      </c>
      <c r="BQ105" s="106">
        <v>15469.23098833191</v>
      </c>
      <c r="BR105" s="106">
        <v>9.1379760056006134</v>
      </c>
      <c r="BS105" s="106">
        <v>18257.676059190024</v>
      </c>
      <c r="BT105" s="106">
        <v>8.2330121090201871</v>
      </c>
      <c r="BU105" s="106">
        <v>16449.558193822333</v>
      </c>
      <c r="BV105" s="106">
        <v>7.1935972697779924</v>
      </c>
      <c r="BW105" s="106">
        <v>14372.807345016428</v>
      </c>
      <c r="BX105" s="106">
        <v>15.168701097831132</v>
      </c>
      <c r="BY105" s="106">
        <v>30307.064793466601</v>
      </c>
      <c r="BZ105" s="106">
        <v>11.890532128753607</v>
      </c>
      <c r="CA105" s="106">
        <v>23757.283193249707</v>
      </c>
      <c r="CB105" s="106">
        <v>15.682026331276894</v>
      </c>
      <c r="CC105" s="106">
        <v>31332.688609891236</v>
      </c>
      <c r="CD105" s="106">
        <v>16.292108642629405</v>
      </c>
      <c r="CE105" s="106">
        <v>32551.633067973551</v>
      </c>
      <c r="CF105" s="106">
        <v>5.388733319388213</v>
      </c>
      <c r="CG105" s="106">
        <v>10766.689172137649</v>
      </c>
      <c r="CH105" s="106">
        <v>5.2745212451815258</v>
      </c>
      <c r="CI105" s="106">
        <v>10538.493447872688</v>
      </c>
      <c r="CJ105" s="106">
        <v>4.8816453828861119</v>
      </c>
      <c r="CK105" s="106">
        <v>9753.5274750064509</v>
      </c>
      <c r="CL105" s="106">
        <v>0</v>
      </c>
      <c r="CM105" s="106">
        <v>0</v>
      </c>
      <c r="CN105" s="106">
        <v>28.243805429555366</v>
      </c>
      <c r="CO105" s="106">
        <v>56431.123248251621</v>
      </c>
      <c r="CP105" s="106">
        <v>11.303896549575665</v>
      </c>
      <c r="CQ105" s="106">
        <v>22585.185306052179</v>
      </c>
      <c r="CR105" s="106">
        <v>10.407973682232337</v>
      </c>
      <c r="CS105" s="106">
        <v>20795.131417100209</v>
      </c>
      <c r="CT105" s="106">
        <v>9.9946483668568735</v>
      </c>
      <c r="CU105" s="106">
        <v>19969.307436980034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75.563535761441315</v>
      </c>
      <c r="E112" s="106">
        <f>SUM(L$49:L$70)+SUM(N$49:N$70)+SUM(P$49:P$70)+SUM(R$49:R$70)</f>
        <v>37.206603461587683</v>
      </c>
      <c r="F112" s="106">
        <f>SUM(T$49:T$70)+SUM(V$49:V$70)+SUM(X$49:X$70)+SUM(Z$49:Z$70)</f>
        <v>14.024409300785081</v>
      </c>
      <c r="G112" s="106">
        <f>SUM(AB$49:AB$70)+SUM(AD$49:AD$70)+SUM(AF$49:AF$70)+SUM(AH$49:AH$70)</f>
        <v>39.621513083942105</v>
      </c>
      <c r="H112" s="106">
        <f>SUM(AJ$49:AJ$70)+SUM(AL$49:AL$70)+SUM(AN$49:AN$70)+SUM(AP$49:AP$70)</f>
        <v>69.406502064834356</v>
      </c>
      <c r="I112" s="106">
        <f>SUM(AR$49:AR$70)+SUM(AT$49:AT$70)+SUM(AV$49:AV$70)+SUM(AX$49:AX$70)</f>
        <v>33.011941309451551</v>
      </c>
      <c r="J112" s="106">
        <f>SUM(AZ$49:AZ$70)+SUM(BB$49:BB$70)+SUM(BD$49:BD$70)+SUM(BF$49:BF$70)</f>
        <v>78.589929047143656</v>
      </c>
      <c r="K112" s="106">
        <f>SUM(BH$49:BH$70)+SUM(BJ$49:BJ$70)+SUM(BL$49:BL$70)+SUM(BN$49:BN$70)</f>
        <v>51.489323418806038</v>
      </c>
      <c r="L112" s="106">
        <f>SUM(BP$49:BP$70)+SUM(BR$49:BR$70)+SUM(BT$49:BT$70)+SUM(BV$49:BV$70)</f>
        <v>63.277248776936297</v>
      </c>
      <c r="M112" s="106">
        <f>SUM(BX$49:BX$70)+SUM(BZ$49:BZ$70)+SUM(CB$49:CB$70)+SUM(CD$49:CD$70)</f>
        <v>76.787777007708883</v>
      </c>
      <c r="N112" s="106">
        <f>SUM(CF$49:CF$70)+SUM(CH$49:CH$70)+SUM(CJ$49:CJ$70)+SUM(CL$49:CL$70)</f>
        <v>70.563364229276161</v>
      </c>
      <c r="O112" s="106">
        <f>SUM(CN$49:CN$70)+SUM(CP$49:CP$70)+SUM(CR$49:CR$70)+SUM(CT$49:CT$70)</f>
        <v>80.555424070827939</v>
      </c>
    </row>
    <row r="113" spans="2:15" x14ac:dyDescent="0.2">
      <c r="C113" s="105" t="s">
        <v>130</v>
      </c>
      <c r="D113" s="106">
        <f>SUM(D$71:D$86)+SUM(F$71:F$86)+SUM(H$71:H$86)+SUM(J$71:J$86)</f>
        <v>178.30162678394055</v>
      </c>
      <c r="E113" s="106">
        <f>SUM(L$71:L$86)+SUM(N$71:N$86)+SUM(P$71:P$86)+SUM(R$71:R$86)</f>
        <v>355.84310934234446</v>
      </c>
      <c r="F113" s="106">
        <f>SUM(T$71:T$86)+SUM(V$71:V$86)+SUM(X$71:X$86)+SUM(Z$71:Z$86)</f>
        <v>211.39931161083084</v>
      </c>
      <c r="G113" s="106">
        <f>SUM(AB$71:AB$86)+SUM(AD$71:AD$86)+SUM(AF$71:AF$86)+SUM(AH$71:AH$86)</f>
        <v>398.87397366975972</v>
      </c>
      <c r="H113" s="106">
        <f>SUM(AJ$71:AJ$86)+SUM(AL$71:AL$86)+SUM(AN$71:AN$86)+SUM(AP$71:AP$86)</f>
        <v>214.96244472296371</v>
      </c>
      <c r="I113" s="106">
        <f>SUM(AR$71:AR$86)+SUM(AT$71:AT$86)+SUM(AV$71:AV$86)+SUM(AX$71:AX$86)</f>
        <v>661.26620791231426</v>
      </c>
      <c r="J113" s="106">
        <f>SUM(AZ$71:AZ$86)+SUM(BB$71:BB$86)+SUM(BD$71:BD$86)+SUM(BF$71:BF$86)</f>
        <v>324.28056498600955</v>
      </c>
      <c r="K113" s="106">
        <f>SUM(BH$71:BH$86)+SUM(BJ$71:BJ$86)+SUM(BL$71:BL$86)+SUM(BN$71:BN$86)</f>
        <v>600.00711139491523</v>
      </c>
      <c r="L113" s="106">
        <f>SUM(BP$71:BP$86)+SUM(BR$71:BR$86)+SUM(BT$71:BT$86)+SUM(BV$71:BV$86)</f>
        <v>181.62376020693188</v>
      </c>
      <c r="M113" s="106">
        <f>SUM(BX$71:BX$86)+SUM(BZ$71:BZ$86)+SUM(CB$71:CB$86)+SUM(CD$71:CD$86)</f>
        <v>201.539565012281</v>
      </c>
      <c r="N113" s="106">
        <f>SUM(CF$71:CF$86)+SUM(CH$71:CH$86)+SUM(CJ$71:CJ$86)+SUM(CL$71:CL$86)</f>
        <v>199.22434684274106</v>
      </c>
      <c r="O113" s="106">
        <f>SUM(CN$71:CN$86)+SUM(CP$71:CP$86)+SUM(CR$71:CR$86)+SUM(CT$71:CT$86)</f>
        <v>366.32890738767117</v>
      </c>
    </row>
    <row r="114" spans="2:15" x14ac:dyDescent="0.2">
      <c r="C114" s="105" t="s">
        <v>131</v>
      </c>
      <c r="D114" s="106">
        <f>SUM(D$87:D$94)+SUM(F$87:F$94)+SUM(H$87:H$94)+SUM(J$87:J$94)</f>
        <v>51.532972405039807</v>
      </c>
      <c r="E114" s="106">
        <f>SUM(L$87:L$94)+SUM(N$87:N$94)+SUM(P$87:P$94)+SUM(R$87:R$94)</f>
        <v>277.77619701433252</v>
      </c>
      <c r="F114" s="106">
        <f>SUM(T$87:T$94)+SUM(V$87:V$94)+SUM(X$87:X$94)+SUM(Z$87:Z$94)</f>
        <v>318.59089337061482</v>
      </c>
      <c r="G114" s="106">
        <f>SUM(AB$87:AB$94)+SUM(AD$87:AD$94)+SUM(AF$87:AF$94)+SUM(AH$87:AH$94)</f>
        <v>376.20097583389639</v>
      </c>
      <c r="H114" s="106">
        <f>SUM(AJ$87:AJ$94)+SUM(AL$87:AL$94)+SUM(AN$87:AN$94)+SUM(AP$87:AP$94)</f>
        <v>445.57321553503078</v>
      </c>
      <c r="I114" s="106">
        <f>SUM(AR$87:AR$94)+SUM(AT$87:AT$94)+SUM(AV$87:AV$94)+SUM(AX$87:AX$94)</f>
        <v>52.887566550555604</v>
      </c>
      <c r="J114" s="106">
        <f>SUM(AZ$87:AZ$94)+SUM(BB$87:BB$94)+SUM(BD$87:BD$94)+SUM(BF$87:BF$94)</f>
        <v>311.48418465638673</v>
      </c>
      <c r="K114" s="106">
        <f>SUM(BH$87:BH$94)+SUM(BJ$87:BJ$94)+SUM(BL$87:BL$94)+SUM(BN$87:BN$94)</f>
        <v>143.33388262348802</v>
      </c>
      <c r="L114" s="106">
        <f>SUM(BP$87:BP$94)+SUM(BR$87:BR$94)+SUM(BT$87:BT$94)+SUM(BV$87:BV$94)</f>
        <v>363.76041450487168</v>
      </c>
      <c r="M114" s="106">
        <f>SUM(BX$87:BX$94)+SUM(BZ$87:BZ$94)+SUM(CB$87:CB$94)+SUM(CD$87:CD$94)</f>
        <v>110.16709827704182</v>
      </c>
      <c r="N114" s="106">
        <f>SUM(CF$87:CF$94)+SUM(CH$87:CH$94)+SUM(CJ$87:CJ$94)+SUM(CL$87:CL$94)</f>
        <v>349.35486645560331</v>
      </c>
      <c r="O114" s="106">
        <f>SUM(CN$87:CN$94)+SUM(CP$87:CP$94)+SUM(CR$87:CR$94)+SUM(CT$87:CT$94)</f>
        <v>111.88007656158115</v>
      </c>
    </row>
    <row r="115" spans="2:15" x14ac:dyDescent="0.2">
      <c r="C115" s="105" t="s">
        <v>132</v>
      </c>
      <c r="D115" s="106">
        <f>SUM(D$95:D$105)+SUM(F$95:F$105)+SUM(H$95:H$105)+SUM(J$95:J$105)</f>
        <v>242.09717029942078</v>
      </c>
      <c r="E115" s="106">
        <f>SUM(L$95:L$105)+SUM(N$95:N$105)+SUM(P$95:P$105)+SUM(R$95:R$105)</f>
        <v>363.33188898699314</v>
      </c>
      <c r="F115" s="106">
        <f>SUM(T$95:T$105)+SUM(V$95:V$105)+SUM(X$95:X$105)+SUM(Z$95:Z$105)</f>
        <v>429.31037282860029</v>
      </c>
      <c r="G115" s="106">
        <f>SUM(AB$95:AB$105)+SUM(AD$95:AD$105)+SUM(AF$95:AF$105)+SUM(AH$95:AH$105)</f>
        <v>219.46133621765969</v>
      </c>
      <c r="H115" s="106">
        <f>SUM(AJ$95:AJ$105)+SUM(AL$95:AL$105)+SUM(AN$95:AN$105)+SUM(AP$95:AP$105)</f>
        <v>304.21563648242909</v>
      </c>
      <c r="I115" s="106">
        <f>SUM(AR$95:AR$105)+SUM(AT$95:AT$105)+SUM(AV$95:AV$105)+SUM(AX$95:AX$105)</f>
        <v>226.1592713385096</v>
      </c>
      <c r="J115" s="106">
        <f>SUM(AZ$95:AZ$105)+SUM(BB$95:BB$105)+SUM(BD$95:BD$105)+SUM(BF$95:BF$105)</f>
        <v>319.803120115718</v>
      </c>
      <c r="K115" s="106">
        <f>SUM(BH$95:BH$105)+SUM(BJ$95:BJ$105)+SUM(BL$95:BL$105)+SUM(BN$95:BN$105)</f>
        <v>239.32748136804864</v>
      </c>
      <c r="L115" s="106">
        <f>SUM(BP$95:BP$105)+SUM(BR$95:BR$105)+SUM(BT$95:BT$105)+SUM(BV$95:BV$105)</f>
        <v>364.66356362209115</v>
      </c>
      <c r="M115" s="106">
        <f>SUM(BX$95:BX$105)+SUM(BZ$95:BZ$105)+SUM(CB$95:CB$105)+SUM(CD$95:CD$105)</f>
        <v>645.66335850822634</v>
      </c>
      <c r="N115" s="106">
        <f>SUM(CF$95:CF$105)+SUM(CH$95:CH$105)+SUM(CJ$95:CJ$105)+SUM(CL$95:CL$105)</f>
        <v>171.68397449992969</v>
      </c>
      <c r="O115" s="106">
        <f>SUM(CN$95:CN$105)+SUM(CP$95:CP$105)+SUM(CR$95:CR$105)+SUM(CT$95:CT$105)</f>
        <v>657.89182586845845</v>
      </c>
    </row>
    <row r="116" spans="2:15" x14ac:dyDescent="0.2">
      <c r="C116" s="105" t="s">
        <v>277</v>
      </c>
      <c r="D116" s="106">
        <f t="shared" ref="D116:O116" si="0">SUM(D$109:D$115)</f>
        <v>547.49530524984243</v>
      </c>
      <c r="E116" s="106">
        <f t="shared" si="0"/>
        <v>1034.1577988052577</v>
      </c>
      <c r="F116" s="106">
        <f t="shared" si="0"/>
        <v>973.32498711083099</v>
      </c>
      <c r="G116" s="106">
        <f t="shared" si="0"/>
        <v>1034.1577988052579</v>
      </c>
      <c r="H116" s="106">
        <f t="shared" si="0"/>
        <v>1034.1577988052579</v>
      </c>
      <c r="I116" s="106">
        <f t="shared" si="0"/>
        <v>973.32498711083099</v>
      </c>
      <c r="J116" s="106">
        <f t="shared" si="0"/>
        <v>1034.1577988052579</v>
      </c>
      <c r="K116" s="106">
        <f t="shared" si="0"/>
        <v>1034.1577988052579</v>
      </c>
      <c r="L116" s="106">
        <f t="shared" si="0"/>
        <v>973.32498711083099</v>
      </c>
      <c r="M116" s="106">
        <f t="shared" si="0"/>
        <v>1034.1577988052582</v>
      </c>
      <c r="N116" s="106">
        <f t="shared" si="0"/>
        <v>790.82655202755018</v>
      </c>
      <c r="O116" s="106">
        <f t="shared" si="0"/>
        <v>1216.6562338885387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0</v>
      </c>
      <c r="E120" s="106">
        <f>E109*pricing!E15*2000</f>
        <v>0</v>
      </c>
      <c r="F120" s="106">
        <f>F109*pricing!F15*2000</f>
        <v>0</v>
      </c>
      <c r="G120" s="106">
        <f>G109*pricing!G15*2000</f>
        <v>0</v>
      </c>
      <c r="H120" s="106">
        <f>H109*pricing!H15*2000</f>
        <v>0</v>
      </c>
      <c r="I120" s="106">
        <f>I109*pricing!I15*2000</f>
        <v>0</v>
      </c>
      <c r="J120" s="106">
        <f>J109*pricing!J15*2000</f>
        <v>0</v>
      </c>
      <c r="K120" s="106">
        <f>K109*pricing!K15*2000</f>
        <v>0</v>
      </c>
      <c r="L120" s="106">
        <f>L109*pricing!L15*2000</f>
        <v>0</v>
      </c>
      <c r="M120" s="106">
        <f>M109*pricing!M15*2000</f>
        <v>0</v>
      </c>
      <c r="N120" s="106">
        <f>N109*pricing!N15*2000</f>
        <v>0</v>
      </c>
      <c r="O120" s="106">
        <f>O109*pricing!O15*2000</f>
        <v>0</v>
      </c>
    </row>
    <row r="121" spans="2:15" x14ac:dyDescent="0.2">
      <c r="C121" s="105" t="s">
        <v>127</v>
      </c>
      <c r="D121" s="106">
        <f>D110*pricing!D16*2000</f>
        <v>0</v>
      </c>
      <c r="E121" s="106">
        <f>E110*pricing!E16*2000</f>
        <v>0</v>
      </c>
      <c r="F121" s="106">
        <f>F110*pricing!F16*2000</f>
        <v>0</v>
      </c>
      <c r="G121" s="106">
        <f>G110*pricing!G16*2000</f>
        <v>0</v>
      </c>
      <c r="H121" s="106">
        <f>H110*pricing!H16*2000</f>
        <v>0</v>
      </c>
      <c r="I121" s="106">
        <f>I110*pricing!I16*2000</f>
        <v>0</v>
      </c>
      <c r="J121" s="106">
        <f>J110*pricing!J16*2000</f>
        <v>0</v>
      </c>
      <c r="K121" s="106">
        <f>K110*pricing!K16*2000</f>
        <v>0</v>
      </c>
      <c r="L121" s="106">
        <f>L110*pricing!L16*2000</f>
        <v>0</v>
      </c>
      <c r="M121" s="106">
        <f>M110*pricing!M16*2000</f>
        <v>0</v>
      </c>
      <c r="N121" s="106">
        <f>N110*pricing!N16*2000</f>
        <v>0</v>
      </c>
      <c r="O121" s="106">
        <f>O110*pricing!O16*2000</f>
        <v>0</v>
      </c>
    </row>
    <row r="122" spans="2:15" x14ac:dyDescent="0.2">
      <c r="C122" s="105" t="s">
        <v>128</v>
      </c>
      <c r="D122" s="106">
        <f>D111*pricing!D17*2000</f>
        <v>0</v>
      </c>
      <c r="E122" s="106">
        <f>E111*pricing!E17*2000</f>
        <v>0</v>
      </c>
      <c r="F122" s="106">
        <f>F111*pricing!F17*2000</f>
        <v>0</v>
      </c>
      <c r="G122" s="106">
        <f>G111*pricing!G17*2000</f>
        <v>0</v>
      </c>
      <c r="H122" s="106">
        <f>H111*pricing!H17*2000</f>
        <v>0</v>
      </c>
      <c r="I122" s="106">
        <f>I111*pricing!I17*2000</f>
        <v>0</v>
      </c>
      <c r="J122" s="106">
        <f>J111*pricing!J17*2000</f>
        <v>0</v>
      </c>
      <c r="K122" s="106">
        <f>K111*pricing!K17*2000</f>
        <v>0</v>
      </c>
      <c r="L122" s="106">
        <f>L111*pricing!L17*2000</f>
        <v>0</v>
      </c>
      <c r="M122" s="106">
        <f>M111*pricing!M17*2000</f>
        <v>0</v>
      </c>
      <c r="N122" s="106">
        <f>N111*pricing!N17*2000</f>
        <v>0</v>
      </c>
      <c r="O122" s="106">
        <f>O111*pricing!O17*2000</f>
        <v>0</v>
      </c>
    </row>
    <row r="123" spans="2:15" x14ac:dyDescent="0.2">
      <c r="C123" s="105" t="s">
        <v>129</v>
      </c>
      <c r="D123" s="106">
        <f>D112*pricing!D18*2000</f>
        <v>209094.46678182264</v>
      </c>
      <c r="E123" s="106">
        <f>E112*pricing!E18*2000</f>
        <v>201129.27863047543</v>
      </c>
      <c r="F123" s="106">
        <f>F112*pricing!F18*2000</f>
        <v>86952.474940192391</v>
      </c>
      <c r="G123" s="106">
        <f>G112*pricing!G18*2000</f>
        <v>276952.05729713204</v>
      </c>
      <c r="H123" s="106">
        <f>H112*pricing!H18*2000</f>
        <v>260273.8633644181</v>
      </c>
      <c r="I123" s="106">
        <f>I112*pricing!I18*2000</f>
        <v>126691.90695525624</v>
      </c>
      <c r="J123" s="106">
        <f>J112*pricing!J18*2000</f>
        <v>393260.83751568542</v>
      </c>
      <c r="K123" s="106">
        <f>K112*pricing!K18*2000</f>
        <v>207519.00490930327</v>
      </c>
      <c r="L123" s="106">
        <f>L112*pricing!L18*2000</f>
        <v>289129.71465587971</v>
      </c>
      <c r="M123" s="106">
        <f>M112*pricing!M18*2000</f>
        <v>263851.51516301656</v>
      </c>
      <c r="N123" s="106">
        <f>N112*pricing!N18*2000</f>
        <v>289494.61310051434</v>
      </c>
      <c r="O123" s="106">
        <f>O112*pricing!O18*2000</f>
        <v>403822.67893740331</v>
      </c>
    </row>
    <row r="124" spans="2:15" x14ac:dyDescent="0.2">
      <c r="C124" s="105" t="s">
        <v>130</v>
      </c>
      <c r="D124" s="106">
        <f>D113*pricing!D19*2000</f>
        <v>873014.2736917017</v>
      </c>
      <c r="E124" s="106">
        <f>E113*pricing!E19*2000</f>
        <v>1480001.7512569274</v>
      </c>
      <c r="F124" s="106">
        <f>F113*pricing!F19*2000</f>
        <v>1084564.5686247721</v>
      </c>
      <c r="G124" s="106">
        <f>G113*pricing!G19*2000</f>
        <v>2326101.2183043901</v>
      </c>
      <c r="H124" s="106">
        <f>H113*pricing!H19*2000</f>
        <v>1320330.2284534783</v>
      </c>
      <c r="I124" s="106">
        <f>I113*pricing!I19*2000</f>
        <v>1587170.3154889964</v>
      </c>
      <c r="J124" s="106">
        <f>J113*pricing!J19*2000</f>
        <v>2329783.6614345647</v>
      </c>
      <c r="K124" s="106">
        <f>K113*pricing!K19*2000</f>
        <v>2025505.4033339946</v>
      </c>
      <c r="L124" s="106">
        <f>L113*pricing!L19*2000</f>
        <v>1237225.6871620535</v>
      </c>
      <c r="M124" s="106">
        <f>M113*pricing!M19*2000</f>
        <v>1105742.8122793694</v>
      </c>
      <c r="N124" s="106">
        <f>N113*pricing!N19*2000</f>
        <v>1325735.9156425954</v>
      </c>
      <c r="O124" s="106">
        <f>O113*pricing!O19*2000</f>
        <v>2153957.2071447405</v>
      </c>
    </row>
    <row r="125" spans="2:15" x14ac:dyDescent="0.2">
      <c r="C125" s="105" t="s">
        <v>131</v>
      </c>
      <c r="D125" s="106">
        <f>D114*pricing!D20*2000</f>
        <v>259752.17157268213</v>
      </c>
      <c r="E125" s="106">
        <f>E114*pricing!E20*2000</f>
        <v>767131.18545641587</v>
      </c>
      <c r="F125" s="106">
        <f>F114*pricing!F20*2000</f>
        <v>701615.51720590971</v>
      </c>
      <c r="G125" s="106">
        <f>G114*pricing!G20*2000</f>
        <v>1468895.1406162363</v>
      </c>
      <c r="H125" s="106">
        <f>H114*pricing!H20*2000</f>
        <v>965024.24819620955</v>
      </c>
      <c r="I125" s="106">
        <f>I114*pricing!I20*2000</f>
        <v>270086.63651270507</v>
      </c>
      <c r="J125" s="106">
        <f>J114*pricing!J20*2000</f>
        <v>1145455.2552636229</v>
      </c>
      <c r="K125" s="106">
        <f>K114*pricing!K20*2000</f>
        <v>564782.85840315325</v>
      </c>
      <c r="L125" s="106">
        <f>L114*pricing!L20*2000</f>
        <v>977262.97869806585</v>
      </c>
      <c r="M125" s="106">
        <f>M114*pricing!M20*2000</f>
        <v>503074.98108201858</v>
      </c>
      <c r="N125" s="106">
        <f>N114*pricing!N20*2000</f>
        <v>1099673.2524189902</v>
      </c>
      <c r="O125" s="106">
        <f>O114*pricing!O20*2000</f>
        <v>672074.7770120285</v>
      </c>
    </row>
    <row r="126" spans="2:15" x14ac:dyDescent="0.2">
      <c r="C126" s="105" t="s">
        <v>132</v>
      </c>
      <c r="D126" s="106">
        <f>D115*pricing!D21*2000</f>
        <v>737506.39242593548</v>
      </c>
      <c r="E126" s="106">
        <f>E115*pricing!E21*2000</f>
        <v>1145618.8312755045</v>
      </c>
      <c r="F126" s="106">
        <f>F115*pricing!F21*2000</f>
        <v>966421.69953627966</v>
      </c>
      <c r="G126" s="106">
        <f>G115*pricing!G21*2000</f>
        <v>1380177.7125803293</v>
      </c>
      <c r="H126" s="106">
        <f>H115*pricing!H21*2000</f>
        <v>1083612.9978676406</v>
      </c>
      <c r="I126" s="106">
        <f>I115*pricing!I21*2000</f>
        <v>715752.91531035258</v>
      </c>
      <c r="J126" s="106">
        <f>J115*pricing!J21*2000</f>
        <v>1579719.498383593</v>
      </c>
      <c r="K126" s="106">
        <f>K115*pricing!K21*2000</f>
        <v>956816.607507693</v>
      </c>
      <c r="L126" s="106">
        <f>L115*pricing!L21*2000</f>
        <v>1179375.497635514</v>
      </c>
      <c r="M126" s="106">
        <f>M115*pricing!M21*2000</f>
        <v>1434783.5999489108</v>
      </c>
      <c r="N126" s="106">
        <f>N115*pricing!N21*2000</f>
        <v>978875.13362731051</v>
      </c>
      <c r="O126" s="106">
        <f>O115*pricing!O21*2000</f>
        <v>2105653.1402091132</v>
      </c>
    </row>
    <row r="127" spans="2:15" x14ac:dyDescent="0.2">
      <c r="C127" s="105" t="s">
        <v>277</v>
      </c>
      <c r="D127" s="106">
        <f t="shared" ref="D127:O127" si="1">SUM(D$120:D$126)</f>
        <v>2079367.3044721421</v>
      </c>
      <c r="E127" s="106">
        <f t="shared" si="1"/>
        <v>3593881.0466193235</v>
      </c>
      <c r="F127" s="106">
        <f t="shared" si="1"/>
        <v>2839554.2603071542</v>
      </c>
      <c r="G127" s="106">
        <f t="shared" si="1"/>
        <v>5452126.1287980881</v>
      </c>
      <c r="H127" s="106">
        <f t="shared" si="1"/>
        <v>3629241.3378817462</v>
      </c>
      <c r="I127" s="106">
        <f t="shared" si="1"/>
        <v>2699701.7742673103</v>
      </c>
      <c r="J127" s="106">
        <f t="shared" si="1"/>
        <v>5448219.2525974661</v>
      </c>
      <c r="K127" s="106">
        <f t="shared" si="1"/>
        <v>3754623.874154144</v>
      </c>
      <c r="L127" s="106">
        <f t="shared" si="1"/>
        <v>3682993.8781515132</v>
      </c>
      <c r="M127" s="106">
        <f t="shared" si="1"/>
        <v>3307452.9084733156</v>
      </c>
      <c r="N127" s="106">
        <f t="shared" si="1"/>
        <v>3693778.9147894103</v>
      </c>
      <c r="O127" s="106">
        <f t="shared" si="1"/>
        <v>5335507.8033032855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83302.722062277462</v>
      </c>
      <c r="E134" s="112">
        <f>SUM(M$49:M$70)+SUM(O$49:O$70)+SUM(Q$49:Q$70)+SUM(S$49:S$70)</f>
        <v>41156.381986092514</v>
      </c>
      <c r="F134" s="112">
        <f>SUM(U$49:U$70)+SUM(W$49:W$70)+SUM(Y$49:Y$70)+SUM(AA$49:AA$70)</f>
        <v>15468.029416007375</v>
      </c>
      <c r="G134" s="112">
        <f>SUM(AC$49:AC$70)+SUM(AE$49:AE$70)+SUM(AG$49:AG$70)+SUM(AI$49:AI$70)</f>
        <v>43660.185256380137</v>
      </c>
      <c r="H134" s="112">
        <f>SUM(AK$49:AK$70)+SUM(AM$49:AM$70)+SUM(AO$49:AO$70)+SUM(AQ$49:AQ$70)</f>
        <v>76634.396680241931</v>
      </c>
      <c r="I134" s="112">
        <f>SUM(AS$49:AS$70)+SUM(AU$49:AU$70)+SUM(AW$49:AW$70)+SUM(AY$49:AY$70)</f>
        <v>36419.848823232387</v>
      </c>
      <c r="J134" s="112">
        <f>SUM(BA$49:BA$70)+SUM(BC$49:BC$70)+SUM(BE$49:BE$70)+SUM(BG$49:BG$70)</f>
        <v>86990.492121003321</v>
      </c>
      <c r="K134" s="112">
        <f>SUM(BI$49:BI$70)+SUM(BK$49:BK$70)+SUM(BM$49:BM$70)+SUM(BO$49:BO$70)</f>
        <v>56822.537811484639</v>
      </c>
      <c r="L134" s="112">
        <f>SUM(BQ$49:BQ$70)+SUM(BS$49:BS$70)+SUM(BU$49:BU$70)+SUM(BW$49:BW$70)</f>
        <v>69879.696778374564</v>
      </c>
      <c r="M134" s="112">
        <f>SUM(BY$49:BY$70)+SUM(CA$49:CA$70)+SUM(CC$49:CC$70)+SUM(CE$49:CE$70)</f>
        <v>84855.312913684218</v>
      </c>
      <c r="N134" s="112">
        <f>SUM(CG$49:CG$70)+SUM(CI$49:CI$70)+SUM(CK$49:CK$70)+SUM(CM$49:CM$70)</f>
        <v>77723.146957002304</v>
      </c>
      <c r="O134" s="112">
        <f>SUM(CO$49:CO$70)+SUM(CQ$49:CQ$70)+SUM(CS$49:CS$70)+SUM(CU$49:CU$70)</f>
        <v>88826.342321495235</v>
      </c>
    </row>
    <row r="135" spans="2:15" x14ac:dyDescent="0.2">
      <c r="C135" s="111" t="s">
        <v>130</v>
      </c>
      <c r="D135" s="112">
        <f>SUM(E$71:E$86)+SUM(G$71:G$86)+SUM(I$71:I$86)+SUM(K$71:K$86)</f>
        <v>99855.855250027787</v>
      </c>
      <c r="E135" s="112">
        <f>SUM(M$71:M$86)+SUM(O$71:O$86)+SUM(Q$71:Q$86)+SUM(S$71:S$86)</f>
        <v>198374.55709465902</v>
      </c>
      <c r="F135" s="112">
        <f>SUM(U$71:U$86)+SUM(W$71:W$86)+SUM(Y$71:Y$86)+SUM(AA$71:AA$86)</f>
        <v>117952.2136365464</v>
      </c>
      <c r="G135" s="112">
        <f>SUM(AC$71:AC$86)+SUM(AE$71:AE$86)+SUM(AG$71:AG$86)+SUM(AI$71:AI$86)</f>
        <v>222478.97567097325</v>
      </c>
      <c r="H135" s="112">
        <f>SUM(AK$71:AK$86)+SUM(AM$71:AM$86)+SUM(AO$71:AO$86)+SUM(AQ$71:AQ$86)</f>
        <v>119880.41058055262</v>
      </c>
      <c r="I135" s="112">
        <f>SUM(AS$71:AS$86)+SUM(AU$71:AU$86)+SUM(AW$71:AW$86)+SUM(AY$71:AY$86)</f>
        <v>365270.15831472521</v>
      </c>
      <c r="J135" s="112">
        <f>SUM(BA$71:BA$86)+SUM(BC$71:BC$86)+SUM(BE$71:BE$86)+SUM(BG$71:BG$86)</f>
        <v>181251.65998242394</v>
      </c>
      <c r="K135" s="112">
        <f>SUM(BI$71:BI$86)+SUM(BK$71:BK$86)+SUM(BM$71:BM$86)+SUM(BO$71:BO$86)</f>
        <v>334924.87385860435</v>
      </c>
      <c r="L135" s="112">
        <f>SUM(BQ$71:BQ$86)+SUM(BS$71:BS$86)+SUM(BU$71:BU$86)+SUM(BW$71:BW$86)</f>
        <v>101924.0788505711</v>
      </c>
      <c r="M135" s="112">
        <f>SUM(BY$71:BY$86)+SUM(CA$71:CA$86)+SUM(CC$71:CC$86)+SUM(CE$71:CE$86)</f>
        <v>112757.82915778569</v>
      </c>
      <c r="N135" s="112">
        <f>SUM(CG$71:CG$86)+SUM(CI$71:CI$86)+SUM(CK$71:CK$86)+SUM(CM$71:CM$86)</f>
        <v>111381.15764201731</v>
      </c>
      <c r="O135" s="112">
        <f>SUM(CO$71:CO$86)+SUM(CQ$71:CQ$86)+SUM(CS$71:CS$86)+SUM(CU$71:CU$86)</f>
        <v>204028.84663144907</v>
      </c>
    </row>
    <row r="136" spans="2:15" x14ac:dyDescent="0.2">
      <c r="C136" s="111" t="s">
        <v>131</v>
      </c>
      <c r="D136" s="112">
        <f>SUM(E$87:E$94)+SUM(G$87:G$94)+SUM(I$87:I$94)+SUM(K$87:K$94)</f>
        <v>104399.87460805851</v>
      </c>
      <c r="E136" s="112">
        <f>SUM(M$87:M$94)+SUM(O$87:O$94)+SUM(Q$87:Q$94)+SUM(S$87:S$94)</f>
        <v>563452.94426411274</v>
      </c>
      <c r="F136" s="112">
        <f>SUM(U$87:U$94)+SUM(W$87:W$94)+SUM(Y$87:Y$94)+SUM(AA$87:AA$94)</f>
        <v>646314.42729735444</v>
      </c>
      <c r="G136" s="112">
        <f>SUM(AC$87:AC$94)+SUM(AE$87:AE$94)+SUM(AG$87:AG$94)+SUM(AI$87:AI$94)</f>
        <v>764534.45040304144</v>
      </c>
      <c r="H136" s="112">
        <f>SUM(AK$87:AK$94)+SUM(AM$87:AM$94)+SUM(AO$87:AO$94)+SUM(AQ$87:AQ$94)</f>
        <v>903268.32961249142</v>
      </c>
      <c r="I136" s="112">
        <f>SUM(AS$87:AS$94)+SUM(AU$87:AU$94)+SUM(AW$87:AW$94)+SUM(AY$87:AY$94)</f>
        <v>107400.55941999372</v>
      </c>
      <c r="J136" s="112">
        <f>SUM(BA$87:BA$94)+SUM(BC$87:BC$94)+SUM(BE$87:BE$94)+SUM(BG$87:BG$94)</f>
        <v>630362.97663334082</v>
      </c>
      <c r="K136" s="112">
        <f>SUM(BI$87:BI$94)+SUM(BK$87:BK$94)+SUM(BM$87:BM$94)+SUM(BO$87:BO$94)</f>
        <v>291940.41883821826</v>
      </c>
      <c r="L136" s="112">
        <f>SUM(BQ$87:BQ$94)+SUM(BS$87:BS$94)+SUM(BU$87:BU$94)+SUM(BW$87:BW$94)</f>
        <v>736844.95152100828</v>
      </c>
      <c r="M136" s="112">
        <f>SUM(BY$87:BY$94)+SUM(CA$87:CA$94)+SUM(CC$87:CC$94)+SUM(CE$87:CE$94)</f>
        <v>224517.84217018937</v>
      </c>
      <c r="N136" s="112">
        <f>SUM(CG$87:CG$94)+SUM(CI$87:CI$94)+SUM(CK$87:CK$94)+SUM(CM$87:CM$94)</f>
        <v>709724.48507867334</v>
      </c>
      <c r="O136" s="112">
        <f>SUM(CO$87:CO$94)+SUM(CQ$87:CQ$94)+SUM(CS$87:CS$94)+SUM(CU$87:CU$94)</f>
        <v>227346.5712585747</v>
      </c>
    </row>
    <row r="137" spans="2:15" x14ac:dyDescent="0.2">
      <c r="C137" s="111" t="s">
        <v>132</v>
      </c>
      <c r="D137" s="112">
        <f>SUM(E$95:E$105)+SUM(G$95:G$105)+SUM(I$95:I$105)+SUM(K$95:K$105)</f>
        <v>451293.20053922455</v>
      </c>
      <c r="E137" s="112">
        <f>SUM(M$95:M$105)+SUM(O$95:O$105)+SUM(Q$95:Q$105)+SUM(S$95:S$105)</f>
        <v>678725.4360352495</v>
      </c>
      <c r="F137" s="112">
        <f>SUM(U$95:U$105)+SUM(W$95:W$105)+SUM(Y$95:Y$105)+SUM(AA$95:AA$105)</f>
        <v>787064.66397541133</v>
      </c>
      <c r="G137" s="112">
        <f>SUM(AC$95:AC$105)+SUM(AE$95:AE$105)+SUM(AG$95:AG$105)+SUM(AI$95:AI$105)</f>
        <v>420645.9302294238</v>
      </c>
      <c r="H137" s="112">
        <f>SUM(AK$95:AK$105)+SUM(AM$95:AM$105)+SUM(AO$95:AO$105)+SUM(AQ$95:AQ$105)</f>
        <v>573331.85103061714</v>
      </c>
      <c r="I137" s="112">
        <f>SUM(AS$95:AS$105)+SUM(AU$95:AU$105)+SUM(AW$95:AW$105)+SUM(AY$95:AY$105)</f>
        <v>423514.44668540737</v>
      </c>
      <c r="J137" s="112">
        <f>SUM(BA$95:BA$105)+SUM(BC$95:BC$105)+SUM(BE$95:BE$105)+SUM(BG$95:BG$105)</f>
        <v>607275.40864230902</v>
      </c>
      <c r="K137" s="112">
        <f>SUM(BI$95:BI$105)+SUM(BK$95:BK$105)+SUM(BM$95:BM$105)+SUM(BO$95:BO$105)</f>
        <v>451670.35719257523</v>
      </c>
      <c r="L137" s="112">
        <f>SUM(BQ$95:BQ$105)+SUM(BS$95:BS$105)+SUM(BU$95:BU$105)+SUM(BW$95:BW$105)</f>
        <v>684673.38791360403</v>
      </c>
      <c r="M137" s="112">
        <f>SUM(BY$95:BY$105)+SUM(CA$95:CA$105)+SUM(CC$95:CC$105)+SUM(CE$95:CE$105)</f>
        <v>1183153.6019520755</v>
      </c>
      <c r="N137" s="112">
        <f>SUM(CG$95:CG$105)+SUM(CI$95:CI$105)+SUM(CK$95:CK$105)+SUM(CM$95:CM$105)</f>
        <v>332212.85112822719</v>
      </c>
      <c r="O137" s="112">
        <f>SUM(CO$95:CO$105)+SUM(CQ$95:CQ$105)+SUM(CS$95:CS$105)+SUM(CU$95:CU$105)</f>
        <v>1228591.5031656963</v>
      </c>
    </row>
    <row r="138" spans="2:15" x14ac:dyDescent="0.2">
      <c r="C138" s="111" t="s">
        <v>277</v>
      </c>
      <c r="D138" s="106">
        <f t="shared" ref="D138:O138" si="2">SUM(D$131:D$137)</f>
        <v>738851.65245958837</v>
      </c>
      <c r="E138" s="106">
        <f t="shared" si="2"/>
        <v>1481709.3193801139</v>
      </c>
      <c r="F138" s="106">
        <f t="shared" si="2"/>
        <v>1566799.3343253196</v>
      </c>
      <c r="G138" s="106">
        <f t="shared" si="2"/>
        <v>1451319.5415598187</v>
      </c>
      <c r="H138" s="106">
        <f t="shared" si="2"/>
        <v>1673114.9879039032</v>
      </c>
      <c r="I138" s="106">
        <f t="shared" si="2"/>
        <v>932605.0132433587</v>
      </c>
      <c r="J138" s="106">
        <f t="shared" si="2"/>
        <v>1505880.5373790772</v>
      </c>
      <c r="K138" s="106">
        <f t="shared" si="2"/>
        <v>1135358.1877008826</v>
      </c>
      <c r="L138" s="106">
        <f t="shared" si="2"/>
        <v>1593322.1150635579</v>
      </c>
      <c r="M138" s="106">
        <f t="shared" si="2"/>
        <v>1605284.5861937348</v>
      </c>
      <c r="N138" s="106">
        <f t="shared" si="2"/>
        <v>1231041.6408059201</v>
      </c>
      <c r="O138" s="106">
        <f t="shared" si="2"/>
        <v>1748793.2633772152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280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37</v>
      </c>
      <c r="G6" s="106">
        <v>21400.799999999999</v>
      </c>
      <c r="H6" s="106">
        <v>73</v>
      </c>
      <c r="I6" s="106">
        <v>42223.199999999997</v>
      </c>
      <c r="J6" s="106">
        <v>47</v>
      </c>
      <c r="K6" s="106">
        <v>27184.799999999999</v>
      </c>
      <c r="L6" s="106">
        <v>50</v>
      </c>
      <c r="M6" s="106">
        <v>28920</v>
      </c>
      <c r="N6" s="106">
        <v>43</v>
      </c>
      <c r="O6" s="106">
        <v>24871.200000000001</v>
      </c>
      <c r="P6" s="106">
        <v>36</v>
      </c>
      <c r="Q6" s="106">
        <v>20822.399999999998</v>
      </c>
      <c r="R6" s="106">
        <v>48</v>
      </c>
      <c r="S6" s="106">
        <v>27763.199999999997</v>
      </c>
      <c r="T6" s="106">
        <v>9</v>
      </c>
      <c r="U6" s="106">
        <v>5205.5999999999995</v>
      </c>
      <c r="V6" s="106">
        <v>9</v>
      </c>
      <c r="W6" s="106">
        <v>5205.5999999999995</v>
      </c>
      <c r="X6" s="106">
        <v>14</v>
      </c>
      <c r="Y6" s="106">
        <v>8097.5999999999995</v>
      </c>
      <c r="Z6" s="106">
        <v>11</v>
      </c>
      <c r="AA6" s="106">
        <v>6362.4</v>
      </c>
      <c r="AB6" s="106">
        <v>7</v>
      </c>
      <c r="AC6" s="106">
        <v>4048.7999999999997</v>
      </c>
      <c r="AD6" s="106">
        <v>9</v>
      </c>
      <c r="AE6" s="106">
        <v>5205.5999999999995</v>
      </c>
      <c r="AF6" s="106">
        <v>10</v>
      </c>
      <c r="AG6" s="106">
        <v>5784</v>
      </c>
      <c r="AH6" s="106">
        <v>8</v>
      </c>
      <c r="AI6" s="106">
        <v>4627.2</v>
      </c>
      <c r="AJ6" s="106">
        <v>8</v>
      </c>
      <c r="AK6" s="106">
        <v>4627.2</v>
      </c>
      <c r="AL6" s="106">
        <v>8</v>
      </c>
      <c r="AM6" s="106">
        <v>4627.2</v>
      </c>
      <c r="AN6" s="106">
        <v>5</v>
      </c>
      <c r="AO6" s="106">
        <v>2892</v>
      </c>
      <c r="AP6" s="106">
        <v>6</v>
      </c>
      <c r="AQ6" s="106">
        <v>3470.3999999999996</v>
      </c>
      <c r="AR6" s="106">
        <v>7</v>
      </c>
      <c r="AS6" s="106">
        <v>4048.7999999999997</v>
      </c>
      <c r="AT6" s="106">
        <v>9</v>
      </c>
      <c r="AU6" s="106">
        <v>5205.5999999999995</v>
      </c>
      <c r="AV6" s="106">
        <v>9</v>
      </c>
      <c r="AW6" s="106">
        <v>5205.5999999999995</v>
      </c>
      <c r="AX6" s="106">
        <v>6</v>
      </c>
      <c r="AY6" s="106">
        <v>3470.3999999999996</v>
      </c>
      <c r="AZ6" s="106">
        <v>43</v>
      </c>
      <c r="BA6" s="106">
        <v>24871.200000000001</v>
      </c>
      <c r="BB6" s="106">
        <v>51</v>
      </c>
      <c r="BC6" s="106">
        <v>29498.399999999998</v>
      </c>
      <c r="BD6" s="106">
        <v>44</v>
      </c>
      <c r="BE6" s="106">
        <v>25449.599999999999</v>
      </c>
      <c r="BF6" s="106">
        <v>28.747654532848337</v>
      </c>
      <c r="BG6" s="106">
        <v>16627.643381799477</v>
      </c>
      <c r="BH6" s="106">
        <v>45</v>
      </c>
      <c r="BI6" s="106">
        <v>26028</v>
      </c>
      <c r="BJ6" s="106">
        <v>36</v>
      </c>
      <c r="BK6" s="106">
        <v>20822.399999999998</v>
      </c>
      <c r="BL6" s="106">
        <v>29</v>
      </c>
      <c r="BM6" s="106">
        <v>16773.599999999999</v>
      </c>
      <c r="BN6" s="106">
        <v>29</v>
      </c>
      <c r="BO6" s="106">
        <v>16773.599999999999</v>
      </c>
      <c r="BP6" s="106">
        <v>8</v>
      </c>
      <c r="BQ6" s="106">
        <v>4627.2</v>
      </c>
      <c r="BR6" s="106">
        <v>8</v>
      </c>
      <c r="BS6" s="106">
        <v>4627.2</v>
      </c>
      <c r="BT6" s="106">
        <v>7</v>
      </c>
      <c r="BU6" s="106">
        <v>4048.7999999999997</v>
      </c>
      <c r="BV6" s="106">
        <v>7</v>
      </c>
      <c r="BW6" s="106">
        <v>4048.7999999999997</v>
      </c>
      <c r="BX6" s="106">
        <v>72</v>
      </c>
      <c r="BY6" s="106">
        <v>41644.799999999996</v>
      </c>
      <c r="BZ6" s="106">
        <v>74</v>
      </c>
      <c r="CA6" s="106">
        <v>42801.599999999999</v>
      </c>
      <c r="CB6" s="106">
        <v>68</v>
      </c>
      <c r="CC6" s="106">
        <v>39331.199999999997</v>
      </c>
      <c r="CD6" s="106">
        <v>53</v>
      </c>
      <c r="CE6" s="106">
        <v>30655.199999999997</v>
      </c>
      <c r="CF6" s="106">
        <v>17</v>
      </c>
      <c r="CG6" s="106">
        <v>9832.7999999999993</v>
      </c>
      <c r="CH6" s="106">
        <v>19</v>
      </c>
      <c r="CI6" s="106">
        <v>10989.6</v>
      </c>
      <c r="CJ6" s="106">
        <v>19</v>
      </c>
      <c r="CK6" s="106">
        <v>10989.6</v>
      </c>
      <c r="CL6" s="106">
        <v>16</v>
      </c>
      <c r="CM6" s="106">
        <v>9254.4</v>
      </c>
      <c r="CN6" s="106">
        <v>9</v>
      </c>
      <c r="CO6" s="106">
        <v>5205.5999999999995</v>
      </c>
      <c r="CP6" s="106">
        <v>13</v>
      </c>
      <c r="CQ6" s="106">
        <v>7519.2</v>
      </c>
      <c r="CR6" s="106">
        <v>9</v>
      </c>
      <c r="CS6" s="106">
        <v>5205.5999999999995</v>
      </c>
      <c r="CT6" s="106">
        <v>14</v>
      </c>
      <c r="CU6" s="106">
        <v>8097.5999999999995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36</v>
      </c>
      <c r="G7" s="106">
        <v>28382.399999999998</v>
      </c>
      <c r="H7" s="106">
        <v>75</v>
      </c>
      <c r="I7" s="106">
        <v>59130</v>
      </c>
      <c r="J7" s="106">
        <v>47</v>
      </c>
      <c r="K7" s="106">
        <v>37054.799999999996</v>
      </c>
      <c r="L7" s="106">
        <v>43</v>
      </c>
      <c r="M7" s="106">
        <v>33901.199999999997</v>
      </c>
      <c r="N7" s="106">
        <v>41</v>
      </c>
      <c r="O7" s="106">
        <v>32324.399999999998</v>
      </c>
      <c r="P7" s="106">
        <v>36</v>
      </c>
      <c r="Q7" s="106">
        <v>28382.399999999998</v>
      </c>
      <c r="R7" s="106">
        <v>51</v>
      </c>
      <c r="S7" s="106">
        <v>40208.400000000001</v>
      </c>
      <c r="T7" s="106">
        <v>8</v>
      </c>
      <c r="U7" s="106">
        <v>6307.2</v>
      </c>
      <c r="V7" s="106">
        <v>11</v>
      </c>
      <c r="W7" s="106">
        <v>8672.4</v>
      </c>
      <c r="X7" s="106">
        <v>12</v>
      </c>
      <c r="Y7" s="106">
        <v>9460.7999999999993</v>
      </c>
      <c r="Z7" s="106">
        <v>13</v>
      </c>
      <c r="AA7" s="106">
        <v>10249.199999999999</v>
      </c>
      <c r="AB7" s="106">
        <v>7</v>
      </c>
      <c r="AC7" s="106">
        <v>5518.8</v>
      </c>
      <c r="AD7" s="106">
        <v>10</v>
      </c>
      <c r="AE7" s="106">
        <v>7884</v>
      </c>
      <c r="AF7" s="106">
        <v>9</v>
      </c>
      <c r="AG7" s="106">
        <v>7095.5999999999995</v>
      </c>
      <c r="AH7" s="106">
        <v>7</v>
      </c>
      <c r="AI7" s="106">
        <v>5518.8</v>
      </c>
      <c r="AJ7" s="106">
        <v>7</v>
      </c>
      <c r="AK7" s="106">
        <v>5518.8</v>
      </c>
      <c r="AL7" s="106">
        <v>7</v>
      </c>
      <c r="AM7" s="106">
        <v>5518.8</v>
      </c>
      <c r="AN7" s="106">
        <v>5</v>
      </c>
      <c r="AO7" s="106">
        <v>3942</v>
      </c>
      <c r="AP7" s="106">
        <v>6</v>
      </c>
      <c r="AQ7" s="106">
        <v>4730.3999999999996</v>
      </c>
      <c r="AR7" s="106">
        <v>8</v>
      </c>
      <c r="AS7" s="106">
        <v>6307.2</v>
      </c>
      <c r="AT7" s="106">
        <v>10</v>
      </c>
      <c r="AU7" s="106">
        <v>7884</v>
      </c>
      <c r="AV7" s="106">
        <v>9</v>
      </c>
      <c r="AW7" s="106">
        <v>7095.5999999999995</v>
      </c>
      <c r="AX7" s="106">
        <v>5</v>
      </c>
      <c r="AY7" s="106">
        <v>3942</v>
      </c>
      <c r="AZ7" s="106">
        <v>42</v>
      </c>
      <c r="BA7" s="106">
        <v>33112.799999999996</v>
      </c>
      <c r="BB7" s="106">
        <v>50</v>
      </c>
      <c r="BC7" s="106">
        <v>39420</v>
      </c>
      <c r="BD7" s="106">
        <v>40</v>
      </c>
      <c r="BE7" s="106">
        <v>31536</v>
      </c>
      <c r="BF7" s="106">
        <v>27.27341583885611</v>
      </c>
      <c r="BG7" s="106">
        <v>21502.361047354156</v>
      </c>
      <c r="BH7" s="106">
        <v>43</v>
      </c>
      <c r="BI7" s="106">
        <v>33901.199999999997</v>
      </c>
      <c r="BJ7" s="106">
        <v>38</v>
      </c>
      <c r="BK7" s="106">
        <v>29959.200000000001</v>
      </c>
      <c r="BL7" s="106">
        <v>30</v>
      </c>
      <c r="BM7" s="106">
        <v>23652</v>
      </c>
      <c r="BN7" s="106">
        <v>29</v>
      </c>
      <c r="BO7" s="106">
        <v>22863.599999999999</v>
      </c>
      <c r="BP7" s="106">
        <v>8</v>
      </c>
      <c r="BQ7" s="106">
        <v>6307.2</v>
      </c>
      <c r="BR7" s="106">
        <v>8</v>
      </c>
      <c r="BS7" s="106">
        <v>6307.2</v>
      </c>
      <c r="BT7" s="106">
        <v>7</v>
      </c>
      <c r="BU7" s="106">
        <v>5518.8</v>
      </c>
      <c r="BV7" s="106">
        <v>8</v>
      </c>
      <c r="BW7" s="106">
        <v>6307.2</v>
      </c>
      <c r="BX7" s="106">
        <v>69</v>
      </c>
      <c r="BY7" s="106">
        <v>54399.6</v>
      </c>
      <c r="BZ7" s="106">
        <v>73</v>
      </c>
      <c r="CA7" s="106">
        <v>57553.2</v>
      </c>
      <c r="CB7" s="106">
        <v>64</v>
      </c>
      <c r="CC7" s="106">
        <v>50457.599999999999</v>
      </c>
      <c r="CD7" s="106">
        <v>53</v>
      </c>
      <c r="CE7" s="106">
        <v>41785.199999999997</v>
      </c>
      <c r="CF7" s="106">
        <v>17</v>
      </c>
      <c r="CG7" s="106">
        <v>13402.8</v>
      </c>
      <c r="CH7" s="106">
        <v>23</v>
      </c>
      <c r="CI7" s="106">
        <v>18133.2</v>
      </c>
      <c r="CJ7" s="106">
        <v>18</v>
      </c>
      <c r="CK7" s="106">
        <v>14191.199999999999</v>
      </c>
      <c r="CL7" s="106">
        <v>16</v>
      </c>
      <c r="CM7" s="106">
        <v>12614.4</v>
      </c>
      <c r="CN7" s="106">
        <v>9</v>
      </c>
      <c r="CO7" s="106">
        <v>7095.5999999999995</v>
      </c>
      <c r="CP7" s="106">
        <v>15</v>
      </c>
      <c r="CQ7" s="106">
        <v>11826</v>
      </c>
      <c r="CR7" s="106">
        <v>10</v>
      </c>
      <c r="CS7" s="106">
        <v>7884</v>
      </c>
      <c r="CT7" s="106">
        <v>14</v>
      </c>
      <c r="CU7" s="106">
        <v>11037.6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44</v>
      </c>
      <c r="G8" s="106">
        <v>13622.399999999998</v>
      </c>
      <c r="H8" s="106">
        <v>71</v>
      </c>
      <c r="I8" s="106">
        <v>21981.599999999999</v>
      </c>
      <c r="J8" s="106">
        <v>50</v>
      </c>
      <c r="K8" s="106">
        <v>15479.999999999998</v>
      </c>
      <c r="L8" s="106">
        <v>55</v>
      </c>
      <c r="M8" s="106">
        <v>17027.999999999996</v>
      </c>
      <c r="N8" s="106">
        <v>43</v>
      </c>
      <c r="O8" s="106">
        <v>13312.8</v>
      </c>
      <c r="P8" s="106">
        <v>36</v>
      </c>
      <c r="Q8" s="106">
        <v>11145.599999999999</v>
      </c>
      <c r="R8" s="106">
        <v>57</v>
      </c>
      <c r="S8" s="106">
        <v>17647.199999999997</v>
      </c>
      <c r="T8" s="106">
        <v>9</v>
      </c>
      <c r="U8" s="106">
        <v>2786.3999999999996</v>
      </c>
      <c r="V8" s="106">
        <v>11</v>
      </c>
      <c r="W8" s="106">
        <v>3405.5999999999995</v>
      </c>
      <c r="X8" s="106">
        <v>15</v>
      </c>
      <c r="Y8" s="106">
        <v>4643.9999999999991</v>
      </c>
      <c r="Z8" s="106">
        <v>13</v>
      </c>
      <c r="AA8" s="106">
        <v>4024.7999999999997</v>
      </c>
      <c r="AB8" s="106">
        <v>7</v>
      </c>
      <c r="AC8" s="106">
        <v>2167.1999999999998</v>
      </c>
      <c r="AD8" s="106">
        <v>10</v>
      </c>
      <c r="AE8" s="106">
        <v>3095.9999999999995</v>
      </c>
      <c r="AF8" s="106">
        <v>10</v>
      </c>
      <c r="AG8" s="106">
        <v>3095.9999999999995</v>
      </c>
      <c r="AH8" s="106">
        <v>8</v>
      </c>
      <c r="AI8" s="106">
        <v>2476.7999999999997</v>
      </c>
      <c r="AJ8" s="106">
        <v>8</v>
      </c>
      <c r="AK8" s="106">
        <v>2476.7999999999997</v>
      </c>
      <c r="AL8" s="106">
        <v>7</v>
      </c>
      <c r="AM8" s="106">
        <v>2167.1999999999998</v>
      </c>
      <c r="AN8" s="106">
        <v>5</v>
      </c>
      <c r="AO8" s="106">
        <v>1547.9999999999998</v>
      </c>
      <c r="AP8" s="106">
        <v>6</v>
      </c>
      <c r="AQ8" s="106">
        <v>1857.6</v>
      </c>
      <c r="AR8" s="106">
        <v>8</v>
      </c>
      <c r="AS8" s="106">
        <v>2476.7999999999997</v>
      </c>
      <c r="AT8" s="106">
        <v>9</v>
      </c>
      <c r="AU8" s="106">
        <v>2786.3999999999996</v>
      </c>
      <c r="AV8" s="106">
        <v>9</v>
      </c>
      <c r="AW8" s="106">
        <v>2786.3999999999996</v>
      </c>
      <c r="AX8" s="106">
        <v>6</v>
      </c>
      <c r="AY8" s="106">
        <v>1857.6</v>
      </c>
      <c r="AZ8" s="106">
        <v>49</v>
      </c>
      <c r="BA8" s="106">
        <v>15170.399999999998</v>
      </c>
      <c r="BB8" s="106">
        <v>54</v>
      </c>
      <c r="BC8" s="106">
        <v>16718.399999999998</v>
      </c>
      <c r="BD8" s="106">
        <v>44</v>
      </c>
      <c r="BE8" s="106">
        <v>13622.399999999998</v>
      </c>
      <c r="BF8" s="106">
        <v>31.696131920832777</v>
      </c>
      <c r="BG8" s="106">
        <v>9813.1224426898261</v>
      </c>
      <c r="BH8" s="106">
        <v>48</v>
      </c>
      <c r="BI8" s="106">
        <v>14860.8</v>
      </c>
      <c r="BJ8" s="106">
        <v>34</v>
      </c>
      <c r="BK8" s="106">
        <v>10526.4</v>
      </c>
      <c r="BL8" s="106">
        <v>29</v>
      </c>
      <c r="BM8" s="106">
        <v>8978.4</v>
      </c>
      <c r="BN8" s="106">
        <v>30</v>
      </c>
      <c r="BO8" s="106">
        <v>9287.9999999999982</v>
      </c>
      <c r="BP8" s="106">
        <v>7</v>
      </c>
      <c r="BQ8" s="106">
        <v>2167.1999999999998</v>
      </c>
      <c r="BR8" s="106">
        <v>9</v>
      </c>
      <c r="BS8" s="106">
        <v>2786.3999999999996</v>
      </c>
      <c r="BT8" s="106">
        <v>7</v>
      </c>
      <c r="BU8" s="106">
        <v>2167.1999999999998</v>
      </c>
      <c r="BV8" s="106">
        <v>8</v>
      </c>
      <c r="BW8" s="106">
        <v>2476.7999999999997</v>
      </c>
      <c r="BX8" s="106">
        <v>65</v>
      </c>
      <c r="BY8" s="106">
        <v>20123.999999999996</v>
      </c>
      <c r="BZ8" s="106">
        <v>75</v>
      </c>
      <c r="CA8" s="106">
        <v>23219.999999999996</v>
      </c>
      <c r="CB8" s="106">
        <v>63</v>
      </c>
      <c r="CC8" s="106">
        <v>19504.8</v>
      </c>
      <c r="CD8" s="106">
        <v>61</v>
      </c>
      <c r="CE8" s="106">
        <v>18885.599999999999</v>
      </c>
      <c r="CF8" s="106">
        <v>17</v>
      </c>
      <c r="CG8" s="106">
        <v>5263.2</v>
      </c>
      <c r="CH8" s="106">
        <v>20</v>
      </c>
      <c r="CI8" s="106">
        <v>6191.9999999999991</v>
      </c>
      <c r="CJ8" s="106">
        <v>20</v>
      </c>
      <c r="CK8" s="106">
        <v>6191.9999999999991</v>
      </c>
      <c r="CL8" s="106">
        <v>17</v>
      </c>
      <c r="CM8" s="106">
        <v>5263.2</v>
      </c>
      <c r="CN8" s="106">
        <v>9</v>
      </c>
      <c r="CO8" s="106">
        <v>2786.3999999999996</v>
      </c>
      <c r="CP8" s="106">
        <v>14</v>
      </c>
      <c r="CQ8" s="106">
        <v>4334.3999999999996</v>
      </c>
      <c r="CR8" s="106">
        <v>10</v>
      </c>
      <c r="CS8" s="106">
        <v>3095.9999999999995</v>
      </c>
      <c r="CT8" s="106">
        <v>15</v>
      </c>
      <c r="CU8" s="106">
        <v>4643.9999999999991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36</v>
      </c>
      <c r="G9" s="106">
        <v>25272</v>
      </c>
      <c r="H9" s="106">
        <v>69</v>
      </c>
      <c r="I9" s="106">
        <v>48438</v>
      </c>
      <c r="J9" s="106">
        <v>50</v>
      </c>
      <c r="K9" s="106">
        <v>35100</v>
      </c>
      <c r="L9" s="106">
        <v>44</v>
      </c>
      <c r="M9" s="106">
        <v>30888</v>
      </c>
      <c r="N9" s="106">
        <v>37</v>
      </c>
      <c r="O9" s="106">
        <v>25974</v>
      </c>
      <c r="P9" s="106">
        <v>34</v>
      </c>
      <c r="Q9" s="106">
        <v>23868</v>
      </c>
      <c r="R9" s="106">
        <v>46</v>
      </c>
      <c r="S9" s="106">
        <v>32292</v>
      </c>
      <c r="T9" s="106">
        <v>9</v>
      </c>
      <c r="U9" s="106">
        <v>6318</v>
      </c>
      <c r="V9" s="106">
        <v>11</v>
      </c>
      <c r="W9" s="106">
        <v>7722</v>
      </c>
      <c r="X9" s="106">
        <v>14</v>
      </c>
      <c r="Y9" s="106">
        <v>9828</v>
      </c>
      <c r="Z9" s="106">
        <v>12</v>
      </c>
      <c r="AA9" s="106">
        <v>8424</v>
      </c>
      <c r="AB9" s="106">
        <v>8</v>
      </c>
      <c r="AC9" s="106">
        <v>5616</v>
      </c>
      <c r="AD9" s="106">
        <v>9</v>
      </c>
      <c r="AE9" s="106">
        <v>6318</v>
      </c>
      <c r="AF9" s="106">
        <v>11</v>
      </c>
      <c r="AG9" s="106">
        <v>7722</v>
      </c>
      <c r="AH9" s="106">
        <v>7</v>
      </c>
      <c r="AI9" s="106">
        <v>4914</v>
      </c>
      <c r="AJ9" s="106">
        <v>8</v>
      </c>
      <c r="AK9" s="106">
        <v>5616</v>
      </c>
      <c r="AL9" s="106">
        <v>8</v>
      </c>
      <c r="AM9" s="106">
        <v>5616</v>
      </c>
      <c r="AN9" s="106">
        <v>5</v>
      </c>
      <c r="AO9" s="106">
        <v>3510</v>
      </c>
      <c r="AP9" s="106">
        <v>6</v>
      </c>
      <c r="AQ9" s="106">
        <v>4212</v>
      </c>
      <c r="AR9" s="106">
        <v>8</v>
      </c>
      <c r="AS9" s="106">
        <v>5616</v>
      </c>
      <c r="AT9" s="106">
        <v>10</v>
      </c>
      <c r="AU9" s="106">
        <v>7020</v>
      </c>
      <c r="AV9" s="106">
        <v>9</v>
      </c>
      <c r="AW9" s="106">
        <v>6318</v>
      </c>
      <c r="AX9" s="106">
        <v>6</v>
      </c>
      <c r="AY9" s="106">
        <v>4212</v>
      </c>
      <c r="AZ9" s="106">
        <v>43</v>
      </c>
      <c r="BA9" s="106">
        <v>30186</v>
      </c>
      <c r="BB9" s="106">
        <v>58</v>
      </c>
      <c r="BC9" s="106">
        <v>40716</v>
      </c>
      <c r="BD9" s="106">
        <v>44</v>
      </c>
      <c r="BE9" s="106">
        <v>30888</v>
      </c>
      <c r="BF9" s="106">
        <v>30.221893226840557</v>
      </c>
      <c r="BG9" s="106">
        <v>21215.769045242072</v>
      </c>
      <c r="BH9" s="106">
        <v>40</v>
      </c>
      <c r="BI9" s="106">
        <v>28080</v>
      </c>
      <c r="BJ9" s="106">
        <v>37</v>
      </c>
      <c r="BK9" s="106">
        <v>25974</v>
      </c>
      <c r="BL9" s="106">
        <v>27</v>
      </c>
      <c r="BM9" s="106">
        <v>18954</v>
      </c>
      <c r="BN9" s="106">
        <v>30</v>
      </c>
      <c r="BO9" s="106">
        <v>21060</v>
      </c>
      <c r="BP9" s="106">
        <v>8</v>
      </c>
      <c r="BQ9" s="106">
        <v>5616</v>
      </c>
      <c r="BR9" s="106">
        <v>9</v>
      </c>
      <c r="BS9" s="106">
        <v>6318</v>
      </c>
      <c r="BT9" s="106">
        <v>6</v>
      </c>
      <c r="BU9" s="106">
        <v>4212</v>
      </c>
      <c r="BV9" s="106">
        <v>8</v>
      </c>
      <c r="BW9" s="106">
        <v>5616</v>
      </c>
      <c r="BX9" s="106">
        <v>62</v>
      </c>
      <c r="BY9" s="106">
        <v>43524</v>
      </c>
      <c r="BZ9" s="106">
        <v>76</v>
      </c>
      <c r="CA9" s="106">
        <v>53352</v>
      </c>
      <c r="CB9" s="106">
        <v>66</v>
      </c>
      <c r="CC9" s="106">
        <v>46332</v>
      </c>
      <c r="CD9" s="106">
        <v>49</v>
      </c>
      <c r="CE9" s="106">
        <v>34398</v>
      </c>
      <c r="CF9" s="106">
        <v>17</v>
      </c>
      <c r="CG9" s="106">
        <v>11934</v>
      </c>
      <c r="CH9" s="106">
        <v>22</v>
      </c>
      <c r="CI9" s="106">
        <v>15444</v>
      </c>
      <c r="CJ9" s="106">
        <v>20</v>
      </c>
      <c r="CK9" s="106">
        <v>14040</v>
      </c>
      <c r="CL9" s="106">
        <v>16</v>
      </c>
      <c r="CM9" s="106">
        <v>11232</v>
      </c>
      <c r="CN9" s="106">
        <v>9</v>
      </c>
      <c r="CO9" s="106">
        <v>6318</v>
      </c>
      <c r="CP9" s="106">
        <v>14</v>
      </c>
      <c r="CQ9" s="106">
        <v>9828</v>
      </c>
      <c r="CR9" s="106">
        <v>10</v>
      </c>
      <c r="CS9" s="106">
        <v>7020</v>
      </c>
      <c r="CT9" s="106">
        <v>13</v>
      </c>
      <c r="CU9" s="106">
        <v>9126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37</v>
      </c>
      <c r="G10" s="106">
        <v>20157.599999999999</v>
      </c>
      <c r="H10" s="106">
        <v>78</v>
      </c>
      <c r="I10" s="106">
        <v>42494.399999999994</v>
      </c>
      <c r="J10" s="106">
        <v>45</v>
      </c>
      <c r="K10" s="106">
        <v>24515.999999999996</v>
      </c>
      <c r="L10" s="106">
        <v>45</v>
      </c>
      <c r="M10" s="106">
        <v>24515.999999999996</v>
      </c>
      <c r="N10" s="106">
        <v>40</v>
      </c>
      <c r="O10" s="106">
        <v>21792</v>
      </c>
      <c r="P10" s="106">
        <v>33</v>
      </c>
      <c r="Q10" s="106">
        <v>17978.399999999998</v>
      </c>
      <c r="R10" s="106">
        <v>49</v>
      </c>
      <c r="S10" s="106">
        <v>26695.199999999997</v>
      </c>
      <c r="T10" s="106">
        <v>8</v>
      </c>
      <c r="U10" s="106">
        <v>4358.3999999999996</v>
      </c>
      <c r="V10" s="106">
        <v>10</v>
      </c>
      <c r="W10" s="106">
        <v>5448</v>
      </c>
      <c r="X10" s="106">
        <v>14</v>
      </c>
      <c r="Y10" s="106">
        <v>7627.1999999999989</v>
      </c>
      <c r="Z10" s="106">
        <v>13</v>
      </c>
      <c r="AA10" s="106">
        <v>7082.4</v>
      </c>
      <c r="AB10" s="106">
        <v>7</v>
      </c>
      <c r="AC10" s="106">
        <v>3813.5999999999995</v>
      </c>
      <c r="AD10" s="106">
        <v>10</v>
      </c>
      <c r="AE10" s="106">
        <v>5448</v>
      </c>
      <c r="AF10" s="106">
        <v>10</v>
      </c>
      <c r="AG10" s="106">
        <v>5448</v>
      </c>
      <c r="AH10" s="106">
        <v>8</v>
      </c>
      <c r="AI10" s="106">
        <v>4358.3999999999996</v>
      </c>
      <c r="AJ10" s="106">
        <v>8</v>
      </c>
      <c r="AK10" s="106">
        <v>4358.3999999999996</v>
      </c>
      <c r="AL10" s="106">
        <v>8</v>
      </c>
      <c r="AM10" s="106">
        <v>4358.3999999999996</v>
      </c>
      <c r="AN10" s="106">
        <v>5</v>
      </c>
      <c r="AO10" s="106">
        <v>2724</v>
      </c>
      <c r="AP10" s="106">
        <v>7</v>
      </c>
      <c r="AQ10" s="106">
        <v>3813.5999999999995</v>
      </c>
      <c r="AR10" s="106">
        <v>7</v>
      </c>
      <c r="AS10" s="106">
        <v>3813.5999999999995</v>
      </c>
      <c r="AT10" s="106">
        <v>8</v>
      </c>
      <c r="AU10" s="106">
        <v>4358.3999999999996</v>
      </c>
      <c r="AV10" s="106">
        <v>8</v>
      </c>
      <c r="AW10" s="106">
        <v>4358.3999999999996</v>
      </c>
      <c r="AX10" s="106">
        <v>7</v>
      </c>
      <c r="AY10" s="106">
        <v>3813.5999999999995</v>
      </c>
      <c r="AZ10" s="106">
        <v>44</v>
      </c>
      <c r="BA10" s="106">
        <v>23971.199999999997</v>
      </c>
      <c r="BB10" s="106">
        <v>53</v>
      </c>
      <c r="BC10" s="106">
        <v>28874.399999999998</v>
      </c>
      <c r="BD10" s="106">
        <v>44</v>
      </c>
      <c r="BE10" s="106">
        <v>23971.199999999997</v>
      </c>
      <c r="BF10" s="106">
        <v>30.959012573836667</v>
      </c>
      <c r="BG10" s="106">
        <v>16866.470050226213</v>
      </c>
      <c r="BH10" s="106">
        <v>41</v>
      </c>
      <c r="BI10" s="106">
        <v>22336.799999999999</v>
      </c>
      <c r="BJ10" s="106">
        <v>33</v>
      </c>
      <c r="BK10" s="106">
        <v>17978.399999999998</v>
      </c>
      <c r="BL10" s="106">
        <v>29</v>
      </c>
      <c r="BM10" s="106">
        <v>15799.199999999999</v>
      </c>
      <c r="BN10" s="106">
        <v>33</v>
      </c>
      <c r="BO10" s="106">
        <v>17978.399999999998</v>
      </c>
      <c r="BP10" s="106">
        <v>8</v>
      </c>
      <c r="BQ10" s="106">
        <v>4358.3999999999996</v>
      </c>
      <c r="BR10" s="106">
        <v>9</v>
      </c>
      <c r="BS10" s="106">
        <v>4903.2</v>
      </c>
      <c r="BT10" s="106">
        <v>7</v>
      </c>
      <c r="BU10" s="106">
        <v>3813.5999999999995</v>
      </c>
      <c r="BV10" s="106">
        <v>7</v>
      </c>
      <c r="BW10" s="106">
        <v>3813.5999999999995</v>
      </c>
      <c r="BX10" s="106">
        <v>63</v>
      </c>
      <c r="BY10" s="106">
        <v>34322.399999999994</v>
      </c>
      <c r="BZ10" s="106">
        <v>74</v>
      </c>
      <c r="CA10" s="106">
        <v>40315.199999999997</v>
      </c>
      <c r="CB10" s="106">
        <v>69</v>
      </c>
      <c r="CC10" s="106">
        <v>37591.199999999997</v>
      </c>
      <c r="CD10" s="106">
        <v>54</v>
      </c>
      <c r="CE10" s="106">
        <v>29419.199999999997</v>
      </c>
      <c r="CF10" s="106">
        <v>18</v>
      </c>
      <c r="CG10" s="106">
        <v>9806.4</v>
      </c>
      <c r="CH10" s="106">
        <v>20</v>
      </c>
      <c r="CI10" s="106">
        <v>10896</v>
      </c>
      <c r="CJ10" s="106">
        <v>22</v>
      </c>
      <c r="CK10" s="106">
        <v>11985.599999999999</v>
      </c>
      <c r="CL10" s="106">
        <v>14</v>
      </c>
      <c r="CM10" s="106">
        <v>7627.1999999999989</v>
      </c>
      <c r="CN10" s="106">
        <v>9</v>
      </c>
      <c r="CO10" s="106">
        <v>4903.2</v>
      </c>
      <c r="CP10" s="106">
        <v>15</v>
      </c>
      <c r="CQ10" s="106">
        <v>8171.9999999999991</v>
      </c>
      <c r="CR10" s="106">
        <v>10</v>
      </c>
      <c r="CS10" s="106">
        <v>5448</v>
      </c>
      <c r="CT10" s="106">
        <v>15</v>
      </c>
      <c r="CU10" s="106">
        <v>8171.9999999999991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42</v>
      </c>
      <c r="G11" s="106">
        <v>22377.599999999999</v>
      </c>
      <c r="H11" s="106">
        <v>69</v>
      </c>
      <c r="I11" s="106">
        <v>36763.199999999997</v>
      </c>
      <c r="J11" s="106">
        <v>51</v>
      </c>
      <c r="K11" s="106">
        <v>27172.799999999999</v>
      </c>
      <c r="L11" s="106">
        <v>49</v>
      </c>
      <c r="M11" s="106">
        <v>26107.199999999997</v>
      </c>
      <c r="N11" s="106">
        <v>39</v>
      </c>
      <c r="O11" s="106">
        <v>20779.199999999997</v>
      </c>
      <c r="P11" s="106">
        <v>37</v>
      </c>
      <c r="Q11" s="106">
        <v>19713.599999999999</v>
      </c>
      <c r="R11" s="106">
        <v>48</v>
      </c>
      <c r="S11" s="106">
        <v>25574.399999999998</v>
      </c>
      <c r="T11" s="106">
        <v>9</v>
      </c>
      <c r="U11" s="106">
        <v>4795.2</v>
      </c>
      <c r="V11" s="106">
        <v>9</v>
      </c>
      <c r="W11" s="106">
        <v>4795.2</v>
      </c>
      <c r="X11" s="106">
        <v>14</v>
      </c>
      <c r="Y11" s="106">
        <v>7459.1999999999989</v>
      </c>
      <c r="Z11" s="106">
        <v>12</v>
      </c>
      <c r="AA11" s="106">
        <v>6393.5999999999995</v>
      </c>
      <c r="AB11" s="106">
        <v>7</v>
      </c>
      <c r="AC11" s="106">
        <v>3729.5999999999995</v>
      </c>
      <c r="AD11" s="106">
        <v>10</v>
      </c>
      <c r="AE11" s="106">
        <v>5328</v>
      </c>
      <c r="AF11" s="106">
        <v>11</v>
      </c>
      <c r="AG11" s="106">
        <v>5860.7999999999993</v>
      </c>
      <c r="AH11" s="106">
        <v>7</v>
      </c>
      <c r="AI11" s="106">
        <v>3729.5999999999995</v>
      </c>
      <c r="AJ11" s="106">
        <v>7</v>
      </c>
      <c r="AK11" s="106">
        <v>3729.5999999999995</v>
      </c>
      <c r="AL11" s="106">
        <v>7</v>
      </c>
      <c r="AM11" s="106">
        <v>3729.5999999999995</v>
      </c>
      <c r="AN11" s="106">
        <v>5</v>
      </c>
      <c r="AO11" s="106">
        <v>2664</v>
      </c>
      <c r="AP11" s="106">
        <v>7</v>
      </c>
      <c r="AQ11" s="106">
        <v>3729.5999999999995</v>
      </c>
      <c r="AR11" s="106">
        <v>8</v>
      </c>
      <c r="AS11" s="106">
        <v>4262.3999999999996</v>
      </c>
      <c r="AT11" s="106">
        <v>9</v>
      </c>
      <c r="AU11" s="106">
        <v>4795.2</v>
      </c>
      <c r="AV11" s="106">
        <v>8</v>
      </c>
      <c r="AW11" s="106">
        <v>4262.3999999999996</v>
      </c>
      <c r="AX11" s="106">
        <v>7</v>
      </c>
      <c r="AY11" s="106">
        <v>3729.5999999999995</v>
      </c>
      <c r="AZ11" s="106">
        <v>44</v>
      </c>
      <c r="BA11" s="106">
        <v>23443.199999999997</v>
      </c>
      <c r="BB11" s="106">
        <v>57</v>
      </c>
      <c r="BC11" s="106">
        <v>30369.599999999999</v>
      </c>
      <c r="BD11" s="106">
        <v>45</v>
      </c>
      <c r="BE11" s="106">
        <v>23975.999999999996</v>
      </c>
      <c r="BF11" s="106">
        <v>32.433251267828894</v>
      </c>
      <c r="BG11" s="106">
        <v>17280.436275499233</v>
      </c>
      <c r="BH11" s="106">
        <v>47</v>
      </c>
      <c r="BI11" s="106">
        <v>25041.599999999999</v>
      </c>
      <c r="BJ11" s="106">
        <v>37</v>
      </c>
      <c r="BK11" s="106">
        <v>19713.599999999999</v>
      </c>
      <c r="BL11" s="106">
        <v>30</v>
      </c>
      <c r="BM11" s="106">
        <v>15983.999999999998</v>
      </c>
      <c r="BN11" s="106">
        <v>30</v>
      </c>
      <c r="BO11" s="106">
        <v>15983.999999999998</v>
      </c>
      <c r="BP11" s="106">
        <v>8</v>
      </c>
      <c r="BQ11" s="106">
        <v>4262.3999999999996</v>
      </c>
      <c r="BR11" s="106">
        <v>10</v>
      </c>
      <c r="BS11" s="106">
        <v>5328</v>
      </c>
      <c r="BT11" s="106">
        <v>6</v>
      </c>
      <c r="BU11" s="106">
        <v>3196.7999999999997</v>
      </c>
      <c r="BV11" s="106">
        <v>7</v>
      </c>
      <c r="BW11" s="106">
        <v>3729.5999999999995</v>
      </c>
      <c r="BX11" s="106">
        <v>71</v>
      </c>
      <c r="BY11" s="106">
        <v>37828.799999999996</v>
      </c>
      <c r="BZ11" s="106">
        <v>80</v>
      </c>
      <c r="CA11" s="106">
        <v>42624</v>
      </c>
      <c r="CB11" s="106">
        <v>64</v>
      </c>
      <c r="CC11" s="106">
        <v>34099.199999999997</v>
      </c>
      <c r="CD11" s="106">
        <v>53</v>
      </c>
      <c r="CE11" s="106">
        <v>28238.399999999998</v>
      </c>
      <c r="CF11" s="106">
        <v>17</v>
      </c>
      <c r="CG11" s="106">
        <v>9057.5999999999985</v>
      </c>
      <c r="CH11" s="106">
        <v>20</v>
      </c>
      <c r="CI11" s="106">
        <v>10656</v>
      </c>
      <c r="CJ11" s="106">
        <v>22</v>
      </c>
      <c r="CK11" s="106">
        <v>11721.599999999999</v>
      </c>
      <c r="CL11" s="106">
        <v>16</v>
      </c>
      <c r="CM11" s="106">
        <v>8524.7999999999993</v>
      </c>
      <c r="CN11" s="106">
        <v>9</v>
      </c>
      <c r="CO11" s="106">
        <v>4795.2</v>
      </c>
      <c r="CP11" s="106">
        <v>15</v>
      </c>
      <c r="CQ11" s="106">
        <v>7991.9999999999991</v>
      </c>
      <c r="CR11" s="106">
        <v>10</v>
      </c>
      <c r="CS11" s="106">
        <v>5328</v>
      </c>
      <c r="CT11" s="106">
        <v>13</v>
      </c>
      <c r="CU11" s="106">
        <v>6926.4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37</v>
      </c>
      <c r="G12" s="106">
        <v>20823.599999999999</v>
      </c>
      <c r="H12" s="106">
        <v>71</v>
      </c>
      <c r="I12" s="106">
        <v>39958.799999999996</v>
      </c>
      <c r="J12" s="106">
        <v>46</v>
      </c>
      <c r="K12" s="106">
        <v>25888.799999999999</v>
      </c>
      <c r="L12" s="106">
        <v>45</v>
      </c>
      <c r="M12" s="106">
        <v>25325.999999999996</v>
      </c>
      <c r="N12" s="106">
        <v>43</v>
      </c>
      <c r="O12" s="106">
        <v>24200.399999999998</v>
      </c>
      <c r="P12" s="106">
        <v>34</v>
      </c>
      <c r="Q12" s="106">
        <v>19135.199999999997</v>
      </c>
      <c r="R12" s="106">
        <v>55</v>
      </c>
      <c r="S12" s="106">
        <v>30953.999999999996</v>
      </c>
      <c r="T12" s="106">
        <v>9</v>
      </c>
      <c r="U12" s="106">
        <v>5065.2</v>
      </c>
      <c r="V12" s="106">
        <v>10</v>
      </c>
      <c r="W12" s="106">
        <v>5628</v>
      </c>
      <c r="X12" s="106">
        <v>13</v>
      </c>
      <c r="Y12" s="106">
        <v>7316.4</v>
      </c>
      <c r="Z12" s="106">
        <v>12</v>
      </c>
      <c r="AA12" s="106">
        <v>6753.5999999999995</v>
      </c>
      <c r="AB12" s="106">
        <v>8</v>
      </c>
      <c r="AC12" s="106">
        <v>4502.3999999999996</v>
      </c>
      <c r="AD12" s="106">
        <v>11</v>
      </c>
      <c r="AE12" s="106">
        <v>6190.7999999999993</v>
      </c>
      <c r="AF12" s="106">
        <v>9</v>
      </c>
      <c r="AG12" s="106">
        <v>5065.2</v>
      </c>
      <c r="AH12" s="106">
        <v>8</v>
      </c>
      <c r="AI12" s="106">
        <v>4502.3999999999996</v>
      </c>
      <c r="AJ12" s="106">
        <v>8</v>
      </c>
      <c r="AK12" s="106">
        <v>4502.3999999999996</v>
      </c>
      <c r="AL12" s="106">
        <v>8</v>
      </c>
      <c r="AM12" s="106">
        <v>4502.3999999999996</v>
      </c>
      <c r="AN12" s="106">
        <v>5</v>
      </c>
      <c r="AO12" s="106">
        <v>2814</v>
      </c>
      <c r="AP12" s="106">
        <v>6</v>
      </c>
      <c r="AQ12" s="106">
        <v>3376.7999999999997</v>
      </c>
      <c r="AR12" s="106">
        <v>8</v>
      </c>
      <c r="AS12" s="106">
        <v>4502.3999999999996</v>
      </c>
      <c r="AT12" s="106">
        <v>8</v>
      </c>
      <c r="AU12" s="106">
        <v>4502.3999999999996</v>
      </c>
      <c r="AV12" s="106">
        <v>8</v>
      </c>
      <c r="AW12" s="106">
        <v>4502.3999999999996</v>
      </c>
      <c r="AX12" s="106">
        <v>6</v>
      </c>
      <c r="AY12" s="106">
        <v>3376.7999999999997</v>
      </c>
      <c r="AZ12" s="106">
        <v>51</v>
      </c>
      <c r="BA12" s="106">
        <v>28702.799999999999</v>
      </c>
      <c r="BB12" s="106">
        <v>51</v>
      </c>
      <c r="BC12" s="106">
        <v>28702.799999999999</v>
      </c>
      <c r="BD12" s="106">
        <v>48</v>
      </c>
      <c r="BE12" s="106">
        <v>27014.399999999998</v>
      </c>
      <c r="BF12" s="106">
        <v>28.010535185852227</v>
      </c>
      <c r="BG12" s="106">
        <v>15764.329202597632</v>
      </c>
      <c r="BH12" s="106">
        <v>45</v>
      </c>
      <c r="BI12" s="106">
        <v>25325.999999999996</v>
      </c>
      <c r="BJ12" s="106">
        <v>34</v>
      </c>
      <c r="BK12" s="106">
        <v>19135.199999999997</v>
      </c>
      <c r="BL12" s="106">
        <v>29</v>
      </c>
      <c r="BM12" s="106">
        <v>16321.199999999999</v>
      </c>
      <c r="BN12" s="106">
        <v>30</v>
      </c>
      <c r="BO12" s="106">
        <v>16884</v>
      </c>
      <c r="BP12" s="106">
        <v>8</v>
      </c>
      <c r="BQ12" s="106">
        <v>4502.3999999999996</v>
      </c>
      <c r="BR12" s="106">
        <v>10</v>
      </c>
      <c r="BS12" s="106">
        <v>5628</v>
      </c>
      <c r="BT12" s="106">
        <v>7</v>
      </c>
      <c r="BU12" s="106">
        <v>3939.5999999999995</v>
      </c>
      <c r="BV12" s="106">
        <v>8</v>
      </c>
      <c r="BW12" s="106">
        <v>4502.3999999999996</v>
      </c>
      <c r="BX12" s="106">
        <v>67</v>
      </c>
      <c r="BY12" s="106">
        <v>37707.599999999999</v>
      </c>
      <c r="BZ12" s="106">
        <v>66</v>
      </c>
      <c r="CA12" s="106">
        <v>37144.799999999996</v>
      </c>
      <c r="CB12" s="106">
        <v>62</v>
      </c>
      <c r="CC12" s="106">
        <v>34893.599999999999</v>
      </c>
      <c r="CD12" s="106">
        <v>59</v>
      </c>
      <c r="CE12" s="106">
        <v>33205.199999999997</v>
      </c>
      <c r="CF12" s="106">
        <v>17</v>
      </c>
      <c r="CG12" s="106">
        <v>9567.5999999999985</v>
      </c>
      <c r="CH12" s="106">
        <v>22</v>
      </c>
      <c r="CI12" s="106">
        <v>12381.599999999999</v>
      </c>
      <c r="CJ12" s="106">
        <v>19</v>
      </c>
      <c r="CK12" s="106">
        <v>10693.199999999999</v>
      </c>
      <c r="CL12" s="106">
        <v>16</v>
      </c>
      <c r="CM12" s="106">
        <v>9004.7999999999993</v>
      </c>
      <c r="CN12" s="106">
        <v>10</v>
      </c>
      <c r="CO12" s="106">
        <v>5628</v>
      </c>
      <c r="CP12" s="106">
        <v>13</v>
      </c>
      <c r="CQ12" s="106">
        <v>7316.4</v>
      </c>
      <c r="CR12" s="106">
        <v>9</v>
      </c>
      <c r="CS12" s="106">
        <v>5065.2</v>
      </c>
      <c r="CT12" s="106">
        <v>13</v>
      </c>
      <c r="CU12" s="106">
        <v>7316.4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42</v>
      </c>
      <c r="G13" s="106">
        <v>3578.4</v>
      </c>
      <c r="H13" s="106">
        <v>85</v>
      </c>
      <c r="I13" s="106">
        <v>7242</v>
      </c>
      <c r="J13" s="106">
        <v>51</v>
      </c>
      <c r="K13" s="106">
        <v>4345.2</v>
      </c>
      <c r="L13" s="106">
        <v>57</v>
      </c>
      <c r="M13" s="106">
        <v>4856.4000000000005</v>
      </c>
      <c r="N13" s="106">
        <v>41</v>
      </c>
      <c r="O13" s="106">
        <v>3493.2000000000003</v>
      </c>
      <c r="P13" s="106">
        <v>34</v>
      </c>
      <c r="Q13" s="106">
        <v>2896.8</v>
      </c>
      <c r="R13" s="106">
        <v>54</v>
      </c>
      <c r="S13" s="106">
        <v>4600.8</v>
      </c>
      <c r="T13" s="106">
        <v>9</v>
      </c>
      <c r="U13" s="106">
        <v>766.80000000000007</v>
      </c>
      <c r="V13" s="106">
        <v>11</v>
      </c>
      <c r="W13" s="106">
        <v>937.2</v>
      </c>
      <c r="X13" s="106">
        <v>14</v>
      </c>
      <c r="Y13" s="106">
        <v>1192.8</v>
      </c>
      <c r="Z13" s="106">
        <v>14</v>
      </c>
      <c r="AA13" s="106">
        <v>1192.8</v>
      </c>
      <c r="AB13" s="106">
        <v>8</v>
      </c>
      <c r="AC13" s="106">
        <v>681.6</v>
      </c>
      <c r="AD13" s="106">
        <v>10</v>
      </c>
      <c r="AE13" s="106">
        <v>852</v>
      </c>
      <c r="AF13" s="106">
        <v>11</v>
      </c>
      <c r="AG13" s="106">
        <v>937.2</v>
      </c>
      <c r="AH13" s="106">
        <v>8</v>
      </c>
      <c r="AI13" s="106">
        <v>681.6</v>
      </c>
      <c r="AJ13" s="106">
        <v>7</v>
      </c>
      <c r="AK13" s="106">
        <v>596.4</v>
      </c>
      <c r="AL13" s="106">
        <v>7</v>
      </c>
      <c r="AM13" s="106">
        <v>596.4</v>
      </c>
      <c r="AN13" s="106">
        <v>5</v>
      </c>
      <c r="AO13" s="106">
        <v>426</v>
      </c>
      <c r="AP13" s="106">
        <v>6</v>
      </c>
      <c r="AQ13" s="106">
        <v>511.20000000000005</v>
      </c>
      <c r="AR13" s="106">
        <v>7</v>
      </c>
      <c r="AS13" s="106">
        <v>596.4</v>
      </c>
      <c r="AT13" s="106">
        <v>9</v>
      </c>
      <c r="AU13" s="106">
        <v>766.80000000000007</v>
      </c>
      <c r="AV13" s="106">
        <v>9</v>
      </c>
      <c r="AW13" s="106">
        <v>766.80000000000007</v>
      </c>
      <c r="AX13" s="106">
        <v>6</v>
      </c>
      <c r="AY13" s="106">
        <v>511.20000000000005</v>
      </c>
      <c r="AZ13" s="106">
        <v>50</v>
      </c>
      <c r="BA13" s="106">
        <v>4260</v>
      </c>
      <c r="BB13" s="106">
        <v>59</v>
      </c>
      <c r="BC13" s="106">
        <v>5026.8</v>
      </c>
      <c r="BD13" s="106">
        <v>48</v>
      </c>
      <c r="BE13" s="106">
        <v>4089.6000000000004</v>
      </c>
      <c r="BF13" s="106">
        <v>32.433251267828894</v>
      </c>
      <c r="BG13" s="106">
        <v>2763.3130080190217</v>
      </c>
      <c r="BH13" s="106">
        <v>48</v>
      </c>
      <c r="BI13" s="106">
        <v>4089.6000000000004</v>
      </c>
      <c r="BJ13" s="106">
        <v>35</v>
      </c>
      <c r="BK13" s="106">
        <v>2982</v>
      </c>
      <c r="BL13" s="106">
        <v>29</v>
      </c>
      <c r="BM13" s="106">
        <v>2470.8000000000002</v>
      </c>
      <c r="BN13" s="106">
        <v>31</v>
      </c>
      <c r="BO13" s="106">
        <v>2641.2000000000003</v>
      </c>
      <c r="BP13" s="106">
        <v>7</v>
      </c>
      <c r="BQ13" s="106">
        <v>596.4</v>
      </c>
      <c r="BR13" s="106">
        <v>10</v>
      </c>
      <c r="BS13" s="106">
        <v>852</v>
      </c>
      <c r="BT13" s="106">
        <v>6</v>
      </c>
      <c r="BU13" s="106">
        <v>511.20000000000005</v>
      </c>
      <c r="BV13" s="106">
        <v>8</v>
      </c>
      <c r="BW13" s="106">
        <v>681.6</v>
      </c>
      <c r="BX13" s="106">
        <v>76</v>
      </c>
      <c r="BY13" s="106">
        <v>6475.2</v>
      </c>
      <c r="BZ13" s="106">
        <v>80</v>
      </c>
      <c r="CA13" s="106">
        <v>6816</v>
      </c>
      <c r="CB13" s="106">
        <v>64</v>
      </c>
      <c r="CC13" s="106">
        <v>5452.8</v>
      </c>
      <c r="CD13" s="106">
        <v>61</v>
      </c>
      <c r="CE13" s="106">
        <v>5197.2</v>
      </c>
      <c r="CF13" s="106">
        <v>20</v>
      </c>
      <c r="CG13" s="106">
        <v>1704</v>
      </c>
      <c r="CH13" s="106">
        <v>21</v>
      </c>
      <c r="CI13" s="106">
        <v>1789.2</v>
      </c>
      <c r="CJ13" s="106">
        <v>19</v>
      </c>
      <c r="CK13" s="106">
        <v>1618.8</v>
      </c>
      <c r="CL13" s="106">
        <v>15</v>
      </c>
      <c r="CM13" s="106">
        <v>1278</v>
      </c>
      <c r="CN13" s="106">
        <v>10</v>
      </c>
      <c r="CO13" s="106">
        <v>852</v>
      </c>
      <c r="CP13" s="106">
        <v>16</v>
      </c>
      <c r="CQ13" s="106">
        <v>1363.2</v>
      </c>
      <c r="CR13" s="106">
        <v>11</v>
      </c>
      <c r="CS13" s="106">
        <v>937.2</v>
      </c>
      <c r="CT13" s="106">
        <v>14</v>
      </c>
      <c r="CU13" s="106">
        <v>1192.8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42</v>
      </c>
      <c r="G14" s="106">
        <v>20512.8</v>
      </c>
      <c r="H14" s="106">
        <v>76</v>
      </c>
      <c r="I14" s="106">
        <v>37118.400000000001</v>
      </c>
      <c r="J14" s="106">
        <v>47</v>
      </c>
      <c r="K14" s="106">
        <v>22954.799999999999</v>
      </c>
      <c r="L14" s="106">
        <v>48</v>
      </c>
      <c r="M14" s="106">
        <v>23443.199999999997</v>
      </c>
      <c r="N14" s="106">
        <v>37</v>
      </c>
      <c r="O14" s="106">
        <v>18070.8</v>
      </c>
      <c r="P14" s="106">
        <v>32</v>
      </c>
      <c r="Q14" s="106">
        <v>15628.8</v>
      </c>
      <c r="R14" s="106">
        <v>53</v>
      </c>
      <c r="S14" s="106">
        <v>25885.199999999997</v>
      </c>
      <c r="T14" s="106">
        <v>9</v>
      </c>
      <c r="U14" s="106">
        <v>4395.5999999999995</v>
      </c>
      <c r="V14" s="106">
        <v>10</v>
      </c>
      <c r="W14" s="106">
        <v>4884</v>
      </c>
      <c r="X14" s="106">
        <v>15</v>
      </c>
      <c r="Y14" s="106">
        <v>7326</v>
      </c>
      <c r="Z14" s="106">
        <v>12</v>
      </c>
      <c r="AA14" s="106">
        <v>5860.7999999999993</v>
      </c>
      <c r="AB14" s="106">
        <v>7</v>
      </c>
      <c r="AC14" s="106">
        <v>3418.7999999999997</v>
      </c>
      <c r="AD14" s="106">
        <v>10</v>
      </c>
      <c r="AE14" s="106">
        <v>4884</v>
      </c>
      <c r="AF14" s="106">
        <v>11</v>
      </c>
      <c r="AG14" s="106">
        <v>5372.4</v>
      </c>
      <c r="AH14" s="106">
        <v>8</v>
      </c>
      <c r="AI14" s="106">
        <v>3907.2</v>
      </c>
      <c r="AJ14" s="106">
        <v>7</v>
      </c>
      <c r="AK14" s="106">
        <v>3418.7999999999997</v>
      </c>
      <c r="AL14" s="106">
        <v>8</v>
      </c>
      <c r="AM14" s="106">
        <v>3907.2</v>
      </c>
      <c r="AN14" s="106">
        <v>5</v>
      </c>
      <c r="AO14" s="106">
        <v>2442</v>
      </c>
      <c r="AP14" s="106">
        <v>6</v>
      </c>
      <c r="AQ14" s="106">
        <v>2930.3999999999996</v>
      </c>
      <c r="AR14" s="106">
        <v>8</v>
      </c>
      <c r="AS14" s="106">
        <v>3907.2</v>
      </c>
      <c r="AT14" s="106">
        <v>8</v>
      </c>
      <c r="AU14" s="106">
        <v>3907.2</v>
      </c>
      <c r="AV14" s="106">
        <v>8</v>
      </c>
      <c r="AW14" s="106">
        <v>3907.2</v>
      </c>
      <c r="AX14" s="106">
        <v>6</v>
      </c>
      <c r="AY14" s="106">
        <v>2930.3999999999996</v>
      </c>
      <c r="AZ14" s="106">
        <v>51</v>
      </c>
      <c r="BA14" s="106">
        <v>24908.399999999998</v>
      </c>
      <c r="BB14" s="106">
        <v>58</v>
      </c>
      <c r="BC14" s="106">
        <v>28327.199999999997</v>
      </c>
      <c r="BD14" s="106">
        <v>48</v>
      </c>
      <c r="BE14" s="106">
        <v>23443.199999999997</v>
      </c>
      <c r="BF14" s="106">
        <v>28.747654532848337</v>
      </c>
      <c r="BG14" s="106">
        <v>14040.354473843126</v>
      </c>
      <c r="BH14" s="106">
        <v>44</v>
      </c>
      <c r="BI14" s="106">
        <v>21489.599999999999</v>
      </c>
      <c r="BJ14" s="106">
        <v>39</v>
      </c>
      <c r="BK14" s="106">
        <v>19047.599999999999</v>
      </c>
      <c r="BL14" s="106">
        <v>30</v>
      </c>
      <c r="BM14" s="106">
        <v>14652</v>
      </c>
      <c r="BN14" s="106">
        <v>28</v>
      </c>
      <c r="BO14" s="106">
        <v>13675.199999999999</v>
      </c>
      <c r="BP14" s="106">
        <v>8</v>
      </c>
      <c r="BQ14" s="106">
        <v>3907.2</v>
      </c>
      <c r="BR14" s="106">
        <v>9</v>
      </c>
      <c r="BS14" s="106">
        <v>4395.5999999999995</v>
      </c>
      <c r="BT14" s="106">
        <v>7</v>
      </c>
      <c r="BU14" s="106">
        <v>3418.7999999999997</v>
      </c>
      <c r="BV14" s="106">
        <v>7</v>
      </c>
      <c r="BW14" s="106">
        <v>3418.7999999999997</v>
      </c>
      <c r="BX14" s="106">
        <v>69</v>
      </c>
      <c r="BY14" s="106">
        <v>33699.599999999999</v>
      </c>
      <c r="BZ14" s="106">
        <v>79</v>
      </c>
      <c r="CA14" s="106">
        <v>38583.599999999999</v>
      </c>
      <c r="CB14" s="106">
        <v>70</v>
      </c>
      <c r="CC14" s="106">
        <v>34188</v>
      </c>
      <c r="CD14" s="106">
        <v>59</v>
      </c>
      <c r="CE14" s="106">
        <v>28815.599999999999</v>
      </c>
      <c r="CF14" s="106">
        <v>17</v>
      </c>
      <c r="CG14" s="106">
        <v>8302.7999999999993</v>
      </c>
      <c r="CH14" s="106">
        <v>24</v>
      </c>
      <c r="CI14" s="106">
        <v>11721.599999999999</v>
      </c>
      <c r="CJ14" s="106">
        <v>22</v>
      </c>
      <c r="CK14" s="106">
        <v>10744.8</v>
      </c>
      <c r="CL14" s="106">
        <v>17</v>
      </c>
      <c r="CM14" s="106">
        <v>8302.7999999999993</v>
      </c>
      <c r="CN14" s="106">
        <v>10</v>
      </c>
      <c r="CO14" s="106">
        <v>4884</v>
      </c>
      <c r="CP14" s="106">
        <v>13</v>
      </c>
      <c r="CQ14" s="106">
        <v>6349.2</v>
      </c>
      <c r="CR14" s="106">
        <v>9</v>
      </c>
      <c r="CS14" s="106">
        <v>4395.5999999999995</v>
      </c>
      <c r="CT14" s="106">
        <v>13</v>
      </c>
      <c r="CU14" s="106">
        <v>6349.2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39</v>
      </c>
      <c r="G15" s="106">
        <v>29764.799999999996</v>
      </c>
      <c r="H15" s="106">
        <v>69</v>
      </c>
      <c r="I15" s="106">
        <v>52660.799999999996</v>
      </c>
      <c r="J15" s="106">
        <v>46</v>
      </c>
      <c r="K15" s="106">
        <v>35107.199999999997</v>
      </c>
      <c r="L15" s="106">
        <v>51</v>
      </c>
      <c r="M15" s="106">
        <v>38923.199999999997</v>
      </c>
      <c r="N15" s="106">
        <v>38</v>
      </c>
      <c r="O15" s="106">
        <v>29001.599999999999</v>
      </c>
      <c r="P15" s="106">
        <v>33</v>
      </c>
      <c r="Q15" s="106">
        <v>25185.599999999999</v>
      </c>
      <c r="R15" s="106">
        <v>51</v>
      </c>
      <c r="S15" s="106">
        <v>38923.199999999997</v>
      </c>
      <c r="T15" s="106">
        <v>9</v>
      </c>
      <c r="U15" s="106">
        <v>6868.7999999999993</v>
      </c>
      <c r="V15" s="106">
        <v>10</v>
      </c>
      <c r="W15" s="106">
        <v>7631.9999999999991</v>
      </c>
      <c r="X15" s="106">
        <v>13</v>
      </c>
      <c r="Y15" s="106">
        <v>9921.5999999999985</v>
      </c>
      <c r="Z15" s="106">
        <v>13</v>
      </c>
      <c r="AA15" s="106">
        <v>9921.5999999999985</v>
      </c>
      <c r="AB15" s="106">
        <v>8</v>
      </c>
      <c r="AC15" s="106">
        <v>6105.5999999999995</v>
      </c>
      <c r="AD15" s="106">
        <v>9</v>
      </c>
      <c r="AE15" s="106">
        <v>6868.7999999999993</v>
      </c>
      <c r="AF15" s="106">
        <v>10</v>
      </c>
      <c r="AG15" s="106">
        <v>7631.9999999999991</v>
      </c>
      <c r="AH15" s="106">
        <v>8</v>
      </c>
      <c r="AI15" s="106">
        <v>6105.5999999999995</v>
      </c>
      <c r="AJ15" s="106">
        <v>8</v>
      </c>
      <c r="AK15" s="106">
        <v>6105.5999999999995</v>
      </c>
      <c r="AL15" s="106">
        <v>8</v>
      </c>
      <c r="AM15" s="106">
        <v>6105.5999999999995</v>
      </c>
      <c r="AN15" s="106">
        <v>6</v>
      </c>
      <c r="AO15" s="106">
        <v>4579.2</v>
      </c>
      <c r="AP15" s="106">
        <v>6</v>
      </c>
      <c r="AQ15" s="106">
        <v>4579.2</v>
      </c>
      <c r="AR15" s="106">
        <v>8</v>
      </c>
      <c r="AS15" s="106">
        <v>6105.5999999999995</v>
      </c>
      <c r="AT15" s="106">
        <v>8</v>
      </c>
      <c r="AU15" s="106">
        <v>6105.5999999999995</v>
      </c>
      <c r="AV15" s="106">
        <v>8</v>
      </c>
      <c r="AW15" s="106">
        <v>6105.5999999999995</v>
      </c>
      <c r="AX15" s="106">
        <v>5</v>
      </c>
      <c r="AY15" s="106">
        <v>3815.9999999999995</v>
      </c>
      <c r="AZ15" s="106">
        <v>47</v>
      </c>
      <c r="BA15" s="106">
        <v>35870.399999999994</v>
      </c>
      <c r="BB15" s="106">
        <v>52</v>
      </c>
      <c r="BC15" s="106">
        <v>39686.399999999994</v>
      </c>
      <c r="BD15" s="106">
        <v>46</v>
      </c>
      <c r="BE15" s="106">
        <v>35107.199999999997</v>
      </c>
      <c r="BF15" s="106">
        <v>28.010535185852227</v>
      </c>
      <c r="BG15" s="106">
        <v>21377.640453842418</v>
      </c>
      <c r="BH15" s="106">
        <v>45</v>
      </c>
      <c r="BI15" s="106">
        <v>34344</v>
      </c>
      <c r="BJ15" s="106">
        <v>35</v>
      </c>
      <c r="BK15" s="106">
        <v>26711.999999999996</v>
      </c>
      <c r="BL15" s="106">
        <v>28</v>
      </c>
      <c r="BM15" s="106">
        <v>21369.599999999999</v>
      </c>
      <c r="BN15" s="106">
        <v>32</v>
      </c>
      <c r="BO15" s="106">
        <v>24422.399999999998</v>
      </c>
      <c r="BP15" s="106">
        <v>8</v>
      </c>
      <c r="BQ15" s="106">
        <v>6105.5999999999995</v>
      </c>
      <c r="BR15" s="106">
        <v>9</v>
      </c>
      <c r="BS15" s="106">
        <v>6868.7999999999993</v>
      </c>
      <c r="BT15" s="106">
        <v>6</v>
      </c>
      <c r="BU15" s="106">
        <v>4579.2</v>
      </c>
      <c r="BV15" s="106">
        <v>8</v>
      </c>
      <c r="BW15" s="106">
        <v>6105.5999999999995</v>
      </c>
      <c r="BX15" s="106">
        <v>67</v>
      </c>
      <c r="BY15" s="106">
        <v>51134.399999999994</v>
      </c>
      <c r="BZ15" s="106">
        <v>75</v>
      </c>
      <c r="CA15" s="106">
        <v>57239.999999999993</v>
      </c>
      <c r="CB15" s="106">
        <v>63</v>
      </c>
      <c r="CC15" s="106">
        <v>48081.599999999999</v>
      </c>
      <c r="CD15" s="106">
        <v>53</v>
      </c>
      <c r="CE15" s="106">
        <v>40449.599999999999</v>
      </c>
      <c r="CF15" s="106">
        <v>17</v>
      </c>
      <c r="CG15" s="106">
        <v>12974.4</v>
      </c>
      <c r="CH15" s="106">
        <v>21</v>
      </c>
      <c r="CI15" s="106">
        <v>16027.199999999999</v>
      </c>
      <c r="CJ15" s="106">
        <v>21</v>
      </c>
      <c r="CK15" s="106">
        <v>16027.199999999999</v>
      </c>
      <c r="CL15" s="106">
        <v>15</v>
      </c>
      <c r="CM15" s="106">
        <v>11447.999999999998</v>
      </c>
      <c r="CN15" s="106">
        <v>10</v>
      </c>
      <c r="CO15" s="106">
        <v>7631.9999999999991</v>
      </c>
      <c r="CP15" s="106">
        <v>14</v>
      </c>
      <c r="CQ15" s="106">
        <v>10684.8</v>
      </c>
      <c r="CR15" s="106">
        <v>10</v>
      </c>
      <c r="CS15" s="106">
        <v>7631.9999999999991</v>
      </c>
      <c r="CT15" s="106">
        <v>13</v>
      </c>
      <c r="CU15" s="106">
        <v>9921.5999999999985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42</v>
      </c>
      <c r="G16" s="106">
        <v>14313.6</v>
      </c>
      <c r="H16" s="106">
        <v>84</v>
      </c>
      <c r="I16" s="106">
        <v>28627.200000000001</v>
      </c>
      <c r="J16" s="106">
        <v>49</v>
      </c>
      <c r="K16" s="106">
        <v>16699.2</v>
      </c>
      <c r="L16" s="106">
        <v>54</v>
      </c>
      <c r="M16" s="106">
        <v>18403.2</v>
      </c>
      <c r="N16" s="106">
        <v>38</v>
      </c>
      <c r="O16" s="106">
        <v>12950.4</v>
      </c>
      <c r="P16" s="106">
        <v>38</v>
      </c>
      <c r="Q16" s="106">
        <v>12950.4</v>
      </c>
      <c r="R16" s="106">
        <v>49</v>
      </c>
      <c r="S16" s="106">
        <v>16699.2</v>
      </c>
      <c r="T16" s="106">
        <v>9</v>
      </c>
      <c r="U16" s="106">
        <v>3067.2000000000003</v>
      </c>
      <c r="V16" s="106">
        <v>11</v>
      </c>
      <c r="W16" s="106">
        <v>3748.8</v>
      </c>
      <c r="X16" s="106">
        <v>16</v>
      </c>
      <c r="Y16" s="106">
        <v>5452.8</v>
      </c>
      <c r="Z16" s="106">
        <v>13</v>
      </c>
      <c r="AA16" s="106">
        <v>4430.4000000000005</v>
      </c>
      <c r="AB16" s="106">
        <v>7</v>
      </c>
      <c r="AC16" s="106">
        <v>2385.6</v>
      </c>
      <c r="AD16" s="106">
        <v>10</v>
      </c>
      <c r="AE16" s="106">
        <v>3408</v>
      </c>
      <c r="AF16" s="106">
        <v>10</v>
      </c>
      <c r="AG16" s="106">
        <v>3408</v>
      </c>
      <c r="AH16" s="106">
        <v>7</v>
      </c>
      <c r="AI16" s="106">
        <v>2385.6</v>
      </c>
      <c r="AJ16" s="106">
        <v>8</v>
      </c>
      <c r="AK16" s="106">
        <v>2726.4</v>
      </c>
      <c r="AL16" s="106">
        <v>7</v>
      </c>
      <c r="AM16" s="106">
        <v>2385.6</v>
      </c>
      <c r="AN16" s="106">
        <v>6</v>
      </c>
      <c r="AO16" s="106">
        <v>2044.8000000000002</v>
      </c>
      <c r="AP16" s="106">
        <v>6</v>
      </c>
      <c r="AQ16" s="106">
        <v>2044.8000000000002</v>
      </c>
      <c r="AR16" s="106">
        <v>7</v>
      </c>
      <c r="AS16" s="106">
        <v>2385.6</v>
      </c>
      <c r="AT16" s="106">
        <v>9</v>
      </c>
      <c r="AU16" s="106">
        <v>3067.2000000000003</v>
      </c>
      <c r="AV16" s="106">
        <v>9</v>
      </c>
      <c r="AW16" s="106">
        <v>3067.2000000000003</v>
      </c>
      <c r="AX16" s="106">
        <v>6</v>
      </c>
      <c r="AY16" s="106">
        <v>2044.8000000000002</v>
      </c>
      <c r="AZ16" s="106">
        <v>53</v>
      </c>
      <c r="BA16" s="106">
        <v>18062.400000000001</v>
      </c>
      <c r="BB16" s="106">
        <v>53</v>
      </c>
      <c r="BC16" s="106">
        <v>18062.400000000001</v>
      </c>
      <c r="BD16" s="106">
        <v>43</v>
      </c>
      <c r="BE16" s="106">
        <v>14654.4</v>
      </c>
      <c r="BF16" s="106">
        <v>28.747654532848337</v>
      </c>
      <c r="BG16" s="106">
        <v>9797.2006647947128</v>
      </c>
      <c r="BH16" s="106">
        <v>47</v>
      </c>
      <c r="BI16" s="106">
        <v>16017.6</v>
      </c>
      <c r="BJ16" s="106">
        <v>34</v>
      </c>
      <c r="BK16" s="106">
        <v>11587.2</v>
      </c>
      <c r="BL16" s="106">
        <v>33</v>
      </c>
      <c r="BM16" s="106">
        <v>11246.4</v>
      </c>
      <c r="BN16" s="106">
        <v>34</v>
      </c>
      <c r="BO16" s="106">
        <v>11587.2</v>
      </c>
      <c r="BP16" s="106">
        <v>7</v>
      </c>
      <c r="BQ16" s="106">
        <v>2385.6</v>
      </c>
      <c r="BR16" s="106">
        <v>9</v>
      </c>
      <c r="BS16" s="106">
        <v>3067.2000000000003</v>
      </c>
      <c r="BT16" s="106">
        <v>7</v>
      </c>
      <c r="BU16" s="106">
        <v>2385.6</v>
      </c>
      <c r="BV16" s="106">
        <v>8</v>
      </c>
      <c r="BW16" s="106">
        <v>2726.4</v>
      </c>
      <c r="BX16" s="106">
        <v>68</v>
      </c>
      <c r="BY16" s="106">
        <v>23174.400000000001</v>
      </c>
      <c r="BZ16" s="106">
        <v>70</v>
      </c>
      <c r="CA16" s="106">
        <v>23856</v>
      </c>
      <c r="CB16" s="106">
        <v>62</v>
      </c>
      <c r="CC16" s="106">
        <v>21129.600000000002</v>
      </c>
      <c r="CD16" s="106">
        <v>54</v>
      </c>
      <c r="CE16" s="106">
        <v>18403.2</v>
      </c>
      <c r="CF16" s="106">
        <v>19</v>
      </c>
      <c r="CG16" s="106">
        <v>6475.2</v>
      </c>
      <c r="CH16" s="106">
        <v>24</v>
      </c>
      <c r="CI16" s="106">
        <v>8179.2000000000007</v>
      </c>
      <c r="CJ16" s="106">
        <v>21</v>
      </c>
      <c r="CK16" s="106">
        <v>7156.8</v>
      </c>
      <c r="CL16" s="106">
        <v>17</v>
      </c>
      <c r="CM16" s="106">
        <v>5793.6</v>
      </c>
      <c r="CN16" s="106">
        <v>11</v>
      </c>
      <c r="CO16" s="106">
        <v>3748.8</v>
      </c>
      <c r="CP16" s="106">
        <v>15</v>
      </c>
      <c r="CQ16" s="106">
        <v>5112</v>
      </c>
      <c r="CR16" s="106">
        <v>10</v>
      </c>
      <c r="CS16" s="106">
        <v>3408</v>
      </c>
      <c r="CT16" s="106">
        <v>13</v>
      </c>
      <c r="CU16" s="106">
        <v>4430.4000000000005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44</v>
      </c>
      <c r="G17" s="106">
        <v>18585.599999999999</v>
      </c>
      <c r="H17" s="106">
        <v>79</v>
      </c>
      <c r="I17" s="106">
        <v>33369.599999999999</v>
      </c>
      <c r="J17" s="106">
        <v>50</v>
      </c>
      <c r="K17" s="106">
        <v>21120</v>
      </c>
      <c r="L17" s="106">
        <v>45</v>
      </c>
      <c r="M17" s="106">
        <v>19008</v>
      </c>
      <c r="N17" s="106">
        <v>42</v>
      </c>
      <c r="O17" s="106">
        <v>17740.8</v>
      </c>
      <c r="P17" s="106">
        <v>31</v>
      </c>
      <c r="Q17" s="106">
        <v>13094.4</v>
      </c>
      <c r="R17" s="106">
        <v>55</v>
      </c>
      <c r="S17" s="106">
        <v>23232</v>
      </c>
      <c r="T17" s="106">
        <v>8</v>
      </c>
      <c r="U17" s="106">
        <v>3379.2</v>
      </c>
      <c r="V17" s="106">
        <v>11</v>
      </c>
      <c r="W17" s="106">
        <v>4646.3999999999996</v>
      </c>
      <c r="X17" s="106">
        <v>15</v>
      </c>
      <c r="Y17" s="106">
        <v>6336</v>
      </c>
      <c r="Z17" s="106">
        <v>13</v>
      </c>
      <c r="AA17" s="106">
        <v>5491.2</v>
      </c>
      <c r="AB17" s="106">
        <v>7</v>
      </c>
      <c r="AC17" s="106">
        <v>2956.7999999999997</v>
      </c>
      <c r="AD17" s="106">
        <v>10</v>
      </c>
      <c r="AE17" s="106">
        <v>4224</v>
      </c>
      <c r="AF17" s="106">
        <v>10</v>
      </c>
      <c r="AG17" s="106">
        <v>4224</v>
      </c>
      <c r="AH17" s="106">
        <v>7</v>
      </c>
      <c r="AI17" s="106">
        <v>2956.7999999999997</v>
      </c>
      <c r="AJ17" s="106">
        <v>8</v>
      </c>
      <c r="AK17" s="106">
        <v>3379.2</v>
      </c>
      <c r="AL17" s="106">
        <v>7</v>
      </c>
      <c r="AM17" s="106">
        <v>2956.7999999999997</v>
      </c>
      <c r="AN17" s="106">
        <v>6</v>
      </c>
      <c r="AO17" s="106">
        <v>2534.3999999999996</v>
      </c>
      <c r="AP17" s="106">
        <v>6</v>
      </c>
      <c r="AQ17" s="106">
        <v>2534.3999999999996</v>
      </c>
      <c r="AR17" s="106">
        <v>7</v>
      </c>
      <c r="AS17" s="106">
        <v>2956.7999999999997</v>
      </c>
      <c r="AT17" s="106">
        <v>10</v>
      </c>
      <c r="AU17" s="106">
        <v>4224</v>
      </c>
      <c r="AV17" s="106">
        <v>9</v>
      </c>
      <c r="AW17" s="106">
        <v>3801.6</v>
      </c>
      <c r="AX17" s="106">
        <v>6</v>
      </c>
      <c r="AY17" s="106">
        <v>2534.3999999999996</v>
      </c>
      <c r="AZ17" s="106">
        <v>49</v>
      </c>
      <c r="BA17" s="106">
        <v>20697.599999999999</v>
      </c>
      <c r="BB17" s="106">
        <v>50</v>
      </c>
      <c r="BC17" s="106">
        <v>21120</v>
      </c>
      <c r="BD17" s="106">
        <v>45</v>
      </c>
      <c r="BE17" s="106">
        <v>19008</v>
      </c>
      <c r="BF17" s="106">
        <v>28.010535185852227</v>
      </c>
      <c r="BG17" s="106">
        <v>11831.650062503981</v>
      </c>
      <c r="BH17" s="106">
        <v>46</v>
      </c>
      <c r="BI17" s="106">
        <v>19430.399999999998</v>
      </c>
      <c r="BJ17" s="106">
        <v>35</v>
      </c>
      <c r="BK17" s="106">
        <v>14784</v>
      </c>
      <c r="BL17" s="106">
        <v>27</v>
      </c>
      <c r="BM17" s="106">
        <v>11404.8</v>
      </c>
      <c r="BN17" s="106">
        <v>33</v>
      </c>
      <c r="BO17" s="106">
        <v>13939.199999999999</v>
      </c>
      <c r="BP17" s="106">
        <v>8</v>
      </c>
      <c r="BQ17" s="106">
        <v>3379.2</v>
      </c>
      <c r="BR17" s="106">
        <v>8</v>
      </c>
      <c r="BS17" s="106">
        <v>3379.2</v>
      </c>
      <c r="BT17" s="106">
        <v>7</v>
      </c>
      <c r="BU17" s="106">
        <v>2956.7999999999997</v>
      </c>
      <c r="BV17" s="106">
        <v>8</v>
      </c>
      <c r="BW17" s="106">
        <v>3379.2</v>
      </c>
      <c r="BX17" s="106">
        <v>73</v>
      </c>
      <c r="BY17" s="106">
        <v>30835.199999999997</v>
      </c>
      <c r="BZ17" s="106">
        <v>80</v>
      </c>
      <c r="CA17" s="106">
        <v>33792</v>
      </c>
      <c r="CB17" s="106">
        <v>62</v>
      </c>
      <c r="CC17" s="106">
        <v>26188.799999999999</v>
      </c>
      <c r="CD17" s="106">
        <v>53</v>
      </c>
      <c r="CE17" s="106">
        <v>22387.199999999997</v>
      </c>
      <c r="CF17" s="106">
        <v>17</v>
      </c>
      <c r="CG17" s="106">
        <v>7180.7999999999993</v>
      </c>
      <c r="CH17" s="106">
        <v>21</v>
      </c>
      <c r="CI17" s="106">
        <v>8870.4</v>
      </c>
      <c r="CJ17" s="106">
        <v>20</v>
      </c>
      <c r="CK17" s="106">
        <v>8448</v>
      </c>
      <c r="CL17" s="106">
        <v>17</v>
      </c>
      <c r="CM17" s="106">
        <v>7180.7999999999993</v>
      </c>
      <c r="CN17" s="106">
        <v>10</v>
      </c>
      <c r="CO17" s="106">
        <v>4224</v>
      </c>
      <c r="CP17" s="106">
        <v>14</v>
      </c>
      <c r="CQ17" s="106">
        <v>5913.5999999999995</v>
      </c>
      <c r="CR17" s="106">
        <v>10</v>
      </c>
      <c r="CS17" s="106">
        <v>4224</v>
      </c>
      <c r="CT17" s="106">
        <v>13</v>
      </c>
      <c r="CU17" s="106">
        <v>5491.2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37</v>
      </c>
      <c r="G18" s="106">
        <v>24153.599999999999</v>
      </c>
      <c r="H18" s="106">
        <v>78</v>
      </c>
      <c r="I18" s="106">
        <v>50918.399999999994</v>
      </c>
      <c r="J18" s="106">
        <v>44</v>
      </c>
      <c r="K18" s="106">
        <v>28723.199999999997</v>
      </c>
      <c r="L18" s="106">
        <v>45</v>
      </c>
      <c r="M18" s="106">
        <v>29375.999999999996</v>
      </c>
      <c r="N18" s="106">
        <v>40</v>
      </c>
      <c r="O18" s="106">
        <v>26112</v>
      </c>
      <c r="P18" s="106">
        <v>32</v>
      </c>
      <c r="Q18" s="106">
        <v>20889.599999999999</v>
      </c>
      <c r="R18" s="106">
        <v>47</v>
      </c>
      <c r="S18" s="106">
        <v>30681.599999999999</v>
      </c>
      <c r="T18" s="106">
        <v>9</v>
      </c>
      <c r="U18" s="106">
        <v>5875.2</v>
      </c>
      <c r="V18" s="106">
        <v>11</v>
      </c>
      <c r="W18" s="106">
        <v>7180.7999999999993</v>
      </c>
      <c r="X18" s="106">
        <v>14</v>
      </c>
      <c r="Y18" s="106">
        <v>9139.1999999999989</v>
      </c>
      <c r="Z18" s="106">
        <v>12</v>
      </c>
      <c r="AA18" s="106">
        <v>7833.5999999999995</v>
      </c>
      <c r="AB18" s="106">
        <v>8</v>
      </c>
      <c r="AC18" s="106">
        <v>5222.3999999999996</v>
      </c>
      <c r="AD18" s="106">
        <v>10</v>
      </c>
      <c r="AE18" s="106">
        <v>6528</v>
      </c>
      <c r="AF18" s="106">
        <v>11</v>
      </c>
      <c r="AG18" s="106">
        <v>7180.7999999999993</v>
      </c>
      <c r="AH18" s="106">
        <v>8</v>
      </c>
      <c r="AI18" s="106">
        <v>5222.3999999999996</v>
      </c>
      <c r="AJ18" s="106">
        <v>8</v>
      </c>
      <c r="AK18" s="106">
        <v>5222.3999999999996</v>
      </c>
      <c r="AL18" s="106">
        <v>8</v>
      </c>
      <c r="AM18" s="106">
        <v>5222.3999999999996</v>
      </c>
      <c r="AN18" s="106">
        <v>5</v>
      </c>
      <c r="AO18" s="106">
        <v>3264</v>
      </c>
      <c r="AP18" s="106">
        <v>6</v>
      </c>
      <c r="AQ18" s="106">
        <v>3916.7999999999997</v>
      </c>
      <c r="AR18" s="106">
        <v>8</v>
      </c>
      <c r="AS18" s="106">
        <v>5222.3999999999996</v>
      </c>
      <c r="AT18" s="106">
        <v>9</v>
      </c>
      <c r="AU18" s="106">
        <v>5875.2</v>
      </c>
      <c r="AV18" s="106">
        <v>8</v>
      </c>
      <c r="AW18" s="106">
        <v>5222.3999999999996</v>
      </c>
      <c r="AX18" s="106">
        <v>6</v>
      </c>
      <c r="AY18" s="106">
        <v>3916.7999999999997</v>
      </c>
      <c r="AZ18" s="106">
        <v>50</v>
      </c>
      <c r="BA18" s="106">
        <v>32639.999999999996</v>
      </c>
      <c r="BB18" s="106">
        <v>51</v>
      </c>
      <c r="BC18" s="106">
        <v>33292.799999999996</v>
      </c>
      <c r="BD18" s="106">
        <v>46</v>
      </c>
      <c r="BE18" s="106">
        <v>30028.799999999999</v>
      </c>
      <c r="BF18" s="106">
        <v>27.27341583885611</v>
      </c>
      <c r="BG18" s="106">
        <v>17804.085859605268</v>
      </c>
      <c r="BH18" s="106">
        <v>45</v>
      </c>
      <c r="BI18" s="106">
        <v>29375.999999999996</v>
      </c>
      <c r="BJ18" s="106">
        <v>38</v>
      </c>
      <c r="BK18" s="106">
        <v>24806.399999999998</v>
      </c>
      <c r="BL18" s="106">
        <v>29</v>
      </c>
      <c r="BM18" s="106">
        <v>18931.199999999997</v>
      </c>
      <c r="BN18" s="106">
        <v>32</v>
      </c>
      <c r="BO18" s="106">
        <v>20889.599999999999</v>
      </c>
      <c r="BP18" s="106">
        <v>7</v>
      </c>
      <c r="BQ18" s="106">
        <v>4569.5999999999995</v>
      </c>
      <c r="BR18" s="106">
        <v>8</v>
      </c>
      <c r="BS18" s="106">
        <v>5222.3999999999996</v>
      </c>
      <c r="BT18" s="106">
        <v>6</v>
      </c>
      <c r="BU18" s="106">
        <v>3916.7999999999997</v>
      </c>
      <c r="BV18" s="106">
        <v>8</v>
      </c>
      <c r="BW18" s="106">
        <v>5222.3999999999996</v>
      </c>
      <c r="BX18" s="106">
        <v>74</v>
      </c>
      <c r="BY18" s="106">
        <v>48307.199999999997</v>
      </c>
      <c r="BZ18" s="106">
        <v>72</v>
      </c>
      <c r="CA18" s="106">
        <v>47001.599999999999</v>
      </c>
      <c r="CB18" s="106">
        <v>68</v>
      </c>
      <c r="CC18" s="106">
        <v>44390.399999999994</v>
      </c>
      <c r="CD18" s="106">
        <v>59</v>
      </c>
      <c r="CE18" s="106">
        <v>38515.199999999997</v>
      </c>
      <c r="CF18" s="106">
        <v>17</v>
      </c>
      <c r="CG18" s="106">
        <v>11097.599999999999</v>
      </c>
      <c r="CH18" s="106">
        <v>20</v>
      </c>
      <c r="CI18" s="106">
        <v>13056</v>
      </c>
      <c r="CJ18" s="106">
        <v>18</v>
      </c>
      <c r="CK18" s="106">
        <v>11750.4</v>
      </c>
      <c r="CL18" s="106">
        <v>16</v>
      </c>
      <c r="CM18" s="106">
        <v>10444.799999999999</v>
      </c>
      <c r="CN18" s="106">
        <v>9</v>
      </c>
      <c r="CO18" s="106">
        <v>5875.2</v>
      </c>
      <c r="CP18" s="106">
        <v>13</v>
      </c>
      <c r="CQ18" s="106">
        <v>8486.4</v>
      </c>
      <c r="CR18" s="106">
        <v>10</v>
      </c>
      <c r="CS18" s="106">
        <v>6528</v>
      </c>
      <c r="CT18" s="106">
        <v>14</v>
      </c>
      <c r="CU18" s="106">
        <v>9139.1999999999989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41</v>
      </c>
      <c r="G19" s="106">
        <v>13530</v>
      </c>
      <c r="H19" s="106">
        <v>72</v>
      </c>
      <c r="I19" s="106">
        <v>23760</v>
      </c>
      <c r="J19" s="106">
        <v>48</v>
      </c>
      <c r="K19" s="106">
        <v>15840</v>
      </c>
      <c r="L19" s="106">
        <v>53</v>
      </c>
      <c r="M19" s="106">
        <v>17490</v>
      </c>
      <c r="N19" s="106">
        <v>37</v>
      </c>
      <c r="O19" s="106">
        <v>12210</v>
      </c>
      <c r="P19" s="106">
        <v>36</v>
      </c>
      <c r="Q19" s="106">
        <v>11880</v>
      </c>
      <c r="R19" s="106">
        <v>51</v>
      </c>
      <c r="S19" s="106">
        <v>16830</v>
      </c>
      <c r="T19" s="106">
        <v>8</v>
      </c>
      <c r="U19" s="106">
        <v>2640</v>
      </c>
      <c r="V19" s="106">
        <v>10</v>
      </c>
      <c r="W19" s="106">
        <v>3300</v>
      </c>
      <c r="X19" s="106">
        <v>15</v>
      </c>
      <c r="Y19" s="106">
        <v>4950</v>
      </c>
      <c r="Z19" s="106">
        <v>13</v>
      </c>
      <c r="AA19" s="106">
        <v>4290</v>
      </c>
      <c r="AB19" s="106">
        <v>8</v>
      </c>
      <c r="AC19" s="106">
        <v>2640</v>
      </c>
      <c r="AD19" s="106">
        <v>11</v>
      </c>
      <c r="AE19" s="106">
        <v>3630</v>
      </c>
      <c r="AF19" s="106">
        <v>11</v>
      </c>
      <c r="AG19" s="106">
        <v>3630</v>
      </c>
      <c r="AH19" s="106">
        <v>7</v>
      </c>
      <c r="AI19" s="106">
        <v>2310</v>
      </c>
      <c r="AJ19" s="106">
        <v>8</v>
      </c>
      <c r="AK19" s="106">
        <v>2640</v>
      </c>
      <c r="AL19" s="106">
        <v>7</v>
      </c>
      <c r="AM19" s="106">
        <v>2310</v>
      </c>
      <c r="AN19" s="106">
        <v>5</v>
      </c>
      <c r="AO19" s="106">
        <v>1650</v>
      </c>
      <c r="AP19" s="106">
        <v>7</v>
      </c>
      <c r="AQ19" s="106">
        <v>2310</v>
      </c>
      <c r="AR19" s="106">
        <v>7</v>
      </c>
      <c r="AS19" s="106">
        <v>2310</v>
      </c>
      <c r="AT19" s="106">
        <v>10</v>
      </c>
      <c r="AU19" s="106">
        <v>3300</v>
      </c>
      <c r="AV19" s="106">
        <v>8</v>
      </c>
      <c r="AW19" s="106">
        <v>2640</v>
      </c>
      <c r="AX19" s="106">
        <v>6</v>
      </c>
      <c r="AY19" s="106">
        <v>1980</v>
      </c>
      <c r="AZ19" s="106">
        <v>49</v>
      </c>
      <c r="BA19" s="106">
        <v>16170</v>
      </c>
      <c r="BB19" s="106">
        <v>55</v>
      </c>
      <c r="BC19" s="106">
        <v>18150</v>
      </c>
      <c r="BD19" s="106">
        <v>50</v>
      </c>
      <c r="BE19" s="106">
        <v>16500</v>
      </c>
      <c r="BF19" s="106">
        <v>30.959012573836667</v>
      </c>
      <c r="BG19" s="106">
        <v>10216.4741493661</v>
      </c>
      <c r="BH19" s="106">
        <v>42</v>
      </c>
      <c r="BI19" s="106">
        <v>13860</v>
      </c>
      <c r="BJ19" s="106">
        <v>34</v>
      </c>
      <c r="BK19" s="106">
        <v>11220</v>
      </c>
      <c r="BL19" s="106">
        <v>30</v>
      </c>
      <c r="BM19" s="106">
        <v>9900</v>
      </c>
      <c r="BN19" s="106">
        <v>33</v>
      </c>
      <c r="BO19" s="106">
        <v>10890</v>
      </c>
      <c r="BP19" s="106">
        <v>8</v>
      </c>
      <c r="BQ19" s="106">
        <v>2640</v>
      </c>
      <c r="BR19" s="106">
        <v>9</v>
      </c>
      <c r="BS19" s="106">
        <v>2970</v>
      </c>
      <c r="BT19" s="106">
        <v>7</v>
      </c>
      <c r="BU19" s="106">
        <v>2310</v>
      </c>
      <c r="BV19" s="106">
        <v>8</v>
      </c>
      <c r="BW19" s="106">
        <v>2640</v>
      </c>
      <c r="BX19" s="106">
        <v>74</v>
      </c>
      <c r="BY19" s="106">
        <v>24420</v>
      </c>
      <c r="BZ19" s="106">
        <v>82</v>
      </c>
      <c r="CA19" s="106">
        <v>27060</v>
      </c>
      <c r="CB19" s="106">
        <v>74</v>
      </c>
      <c r="CC19" s="106">
        <v>24420</v>
      </c>
      <c r="CD19" s="106">
        <v>61</v>
      </c>
      <c r="CE19" s="106">
        <v>20130</v>
      </c>
      <c r="CF19" s="106">
        <v>17</v>
      </c>
      <c r="CG19" s="106">
        <v>5610</v>
      </c>
      <c r="CH19" s="106">
        <v>22</v>
      </c>
      <c r="CI19" s="106">
        <v>7260</v>
      </c>
      <c r="CJ19" s="106">
        <v>20</v>
      </c>
      <c r="CK19" s="106">
        <v>6600</v>
      </c>
      <c r="CL19" s="106">
        <v>15</v>
      </c>
      <c r="CM19" s="106">
        <v>4950</v>
      </c>
      <c r="CN19" s="106">
        <v>9</v>
      </c>
      <c r="CO19" s="106">
        <v>2970</v>
      </c>
      <c r="CP19" s="106">
        <v>13</v>
      </c>
      <c r="CQ19" s="106">
        <v>4290</v>
      </c>
      <c r="CR19" s="106">
        <v>9</v>
      </c>
      <c r="CS19" s="106">
        <v>2970</v>
      </c>
      <c r="CT19" s="106">
        <v>16</v>
      </c>
      <c r="CU19" s="106">
        <v>5280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30</v>
      </c>
      <c r="G20" s="106">
        <v>8604</v>
      </c>
      <c r="H20" s="106">
        <v>25</v>
      </c>
      <c r="I20" s="106">
        <v>7170</v>
      </c>
      <c r="J20" s="106">
        <v>20</v>
      </c>
      <c r="K20" s="106">
        <v>5736</v>
      </c>
      <c r="L20" s="106">
        <v>33</v>
      </c>
      <c r="M20" s="106">
        <v>9464.4</v>
      </c>
      <c r="N20" s="106">
        <v>26</v>
      </c>
      <c r="O20" s="106">
        <v>7456.8</v>
      </c>
      <c r="P20" s="106">
        <v>28</v>
      </c>
      <c r="Q20" s="106">
        <v>8030.4000000000005</v>
      </c>
      <c r="R20" s="106">
        <v>36</v>
      </c>
      <c r="S20" s="106">
        <v>10324.800000000001</v>
      </c>
      <c r="T20" s="106">
        <v>20</v>
      </c>
      <c r="U20" s="106">
        <v>5736</v>
      </c>
      <c r="V20" s="106">
        <v>16</v>
      </c>
      <c r="W20" s="106">
        <v>4588.8</v>
      </c>
      <c r="X20" s="106">
        <v>16</v>
      </c>
      <c r="Y20" s="106">
        <v>4588.8</v>
      </c>
      <c r="Z20" s="106">
        <v>21</v>
      </c>
      <c r="AA20" s="106">
        <v>6022.8</v>
      </c>
      <c r="AB20" s="106">
        <v>11</v>
      </c>
      <c r="AC20" s="106">
        <v>3154.8</v>
      </c>
      <c r="AD20" s="106">
        <v>15</v>
      </c>
      <c r="AE20" s="106">
        <v>4302</v>
      </c>
      <c r="AF20" s="106">
        <v>14</v>
      </c>
      <c r="AG20" s="106">
        <v>4015.2000000000003</v>
      </c>
      <c r="AH20" s="106">
        <v>12</v>
      </c>
      <c r="AI20" s="106">
        <v>3441.6000000000004</v>
      </c>
      <c r="AJ20" s="106">
        <v>13</v>
      </c>
      <c r="AK20" s="106">
        <v>3728.4</v>
      </c>
      <c r="AL20" s="106">
        <v>14</v>
      </c>
      <c r="AM20" s="106">
        <v>4015.2000000000003</v>
      </c>
      <c r="AN20" s="106">
        <v>8</v>
      </c>
      <c r="AO20" s="106">
        <v>2294.4</v>
      </c>
      <c r="AP20" s="106">
        <v>14</v>
      </c>
      <c r="AQ20" s="106">
        <v>4015.2000000000003</v>
      </c>
      <c r="AR20" s="106">
        <v>14</v>
      </c>
      <c r="AS20" s="106">
        <v>4015.2000000000003</v>
      </c>
      <c r="AT20" s="106">
        <v>15</v>
      </c>
      <c r="AU20" s="106">
        <v>4302</v>
      </c>
      <c r="AV20" s="106">
        <v>11</v>
      </c>
      <c r="AW20" s="106">
        <v>3154.8</v>
      </c>
      <c r="AX20" s="106">
        <v>16</v>
      </c>
      <c r="AY20" s="106">
        <v>4588.8</v>
      </c>
      <c r="AZ20" s="106">
        <v>15</v>
      </c>
      <c r="BA20" s="106">
        <v>4302</v>
      </c>
      <c r="BB20" s="106">
        <v>15</v>
      </c>
      <c r="BC20" s="106">
        <v>4302</v>
      </c>
      <c r="BD20" s="106">
        <v>16</v>
      </c>
      <c r="BE20" s="106">
        <v>4588.8</v>
      </c>
      <c r="BF20" s="106">
        <v>7.3711934699611117</v>
      </c>
      <c r="BG20" s="106">
        <v>2114.0582871848469</v>
      </c>
      <c r="BH20" s="106">
        <v>27</v>
      </c>
      <c r="BI20" s="106">
        <v>7743.6</v>
      </c>
      <c r="BJ20" s="106">
        <v>37</v>
      </c>
      <c r="BK20" s="106">
        <v>10611.6</v>
      </c>
      <c r="BL20" s="106">
        <v>21</v>
      </c>
      <c r="BM20" s="106">
        <v>6022.8</v>
      </c>
      <c r="BN20" s="106">
        <v>25</v>
      </c>
      <c r="BO20" s="106">
        <v>7170</v>
      </c>
      <c r="BP20" s="106">
        <v>16</v>
      </c>
      <c r="BQ20" s="106">
        <v>4588.8</v>
      </c>
      <c r="BR20" s="106">
        <v>20</v>
      </c>
      <c r="BS20" s="106">
        <v>5736</v>
      </c>
      <c r="BT20" s="106">
        <v>16</v>
      </c>
      <c r="BU20" s="106">
        <v>4588.8</v>
      </c>
      <c r="BV20" s="106">
        <v>20</v>
      </c>
      <c r="BW20" s="106">
        <v>5736</v>
      </c>
      <c r="BX20" s="106">
        <v>32</v>
      </c>
      <c r="BY20" s="106">
        <v>9177.6</v>
      </c>
      <c r="BZ20" s="106">
        <v>34</v>
      </c>
      <c r="CA20" s="106">
        <v>9751.2000000000007</v>
      </c>
      <c r="CB20" s="106">
        <v>24</v>
      </c>
      <c r="CC20" s="106">
        <v>6883.2000000000007</v>
      </c>
      <c r="CD20" s="106">
        <v>38</v>
      </c>
      <c r="CE20" s="106">
        <v>10898.4</v>
      </c>
      <c r="CF20" s="106">
        <v>123</v>
      </c>
      <c r="CG20" s="106">
        <v>35276.400000000001</v>
      </c>
      <c r="CH20" s="106">
        <v>119</v>
      </c>
      <c r="CI20" s="106">
        <v>34129.200000000004</v>
      </c>
      <c r="CJ20" s="106">
        <v>80</v>
      </c>
      <c r="CK20" s="106">
        <v>22944</v>
      </c>
      <c r="CL20" s="106">
        <v>96</v>
      </c>
      <c r="CM20" s="106">
        <v>27532.800000000003</v>
      </c>
      <c r="CN20" s="106">
        <v>42</v>
      </c>
      <c r="CO20" s="106">
        <v>12045.6</v>
      </c>
      <c r="CP20" s="106">
        <v>41</v>
      </c>
      <c r="CQ20" s="106">
        <v>11758.800000000001</v>
      </c>
      <c r="CR20" s="106">
        <v>65</v>
      </c>
      <c r="CS20" s="106">
        <v>18642</v>
      </c>
      <c r="CT20" s="106">
        <v>45</v>
      </c>
      <c r="CU20" s="106">
        <v>12906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30</v>
      </c>
      <c r="G21" s="106">
        <v>1872</v>
      </c>
      <c r="H21" s="106">
        <v>28</v>
      </c>
      <c r="I21" s="106">
        <v>1747.2</v>
      </c>
      <c r="J21" s="106">
        <v>19</v>
      </c>
      <c r="K21" s="106">
        <v>1185.5999999999999</v>
      </c>
      <c r="L21" s="106">
        <v>31</v>
      </c>
      <c r="M21" s="106">
        <v>1934.3999999999999</v>
      </c>
      <c r="N21" s="106">
        <v>28</v>
      </c>
      <c r="O21" s="106">
        <v>1747.2</v>
      </c>
      <c r="P21" s="106">
        <v>25</v>
      </c>
      <c r="Q21" s="106">
        <v>1560</v>
      </c>
      <c r="R21" s="106">
        <v>33</v>
      </c>
      <c r="S21" s="106">
        <v>2059.1999999999998</v>
      </c>
      <c r="T21" s="106">
        <v>22</v>
      </c>
      <c r="U21" s="106">
        <v>1372.8</v>
      </c>
      <c r="V21" s="106">
        <v>16</v>
      </c>
      <c r="W21" s="106">
        <v>998.4</v>
      </c>
      <c r="X21" s="106">
        <v>18</v>
      </c>
      <c r="Y21" s="106">
        <v>1123.2</v>
      </c>
      <c r="Z21" s="106">
        <v>19</v>
      </c>
      <c r="AA21" s="106">
        <v>1185.5999999999999</v>
      </c>
      <c r="AB21" s="106">
        <v>12</v>
      </c>
      <c r="AC21" s="106">
        <v>748.8</v>
      </c>
      <c r="AD21" s="106">
        <v>17</v>
      </c>
      <c r="AE21" s="106">
        <v>1060.8</v>
      </c>
      <c r="AF21" s="106">
        <v>16</v>
      </c>
      <c r="AG21" s="106">
        <v>998.4</v>
      </c>
      <c r="AH21" s="106">
        <v>14</v>
      </c>
      <c r="AI21" s="106">
        <v>873.6</v>
      </c>
      <c r="AJ21" s="106">
        <v>14</v>
      </c>
      <c r="AK21" s="106">
        <v>873.6</v>
      </c>
      <c r="AL21" s="106">
        <v>13</v>
      </c>
      <c r="AM21" s="106">
        <v>811.19999999999993</v>
      </c>
      <c r="AN21" s="106">
        <v>8</v>
      </c>
      <c r="AO21" s="106">
        <v>499.2</v>
      </c>
      <c r="AP21" s="106">
        <v>14</v>
      </c>
      <c r="AQ21" s="106">
        <v>873.6</v>
      </c>
      <c r="AR21" s="106">
        <v>14</v>
      </c>
      <c r="AS21" s="106">
        <v>873.6</v>
      </c>
      <c r="AT21" s="106">
        <v>16</v>
      </c>
      <c r="AU21" s="106">
        <v>998.4</v>
      </c>
      <c r="AV21" s="106">
        <v>12</v>
      </c>
      <c r="AW21" s="106">
        <v>748.8</v>
      </c>
      <c r="AX21" s="106">
        <v>15</v>
      </c>
      <c r="AY21" s="106">
        <v>936</v>
      </c>
      <c r="AZ21" s="106">
        <v>15</v>
      </c>
      <c r="BA21" s="106">
        <v>936</v>
      </c>
      <c r="BB21" s="106">
        <v>16</v>
      </c>
      <c r="BC21" s="106">
        <v>998.4</v>
      </c>
      <c r="BD21" s="106">
        <v>17</v>
      </c>
      <c r="BE21" s="106">
        <v>1060.8</v>
      </c>
      <c r="BF21" s="106">
        <v>8.1083128169572234</v>
      </c>
      <c r="BG21" s="106">
        <v>505.95871977813073</v>
      </c>
      <c r="BH21" s="106">
        <v>28</v>
      </c>
      <c r="BI21" s="106">
        <v>1747.2</v>
      </c>
      <c r="BJ21" s="106">
        <v>39</v>
      </c>
      <c r="BK21" s="106">
        <v>2433.6</v>
      </c>
      <c r="BL21" s="106">
        <v>23</v>
      </c>
      <c r="BM21" s="106">
        <v>1435.2</v>
      </c>
      <c r="BN21" s="106">
        <v>22</v>
      </c>
      <c r="BO21" s="106">
        <v>1372.8</v>
      </c>
      <c r="BP21" s="106">
        <v>16</v>
      </c>
      <c r="BQ21" s="106">
        <v>998.4</v>
      </c>
      <c r="BR21" s="106">
        <v>20</v>
      </c>
      <c r="BS21" s="106">
        <v>1248</v>
      </c>
      <c r="BT21" s="106">
        <v>17</v>
      </c>
      <c r="BU21" s="106">
        <v>1060.8</v>
      </c>
      <c r="BV21" s="106">
        <v>20</v>
      </c>
      <c r="BW21" s="106">
        <v>1248</v>
      </c>
      <c r="BX21" s="106">
        <v>39</v>
      </c>
      <c r="BY21" s="106">
        <v>2433.6</v>
      </c>
      <c r="BZ21" s="106">
        <v>37</v>
      </c>
      <c r="CA21" s="106">
        <v>2308.7999999999997</v>
      </c>
      <c r="CB21" s="106">
        <v>24</v>
      </c>
      <c r="CC21" s="106">
        <v>1497.6</v>
      </c>
      <c r="CD21" s="106">
        <v>41</v>
      </c>
      <c r="CE21" s="106">
        <v>2558.4</v>
      </c>
      <c r="CF21" s="106">
        <v>121</v>
      </c>
      <c r="CG21" s="106">
        <v>7550.4</v>
      </c>
      <c r="CH21" s="106">
        <v>103</v>
      </c>
      <c r="CI21" s="106">
        <v>6427.2</v>
      </c>
      <c r="CJ21" s="106">
        <v>91</v>
      </c>
      <c r="CK21" s="106">
        <v>5678.4</v>
      </c>
      <c r="CL21" s="106">
        <v>107</v>
      </c>
      <c r="CM21" s="106">
        <v>6676.8</v>
      </c>
      <c r="CN21" s="106">
        <v>41</v>
      </c>
      <c r="CO21" s="106">
        <v>2558.4</v>
      </c>
      <c r="CP21" s="106">
        <v>46</v>
      </c>
      <c r="CQ21" s="106">
        <v>2870.4</v>
      </c>
      <c r="CR21" s="106">
        <v>63</v>
      </c>
      <c r="CS21" s="106">
        <v>3931.2</v>
      </c>
      <c r="CT21" s="106">
        <v>48</v>
      </c>
      <c r="CU21" s="106">
        <v>2995.2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34</v>
      </c>
      <c r="G22" s="106">
        <v>6364.7999999999993</v>
      </c>
      <c r="H22" s="106">
        <v>26</v>
      </c>
      <c r="I22" s="106">
        <v>4867.2</v>
      </c>
      <c r="J22" s="106">
        <v>21</v>
      </c>
      <c r="K22" s="106">
        <v>3931.2</v>
      </c>
      <c r="L22" s="106">
        <v>32</v>
      </c>
      <c r="M22" s="106">
        <v>5990.4</v>
      </c>
      <c r="N22" s="106">
        <v>27</v>
      </c>
      <c r="O22" s="106">
        <v>5054.3999999999996</v>
      </c>
      <c r="P22" s="106">
        <v>25</v>
      </c>
      <c r="Q22" s="106">
        <v>4680</v>
      </c>
      <c r="R22" s="106">
        <v>36</v>
      </c>
      <c r="S22" s="106">
        <v>6739.2</v>
      </c>
      <c r="T22" s="106">
        <v>23</v>
      </c>
      <c r="U22" s="106">
        <v>4305.5999999999995</v>
      </c>
      <c r="V22" s="106">
        <v>16</v>
      </c>
      <c r="W22" s="106">
        <v>2995.2</v>
      </c>
      <c r="X22" s="106">
        <v>16</v>
      </c>
      <c r="Y22" s="106">
        <v>2995.2</v>
      </c>
      <c r="Z22" s="106">
        <v>19</v>
      </c>
      <c r="AA22" s="106">
        <v>3556.7999999999997</v>
      </c>
      <c r="AB22" s="106">
        <v>11</v>
      </c>
      <c r="AC22" s="106">
        <v>2059.1999999999998</v>
      </c>
      <c r="AD22" s="106">
        <v>15</v>
      </c>
      <c r="AE22" s="106">
        <v>2808</v>
      </c>
      <c r="AF22" s="106">
        <v>16</v>
      </c>
      <c r="AG22" s="106">
        <v>2995.2</v>
      </c>
      <c r="AH22" s="106">
        <v>13</v>
      </c>
      <c r="AI22" s="106">
        <v>2433.6</v>
      </c>
      <c r="AJ22" s="106">
        <v>15</v>
      </c>
      <c r="AK22" s="106">
        <v>2808</v>
      </c>
      <c r="AL22" s="106">
        <v>14</v>
      </c>
      <c r="AM22" s="106">
        <v>2620.7999999999997</v>
      </c>
      <c r="AN22" s="106">
        <v>9</v>
      </c>
      <c r="AO22" s="106">
        <v>1684.8</v>
      </c>
      <c r="AP22" s="106">
        <v>15</v>
      </c>
      <c r="AQ22" s="106">
        <v>2808</v>
      </c>
      <c r="AR22" s="106">
        <v>15</v>
      </c>
      <c r="AS22" s="106">
        <v>2808</v>
      </c>
      <c r="AT22" s="106">
        <v>16</v>
      </c>
      <c r="AU22" s="106">
        <v>2995.2</v>
      </c>
      <c r="AV22" s="106">
        <v>11</v>
      </c>
      <c r="AW22" s="106">
        <v>2059.1999999999998</v>
      </c>
      <c r="AX22" s="106">
        <v>16</v>
      </c>
      <c r="AY22" s="106">
        <v>2995.2</v>
      </c>
      <c r="AZ22" s="106">
        <v>17</v>
      </c>
      <c r="BA22" s="106">
        <v>3182.3999999999996</v>
      </c>
      <c r="BB22" s="106">
        <v>17</v>
      </c>
      <c r="BC22" s="106">
        <v>3182.3999999999996</v>
      </c>
      <c r="BD22" s="106">
        <v>16</v>
      </c>
      <c r="BE22" s="106">
        <v>2995.2</v>
      </c>
      <c r="BF22" s="106">
        <v>8.8454321639533333</v>
      </c>
      <c r="BG22" s="106">
        <v>1655.864901092064</v>
      </c>
      <c r="BH22" s="106">
        <v>27</v>
      </c>
      <c r="BI22" s="106">
        <v>5054.3999999999996</v>
      </c>
      <c r="BJ22" s="106">
        <v>39</v>
      </c>
      <c r="BK22" s="106">
        <v>7300.7999999999993</v>
      </c>
      <c r="BL22" s="106">
        <v>24</v>
      </c>
      <c r="BM22" s="106">
        <v>4492.7999999999993</v>
      </c>
      <c r="BN22" s="106">
        <v>21</v>
      </c>
      <c r="BO22" s="106">
        <v>3931.2</v>
      </c>
      <c r="BP22" s="106">
        <v>17</v>
      </c>
      <c r="BQ22" s="106">
        <v>3182.3999999999996</v>
      </c>
      <c r="BR22" s="106">
        <v>21</v>
      </c>
      <c r="BS22" s="106">
        <v>3931.2</v>
      </c>
      <c r="BT22" s="106">
        <v>15</v>
      </c>
      <c r="BU22" s="106">
        <v>2808</v>
      </c>
      <c r="BV22" s="106">
        <v>20</v>
      </c>
      <c r="BW22" s="106">
        <v>3744</v>
      </c>
      <c r="BX22" s="106">
        <v>36</v>
      </c>
      <c r="BY22" s="106">
        <v>6739.2</v>
      </c>
      <c r="BZ22" s="106">
        <v>35</v>
      </c>
      <c r="CA22" s="106">
        <v>6552</v>
      </c>
      <c r="CB22" s="106">
        <v>26</v>
      </c>
      <c r="CC22" s="106">
        <v>4867.2</v>
      </c>
      <c r="CD22" s="106">
        <v>42</v>
      </c>
      <c r="CE22" s="106">
        <v>7862.4</v>
      </c>
      <c r="CF22" s="106">
        <v>135</v>
      </c>
      <c r="CG22" s="106">
        <v>25272</v>
      </c>
      <c r="CH22" s="106">
        <v>118</v>
      </c>
      <c r="CI22" s="106">
        <v>22089.599999999999</v>
      </c>
      <c r="CJ22" s="106">
        <v>75</v>
      </c>
      <c r="CK22" s="106">
        <v>14040</v>
      </c>
      <c r="CL22" s="106">
        <v>100</v>
      </c>
      <c r="CM22" s="106">
        <v>18720</v>
      </c>
      <c r="CN22" s="106">
        <v>44</v>
      </c>
      <c r="CO22" s="106">
        <v>8236.7999999999993</v>
      </c>
      <c r="CP22" s="106">
        <v>41</v>
      </c>
      <c r="CQ22" s="106">
        <v>7675.2</v>
      </c>
      <c r="CR22" s="106">
        <v>59</v>
      </c>
      <c r="CS22" s="106">
        <v>11044.8</v>
      </c>
      <c r="CT22" s="106">
        <v>48</v>
      </c>
      <c r="CU22" s="106">
        <v>8985.5999999999985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27</v>
      </c>
      <c r="G23" s="106">
        <v>7938</v>
      </c>
      <c r="H23" s="106">
        <v>27</v>
      </c>
      <c r="I23" s="106">
        <v>7938</v>
      </c>
      <c r="J23" s="106">
        <v>19</v>
      </c>
      <c r="K23" s="106">
        <v>5586</v>
      </c>
      <c r="L23" s="106">
        <v>36</v>
      </c>
      <c r="M23" s="106">
        <v>10584</v>
      </c>
      <c r="N23" s="106">
        <v>27</v>
      </c>
      <c r="O23" s="106">
        <v>7938</v>
      </c>
      <c r="P23" s="106">
        <v>25</v>
      </c>
      <c r="Q23" s="106">
        <v>7350</v>
      </c>
      <c r="R23" s="106">
        <v>30</v>
      </c>
      <c r="S23" s="106">
        <v>8820</v>
      </c>
      <c r="T23" s="106">
        <v>21</v>
      </c>
      <c r="U23" s="106">
        <v>6174</v>
      </c>
      <c r="V23" s="106">
        <v>15</v>
      </c>
      <c r="W23" s="106">
        <v>4410</v>
      </c>
      <c r="X23" s="106">
        <v>19</v>
      </c>
      <c r="Y23" s="106">
        <v>5586</v>
      </c>
      <c r="Z23" s="106">
        <v>19</v>
      </c>
      <c r="AA23" s="106">
        <v>5586</v>
      </c>
      <c r="AB23" s="106">
        <v>11</v>
      </c>
      <c r="AC23" s="106">
        <v>3234</v>
      </c>
      <c r="AD23" s="106">
        <v>16</v>
      </c>
      <c r="AE23" s="106">
        <v>4704</v>
      </c>
      <c r="AF23" s="106">
        <v>15</v>
      </c>
      <c r="AG23" s="106">
        <v>4410</v>
      </c>
      <c r="AH23" s="106">
        <v>13</v>
      </c>
      <c r="AI23" s="106">
        <v>3822</v>
      </c>
      <c r="AJ23" s="106">
        <v>13</v>
      </c>
      <c r="AK23" s="106">
        <v>3822</v>
      </c>
      <c r="AL23" s="106">
        <v>14</v>
      </c>
      <c r="AM23" s="106">
        <v>4116</v>
      </c>
      <c r="AN23" s="106">
        <v>8</v>
      </c>
      <c r="AO23" s="106">
        <v>2352</v>
      </c>
      <c r="AP23" s="106">
        <v>14</v>
      </c>
      <c r="AQ23" s="106">
        <v>4116</v>
      </c>
      <c r="AR23" s="106">
        <v>15</v>
      </c>
      <c r="AS23" s="106">
        <v>4410</v>
      </c>
      <c r="AT23" s="106">
        <v>16</v>
      </c>
      <c r="AU23" s="106">
        <v>4704</v>
      </c>
      <c r="AV23" s="106">
        <v>12</v>
      </c>
      <c r="AW23" s="106">
        <v>3528</v>
      </c>
      <c r="AX23" s="106">
        <v>15</v>
      </c>
      <c r="AY23" s="106">
        <v>4410</v>
      </c>
      <c r="AZ23" s="106">
        <v>14</v>
      </c>
      <c r="BA23" s="106">
        <v>4116</v>
      </c>
      <c r="BB23" s="106">
        <v>15</v>
      </c>
      <c r="BC23" s="106">
        <v>4410</v>
      </c>
      <c r="BD23" s="106">
        <v>17</v>
      </c>
      <c r="BE23" s="106">
        <v>4998</v>
      </c>
      <c r="BF23" s="106">
        <v>8.1083128169572234</v>
      </c>
      <c r="BG23" s="106">
        <v>2383.8439681854238</v>
      </c>
      <c r="BH23" s="106">
        <v>26</v>
      </c>
      <c r="BI23" s="106">
        <v>7644</v>
      </c>
      <c r="BJ23" s="106">
        <v>40</v>
      </c>
      <c r="BK23" s="106">
        <v>11760</v>
      </c>
      <c r="BL23" s="106">
        <v>23</v>
      </c>
      <c r="BM23" s="106">
        <v>6762</v>
      </c>
      <c r="BN23" s="106">
        <v>25</v>
      </c>
      <c r="BO23" s="106">
        <v>7350</v>
      </c>
      <c r="BP23" s="106">
        <v>16</v>
      </c>
      <c r="BQ23" s="106">
        <v>4704</v>
      </c>
      <c r="BR23" s="106">
        <v>23</v>
      </c>
      <c r="BS23" s="106">
        <v>6762</v>
      </c>
      <c r="BT23" s="106">
        <v>15</v>
      </c>
      <c r="BU23" s="106">
        <v>4410</v>
      </c>
      <c r="BV23" s="106">
        <v>21</v>
      </c>
      <c r="BW23" s="106">
        <v>6174</v>
      </c>
      <c r="BX23" s="106">
        <v>38</v>
      </c>
      <c r="BY23" s="106">
        <v>11172</v>
      </c>
      <c r="BZ23" s="106">
        <v>37</v>
      </c>
      <c r="CA23" s="106">
        <v>10878</v>
      </c>
      <c r="CB23" s="106">
        <v>26</v>
      </c>
      <c r="CC23" s="106">
        <v>7644</v>
      </c>
      <c r="CD23" s="106">
        <v>40</v>
      </c>
      <c r="CE23" s="106">
        <v>11760</v>
      </c>
      <c r="CF23" s="106">
        <v>128</v>
      </c>
      <c r="CG23" s="106">
        <v>37632</v>
      </c>
      <c r="CH23" s="106">
        <v>111</v>
      </c>
      <c r="CI23" s="106">
        <v>32634</v>
      </c>
      <c r="CJ23" s="106">
        <v>76</v>
      </c>
      <c r="CK23" s="106">
        <v>22344</v>
      </c>
      <c r="CL23" s="106">
        <v>101</v>
      </c>
      <c r="CM23" s="106">
        <v>29694</v>
      </c>
      <c r="CN23" s="106">
        <v>45</v>
      </c>
      <c r="CO23" s="106">
        <v>13230</v>
      </c>
      <c r="CP23" s="106">
        <v>44</v>
      </c>
      <c r="CQ23" s="106">
        <v>12936</v>
      </c>
      <c r="CR23" s="106">
        <v>65</v>
      </c>
      <c r="CS23" s="106">
        <v>19110</v>
      </c>
      <c r="CT23" s="106">
        <v>49</v>
      </c>
      <c r="CU23" s="106">
        <v>14406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30</v>
      </c>
      <c r="G24" s="106">
        <v>11016</v>
      </c>
      <c r="H24" s="106">
        <v>24</v>
      </c>
      <c r="I24" s="106">
        <v>8812.7999999999993</v>
      </c>
      <c r="J24" s="106">
        <v>18</v>
      </c>
      <c r="K24" s="106">
        <v>6609.5999999999995</v>
      </c>
      <c r="L24" s="106">
        <v>30</v>
      </c>
      <c r="M24" s="106">
        <v>11016</v>
      </c>
      <c r="N24" s="106">
        <v>25</v>
      </c>
      <c r="O24" s="106">
        <v>9180</v>
      </c>
      <c r="P24" s="106">
        <v>23</v>
      </c>
      <c r="Q24" s="106">
        <v>8445.6</v>
      </c>
      <c r="R24" s="106">
        <v>30</v>
      </c>
      <c r="S24" s="106">
        <v>11016</v>
      </c>
      <c r="T24" s="106">
        <v>21</v>
      </c>
      <c r="U24" s="106">
        <v>7711.2</v>
      </c>
      <c r="V24" s="106">
        <v>15</v>
      </c>
      <c r="W24" s="106">
        <v>5508</v>
      </c>
      <c r="X24" s="106">
        <v>18</v>
      </c>
      <c r="Y24" s="106">
        <v>6609.5999999999995</v>
      </c>
      <c r="Z24" s="106">
        <v>18</v>
      </c>
      <c r="AA24" s="106">
        <v>6609.5999999999995</v>
      </c>
      <c r="AB24" s="106">
        <v>11</v>
      </c>
      <c r="AC24" s="106">
        <v>4039.2</v>
      </c>
      <c r="AD24" s="106">
        <v>17</v>
      </c>
      <c r="AE24" s="106">
        <v>6242.4</v>
      </c>
      <c r="AF24" s="106">
        <v>14</v>
      </c>
      <c r="AG24" s="106">
        <v>5140.8</v>
      </c>
      <c r="AH24" s="106">
        <v>13</v>
      </c>
      <c r="AI24" s="106">
        <v>4773.5999999999995</v>
      </c>
      <c r="AJ24" s="106">
        <v>14</v>
      </c>
      <c r="AK24" s="106">
        <v>5140.8</v>
      </c>
      <c r="AL24" s="106">
        <v>15</v>
      </c>
      <c r="AM24" s="106">
        <v>5508</v>
      </c>
      <c r="AN24" s="106">
        <v>8</v>
      </c>
      <c r="AO24" s="106">
        <v>2937.6</v>
      </c>
      <c r="AP24" s="106">
        <v>13</v>
      </c>
      <c r="AQ24" s="106">
        <v>4773.5999999999995</v>
      </c>
      <c r="AR24" s="106">
        <v>14</v>
      </c>
      <c r="AS24" s="106">
        <v>5140.8</v>
      </c>
      <c r="AT24" s="106">
        <v>15</v>
      </c>
      <c r="AU24" s="106">
        <v>5508</v>
      </c>
      <c r="AV24" s="106">
        <v>12</v>
      </c>
      <c r="AW24" s="106">
        <v>4406.3999999999996</v>
      </c>
      <c r="AX24" s="106">
        <v>17</v>
      </c>
      <c r="AY24" s="106">
        <v>6242.4</v>
      </c>
      <c r="AZ24" s="106">
        <v>14</v>
      </c>
      <c r="BA24" s="106">
        <v>5140.8</v>
      </c>
      <c r="BB24" s="106">
        <v>15</v>
      </c>
      <c r="BC24" s="106">
        <v>5508</v>
      </c>
      <c r="BD24" s="106">
        <v>16</v>
      </c>
      <c r="BE24" s="106">
        <v>5875.2</v>
      </c>
      <c r="BF24" s="106">
        <v>8.8454321639533333</v>
      </c>
      <c r="BG24" s="106">
        <v>3248.0426906036637</v>
      </c>
      <c r="BH24" s="106">
        <v>23</v>
      </c>
      <c r="BI24" s="106">
        <v>8445.6</v>
      </c>
      <c r="BJ24" s="106">
        <v>37</v>
      </c>
      <c r="BK24" s="106">
        <v>13586.4</v>
      </c>
      <c r="BL24" s="106">
        <v>22</v>
      </c>
      <c r="BM24" s="106">
        <v>8078.4</v>
      </c>
      <c r="BN24" s="106">
        <v>22</v>
      </c>
      <c r="BO24" s="106">
        <v>8078.4</v>
      </c>
      <c r="BP24" s="106">
        <v>15</v>
      </c>
      <c r="BQ24" s="106">
        <v>5508</v>
      </c>
      <c r="BR24" s="106">
        <v>22</v>
      </c>
      <c r="BS24" s="106">
        <v>8078.4</v>
      </c>
      <c r="BT24" s="106">
        <v>16</v>
      </c>
      <c r="BU24" s="106">
        <v>5875.2</v>
      </c>
      <c r="BV24" s="106">
        <v>19</v>
      </c>
      <c r="BW24" s="106">
        <v>6976.8</v>
      </c>
      <c r="BX24" s="106">
        <v>33</v>
      </c>
      <c r="BY24" s="106">
        <v>12117.6</v>
      </c>
      <c r="BZ24" s="106">
        <v>36</v>
      </c>
      <c r="CA24" s="106">
        <v>13219.199999999999</v>
      </c>
      <c r="CB24" s="106">
        <v>22</v>
      </c>
      <c r="CC24" s="106">
        <v>8078.4</v>
      </c>
      <c r="CD24" s="106">
        <v>41</v>
      </c>
      <c r="CE24" s="106">
        <v>15055.199999999999</v>
      </c>
      <c r="CF24" s="106">
        <v>119</v>
      </c>
      <c r="CG24" s="106">
        <v>43696.799999999996</v>
      </c>
      <c r="CH24" s="106">
        <v>105</v>
      </c>
      <c r="CI24" s="106">
        <v>38556</v>
      </c>
      <c r="CJ24" s="106">
        <v>86</v>
      </c>
      <c r="CK24" s="106">
        <v>31579.200000000001</v>
      </c>
      <c r="CL24" s="106">
        <v>103</v>
      </c>
      <c r="CM24" s="106">
        <v>37821.599999999999</v>
      </c>
      <c r="CN24" s="106">
        <v>39</v>
      </c>
      <c r="CO24" s="106">
        <v>14320.8</v>
      </c>
      <c r="CP24" s="106">
        <v>43</v>
      </c>
      <c r="CQ24" s="106">
        <v>15789.6</v>
      </c>
      <c r="CR24" s="106">
        <v>62</v>
      </c>
      <c r="CS24" s="106">
        <v>22766.399999999998</v>
      </c>
      <c r="CT24" s="106">
        <v>49</v>
      </c>
      <c r="CU24" s="106">
        <v>17992.8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27</v>
      </c>
      <c r="G25" s="106">
        <v>14320.8</v>
      </c>
      <c r="H25" s="106">
        <v>25</v>
      </c>
      <c r="I25" s="106">
        <v>13260</v>
      </c>
      <c r="J25" s="106">
        <v>17</v>
      </c>
      <c r="K25" s="106">
        <v>9016.7999999999993</v>
      </c>
      <c r="L25" s="106">
        <v>29</v>
      </c>
      <c r="M25" s="106">
        <v>15381.599999999999</v>
      </c>
      <c r="N25" s="106">
        <v>27</v>
      </c>
      <c r="O25" s="106">
        <v>14320.8</v>
      </c>
      <c r="P25" s="106">
        <v>26</v>
      </c>
      <c r="Q25" s="106">
        <v>13790.4</v>
      </c>
      <c r="R25" s="106">
        <v>34</v>
      </c>
      <c r="S25" s="106">
        <v>18033.599999999999</v>
      </c>
      <c r="T25" s="106">
        <v>20</v>
      </c>
      <c r="U25" s="106">
        <v>10608</v>
      </c>
      <c r="V25" s="106">
        <v>17</v>
      </c>
      <c r="W25" s="106">
        <v>9016.7999999999993</v>
      </c>
      <c r="X25" s="106">
        <v>16</v>
      </c>
      <c r="Y25" s="106">
        <v>8486.4</v>
      </c>
      <c r="Z25" s="106">
        <v>19</v>
      </c>
      <c r="AA25" s="106">
        <v>10077.6</v>
      </c>
      <c r="AB25" s="106">
        <v>12</v>
      </c>
      <c r="AC25" s="106">
        <v>6364.7999999999993</v>
      </c>
      <c r="AD25" s="106">
        <v>17</v>
      </c>
      <c r="AE25" s="106">
        <v>9016.7999999999993</v>
      </c>
      <c r="AF25" s="106">
        <v>13</v>
      </c>
      <c r="AG25" s="106">
        <v>6895.2</v>
      </c>
      <c r="AH25" s="106">
        <v>12</v>
      </c>
      <c r="AI25" s="106">
        <v>6364.7999999999993</v>
      </c>
      <c r="AJ25" s="106">
        <v>15</v>
      </c>
      <c r="AK25" s="106">
        <v>7956</v>
      </c>
      <c r="AL25" s="106">
        <v>12</v>
      </c>
      <c r="AM25" s="106">
        <v>6364.7999999999993</v>
      </c>
      <c r="AN25" s="106">
        <v>9</v>
      </c>
      <c r="AO25" s="106">
        <v>4773.5999999999995</v>
      </c>
      <c r="AP25" s="106">
        <v>14</v>
      </c>
      <c r="AQ25" s="106">
        <v>7425.5999999999995</v>
      </c>
      <c r="AR25" s="106">
        <v>13</v>
      </c>
      <c r="AS25" s="106">
        <v>6895.2</v>
      </c>
      <c r="AT25" s="106">
        <v>16</v>
      </c>
      <c r="AU25" s="106">
        <v>8486.4</v>
      </c>
      <c r="AV25" s="106">
        <v>10</v>
      </c>
      <c r="AW25" s="106">
        <v>5304</v>
      </c>
      <c r="AX25" s="106">
        <v>17</v>
      </c>
      <c r="AY25" s="106">
        <v>9016.7999999999993</v>
      </c>
      <c r="AZ25" s="106">
        <v>14</v>
      </c>
      <c r="BA25" s="106">
        <v>7425.5999999999995</v>
      </c>
      <c r="BB25" s="106">
        <v>16</v>
      </c>
      <c r="BC25" s="106">
        <v>8486.4</v>
      </c>
      <c r="BD25" s="106">
        <v>17</v>
      </c>
      <c r="BE25" s="106">
        <v>9016.7999999999993</v>
      </c>
      <c r="BF25" s="106">
        <v>8.8454321639533333</v>
      </c>
      <c r="BG25" s="106">
        <v>4691.6172197608475</v>
      </c>
      <c r="BH25" s="106">
        <v>22</v>
      </c>
      <c r="BI25" s="106">
        <v>11668.8</v>
      </c>
      <c r="BJ25" s="106">
        <v>35</v>
      </c>
      <c r="BK25" s="106">
        <v>18564</v>
      </c>
      <c r="BL25" s="106">
        <v>21</v>
      </c>
      <c r="BM25" s="106">
        <v>11138.4</v>
      </c>
      <c r="BN25" s="106">
        <v>25</v>
      </c>
      <c r="BO25" s="106">
        <v>13260</v>
      </c>
      <c r="BP25" s="106">
        <v>16</v>
      </c>
      <c r="BQ25" s="106">
        <v>8486.4</v>
      </c>
      <c r="BR25" s="106">
        <v>21</v>
      </c>
      <c r="BS25" s="106">
        <v>11138.4</v>
      </c>
      <c r="BT25" s="106">
        <v>15</v>
      </c>
      <c r="BU25" s="106">
        <v>7956</v>
      </c>
      <c r="BV25" s="106">
        <v>19</v>
      </c>
      <c r="BW25" s="106">
        <v>10077.6</v>
      </c>
      <c r="BX25" s="106">
        <v>36</v>
      </c>
      <c r="BY25" s="106">
        <v>19094.399999999998</v>
      </c>
      <c r="BZ25" s="106">
        <v>31</v>
      </c>
      <c r="CA25" s="106">
        <v>16442.399999999998</v>
      </c>
      <c r="CB25" s="106">
        <v>22</v>
      </c>
      <c r="CC25" s="106">
        <v>11668.8</v>
      </c>
      <c r="CD25" s="106">
        <v>39</v>
      </c>
      <c r="CE25" s="106">
        <v>20685.599999999999</v>
      </c>
      <c r="CF25" s="106">
        <v>121</v>
      </c>
      <c r="CG25" s="106">
        <v>64178.399999999994</v>
      </c>
      <c r="CH25" s="106">
        <v>104</v>
      </c>
      <c r="CI25" s="106">
        <v>55161.599999999999</v>
      </c>
      <c r="CJ25" s="106">
        <v>80</v>
      </c>
      <c r="CK25" s="106">
        <v>42432</v>
      </c>
      <c r="CL25" s="106">
        <v>98</v>
      </c>
      <c r="CM25" s="106">
        <v>51979.199999999997</v>
      </c>
      <c r="CN25" s="106">
        <v>38</v>
      </c>
      <c r="CO25" s="106">
        <v>20155.2</v>
      </c>
      <c r="CP25" s="106">
        <v>46</v>
      </c>
      <c r="CQ25" s="106">
        <v>24398.399999999998</v>
      </c>
      <c r="CR25" s="106">
        <v>63</v>
      </c>
      <c r="CS25" s="106">
        <v>33415.199999999997</v>
      </c>
      <c r="CT25" s="106">
        <v>49</v>
      </c>
      <c r="CU25" s="106">
        <v>25989.599999999999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31</v>
      </c>
      <c r="G26" s="106">
        <v>15066</v>
      </c>
      <c r="H26" s="106">
        <v>24</v>
      </c>
      <c r="I26" s="106">
        <v>11664</v>
      </c>
      <c r="J26" s="106">
        <v>19</v>
      </c>
      <c r="K26" s="106">
        <v>9234</v>
      </c>
      <c r="L26" s="106">
        <v>29</v>
      </c>
      <c r="M26" s="106">
        <v>14094</v>
      </c>
      <c r="N26" s="106">
        <v>27</v>
      </c>
      <c r="O26" s="106">
        <v>13122</v>
      </c>
      <c r="P26" s="106">
        <v>24</v>
      </c>
      <c r="Q26" s="106">
        <v>11664</v>
      </c>
      <c r="R26" s="106">
        <v>31</v>
      </c>
      <c r="S26" s="106">
        <v>15066</v>
      </c>
      <c r="T26" s="106">
        <v>20</v>
      </c>
      <c r="U26" s="106">
        <v>9720</v>
      </c>
      <c r="V26" s="106">
        <v>15</v>
      </c>
      <c r="W26" s="106">
        <v>7290</v>
      </c>
      <c r="X26" s="106">
        <v>18</v>
      </c>
      <c r="Y26" s="106">
        <v>8748</v>
      </c>
      <c r="Z26" s="106">
        <v>19</v>
      </c>
      <c r="AA26" s="106">
        <v>9234</v>
      </c>
      <c r="AB26" s="106">
        <v>11</v>
      </c>
      <c r="AC26" s="106">
        <v>5346</v>
      </c>
      <c r="AD26" s="106">
        <v>17</v>
      </c>
      <c r="AE26" s="106">
        <v>8262</v>
      </c>
      <c r="AF26" s="106">
        <v>14</v>
      </c>
      <c r="AG26" s="106">
        <v>6804</v>
      </c>
      <c r="AH26" s="106">
        <v>14</v>
      </c>
      <c r="AI26" s="106">
        <v>6804</v>
      </c>
      <c r="AJ26" s="106">
        <v>13</v>
      </c>
      <c r="AK26" s="106">
        <v>6318</v>
      </c>
      <c r="AL26" s="106">
        <v>13</v>
      </c>
      <c r="AM26" s="106">
        <v>6318</v>
      </c>
      <c r="AN26" s="106">
        <v>9</v>
      </c>
      <c r="AO26" s="106">
        <v>4374</v>
      </c>
      <c r="AP26" s="106">
        <v>15</v>
      </c>
      <c r="AQ26" s="106">
        <v>7290</v>
      </c>
      <c r="AR26" s="106">
        <v>15</v>
      </c>
      <c r="AS26" s="106">
        <v>7290</v>
      </c>
      <c r="AT26" s="106">
        <v>16</v>
      </c>
      <c r="AU26" s="106">
        <v>7776</v>
      </c>
      <c r="AV26" s="106">
        <v>11</v>
      </c>
      <c r="AW26" s="106">
        <v>5346</v>
      </c>
      <c r="AX26" s="106">
        <v>16</v>
      </c>
      <c r="AY26" s="106">
        <v>7776</v>
      </c>
      <c r="AZ26" s="106">
        <v>16</v>
      </c>
      <c r="BA26" s="106">
        <v>7776</v>
      </c>
      <c r="BB26" s="106">
        <v>15</v>
      </c>
      <c r="BC26" s="106">
        <v>7290</v>
      </c>
      <c r="BD26" s="106">
        <v>15</v>
      </c>
      <c r="BE26" s="106">
        <v>7290</v>
      </c>
      <c r="BF26" s="106">
        <v>8.8454321639533333</v>
      </c>
      <c r="BG26" s="106">
        <v>4298.8800316813204</v>
      </c>
      <c r="BH26" s="106">
        <v>25</v>
      </c>
      <c r="BI26" s="106">
        <v>12150</v>
      </c>
      <c r="BJ26" s="106">
        <v>39</v>
      </c>
      <c r="BK26" s="106">
        <v>18954</v>
      </c>
      <c r="BL26" s="106">
        <v>22</v>
      </c>
      <c r="BM26" s="106">
        <v>10692</v>
      </c>
      <c r="BN26" s="106">
        <v>23</v>
      </c>
      <c r="BO26" s="106">
        <v>11178</v>
      </c>
      <c r="BP26" s="106">
        <v>16</v>
      </c>
      <c r="BQ26" s="106">
        <v>7776</v>
      </c>
      <c r="BR26" s="106">
        <v>21</v>
      </c>
      <c r="BS26" s="106">
        <v>10206</v>
      </c>
      <c r="BT26" s="106">
        <v>17</v>
      </c>
      <c r="BU26" s="106">
        <v>8262</v>
      </c>
      <c r="BV26" s="106">
        <v>21</v>
      </c>
      <c r="BW26" s="106">
        <v>10206</v>
      </c>
      <c r="BX26" s="106">
        <v>37</v>
      </c>
      <c r="BY26" s="106">
        <v>17982</v>
      </c>
      <c r="BZ26" s="106">
        <v>36</v>
      </c>
      <c r="CA26" s="106">
        <v>17496</v>
      </c>
      <c r="CB26" s="106">
        <v>23</v>
      </c>
      <c r="CC26" s="106">
        <v>11178</v>
      </c>
      <c r="CD26" s="106">
        <v>37</v>
      </c>
      <c r="CE26" s="106">
        <v>17982</v>
      </c>
      <c r="CF26" s="106">
        <v>115</v>
      </c>
      <c r="CG26" s="106">
        <v>55890</v>
      </c>
      <c r="CH26" s="106">
        <v>112</v>
      </c>
      <c r="CI26" s="106">
        <v>54432</v>
      </c>
      <c r="CJ26" s="106">
        <v>84</v>
      </c>
      <c r="CK26" s="106">
        <v>40824</v>
      </c>
      <c r="CL26" s="106">
        <v>87</v>
      </c>
      <c r="CM26" s="106">
        <v>42282</v>
      </c>
      <c r="CN26" s="106">
        <v>39</v>
      </c>
      <c r="CO26" s="106">
        <v>18954</v>
      </c>
      <c r="CP26" s="106">
        <v>45</v>
      </c>
      <c r="CQ26" s="106">
        <v>21870</v>
      </c>
      <c r="CR26" s="106">
        <v>62</v>
      </c>
      <c r="CS26" s="106">
        <v>30132</v>
      </c>
      <c r="CT26" s="106">
        <v>50</v>
      </c>
      <c r="CU26" s="106">
        <v>24300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30</v>
      </c>
      <c r="G27" s="106">
        <v>12816</v>
      </c>
      <c r="H27" s="106">
        <v>28</v>
      </c>
      <c r="I27" s="106">
        <v>11961.6</v>
      </c>
      <c r="J27" s="106">
        <v>17</v>
      </c>
      <c r="K27" s="106">
        <v>7262.4</v>
      </c>
      <c r="L27" s="106">
        <v>29</v>
      </c>
      <c r="M27" s="106">
        <v>12388.8</v>
      </c>
      <c r="N27" s="106">
        <v>26</v>
      </c>
      <c r="O27" s="106">
        <v>11107.199999999999</v>
      </c>
      <c r="P27" s="106">
        <v>26</v>
      </c>
      <c r="Q27" s="106">
        <v>11107.199999999999</v>
      </c>
      <c r="R27" s="106">
        <v>31</v>
      </c>
      <c r="S27" s="106">
        <v>13243.199999999999</v>
      </c>
      <c r="T27" s="106">
        <v>22</v>
      </c>
      <c r="U27" s="106">
        <v>9398.4</v>
      </c>
      <c r="V27" s="106">
        <v>17</v>
      </c>
      <c r="W27" s="106">
        <v>7262.4</v>
      </c>
      <c r="X27" s="106">
        <v>18</v>
      </c>
      <c r="Y27" s="106">
        <v>7689.5999999999995</v>
      </c>
      <c r="Z27" s="106">
        <v>20</v>
      </c>
      <c r="AA27" s="106">
        <v>8544</v>
      </c>
      <c r="AB27" s="106">
        <v>12</v>
      </c>
      <c r="AC27" s="106">
        <v>5126.3999999999996</v>
      </c>
      <c r="AD27" s="106">
        <v>16</v>
      </c>
      <c r="AE27" s="106">
        <v>6835.2</v>
      </c>
      <c r="AF27" s="106">
        <v>14</v>
      </c>
      <c r="AG27" s="106">
        <v>5980.8</v>
      </c>
      <c r="AH27" s="106">
        <v>13</v>
      </c>
      <c r="AI27" s="106">
        <v>5553.5999999999995</v>
      </c>
      <c r="AJ27" s="106">
        <v>14</v>
      </c>
      <c r="AK27" s="106">
        <v>5980.8</v>
      </c>
      <c r="AL27" s="106">
        <v>14</v>
      </c>
      <c r="AM27" s="106">
        <v>5980.8</v>
      </c>
      <c r="AN27" s="106">
        <v>9</v>
      </c>
      <c r="AO27" s="106">
        <v>3844.7999999999997</v>
      </c>
      <c r="AP27" s="106">
        <v>14</v>
      </c>
      <c r="AQ27" s="106">
        <v>5980.8</v>
      </c>
      <c r="AR27" s="106">
        <v>14</v>
      </c>
      <c r="AS27" s="106">
        <v>5980.8</v>
      </c>
      <c r="AT27" s="106">
        <v>15</v>
      </c>
      <c r="AU27" s="106">
        <v>6408</v>
      </c>
      <c r="AV27" s="106">
        <v>11</v>
      </c>
      <c r="AW27" s="106">
        <v>4699.2</v>
      </c>
      <c r="AX27" s="106">
        <v>15</v>
      </c>
      <c r="AY27" s="106">
        <v>6408</v>
      </c>
      <c r="AZ27" s="106">
        <v>15</v>
      </c>
      <c r="BA27" s="106">
        <v>6408</v>
      </c>
      <c r="BB27" s="106">
        <v>15</v>
      </c>
      <c r="BC27" s="106">
        <v>6408</v>
      </c>
      <c r="BD27" s="106">
        <v>14</v>
      </c>
      <c r="BE27" s="106">
        <v>5980.8</v>
      </c>
      <c r="BF27" s="106">
        <v>7.3711934699611117</v>
      </c>
      <c r="BG27" s="106">
        <v>3148.9738503673866</v>
      </c>
      <c r="BH27" s="106">
        <v>22</v>
      </c>
      <c r="BI27" s="106">
        <v>9398.4</v>
      </c>
      <c r="BJ27" s="106">
        <v>40</v>
      </c>
      <c r="BK27" s="106">
        <v>17088</v>
      </c>
      <c r="BL27" s="106">
        <v>22</v>
      </c>
      <c r="BM27" s="106">
        <v>9398.4</v>
      </c>
      <c r="BN27" s="106">
        <v>22</v>
      </c>
      <c r="BO27" s="106">
        <v>9398.4</v>
      </c>
      <c r="BP27" s="106">
        <v>15</v>
      </c>
      <c r="BQ27" s="106">
        <v>6408</v>
      </c>
      <c r="BR27" s="106">
        <v>23</v>
      </c>
      <c r="BS27" s="106">
        <v>9825.6</v>
      </c>
      <c r="BT27" s="106">
        <v>15</v>
      </c>
      <c r="BU27" s="106">
        <v>6408</v>
      </c>
      <c r="BV27" s="106">
        <v>21</v>
      </c>
      <c r="BW27" s="106">
        <v>8971.1999999999989</v>
      </c>
      <c r="BX27" s="106">
        <v>34</v>
      </c>
      <c r="BY27" s="106">
        <v>14524.8</v>
      </c>
      <c r="BZ27" s="106">
        <v>32</v>
      </c>
      <c r="CA27" s="106">
        <v>13670.4</v>
      </c>
      <c r="CB27" s="106">
        <v>24</v>
      </c>
      <c r="CC27" s="106">
        <v>10252.799999999999</v>
      </c>
      <c r="CD27" s="106">
        <v>36</v>
      </c>
      <c r="CE27" s="106">
        <v>15379.199999999999</v>
      </c>
      <c r="CF27" s="106">
        <v>121</v>
      </c>
      <c r="CG27" s="106">
        <v>51691.199999999997</v>
      </c>
      <c r="CH27" s="106">
        <v>105</v>
      </c>
      <c r="CI27" s="106">
        <v>44856</v>
      </c>
      <c r="CJ27" s="106">
        <v>81</v>
      </c>
      <c r="CK27" s="106">
        <v>34603.199999999997</v>
      </c>
      <c r="CL27" s="106">
        <v>94</v>
      </c>
      <c r="CM27" s="106">
        <v>40156.799999999996</v>
      </c>
      <c r="CN27" s="106">
        <v>41</v>
      </c>
      <c r="CO27" s="106">
        <v>17515.2</v>
      </c>
      <c r="CP27" s="106">
        <v>42</v>
      </c>
      <c r="CQ27" s="106">
        <v>17942.399999999998</v>
      </c>
      <c r="CR27" s="106">
        <v>64</v>
      </c>
      <c r="CS27" s="106">
        <v>27340.799999999999</v>
      </c>
      <c r="CT27" s="106">
        <v>47</v>
      </c>
      <c r="CU27" s="106">
        <v>20078.399999999998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29</v>
      </c>
      <c r="G28" s="106">
        <v>21402</v>
      </c>
      <c r="H28" s="106">
        <v>27</v>
      </c>
      <c r="I28" s="106">
        <v>19926</v>
      </c>
      <c r="J28" s="106">
        <v>18</v>
      </c>
      <c r="K28" s="106">
        <v>13284</v>
      </c>
      <c r="L28" s="106">
        <v>34</v>
      </c>
      <c r="M28" s="106">
        <v>25092</v>
      </c>
      <c r="N28" s="106">
        <v>26</v>
      </c>
      <c r="O28" s="106">
        <v>19188</v>
      </c>
      <c r="P28" s="106">
        <v>23</v>
      </c>
      <c r="Q28" s="106">
        <v>16974</v>
      </c>
      <c r="R28" s="106">
        <v>33</v>
      </c>
      <c r="S28" s="106">
        <v>24354</v>
      </c>
      <c r="T28" s="106">
        <v>20</v>
      </c>
      <c r="U28" s="106">
        <v>14760</v>
      </c>
      <c r="V28" s="106">
        <v>15</v>
      </c>
      <c r="W28" s="106">
        <v>11070</v>
      </c>
      <c r="X28" s="106">
        <v>18</v>
      </c>
      <c r="Y28" s="106">
        <v>13284</v>
      </c>
      <c r="Z28" s="106">
        <v>17</v>
      </c>
      <c r="AA28" s="106">
        <v>12546</v>
      </c>
      <c r="AB28" s="106">
        <v>11</v>
      </c>
      <c r="AC28" s="106">
        <v>8118</v>
      </c>
      <c r="AD28" s="106">
        <v>17</v>
      </c>
      <c r="AE28" s="106">
        <v>12546</v>
      </c>
      <c r="AF28" s="106">
        <v>13</v>
      </c>
      <c r="AG28" s="106">
        <v>9594</v>
      </c>
      <c r="AH28" s="106">
        <v>13</v>
      </c>
      <c r="AI28" s="106">
        <v>9594</v>
      </c>
      <c r="AJ28" s="106">
        <v>12</v>
      </c>
      <c r="AK28" s="106">
        <v>8856</v>
      </c>
      <c r="AL28" s="106">
        <v>13</v>
      </c>
      <c r="AM28" s="106">
        <v>9594</v>
      </c>
      <c r="AN28" s="106">
        <v>9</v>
      </c>
      <c r="AO28" s="106">
        <v>6642</v>
      </c>
      <c r="AP28" s="106">
        <v>14</v>
      </c>
      <c r="AQ28" s="106">
        <v>10332</v>
      </c>
      <c r="AR28" s="106">
        <v>15</v>
      </c>
      <c r="AS28" s="106">
        <v>11070</v>
      </c>
      <c r="AT28" s="106">
        <v>17</v>
      </c>
      <c r="AU28" s="106">
        <v>12546</v>
      </c>
      <c r="AV28" s="106">
        <v>11</v>
      </c>
      <c r="AW28" s="106">
        <v>8118</v>
      </c>
      <c r="AX28" s="106">
        <v>16</v>
      </c>
      <c r="AY28" s="106">
        <v>11808</v>
      </c>
      <c r="AZ28" s="106">
        <v>16</v>
      </c>
      <c r="BA28" s="106">
        <v>11808</v>
      </c>
      <c r="BB28" s="106">
        <v>15</v>
      </c>
      <c r="BC28" s="106">
        <v>11070</v>
      </c>
      <c r="BD28" s="106">
        <v>15</v>
      </c>
      <c r="BE28" s="106">
        <v>11070</v>
      </c>
      <c r="BF28" s="106">
        <v>8.1083128169572234</v>
      </c>
      <c r="BG28" s="106">
        <v>5983.9348589144311</v>
      </c>
      <c r="BH28" s="106">
        <v>26</v>
      </c>
      <c r="BI28" s="106">
        <v>19188</v>
      </c>
      <c r="BJ28" s="106">
        <v>40</v>
      </c>
      <c r="BK28" s="106">
        <v>29520</v>
      </c>
      <c r="BL28" s="106">
        <v>24</v>
      </c>
      <c r="BM28" s="106">
        <v>17712</v>
      </c>
      <c r="BN28" s="106">
        <v>24</v>
      </c>
      <c r="BO28" s="106">
        <v>17712</v>
      </c>
      <c r="BP28" s="106">
        <v>15</v>
      </c>
      <c r="BQ28" s="106">
        <v>11070</v>
      </c>
      <c r="BR28" s="106">
        <v>21</v>
      </c>
      <c r="BS28" s="106">
        <v>15498</v>
      </c>
      <c r="BT28" s="106">
        <v>14</v>
      </c>
      <c r="BU28" s="106">
        <v>10332</v>
      </c>
      <c r="BV28" s="106">
        <v>19</v>
      </c>
      <c r="BW28" s="106">
        <v>14022</v>
      </c>
      <c r="BX28" s="106">
        <v>35</v>
      </c>
      <c r="BY28" s="106">
        <v>25830</v>
      </c>
      <c r="BZ28" s="106">
        <v>35</v>
      </c>
      <c r="CA28" s="106">
        <v>25830</v>
      </c>
      <c r="CB28" s="106">
        <v>22</v>
      </c>
      <c r="CC28" s="106">
        <v>16236</v>
      </c>
      <c r="CD28" s="106">
        <v>36</v>
      </c>
      <c r="CE28" s="106">
        <v>26568</v>
      </c>
      <c r="CF28" s="106">
        <v>112</v>
      </c>
      <c r="CG28" s="106">
        <v>82656</v>
      </c>
      <c r="CH28" s="106">
        <v>109</v>
      </c>
      <c r="CI28" s="106">
        <v>80442</v>
      </c>
      <c r="CJ28" s="106">
        <v>82</v>
      </c>
      <c r="CK28" s="106">
        <v>60516</v>
      </c>
      <c r="CL28" s="106">
        <v>84</v>
      </c>
      <c r="CM28" s="106">
        <v>61992</v>
      </c>
      <c r="CN28" s="106">
        <v>40</v>
      </c>
      <c r="CO28" s="106">
        <v>29520</v>
      </c>
      <c r="CP28" s="106">
        <v>39</v>
      </c>
      <c r="CQ28" s="106">
        <v>28782</v>
      </c>
      <c r="CR28" s="106">
        <v>60</v>
      </c>
      <c r="CS28" s="106">
        <v>44280</v>
      </c>
      <c r="CT28" s="106">
        <v>47</v>
      </c>
      <c r="CU28" s="106">
        <v>34686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31</v>
      </c>
      <c r="G29" s="106">
        <v>10490.4</v>
      </c>
      <c r="H29" s="106">
        <v>28</v>
      </c>
      <c r="I29" s="106">
        <v>9475.1999999999989</v>
      </c>
      <c r="J29" s="106">
        <v>17</v>
      </c>
      <c r="K29" s="106">
        <v>5752.7999999999993</v>
      </c>
      <c r="L29" s="106">
        <v>36</v>
      </c>
      <c r="M29" s="106">
        <v>12182.4</v>
      </c>
      <c r="N29" s="106">
        <v>26</v>
      </c>
      <c r="O29" s="106">
        <v>8798.4</v>
      </c>
      <c r="P29" s="106">
        <v>26</v>
      </c>
      <c r="Q29" s="106">
        <v>8798.4</v>
      </c>
      <c r="R29" s="106">
        <v>35</v>
      </c>
      <c r="S29" s="106">
        <v>11844</v>
      </c>
      <c r="T29" s="106">
        <v>21</v>
      </c>
      <c r="U29" s="106">
        <v>7106.4</v>
      </c>
      <c r="V29" s="106">
        <v>15</v>
      </c>
      <c r="W29" s="106">
        <v>5076</v>
      </c>
      <c r="X29" s="106">
        <v>18</v>
      </c>
      <c r="Y29" s="106">
        <v>6091.2</v>
      </c>
      <c r="Z29" s="106">
        <v>19</v>
      </c>
      <c r="AA29" s="106">
        <v>6429.5999999999995</v>
      </c>
      <c r="AB29" s="106">
        <v>10</v>
      </c>
      <c r="AC29" s="106">
        <v>3384</v>
      </c>
      <c r="AD29" s="106">
        <v>19</v>
      </c>
      <c r="AE29" s="106">
        <v>6429.5999999999995</v>
      </c>
      <c r="AF29" s="106">
        <v>15</v>
      </c>
      <c r="AG29" s="106">
        <v>5076</v>
      </c>
      <c r="AH29" s="106">
        <v>12</v>
      </c>
      <c r="AI29" s="106">
        <v>4060.7999999999997</v>
      </c>
      <c r="AJ29" s="106">
        <v>14</v>
      </c>
      <c r="AK29" s="106">
        <v>4737.5999999999995</v>
      </c>
      <c r="AL29" s="106">
        <v>15</v>
      </c>
      <c r="AM29" s="106">
        <v>5076</v>
      </c>
      <c r="AN29" s="106">
        <v>10</v>
      </c>
      <c r="AO29" s="106">
        <v>3384</v>
      </c>
      <c r="AP29" s="106">
        <v>15</v>
      </c>
      <c r="AQ29" s="106">
        <v>5076</v>
      </c>
      <c r="AR29" s="106">
        <v>14</v>
      </c>
      <c r="AS29" s="106">
        <v>4737.5999999999995</v>
      </c>
      <c r="AT29" s="106">
        <v>15</v>
      </c>
      <c r="AU29" s="106">
        <v>5076</v>
      </c>
      <c r="AV29" s="106">
        <v>11</v>
      </c>
      <c r="AW29" s="106">
        <v>3722.3999999999996</v>
      </c>
      <c r="AX29" s="106">
        <v>16</v>
      </c>
      <c r="AY29" s="106">
        <v>5414.4</v>
      </c>
      <c r="AZ29" s="106">
        <v>17</v>
      </c>
      <c r="BA29" s="106">
        <v>5752.7999999999993</v>
      </c>
      <c r="BB29" s="106">
        <v>17</v>
      </c>
      <c r="BC29" s="106">
        <v>5752.7999999999993</v>
      </c>
      <c r="BD29" s="106">
        <v>16</v>
      </c>
      <c r="BE29" s="106">
        <v>5414.4</v>
      </c>
      <c r="BF29" s="106">
        <v>8.1083128169572234</v>
      </c>
      <c r="BG29" s="106">
        <v>2743.853057258324</v>
      </c>
      <c r="BH29" s="106">
        <v>24</v>
      </c>
      <c r="BI29" s="106">
        <v>8121.5999999999995</v>
      </c>
      <c r="BJ29" s="106">
        <v>41</v>
      </c>
      <c r="BK29" s="106">
        <v>13874.4</v>
      </c>
      <c r="BL29" s="106">
        <v>23</v>
      </c>
      <c r="BM29" s="106">
        <v>7783.2</v>
      </c>
      <c r="BN29" s="106">
        <v>25</v>
      </c>
      <c r="BO29" s="106">
        <v>8460</v>
      </c>
      <c r="BP29" s="106">
        <v>17</v>
      </c>
      <c r="BQ29" s="106">
        <v>5752.7999999999993</v>
      </c>
      <c r="BR29" s="106">
        <v>19</v>
      </c>
      <c r="BS29" s="106">
        <v>6429.5999999999995</v>
      </c>
      <c r="BT29" s="106">
        <v>16</v>
      </c>
      <c r="BU29" s="106">
        <v>5414.4</v>
      </c>
      <c r="BV29" s="106">
        <v>22</v>
      </c>
      <c r="BW29" s="106">
        <v>7444.7999999999993</v>
      </c>
      <c r="BX29" s="106">
        <v>37</v>
      </c>
      <c r="BY29" s="106">
        <v>12520.8</v>
      </c>
      <c r="BZ29" s="106">
        <v>33</v>
      </c>
      <c r="CA29" s="106">
        <v>11167.199999999999</v>
      </c>
      <c r="CB29" s="106">
        <v>23</v>
      </c>
      <c r="CC29" s="106">
        <v>7783.2</v>
      </c>
      <c r="CD29" s="106">
        <v>41</v>
      </c>
      <c r="CE29" s="106">
        <v>13874.4</v>
      </c>
      <c r="CF29" s="106">
        <v>118</v>
      </c>
      <c r="CG29" s="106">
        <v>39931.199999999997</v>
      </c>
      <c r="CH29" s="106">
        <v>117</v>
      </c>
      <c r="CI29" s="106">
        <v>39592.799999999996</v>
      </c>
      <c r="CJ29" s="106">
        <v>82</v>
      </c>
      <c r="CK29" s="106">
        <v>27748.799999999999</v>
      </c>
      <c r="CL29" s="106">
        <v>94</v>
      </c>
      <c r="CM29" s="106">
        <v>31809.599999999999</v>
      </c>
      <c r="CN29" s="106">
        <v>39</v>
      </c>
      <c r="CO29" s="106">
        <v>13197.599999999999</v>
      </c>
      <c r="CP29" s="106">
        <v>40</v>
      </c>
      <c r="CQ29" s="106">
        <v>13536</v>
      </c>
      <c r="CR29" s="106">
        <v>61</v>
      </c>
      <c r="CS29" s="106">
        <v>20642.399999999998</v>
      </c>
      <c r="CT29" s="106">
        <v>47</v>
      </c>
      <c r="CU29" s="106">
        <v>15904.8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29</v>
      </c>
      <c r="G30" s="106">
        <v>4036.7999999999997</v>
      </c>
      <c r="H30" s="106">
        <v>25</v>
      </c>
      <c r="I30" s="106">
        <v>3479.9999999999995</v>
      </c>
      <c r="J30" s="106">
        <v>18</v>
      </c>
      <c r="K30" s="106">
        <v>2505.6</v>
      </c>
      <c r="L30" s="106">
        <v>36</v>
      </c>
      <c r="M30" s="106">
        <v>5011.2</v>
      </c>
      <c r="N30" s="106">
        <v>25</v>
      </c>
      <c r="O30" s="106">
        <v>3479.9999999999995</v>
      </c>
      <c r="P30" s="106">
        <v>26</v>
      </c>
      <c r="Q30" s="106">
        <v>3619.2</v>
      </c>
      <c r="R30" s="106">
        <v>32</v>
      </c>
      <c r="S30" s="106">
        <v>4454.3999999999996</v>
      </c>
      <c r="T30" s="106">
        <v>23</v>
      </c>
      <c r="U30" s="106">
        <v>3201.6</v>
      </c>
      <c r="V30" s="106">
        <v>16</v>
      </c>
      <c r="W30" s="106">
        <v>2227.1999999999998</v>
      </c>
      <c r="X30" s="106">
        <v>16</v>
      </c>
      <c r="Y30" s="106">
        <v>2227.1999999999998</v>
      </c>
      <c r="Z30" s="106">
        <v>19</v>
      </c>
      <c r="AA30" s="106">
        <v>2644.7999999999997</v>
      </c>
      <c r="AB30" s="106">
        <v>11</v>
      </c>
      <c r="AC30" s="106">
        <v>1531.1999999999998</v>
      </c>
      <c r="AD30" s="106">
        <v>17</v>
      </c>
      <c r="AE30" s="106">
        <v>2366.3999999999996</v>
      </c>
      <c r="AF30" s="106">
        <v>14</v>
      </c>
      <c r="AG30" s="106">
        <v>1948.7999999999997</v>
      </c>
      <c r="AH30" s="106">
        <v>12</v>
      </c>
      <c r="AI30" s="106">
        <v>1670.3999999999999</v>
      </c>
      <c r="AJ30" s="106">
        <v>15</v>
      </c>
      <c r="AK30" s="106">
        <v>2088</v>
      </c>
      <c r="AL30" s="106">
        <v>14</v>
      </c>
      <c r="AM30" s="106">
        <v>1948.7999999999997</v>
      </c>
      <c r="AN30" s="106">
        <v>8</v>
      </c>
      <c r="AO30" s="106">
        <v>1113.5999999999999</v>
      </c>
      <c r="AP30" s="106">
        <v>13</v>
      </c>
      <c r="AQ30" s="106">
        <v>1809.6</v>
      </c>
      <c r="AR30" s="106">
        <v>15</v>
      </c>
      <c r="AS30" s="106">
        <v>2088</v>
      </c>
      <c r="AT30" s="106">
        <v>16</v>
      </c>
      <c r="AU30" s="106">
        <v>2227.1999999999998</v>
      </c>
      <c r="AV30" s="106">
        <v>12</v>
      </c>
      <c r="AW30" s="106">
        <v>1670.3999999999999</v>
      </c>
      <c r="AX30" s="106">
        <v>16</v>
      </c>
      <c r="AY30" s="106">
        <v>2227.1999999999998</v>
      </c>
      <c r="AZ30" s="106">
        <v>17</v>
      </c>
      <c r="BA30" s="106">
        <v>2366.3999999999996</v>
      </c>
      <c r="BB30" s="106">
        <v>15</v>
      </c>
      <c r="BC30" s="106">
        <v>2088</v>
      </c>
      <c r="BD30" s="106">
        <v>17</v>
      </c>
      <c r="BE30" s="106">
        <v>2366.3999999999996</v>
      </c>
      <c r="BF30" s="106">
        <v>8.8454321639533333</v>
      </c>
      <c r="BG30" s="106">
        <v>1231.284157222304</v>
      </c>
      <c r="BH30" s="106">
        <v>24</v>
      </c>
      <c r="BI30" s="106">
        <v>3340.7999999999997</v>
      </c>
      <c r="BJ30" s="106">
        <v>37</v>
      </c>
      <c r="BK30" s="106">
        <v>5150.3999999999996</v>
      </c>
      <c r="BL30" s="106">
        <v>21</v>
      </c>
      <c r="BM30" s="106">
        <v>2923.2</v>
      </c>
      <c r="BN30" s="106">
        <v>22</v>
      </c>
      <c r="BO30" s="106">
        <v>3062.3999999999996</v>
      </c>
      <c r="BP30" s="106">
        <v>17</v>
      </c>
      <c r="BQ30" s="106">
        <v>2366.3999999999996</v>
      </c>
      <c r="BR30" s="106">
        <v>22</v>
      </c>
      <c r="BS30" s="106">
        <v>3062.3999999999996</v>
      </c>
      <c r="BT30" s="106">
        <v>15</v>
      </c>
      <c r="BU30" s="106">
        <v>2088</v>
      </c>
      <c r="BV30" s="106">
        <v>21</v>
      </c>
      <c r="BW30" s="106">
        <v>2923.2</v>
      </c>
      <c r="BX30" s="106">
        <v>37</v>
      </c>
      <c r="BY30" s="106">
        <v>5150.3999999999996</v>
      </c>
      <c r="BZ30" s="106">
        <v>32</v>
      </c>
      <c r="CA30" s="106">
        <v>4454.3999999999996</v>
      </c>
      <c r="CB30" s="106">
        <v>25</v>
      </c>
      <c r="CC30" s="106">
        <v>3479.9999999999995</v>
      </c>
      <c r="CD30" s="106">
        <v>43</v>
      </c>
      <c r="CE30" s="106">
        <v>5985.5999999999995</v>
      </c>
      <c r="CF30" s="106">
        <v>142</v>
      </c>
      <c r="CG30" s="106">
        <v>19766.399999999998</v>
      </c>
      <c r="CH30" s="106">
        <v>115</v>
      </c>
      <c r="CI30" s="106">
        <v>16007.999999999998</v>
      </c>
      <c r="CJ30" s="106">
        <v>85</v>
      </c>
      <c r="CK30" s="106">
        <v>11831.999999999998</v>
      </c>
      <c r="CL30" s="106">
        <v>108</v>
      </c>
      <c r="CM30" s="106">
        <v>15033.599999999999</v>
      </c>
      <c r="CN30" s="106">
        <v>43</v>
      </c>
      <c r="CO30" s="106">
        <v>5985.5999999999995</v>
      </c>
      <c r="CP30" s="106">
        <v>43</v>
      </c>
      <c r="CQ30" s="106">
        <v>5985.5999999999995</v>
      </c>
      <c r="CR30" s="106">
        <v>68</v>
      </c>
      <c r="CS30" s="106">
        <v>9465.5999999999985</v>
      </c>
      <c r="CT30" s="106">
        <v>48</v>
      </c>
      <c r="CU30" s="106">
        <v>6681.5999999999995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27</v>
      </c>
      <c r="G31" s="106">
        <v>9201.6</v>
      </c>
      <c r="H31" s="106">
        <v>29</v>
      </c>
      <c r="I31" s="106">
        <v>9883.2000000000007</v>
      </c>
      <c r="J31" s="106">
        <v>20</v>
      </c>
      <c r="K31" s="106">
        <v>6816</v>
      </c>
      <c r="L31" s="106">
        <v>31</v>
      </c>
      <c r="M31" s="106">
        <v>10564.800000000001</v>
      </c>
      <c r="N31" s="106">
        <v>25</v>
      </c>
      <c r="O31" s="106">
        <v>8520</v>
      </c>
      <c r="P31" s="106">
        <v>25</v>
      </c>
      <c r="Q31" s="106">
        <v>8520</v>
      </c>
      <c r="R31" s="106">
        <v>31</v>
      </c>
      <c r="S31" s="106">
        <v>10564.800000000001</v>
      </c>
      <c r="T31" s="106">
        <v>20</v>
      </c>
      <c r="U31" s="106">
        <v>6816</v>
      </c>
      <c r="V31" s="106">
        <v>17</v>
      </c>
      <c r="W31" s="106">
        <v>5793.6</v>
      </c>
      <c r="X31" s="106">
        <v>17</v>
      </c>
      <c r="Y31" s="106">
        <v>5793.6</v>
      </c>
      <c r="Z31" s="106">
        <v>19</v>
      </c>
      <c r="AA31" s="106">
        <v>6475.2</v>
      </c>
      <c r="AB31" s="106">
        <v>11</v>
      </c>
      <c r="AC31" s="106">
        <v>3748.8</v>
      </c>
      <c r="AD31" s="106">
        <v>19</v>
      </c>
      <c r="AE31" s="106">
        <v>6475.2</v>
      </c>
      <c r="AF31" s="106">
        <v>14</v>
      </c>
      <c r="AG31" s="106">
        <v>4771.2</v>
      </c>
      <c r="AH31" s="106">
        <v>12</v>
      </c>
      <c r="AI31" s="106">
        <v>4089.6000000000004</v>
      </c>
      <c r="AJ31" s="106">
        <v>15</v>
      </c>
      <c r="AK31" s="106">
        <v>5112</v>
      </c>
      <c r="AL31" s="106">
        <v>14</v>
      </c>
      <c r="AM31" s="106">
        <v>4771.2</v>
      </c>
      <c r="AN31" s="106">
        <v>9</v>
      </c>
      <c r="AO31" s="106">
        <v>3067.2000000000003</v>
      </c>
      <c r="AP31" s="106">
        <v>14</v>
      </c>
      <c r="AQ31" s="106">
        <v>4771.2</v>
      </c>
      <c r="AR31" s="106">
        <v>14</v>
      </c>
      <c r="AS31" s="106">
        <v>4771.2</v>
      </c>
      <c r="AT31" s="106">
        <v>15</v>
      </c>
      <c r="AU31" s="106">
        <v>5112</v>
      </c>
      <c r="AV31" s="106">
        <v>11</v>
      </c>
      <c r="AW31" s="106">
        <v>3748.8</v>
      </c>
      <c r="AX31" s="106">
        <v>15</v>
      </c>
      <c r="AY31" s="106">
        <v>5112</v>
      </c>
      <c r="AZ31" s="106">
        <v>16</v>
      </c>
      <c r="BA31" s="106">
        <v>5452.8</v>
      </c>
      <c r="BB31" s="106">
        <v>14</v>
      </c>
      <c r="BC31" s="106">
        <v>4771.2</v>
      </c>
      <c r="BD31" s="106">
        <v>17</v>
      </c>
      <c r="BE31" s="106">
        <v>5793.6</v>
      </c>
      <c r="BF31" s="106">
        <v>8.1083128169572234</v>
      </c>
      <c r="BG31" s="106">
        <v>2763.3130080190217</v>
      </c>
      <c r="BH31" s="106">
        <v>27</v>
      </c>
      <c r="BI31" s="106">
        <v>9201.6</v>
      </c>
      <c r="BJ31" s="106">
        <v>37</v>
      </c>
      <c r="BK31" s="106">
        <v>12609.6</v>
      </c>
      <c r="BL31" s="106">
        <v>24</v>
      </c>
      <c r="BM31" s="106">
        <v>8179.2000000000007</v>
      </c>
      <c r="BN31" s="106">
        <v>24</v>
      </c>
      <c r="BO31" s="106">
        <v>8179.2000000000007</v>
      </c>
      <c r="BP31" s="106">
        <v>15</v>
      </c>
      <c r="BQ31" s="106">
        <v>5112</v>
      </c>
      <c r="BR31" s="106">
        <v>21</v>
      </c>
      <c r="BS31" s="106">
        <v>7156.8</v>
      </c>
      <c r="BT31" s="106">
        <v>15</v>
      </c>
      <c r="BU31" s="106">
        <v>5112</v>
      </c>
      <c r="BV31" s="106">
        <v>21</v>
      </c>
      <c r="BW31" s="106">
        <v>7156.8</v>
      </c>
      <c r="BX31" s="106">
        <v>33</v>
      </c>
      <c r="BY31" s="106">
        <v>11246.4</v>
      </c>
      <c r="BZ31" s="106">
        <v>35</v>
      </c>
      <c r="CA31" s="106">
        <v>11928</v>
      </c>
      <c r="CB31" s="106">
        <v>22</v>
      </c>
      <c r="CC31" s="106">
        <v>7497.6</v>
      </c>
      <c r="CD31" s="106">
        <v>42</v>
      </c>
      <c r="CE31" s="106">
        <v>14313.6</v>
      </c>
      <c r="CF31" s="106">
        <v>125</v>
      </c>
      <c r="CG31" s="106">
        <v>42600</v>
      </c>
      <c r="CH31" s="106">
        <v>111</v>
      </c>
      <c r="CI31" s="106">
        <v>37828.800000000003</v>
      </c>
      <c r="CJ31" s="106">
        <v>85</v>
      </c>
      <c r="CK31" s="106">
        <v>28968</v>
      </c>
      <c r="CL31" s="106">
        <v>95</v>
      </c>
      <c r="CM31" s="106">
        <v>32376</v>
      </c>
      <c r="CN31" s="106">
        <v>46</v>
      </c>
      <c r="CO31" s="106">
        <v>15676.800000000001</v>
      </c>
      <c r="CP31" s="106">
        <v>42</v>
      </c>
      <c r="CQ31" s="106">
        <v>14313.6</v>
      </c>
      <c r="CR31" s="106">
        <v>57</v>
      </c>
      <c r="CS31" s="106">
        <v>19425.600000000002</v>
      </c>
      <c r="CT31" s="106">
        <v>50</v>
      </c>
      <c r="CU31" s="106">
        <v>17040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30</v>
      </c>
      <c r="G32" s="106">
        <v>25200</v>
      </c>
      <c r="H32" s="106">
        <v>25</v>
      </c>
      <c r="I32" s="106">
        <v>21000</v>
      </c>
      <c r="J32" s="106">
        <v>18</v>
      </c>
      <c r="K32" s="106">
        <v>15120</v>
      </c>
      <c r="L32" s="106">
        <v>28</v>
      </c>
      <c r="M32" s="106">
        <v>23520</v>
      </c>
      <c r="N32" s="106">
        <v>27</v>
      </c>
      <c r="O32" s="106">
        <v>22680</v>
      </c>
      <c r="P32" s="106">
        <v>25</v>
      </c>
      <c r="Q32" s="106">
        <v>21000</v>
      </c>
      <c r="R32" s="106">
        <v>32</v>
      </c>
      <c r="S32" s="106">
        <v>26880</v>
      </c>
      <c r="T32" s="106">
        <v>20</v>
      </c>
      <c r="U32" s="106">
        <v>16800</v>
      </c>
      <c r="V32" s="106">
        <v>15</v>
      </c>
      <c r="W32" s="106">
        <v>12600</v>
      </c>
      <c r="X32" s="106">
        <v>18</v>
      </c>
      <c r="Y32" s="106">
        <v>15120</v>
      </c>
      <c r="Z32" s="106">
        <v>18</v>
      </c>
      <c r="AA32" s="106">
        <v>15120</v>
      </c>
      <c r="AB32" s="106">
        <v>10</v>
      </c>
      <c r="AC32" s="106">
        <v>8400</v>
      </c>
      <c r="AD32" s="106">
        <v>16</v>
      </c>
      <c r="AE32" s="106">
        <v>13440</v>
      </c>
      <c r="AF32" s="106">
        <v>14</v>
      </c>
      <c r="AG32" s="106">
        <v>11760</v>
      </c>
      <c r="AH32" s="106">
        <v>12</v>
      </c>
      <c r="AI32" s="106">
        <v>10080</v>
      </c>
      <c r="AJ32" s="106">
        <v>12</v>
      </c>
      <c r="AK32" s="106">
        <v>10080</v>
      </c>
      <c r="AL32" s="106">
        <v>13</v>
      </c>
      <c r="AM32" s="106">
        <v>10920</v>
      </c>
      <c r="AN32" s="106">
        <v>9</v>
      </c>
      <c r="AO32" s="106">
        <v>7560</v>
      </c>
      <c r="AP32" s="106">
        <v>15</v>
      </c>
      <c r="AQ32" s="106">
        <v>12600</v>
      </c>
      <c r="AR32" s="106">
        <v>15</v>
      </c>
      <c r="AS32" s="106">
        <v>12600</v>
      </c>
      <c r="AT32" s="106">
        <v>15</v>
      </c>
      <c r="AU32" s="106">
        <v>12600</v>
      </c>
      <c r="AV32" s="106">
        <v>12</v>
      </c>
      <c r="AW32" s="106">
        <v>10080</v>
      </c>
      <c r="AX32" s="106">
        <v>16</v>
      </c>
      <c r="AY32" s="106">
        <v>13440</v>
      </c>
      <c r="AZ32" s="106">
        <v>16</v>
      </c>
      <c r="BA32" s="106">
        <v>13440</v>
      </c>
      <c r="BB32" s="106">
        <v>15</v>
      </c>
      <c r="BC32" s="106">
        <v>12600</v>
      </c>
      <c r="BD32" s="106">
        <v>16</v>
      </c>
      <c r="BE32" s="106">
        <v>13440</v>
      </c>
      <c r="BF32" s="106">
        <v>8.1083128169572234</v>
      </c>
      <c r="BG32" s="106">
        <v>6810.9827662440675</v>
      </c>
      <c r="BH32" s="106">
        <v>24</v>
      </c>
      <c r="BI32" s="106">
        <v>20160</v>
      </c>
      <c r="BJ32" s="106">
        <v>39</v>
      </c>
      <c r="BK32" s="106">
        <v>32760</v>
      </c>
      <c r="BL32" s="106">
        <v>24</v>
      </c>
      <c r="BM32" s="106">
        <v>20160</v>
      </c>
      <c r="BN32" s="106">
        <v>23</v>
      </c>
      <c r="BO32" s="106">
        <v>19320</v>
      </c>
      <c r="BP32" s="106">
        <v>15</v>
      </c>
      <c r="BQ32" s="106">
        <v>12600</v>
      </c>
      <c r="BR32" s="106">
        <v>18</v>
      </c>
      <c r="BS32" s="106">
        <v>15120</v>
      </c>
      <c r="BT32" s="106">
        <v>16</v>
      </c>
      <c r="BU32" s="106">
        <v>13440</v>
      </c>
      <c r="BV32" s="106">
        <v>19</v>
      </c>
      <c r="BW32" s="106">
        <v>15960</v>
      </c>
      <c r="BX32" s="106">
        <v>35</v>
      </c>
      <c r="BY32" s="106">
        <v>29400</v>
      </c>
      <c r="BZ32" s="106">
        <v>32</v>
      </c>
      <c r="CA32" s="106">
        <v>26880</v>
      </c>
      <c r="CB32" s="106">
        <v>24</v>
      </c>
      <c r="CC32" s="106">
        <v>20160</v>
      </c>
      <c r="CD32" s="106">
        <v>39</v>
      </c>
      <c r="CE32" s="106">
        <v>32760</v>
      </c>
      <c r="CF32" s="106">
        <v>109</v>
      </c>
      <c r="CG32" s="106">
        <v>91560</v>
      </c>
      <c r="CH32" s="106">
        <v>99</v>
      </c>
      <c r="CI32" s="106">
        <v>83160</v>
      </c>
      <c r="CJ32" s="106">
        <v>73</v>
      </c>
      <c r="CK32" s="106">
        <v>61320</v>
      </c>
      <c r="CL32" s="106">
        <v>90</v>
      </c>
      <c r="CM32" s="106">
        <v>75600</v>
      </c>
      <c r="CN32" s="106">
        <v>42</v>
      </c>
      <c r="CO32" s="106">
        <v>35280</v>
      </c>
      <c r="CP32" s="106">
        <v>45</v>
      </c>
      <c r="CQ32" s="106">
        <v>37800</v>
      </c>
      <c r="CR32" s="106">
        <v>62</v>
      </c>
      <c r="CS32" s="106">
        <v>52080</v>
      </c>
      <c r="CT32" s="106">
        <v>48</v>
      </c>
      <c r="CU32" s="106">
        <v>40320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29</v>
      </c>
      <c r="G33" s="106">
        <v>13746</v>
      </c>
      <c r="H33" s="106">
        <v>25</v>
      </c>
      <c r="I33" s="106">
        <v>11850</v>
      </c>
      <c r="J33" s="106">
        <v>18</v>
      </c>
      <c r="K33" s="106">
        <v>8532</v>
      </c>
      <c r="L33" s="106">
        <v>34</v>
      </c>
      <c r="M33" s="106">
        <v>16116</v>
      </c>
      <c r="N33" s="106">
        <v>27</v>
      </c>
      <c r="O33" s="106">
        <v>12798</v>
      </c>
      <c r="P33" s="106">
        <v>23</v>
      </c>
      <c r="Q33" s="106">
        <v>10902</v>
      </c>
      <c r="R33" s="106">
        <v>32</v>
      </c>
      <c r="S33" s="106">
        <v>15168</v>
      </c>
      <c r="T33" s="106">
        <v>20</v>
      </c>
      <c r="U33" s="106">
        <v>9480</v>
      </c>
      <c r="V33" s="106">
        <v>16</v>
      </c>
      <c r="W33" s="106">
        <v>7584</v>
      </c>
      <c r="X33" s="106">
        <v>18</v>
      </c>
      <c r="Y33" s="106">
        <v>8532</v>
      </c>
      <c r="Z33" s="106">
        <v>19</v>
      </c>
      <c r="AA33" s="106">
        <v>9006</v>
      </c>
      <c r="AB33" s="106">
        <v>11</v>
      </c>
      <c r="AC33" s="106">
        <v>5214</v>
      </c>
      <c r="AD33" s="106">
        <v>16</v>
      </c>
      <c r="AE33" s="106">
        <v>7584</v>
      </c>
      <c r="AF33" s="106">
        <v>16</v>
      </c>
      <c r="AG33" s="106">
        <v>7584</v>
      </c>
      <c r="AH33" s="106">
        <v>12</v>
      </c>
      <c r="AI33" s="106">
        <v>5688</v>
      </c>
      <c r="AJ33" s="106">
        <v>15</v>
      </c>
      <c r="AK33" s="106">
        <v>7110</v>
      </c>
      <c r="AL33" s="106">
        <v>13</v>
      </c>
      <c r="AM33" s="106">
        <v>6162</v>
      </c>
      <c r="AN33" s="106">
        <v>8</v>
      </c>
      <c r="AO33" s="106">
        <v>3792</v>
      </c>
      <c r="AP33" s="106">
        <v>15</v>
      </c>
      <c r="AQ33" s="106">
        <v>7110</v>
      </c>
      <c r="AR33" s="106">
        <v>14</v>
      </c>
      <c r="AS33" s="106">
        <v>6636</v>
      </c>
      <c r="AT33" s="106">
        <v>15</v>
      </c>
      <c r="AU33" s="106">
        <v>7110</v>
      </c>
      <c r="AV33" s="106">
        <v>10</v>
      </c>
      <c r="AW33" s="106">
        <v>4740</v>
      </c>
      <c r="AX33" s="106">
        <v>16</v>
      </c>
      <c r="AY33" s="106">
        <v>7584</v>
      </c>
      <c r="AZ33" s="106">
        <v>14</v>
      </c>
      <c r="BA33" s="106">
        <v>6636</v>
      </c>
      <c r="BB33" s="106">
        <v>15</v>
      </c>
      <c r="BC33" s="106">
        <v>7110</v>
      </c>
      <c r="BD33" s="106">
        <v>15</v>
      </c>
      <c r="BE33" s="106">
        <v>7110</v>
      </c>
      <c r="BF33" s="106">
        <v>8.1083128169572234</v>
      </c>
      <c r="BG33" s="106">
        <v>3843.3402752377237</v>
      </c>
      <c r="BH33" s="106">
        <v>23</v>
      </c>
      <c r="BI33" s="106">
        <v>10902</v>
      </c>
      <c r="BJ33" s="106">
        <v>40</v>
      </c>
      <c r="BK33" s="106">
        <v>18960</v>
      </c>
      <c r="BL33" s="106">
        <v>21</v>
      </c>
      <c r="BM33" s="106">
        <v>9954</v>
      </c>
      <c r="BN33" s="106">
        <v>23</v>
      </c>
      <c r="BO33" s="106">
        <v>10902</v>
      </c>
      <c r="BP33" s="106">
        <v>15</v>
      </c>
      <c r="BQ33" s="106">
        <v>7110</v>
      </c>
      <c r="BR33" s="106">
        <v>19</v>
      </c>
      <c r="BS33" s="106">
        <v>9006</v>
      </c>
      <c r="BT33" s="106">
        <v>15</v>
      </c>
      <c r="BU33" s="106">
        <v>7110</v>
      </c>
      <c r="BV33" s="106">
        <v>21</v>
      </c>
      <c r="BW33" s="106">
        <v>9954</v>
      </c>
      <c r="BX33" s="106">
        <v>32</v>
      </c>
      <c r="BY33" s="106">
        <v>15168</v>
      </c>
      <c r="BZ33" s="106">
        <v>34</v>
      </c>
      <c r="CA33" s="106">
        <v>16116</v>
      </c>
      <c r="CB33" s="106">
        <v>21</v>
      </c>
      <c r="CC33" s="106">
        <v>9954</v>
      </c>
      <c r="CD33" s="106">
        <v>34</v>
      </c>
      <c r="CE33" s="106">
        <v>16116</v>
      </c>
      <c r="CF33" s="106">
        <v>135</v>
      </c>
      <c r="CG33" s="106">
        <v>63990</v>
      </c>
      <c r="CH33" s="106">
        <v>98</v>
      </c>
      <c r="CI33" s="106">
        <v>46452</v>
      </c>
      <c r="CJ33" s="106">
        <v>75</v>
      </c>
      <c r="CK33" s="106">
        <v>35550</v>
      </c>
      <c r="CL33" s="106">
        <v>104</v>
      </c>
      <c r="CM33" s="106">
        <v>49296</v>
      </c>
      <c r="CN33" s="106">
        <v>42</v>
      </c>
      <c r="CO33" s="106">
        <v>19908</v>
      </c>
      <c r="CP33" s="106">
        <v>43</v>
      </c>
      <c r="CQ33" s="106">
        <v>20382</v>
      </c>
      <c r="CR33" s="106">
        <v>65</v>
      </c>
      <c r="CS33" s="106">
        <v>30810</v>
      </c>
      <c r="CT33" s="106">
        <v>50</v>
      </c>
      <c r="CU33" s="106">
        <v>23700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30</v>
      </c>
      <c r="G34" s="106">
        <v>16452</v>
      </c>
      <c r="H34" s="106">
        <v>24</v>
      </c>
      <c r="I34" s="106">
        <v>13161.599999999999</v>
      </c>
      <c r="J34" s="106">
        <v>20</v>
      </c>
      <c r="K34" s="106">
        <v>10968</v>
      </c>
      <c r="L34" s="106">
        <v>30</v>
      </c>
      <c r="M34" s="106">
        <v>16452</v>
      </c>
      <c r="N34" s="106">
        <v>28</v>
      </c>
      <c r="O34" s="106">
        <v>15355.199999999999</v>
      </c>
      <c r="P34" s="106">
        <v>26</v>
      </c>
      <c r="Q34" s="106">
        <v>14258.4</v>
      </c>
      <c r="R34" s="106">
        <v>33</v>
      </c>
      <c r="S34" s="106">
        <v>18097.2</v>
      </c>
      <c r="T34" s="106">
        <v>22</v>
      </c>
      <c r="U34" s="106">
        <v>12064.8</v>
      </c>
      <c r="V34" s="106">
        <v>15</v>
      </c>
      <c r="W34" s="106">
        <v>8226</v>
      </c>
      <c r="X34" s="106">
        <v>16</v>
      </c>
      <c r="Y34" s="106">
        <v>8774.4</v>
      </c>
      <c r="Z34" s="106">
        <v>19</v>
      </c>
      <c r="AA34" s="106">
        <v>10419.6</v>
      </c>
      <c r="AB34" s="106">
        <v>11</v>
      </c>
      <c r="AC34" s="106">
        <v>6032.4</v>
      </c>
      <c r="AD34" s="106">
        <v>17</v>
      </c>
      <c r="AE34" s="106">
        <v>9322.7999999999993</v>
      </c>
      <c r="AF34" s="106">
        <v>14</v>
      </c>
      <c r="AG34" s="106">
        <v>7677.5999999999995</v>
      </c>
      <c r="AH34" s="106">
        <v>12</v>
      </c>
      <c r="AI34" s="106">
        <v>6580.7999999999993</v>
      </c>
      <c r="AJ34" s="106">
        <v>15</v>
      </c>
      <c r="AK34" s="106">
        <v>8226</v>
      </c>
      <c r="AL34" s="106">
        <v>13</v>
      </c>
      <c r="AM34" s="106">
        <v>7129.2</v>
      </c>
      <c r="AN34" s="106">
        <v>8</v>
      </c>
      <c r="AO34" s="106">
        <v>4387.2</v>
      </c>
      <c r="AP34" s="106">
        <v>15</v>
      </c>
      <c r="AQ34" s="106">
        <v>8226</v>
      </c>
      <c r="AR34" s="106">
        <v>14</v>
      </c>
      <c r="AS34" s="106">
        <v>7677.5999999999995</v>
      </c>
      <c r="AT34" s="106">
        <v>14</v>
      </c>
      <c r="AU34" s="106">
        <v>7677.5999999999995</v>
      </c>
      <c r="AV34" s="106">
        <v>11</v>
      </c>
      <c r="AW34" s="106">
        <v>6032.4</v>
      </c>
      <c r="AX34" s="106">
        <v>16</v>
      </c>
      <c r="AY34" s="106">
        <v>8774.4</v>
      </c>
      <c r="AZ34" s="106">
        <v>15</v>
      </c>
      <c r="BA34" s="106">
        <v>8226</v>
      </c>
      <c r="BB34" s="106">
        <v>15</v>
      </c>
      <c r="BC34" s="106">
        <v>8226</v>
      </c>
      <c r="BD34" s="106">
        <v>16</v>
      </c>
      <c r="BE34" s="106">
        <v>8774.4</v>
      </c>
      <c r="BF34" s="106">
        <v>8.1083128169572234</v>
      </c>
      <c r="BG34" s="106">
        <v>4446.5987488193414</v>
      </c>
      <c r="BH34" s="106">
        <v>23</v>
      </c>
      <c r="BI34" s="106">
        <v>12613.199999999999</v>
      </c>
      <c r="BJ34" s="106">
        <v>37</v>
      </c>
      <c r="BK34" s="106">
        <v>20290.8</v>
      </c>
      <c r="BL34" s="106">
        <v>22</v>
      </c>
      <c r="BM34" s="106">
        <v>12064.8</v>
      </c>
      <c r="BN34" s="106">
        <v>25</v>
      </c>
      <c r="BO34" s="106">
        <v>13710</v>
      </c>
      <c r="BP34" s="106">
        <v>16</v>
      </c>
      <c r="BQ34" s="106">
        <v>8774.4</v>
      </c>
      <c r="BR34" s="106">
        <v>21</v>
      </c>
      <c r="BS34" s="106">
        <v>11516.4</v>
      </c>
      <c r="BT34" s="106">
        <v>16</v>
      </c>
      <c r="BU34" s="106">
        <v>8774.4</v>
      </c>
      <c r="BV34" s="106">
        <v>18</v>
      </c>
      <c r="BW34" s="106">
        <v>9871.1999999999989</v>
      </c>
      <c r="BX34" s="106">
        <v>35</v>
      </c>
      <c r="BY34" s="106">
        <v>19194</v>
      </c>
      <c r="BZ34" s="106">
        <v>35</v>
      </c>
      <c r="CA34" s="106">
        <v>19194</v>
      </c>
      <c r="CB34" s="106">
        <v>25</v>
      </c>
      <c r="CC34" s="106">
        <v>13710</v>
      </c>
      <c r="CD34" s="106">
        <v>36</v>
      </c>
      <c r="CE34" s="106">
        <v>19742.399999999998</v>
      </c>
      <c r="CF34" s="106">
        <v>131</v>
      </c>
      <c r="CG34" s="106">
        <v>71840.399999999994</v>
      </c>
      <c r="CH34" s="106">
        <v>102</v>
      </c>
      <c r="CI34" s="106">
        <v>55936.799999999996</v>
      </c>
      <c r="CJ34" s="106">
        <v>73</v>
      </c>
      <c r="CK34" s="106">
        <v>40033.199999999997</v>
      </c>
      <c r="CL34" s="106">
        <v>94</v>
      </c>
      <c r="CM34" s="106">
        <v>51549.599999999999</v>
      </c>
      <c r="CN34" s="106">
        <v>42</v>
      </c>
      <c r="CO34" s="106">
        <v>23032.799999999999</v>
      </c>
      <c r="CP34" s="106">
        <v>40</v>
      </c>
      <c r="CQ34" s="106">
        <v>21936</v>
      </c>
      <c r="CR34" s="106">
        <v>58</v>
      </c>
      <c r="CS34" s="106">
        <v>31807.199999999997</v>
      </c>
      <c r="CT34" s="106">
        <v>50</v>
      </c>
      <c r="CU34" s="106">
        <v>27420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33</v>
      </c>
      <c r="G35" s="106">
        <v>16592.399999999998</v>
      </c>
      <c r="H35" s="106">
        <v>24</v>
      </c>
      <c r="I35" s="106">
        <v>12067.199999999997</v>
      </c>
      <c r="J35" s="106">
        <v>20</v>
      </c>
      <c r="K35" s="106">
        <v>10055.999999999998</v>
      </c>
      <c r="L35" s="106">
        <v>33</v>
      </c>
      <c r="M35" s="106">
        <v>16592.399999999998</v>
      </c>
      <c r="N35" s="106">
        <v>27</v>
      </c>
      <c r="O35" s="106">
        <v>13575.599999999997</v>
      </c>
      <c r="P35" s="106">
        <v>27</v>
      </c>
      <c r="Q35" s="106">
        <v>13575.599999999997</v>
      </c>
      <c r="R35" s="106">
        <v>34</v>
      </c>
      <c r="S35" s="106">
        <v>17095.199999999997</v>
      </c>
      <c r="T35" s="106">
        <v>22</v>
      </c>
      <c r="U35" s="106">
        <v>11061.599999999999</v>
      </c>
      <c r="V35" s="106">
        <v>15</v>
      </c>
      <c r="W35" s="106">
        <v>7541.9999999999982</v>
      </c>
      <c r="X35" s="106">
        <v>17</v>
      </c>
      <c r="Y35" s="106">
        <v>8547.5999999999985</v>
      </c>
      <c r="Z35" s="106">
        <v>20</v>
      </c>
      <c r="AA35" s="106">
        <v>10055.999999999998</v>
      </c>
      <c r="AB35" s="106">
        <v>11</v>
      </c>
      <c r="AC35" s="106">
        <v>5530.7999999999993</v>
      </c>
      <c r="AD35" s="106">
        <v>17</v>
      </c>
      <c r="AE35" s="106">
        <v>8547.5999999999985</v>
      </c>
      <c r="AF35" s="106">
        <v>15</v>
      </c>
      <c r="AG35" s="106">
        <v>7541.9999999999982</v>
      </c>
      <c r="AH35" s="106">
        <v>13</v>
      </c>
      <c r="AI35" s="106">
        <v>6536.3999999999987</v>
      </c>
      <c r="AJ35" s="106">
        <v>15</v>
      </c>
      <c r="AK35" s="106">
        <v>7541.9999999999982</v>
      </c>
      <c r="AL35" s="106">
        <v>13</v>
      </c>
      <c r="AM35" s="106">
        <v>6536.3999999999987</v>
      </c>
      <c r="AN35" s="106">
        <v>8</v>
      </c>
      <c r="AO35" s="106">
        <v>4022.3999999999992</v>
      </c>
      <c r="AP35" s="106">
        <v>15</v>
      </c>
      <c r="AQ35" s="106">
        <v>7541.9999999999982</v>
      </c>
      <c r="AR35" s="106">
        <v>13</v>
      </c>
      <c r="AS35" s="106">
        <v>6536.3999999999987</v>
      </c>
      <c r="AT35" s="106">
        <v>17</v>
      </c>
      <c r="AU35" s="106">
        <v>8547.5999999999985</v>
      </c>
      <c r="AV35" s="106">
        <v>12</v>
      </c>
      <c r="AW35" s="106">
        <v>6033.5999999999985</v>
      </c>
      <c r="AX35" s="106">
        <v>15</v>
      </c>
      <c r="AY35" s="106">
        <v>7541.9999999999982</v>
      </c>
      <c r="AZ35" s="106">
        <v>15</v>
      </c>
      <c r="BA35" s="106">
        <v>7541.9999999999982</v>
      </c>
      <c r="BB35" s="106">
        <v>14</v>
      </c>
      <c r="BC35" s="106">
        <v>7039.1999999999989</v>
      </c>
      <c r="BD35" s="106">
        <v>15</v>
      </c>
      <c r="BE35" s="106">
        <v>7541.9999999999982</v>
      </c>
      <c r="BF35" s="106">
        <v>8.1083128169572234</v>
      </c>
      <c r="BG35" s="106">
        <v>4076.8596843660912</v>
      </c>
      <c r="BH35" s="106">
        <v>22</v>
      </c>
      <c r="BI35" s="106">
        <v>11061.599999999999</v>
      </c>
      <c r="BJ35" s="106">
        <v>37</v>
      </c>
      <c r="BK35" s="106">
        <v>18603.599999999995</v>
      </c>
      <c r="BL35" s="106">
        <v>24</v>
      </c>
      <c r="BM35" s="106">
        <v>12067.199999999997</v>
      </c>
      <c r="BN35" s="106">
        <v>23</v>
      </c>
      <c r="BO35" s="106">
        <v>11564.399999999998</v>
      </c>
      <c r="BP35" s="106">
        <v>17</v>
      </c>
      <c r="BQ35" s="106">
        <v>8547.5999999999985</v>
      </c>
      <c r="BR35" s="106">
        <v>20</v>
      </c>
      <c r="BS35" s="106">
        <v>10055.999999999998</v>
      </c>
      <c r="BT35" s="106">
        <v>14</v>
      </c>
      <c r="BU35" s="106">
        <v>7039.1999999999989</v>
      </c>
      <c r="BV35" s="106">
        <v>20</v>
      </c>
      <c r="BW35" s="106">
        <v>10055.999999999998</v>
      </c>
      <c r="BX35" s="106">
        <v>31</v>
      </c>
      <c r="BY35" s="106">
        <v>15586.799999999997</v>
      </c>
      <c r="BZ35" s="106">
        <v>35</v>
      </c>
      <c r="CA35" s="106">
        <v>17597.999999999996</v>
      </c>
      <c r="CB35" s="106">
        <v>23</v>
      </c>
      <c r="CC35" s="106">
        <v>11564.399999999998</v>
      </c>
      <c r="CD35" s="106">
        <v>38</v>
      </c>
      <c r="CE35" s="106">
        <v>19106.399999999998</v>
      </c>
      <c r="CF35" s="106">
        <v>133</v>
      </c>
      <c r="CG35" s="106">
        <v>66872.39999999998</v>
      </c>
      <c r="CH35" s="106">
        <v>96</v>
      </c>
      <c r="CI35" s="106">
        <v>48268.799999999988</v>
      </c>
      <c r="CJ35" s="106">
        <v>72</v>
      </c>
      <c r="CK35" s="106">
        <v>36201.599999999991</v>
      </c>
      <c r="CL35" s="106">
        <v>103</v>
      </c>
      <c r="CM35" s="106">
        <v>51788.399999999987</v>
      </c>
      <c r="CN35" s="106">
        <v>44</v>
      </c>
      <c r="CO35" s="106">
        <v>22123.199999999997</v>
      </c>
      <c r="CP35" s="106">
        <v>39</v>
      </c>
      <c r="CQ35" s="106">
        <v>19609.199999999997</v>
      </c>
      <c r="CR35" s="106">
        <v>57</v>
      </c>
      <c r="CS35" s="106">
        <v>28659.599999999995</v>
      </c>
      <c r="CT35" s="106">
        <v>49</v>
      </c>
      <c r="CU35" s="106">
        <v>24637.199999999993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30</v>
      </c>
      <c r="G36" s="106">
        <v>22824</v>
      </c>
      <c r="H36" s="106">
        <v>25</v>
      </c>
      <c r="I36" s="106">
        <v>19020</v>
      </c>
      <c r="J36" s="106">
        <v>17</v>
      </c>
      <c r="K36" s="106">
        <v>12933.599999999999</v>
      </c>
      <c r="L36" s="106">
        <v>32</v>
      </c>
      <c r="M36" s="106">
        <v>24345.599999999999</v>
      </c>
      <c r="N36" s="106">
        <v>25</v>
      </c>
      <c r="O36" s="106">
        <v>19020</v>
      </c>
      <c r="P36" s="106">
        <v>22</v>
      </c>
      <c r="Q36" s="106">
        <v>16737.599999999999</v>
      </c>
      <c r="R36" s="106">
        <v>32</v>
      </c>
      <c r="S36" s="106">
        <v>24345.599999999999</v>
      </c>
      <c r="T36" s="106">
        <v>20</v>
      </c>
      <c r="U36" s="106">
        <v>15216</v>
      </c>
      <c r="V36" s="106">
        <v>14</v>
      </c>
      <c r="W36" s="106">
        <v>10651.199999999999</v>
      </c>
      <c r="X36" s="106">
        <v>16</v>
      </c>
      <c r="Y36" s="106">
        <v>12172.8</v>
      </c>
      <c r="Z36" s="106">
        <v>18</v>
      </c>
      <c r="AA36" s="106">
        <v>13694.4</v>
      </c>
      <c r="AB36" s="106">
        <v>12</v>
      </c>
      <c r="AC36" s="106">
        <v>9129.5999999999985</v>
      </c>
      <c r="AD36" s="106">
        <v>15</v>
      </c>
      <c r="AE36" s="106">
        <v>11412</v>
      </c>
      <c r="AF36" s="106">
        <v>15</v>
      </c>
      <c r="AG36" s="106">
        <v>11412</v>
      </c>
      <c r="AH36" s="106">
        <v>11</v>
      </c>
      <c r="AI36" s="106">
        <v>8368.7999999999993</v>
      </c>
      <c r="AJ36" s="106">
        <v>13</v>
      </c>
      <c r="AK36" s="106">
        <v>9890.4</v>
      </c>
      <c r="AL36" s="106">
        <v>14</v>
      </c>
      <c r="AM36" s="106">
        <v>10651.199999999999</v>
      </c>
      <c r="AN36" s="106">
        <v>9</v>
      </c>
      <c r="AO36" s="106">
        <v>6847.2</v>
      </c>
      <c r="AP36" s="106">
        <v>14</v>
      </c>
      <c r="AQ36" s="106">
        <v>10651.199999999999</v>
      </c>
      <c r="AR36" s="106">
        <v>14</v>
      </c>
      <c r="AS36" s="106">
        <v>10651.199999999999</v>
      </c>
      <c r="AT36" s="106">
        <v>17</v>
      </c>
      <c r="AU36" s="106">
        <v>12933.599999999999</v>
      </c>
      <c r="AV36" s="106">
        <v>11</v>
      </c>
      <c r="AW36" s="106">
        <v>8368.7999999999993</v>
      </c>
      <c r="AX36" s="106">
        <v>14</v>
      </c>
      <c r="AY36" s="106">
        <v>10651.199999999999</v>
      </c>
      <c r="AZ36" s="106">
        <v>14</v>
      </c>
      <c r="BA36" s="106">
        <v>10651.199999999999</v>
      </c>
      <c r="BB36" s="106">
        <v>15</v>
      </c>
      <c r="BC36" s="106">
        <v>11412</v>
      </c>
      <c r="BD36" s="106">
        <v>15</v>
      </c>
      <c r="BE36" s="106">
        <v>11412</v>
      </c>
      <c r="BF36" s="106">
        <v>8.1083128169572234</v>
      </c>
      <c r="BG36" s="106">
        <v>6168.804391141055</v>
      </c>
      <c r="BH36" s="106">
        <v>23</v>
      </c>
      <c r="BI36" s="106">
        <v>17498.399999999998</v>
      </c>
      <c r="BJ36" s="106">
        <v>37</v>
      </c>
      <c r="BK36" s="106">
        <v>28149.599999999999</v>
      </c>
      <c r="BL36" s="106">
        <v>23</v>
      </c>
      <c r="BM36" s="106">
        <v>17498.399999999998</v>
      </c>
      <c r="BN36" s="106">
        <v>20</v>
      </c>
      <c r="BO36" s="106">
        <v>15216</v>
      </c>
      <c r="BP36" s="106">
        <v>15</v>
      </c>
      <c r="BQ36" s="106">
        <v>11412</v>
      </c>
      <c r="BR36" s="106">
        <v>18</v>
      </c>
      <c r="BS36" s="106">
        <v>13694.4</v>
      </c>
      <c r="BT36" s="106">
        <v>16</v>
      </c>
      <c r="BU36" s="106">
        <v>12172.8</v>
      </c>
      <c r="BV36" s="106">
        <v>19</v>
      </c>
      <c r="BW36" s="106">
        <v>14455.199999999999</v>
      </c>
      <c r="BX36" s="106">
        <v>30</v>
      </c>
      <c r="BY36" s="106">
        <v>22824</v>
      </c>
      <c r="BZ36" s="106">
        <v>31</v>
      </c>
      <c r="CA36" s="106">
        <v>23584.799999999999</v>
      </c>
      <c r="CB36" s="106">
        <v>21</v>
      </c>
      <c r="CC36" s="106">
        <v>15976.8</v>
      </c>
      <c r="CD36" s="106">
        <v>37</v>
      </c>
      <c r="CE36" s="106">
        <v>28149.599999999999</v>
      </c>
      <c r="CF36" s="106">
        <v>112</v>
      </c>
      <c r="CG36" s="106">
        <v>85209.599999999991</v>
      </c>
      <c r="CH36" s="106">
        <v>92</v>
      </c>
      <c r="CI36" s="106">
        <v>69993.599999999991</v>
      </c>
      <c r="CJ36" s="106">
        <v>72</v>
      </c>
      <c r="CK36" s="106">
        <v>54777.599999999999</v>
      </c>
      <c r="CL36" s="106">
        <v>91</v>
      </c>
      <c r="CM36" s="106">
        <v>69232.800000000003</v>
      </c>
      <c r="CN36" s="106">
        <v>40</v>
      </c>
      <c r="CO36" s="106">
        <v>30432</v>
      </c>
      <c r="CP36" s="106">
        <v>45</v>
      </c>
      <c r="CQ36" s="106">
        <v>34236</v>
      </c>
      <c r="CR36" s="106">
        <v>57</v>
      </c>
      <c r="CS36" s="106">
        <v>43365.599999999999</v>
      </c>
      <c r="CT36" s="106">
        <v>48</v>
      </c>
      <c r="CU36" s="106">
        <v>36518.399999999994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62</v>
      </c>
      <c r="G37" s="106">
        <v>53344.799999999996</v>
      </c>
      <c r="H37" s="106">
        <v>45</v>
      </c>
      <c r="I37" s="106">
        <v>38718</v>
      </c>
      <c r="J37" s="106">
        <v>37</v>
      </c>
      <c r="K37" s="106">
        <v>31834.799999999999</v>
      </c>
      <c r="L37" s="106">
        <v>31</v>
      </c>
      <c r="M37" s="106">
        <v>26672.399999999998</v>
      </c>
      <c r="N37" s="106">
        <v>45</v>
      </c>
      <c r="O37" s="106">
        <v>38718</v>
      </c>
      <c r="P37" s="106">
        <v>28</v>
      </c>
      <c r="Q37" s="106">
        <v>24091.200000000001</v>
      </c>
      <c r="R37" s="106">
        <v>40</v>
      </c>
      <c r="S37" s="106">
        <v>34416</v>
      </c>
      <c r="T37" s="106">
        <v>8</v>
      </c>
      <c r="U37" s="106">
        <v>6883.2</v>
      </c>
      <c r="V37" s="106">
        <v>8</v>
      </c>
      <c r="W37" s="106">
        <v>6883.2</v>
      </c>
      <c r="X37" s="106">
        <v>11</v>
      </c>
      <c r="Y37" s="106">
        <v>9464.4</v>
      </c>
      <c r="Z37" s="106">
        <v>8</v>
      </c>
      <c r="AA37" s="106">
        <v>6883.2</v>
      </c>
      <c r="AB37" s="106">
        <v>12</v>
      </c>
      <c r="AC37" s="106">
        <v>10324.799999999999</v>
      </c>
      <c r="AD37" s="106">
        <v>9</v>
      </c>
      <c r="AE37" s="106">
        <v>7743.5999999999995</v>
      </c>
      <c r="AF37" s="106">
        <v>9</v>
      </c>
      <c r="AG37" s="106">
        <v>7743.5999999999995</v>
      </c>
      <c r="AH37" s="106">
        <v>9</v>
      </c>
      <c r="AI37" s="106">
        <v>7743.5999999999995</v>
      </c>
      <c r="AJ37" s="106">
        <v>8</v>
      </c>
      <c r="AK37" s="106">
        <v>6883.2</v>
      </c>
      <c r="AL37" s="106">
        <v>12</v>
      </c>
      <c r="AM37" s="106">
        <v>10324.799999999999</v>
      </c>
      <c r="AN37" s="106">
        <v>10</v>
      </c>
      <c r="AO37" s="106">
        <v>8604</v>
      </c>
      <c r="AP37" s="106">
        <v>9</v>
      </c>
      <c r="AQ37" s="106">
        <v>7743.5999999999995</v>
      </c>
      <c r="AR37" s="106">
        <v>5</v>
      </c>
      <c r="AS37" s="106">
        <v>4302</v>
      </c>
      <c r="AT37" s="106">
        <v>5</v>
      </c>
      <c r="AU37" s="106">
        <v>4302</v>
      </c>
      <c r="AV37" s="106">
        <v>6</v>
      </c>
      <c r="AW37" s="106">
        <v>5162.3999999999996</v>
      </c>
      <c r="AX37" s="106">
        <v>7</v>
      </c>
      <c r="AY37" s="106">
        <v>6022.8</v>
      </c>
      <c r="AZ37" s="106">
        <v>9</v>
      </c>
      <c r="BA37" s="106">
        <v>7743.5999999999995</v>
      </c>
      <c r="BB37" s="106">
        <v>7</v>
      </c>
      <c r="BC37" s="106">
        <v>6022.8</v>
      </c>
      <c r="BD37" s="106">
        <v>7</v>
      </c>
      <c r="BE37" s="106">
        <v>6022.8</v>
      </c>
      <c r="BF37" s="106">
        <v>5.8969547759688901</v>
      </c>
      <c r="BG37" s="106">
        <v>5073.7398892436331</v>
      </c>
      <c r="BH37" s="106">
        <v>65</v>
      </c>
      <c r="BI37" s="106">
        <v>55926</v>
      </c>
      <c r="BJ37" s="106">
        <v>61</v>
      </c>
      <c r="BK37" s="106">
        <v>52484.4</v>
      </c>
      <c r="BL37" s="106">
        <v>43</v>
      </c>
      <c r="BM37" s="106">
        <v>36997.199999999997</v>
      </c>
      <c r="BN37" s="106">
        <v>59</v>
      </c>
      <c r="BO37" s="106">
        <v>50763.6</v>
      </c>
      <c r="BP37" s="106">
        <v>13</v>
      </c>
      <c r="BQ37" s="106">
        <v>11185.199999999999</v>
      </c>
      <c r="BR37" s="106">
        <v>22</v>
      </c>
      <c r="BS37" s="106">
        <v>18928.8</v>
      </c>
      <c r="BT37" s="106">
        <v>23</v>
      </c>
      <c r="BU37" s="106">
        <v>19789.2</v>
      </c>
      <c r="BV37" s="106">
        <v>25</v>
      </c>
      <c r="BW37" s="106">
        <v>21510</v>
      </c>
      <c r="BX37" s="106">
        <v>6</v>
      </c>
      <c r="BY37" s="106">
        <v>5162.3999999999996</v>
      </c>
      <c r="BZ37" s="106">
        <v>7</v>
      </c>
      <c r="CA37" s="106">
        <v>6022.8</v>
      </c>
      <c r="CB37" s="106">
        <v>8</v>
      </c>
      <c r="CC37" s="106">
        <v>6883.2</v>
      </c>
      <c r="CD37" s="106">
        <v>6</v>
      </c>
      <c r="CE37" s="106">
        <v>5162.3999999999996</v>
      </c>
      <c r="CF37" s="106">
        <v>29</v>
      </c>
      <c r="CG37" s="106">
        <v>24951.599999999999</v>
      </c>
      <c r="CH37" s="106">
        <v>32</v>
      </c>
      <c r="CI37" s="106">
        <v>27532.799999999999</v>
      </c>
      <c r="CJ37" s="106">
        <v>28</v>
      </c>
      <c r="CK37" s="106">
        <v>24091.200000000001</v>
      </c>
      <c r="CL37" s="106">
        <v>22</v>
      </c>
      <c r="CM37" s="106">
        <v>18928.8</v>
      </c>
      <c r="CN37" s="106">
        <v>12</v>
      </c>
      <c r="CO37" s="106">
        <v>10324.799999999999</v>
      </c>
      <c r="CP37" s="106">
        <v>10</v>
      </c>
      <c r="CQ37" s="106">
        <v>8604</v>
      </c>
      <c r="CR37" s="106">
        <v>16</v>
      </c>
      <c r="CS37" s="106">
        <v>13766.4</v>
      </c>
      <c r="CT37" s="106">
        <v>10</v>
      </c>
      <c r="CU37" s="106">
        <v>8604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57</v>
      </c>
      <c r="G38" s="106">
        <v>70794</v>
      </c>
      <c r="H38" s="106">
        <v>36</v>
      </c>
      <c r="I38" s="106">
        <v>44712</v>
      </c>
      <c r="J38" s="106">
        <v>37</v>
      </c>
      <c r="K38" s="106">
        <v>45954</v>
      </c>
      <c r="L38" s="106">
        <v>32</v>
      </c>
      <c r="M38" s="106">
        <v>39744</v>
      </c>
      <c r="N38" s="106">
        <v>42</v>
      </c>
      <c r="O38" s="106">
        <v>52164</v>
      </c>
      <c r="P38" s="106">
        <v>31</v>
      </c>
      <c r="Q38" s="106">
        <v>38502</v>
      </c>
      <c r="R38" s="106">
        <v>41</v>
      </c>
      <c r="S38" s="106">
        <v>50922</v>
      </c>
      <c r="T38" s="106">
        <v>8</v>
      </c>
      <c r="U38" s="106">
        <v>9936</v>
      </c>
      <c r="V38" s="106">
        <v>7</v>
      </c>
      <c r="W38" s="106">
        <v>8694</v>
      </c>
      <c r="X38" s="106">
        <v>12</v>
      </c>
      <c r="Y38" s="106">
        <v>14904</v>
      </c>
      <c r="Z38" s="106">
        <v>6</v>
      </c>
      <c r="AA38" s="106">
        <v>7452</v>
      </c>
      <c r="AB38" s="106">
        <v>10</v>
      </c>
      <c r="AC38" s="106">
        <v>12420</v>
      </c>
      <c r="AD38" s="106">
        <v>8</v>
      </c>
      <c r="AE38" s="106">
        <v>9936</v>
      </c>
      <c r="AF38" s="106">
        <v>9</v>
      </c>
      <c r="AG38" s="106">
        <v>11178</v>
      </c>
      <c r="AH38" s="106">
        <v>8</v>
      </c>
      <c r="AI38" s="106">
        <v>9936</v>
      </c>
      <c r="AJ38" s="106">
        <v>7</v>
      </c>
      <c r="AK38" s="106">
        <v>8694</v>
      </c>
      <c r="AL38" s="106">
        <v>11</v>
      </c>
      <c r="AM38" s="106">
        <v>13662</v>
      </c>
      <c r="AN38" s="106">
        <v>9</v>
      </c>
      <c r="AO38" s="106">
        <v>11178</v>
      </c>
      <c r="AP38" s="106">
        <v>9</v>
      </c>
      <c r="AQ38" s="106">
        <v>11178</v>
      </c>
      <c r="AR38" s="106">
        <v>5</v>
      </c>
      <c r="AS38" s="106">
        <v>6210</v>
      </c>
      <c r="AT38" s="106">
        <v>5</v>
      </c>
      <c r="AU38" s="106">
        <v>6210</v>
      </c>
      <c r="AV38" s="106">
        <v>6</v>
      </c>
      <c r="AW38" s="106">
        <v>7452</v>
      </c>
      <c r="AX38" s="106">
        <v>7</v>
      </c>
      <c r="AY38" s="106">
        <v>8694</v>
      </c>
      <c r="AZ38" s="106">
        <v>8</v>
      </c>
      <c r="BA38" s="106">
        <v>9936</v>
      </c>
      <c r="BB38" s="106">
        <v>7</v>
      </c>
      <c r="BC38" s="106">
        <v>8694</v>
      </c>
      <c r="BD38" s="106">
        <v>6</v>
      </c>
      <c r="BE38" s="106">
        <v>7452</v>
      </c>
      <c r="BF38" s="106">
        <v>5.8969547759688901</v>
      </c>
      <c r="BG38" s="106">
        <v>7324.0178317533619</v>
      </c>
      <c r="BH38" s="106">
        <v>62</v>
      </c>
      <c r="BI38" s="106">
        <v>77004</v>
      </c>
      <c r="BJ38" s="106">
        <v>57</v>
      </c>
      <c r="BK38" s="106">
        <v>70794</v>
      </c>
      <c r="BL38" s="106">
        <v>47</v>
      </c>
      <c r="BM38" s="106">
        <v>58374</v>
      </c>
      <c r="BN38" s="106">
        <v>47</v>
      </c>
      <c r="BO38" s="106">
        <v>58374</v>
      </c>
      <c r="BP38" s="106">
        <v>14</v>
      </c>
      <c r="BQ38" s="106">
        <v>17388</v>
      </c>
      <c r="BR38" s="106">
        <v>20</v>
      </c>
      <c r="BS38" s="106">
        <v>24840</v>
      </c>
      <c r="BT38" s="106">
        <v>24</v>
      </c>
      <c r="BU38" s="106">
        <v>29808</v>
      </c>
      <c r="BV38" s="106">
        <v>24</v>
      </c>
      <c r="BW38" s="106">
        <v>29808</v>
      </c>
      <c r="BX38" s="106">
        <v>5</v>
      </c>
      <c r="BY38" s="106">
        <v>6210</v>
      </c>
      <c r="BZ38" s="106">
        <v>7</v>
      </c>
      <c r="CA38" s="106">
        <v>8694</v>
      </c>
      <c r="CB38" s="106">
        <v>8</v>
      </c>
      <c r="CC38" s="106">
        <v>9936</v>
      </c>
      <c r="CD38" s="106">
        <v>7</v>
      </c>
      <c r="CE38" s="106">
        <v>8694</v>
      </c>
      <c r="CF38" s="106">
        <v>27</v>
      </c>
      <c r="CG38" s="106">
        <v>33534</v>
      </c>
      <c r="CH38" s="106">
        <v>28</v>
      </c>
      <c r="CI38" s="106">
        <v>34776</v>
      </c>
      <c r="CJ38" s="106">
        <v>27</v>
      </c>
      <c r="CK38" s="106">
        <v>33534</v>
      </c>
      <c r="CL38" s="106">
        <v>21</v>
      </c>
      <c r="CM38" s="106">
        <v>26082</v>
      </c>
      <c r="CN38" s="106">
        <v>13</v>
      </c>
      <c r="CO38" s="106">
        <v>16146</v>
      </c>
      <c r="CP38" s="106">
        <v>11</v>
      </c>
      <c r="CQ38" s="106">
        <v>13662</v>
      </c>
      <c r="CR38" s="106">
        <v>15</v>
      </c>
      <c r="CS38" s="106">
        <v>18630</v>
      </c>
      <c r="CT38" s="106">
        <v>10</v>
      </c>
      <c r="CU38" s="106">
        <v>12420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58</v>
      </c>
      <c r="G39" s="106">
        <v>82545.600000000006</v>
      </c>
      <c r="H39" s="106">
        <v>38</v>
      </c>
      <c r="I39" s="106">
        <v>54081.599999999999</v>
      </c>
      <c r="J39" s="106">
        <v>39</v>
      </c>
      <c r="K39" s="106">
        <v>55504.800000000003</v>
      </c>
      <c r="L39" s="106">
        <v>28</v>
      </c>
      <c r="M39" s="106">
        <v>39849.599999999999</v>
      </c>
      <c r="N39" s="106">
        <v>36</v>
      </c>
      <c r="O39" s="106">
        <v>51235.200000000004</v>
      </c>
      <c r="P39" s="106">
        <v>31</v>
      </c>
      <c r="Q39" s="106">
        <v>44119.200000000004</v>
      </c>
      <c r="R39" s="106">
        <v>41</v>
      </c>
      <c r="S39" s="106">
        <v>58351.200000000004</v>
      </c>
      <c r="T39" s="106">
        <v>8</v>
      </c>
      <c r="U39" s="106">
        <v>11385.6</v>
      </c>
      <c r="V39" s="106">
        <v>8</v>
      </c>
      <c r="W39" s="106">
        <v>11385.6</v>
      </c>
      <c r="X39" s="106">
        <v>11</v>
      </c>
      <c r="Y39" s="106">
        <v>15655.2</v>
      </c>
      <c r="Z39" s="106">
        <v>7</v>
      </c>
      <c r="AA39" s="106">
        <v>9962.4</v>
      </c>
      <c r="AB39" s="106">
        <v>11</v>
      </c>
      <c r="AC39" s="106">
        <v>15655.2</v>
      </c>
      <c r="AD39" s="106">
        <v>8</v>
      </c>
      <c r="AE39" s="106">
        <v>11385.6</v>
      </c>
      <c r="AF39" s="106">
        <v>10</v>
      </c>
      <c r="AG39" s="106">
        <v>14232</v>
      </c>
      <c r="AH39" s="106">
        <v>9</v>
      </c>
      <c r="AI39" s="106">
        <v>12808.800000000001</v>
      </c>
      <c r="AJ39" s="106">
        <v>7</v>
      </c>
      <c r="AK39" s="106">
        <v>9962.4</v>
      </c>
      <c r="AL39" s="106">
        <v>12</v>
      </c>
      <c r="AM39" s="106">
        <v>17078.400000000001</v>
      </c>
      <c r="AN39" s="106">
        <v>11</v>
      </c>
      <c r="AO39" s="106">
        <v>15655.2</v>
      </c>
      <c r="AP39" s="106">
        <v>9</v>
      </c>
      <c r="AQ39" s="106">
        <v>12808.800000000001</v>
      </c>
      <c r="AR39" s="106">
        <v>5</v>
      </c>
      <c r="AS39" s="106">
        <v>7116</v>
      </c>
      <c r="AT39" s="106">
        <v>5</v>
      </c>
      <c r="AU39" s="106">
        <v>7116</v>
      </c>
      <c r="AV39" s="106">
        <v>7</v>
      </c>
      <c r="AW39" s="106">
        <v>9962.4</v>
      </c>
      <c r="AX39" s="106">
        <v>7</v>
      </c>
      <c r="AY39" s="106">
        <v>9962.4</v>
      </c>
      <c r="AZ39" s="106">
        <v>7</v>
      </c>
      <c r="BA39" s="106">
        <v>9962.4</v>
      </c>
      <c r="BB39" s="106">
        <v>7</v>
      </c>
      <c r="BC39" s="106">
        <v>9962.4</v>
      </c>
      <c r="BD39" s="106">
        <v>6</v>
      </c>
      <c r="BE39" s="106">
        <v>8539.2000000000007</v>
      </c>
      <c r="BF39" s="106">
        <v>5.1598354289727784</v>
      </c>
      <c r="BG39" s="106">
        <v>7343.4777825140582</v>
      </c>
      <c r="BH39" s="106">
        <v>51</v>
      </c>
      <c r="BI39" s="106">
        <v>72583.199999999997</v>
      </c>
      <c r="BJ39" s="106">
        <v>50</v>
      </c>
      <c r="BK39" s="106">
        <v>71160</v>
      </c>
      <c r="BL39" s="106">
        <v>47</v>
      </c>
      <c r="BM39" s="106">
        <v>66890.400000000009</v>
      </c>
      <c r="BN39" s="106">
        <v>46</v>
      </c>
      <c r="BO39" s="106">
        <v>65467.200000000004</v>
      </c>
      <c r="BP39" s="106">
        <v>13</v>
      </c>
      <c r="BQ39" s="106">
        <v>18501.600000000002</v>
      </c>
      <c r="BR39" s="106">
        <v>19</v>
      </c>
      <c r="BS39" s="106">
        <v>27040.799999999999</v>
      </c>
      <c r="BT39" s="106">
        <v>24</v>
      </c>
      <c r="BU39" s="106">
        <v>34156.800000000003</v>
      </c>
      <c r="BV39" s="106">
        <v>23</v>
      </c>
      <c r="BW39" s="106">
        <v>32733.600000000002</v>
      </c>
      <c r="BX39" s="106">
        <v>5</v>
      </c>
      <c r="BY39" s="106">
        <v>7116</v>
      </c>
      <c r="BZ39" s="106">
        <v>6</v>
      </c>
      <c r="CA39" s="106">
        <v>8539.2000000000007</v>
      </c>
      <c r="CB39" s="106">
        <v>7</v>
      </c>
      <c r="CC39" s="106">
        <v>9962.4</v>
      </c>
      <c r="CD39" s="106">
        <v>6</v>
      </c>
      <c r="CE39" s="106">
        <v>8539.2000000000007</v>
      </c>
      <c r="CF39" s="106">
        <v>28</v>
      </c>
      <c r="CG39" s="106">
        <v>39849.599999999999</v>
      </c>
      <c r="CH39" s="106">
        <v>29</v>
      </c>
      <c r="CI39" s="106">
        <v>41272.800000000003</v>
      </c>
      <c r="CJ39" s="106">
        <v>27</v>
      </c>
      <c r="CK39" s="106">
        <v>38426.400000000001</v>
      </c>
      <c r="CL39" s="106">
        <v>21</v>
      </c>
      <c r="CM39" s="106">
        <v>29887.200000000001</v>
      </c>
      <c r="CN39" s="106">
        <v>13</v>
      </c>
      <c r="CO39" s="106">
        <v>18501.600000000002</v>
      </c>
      <c r="CP39" s="106">
        <v>9</v>
      </c>
      <c r="CQ39" s="106">
        <v>12808.800000000001</v>
      </c>
      <c r="CR39" s="106">
        <v>18</v>
      </c>
      <c r="CS39" s="106">
        <v>25617.600000000002</v>
      </c>
      <c r="CT39" s="106">
        <v>9</v>
      </c>
      <c r="CU39" s="106">
        <v>12808.800000000001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63</v>
      </c>
      <c r="G40" s="106">
        <v>45662.399999999994</v>
      </c>
      <c r="H40" s="106">
        <v>43</v>
      </c>
      <c r="I40" s="106">
        <v>31166.399999999998</v>
      </c>
      <c r="J40" s="106">
        <v>37</v>
      </c>
      <c r="K40" s="106">
        <v>26817.599999999999</v>
      </c>
      <c r="L40" s="106">
        <v>34</v>
      </c>
      <c r="M40" s="106">
        <v>24643.199999999997</v>
      </c>
      <c r="N40" s="106">
        <v>44</v>
      </c>
      <c r="O40" s="106">
        <v>31891.199999999997</v>
      </c>
      <c r="P40" s="106">
        <v>29</v>
      </c>
      <c r="Q40" s="106">
        <v>21019.199999999997</v>
      </c>
      <c r="R40" s="106">
        <v>42</v>
      </c>
      <c r="S40" s="106">
        <v>30441.599999999999</v>
      </c>
      <c r="T40" s="106">
        <v>8</v>
      </c>
      <c r="U40" s="106">
        <v>5798.4</v>
      </c>
      <c r="V40" s="106">
        <v>8</v>
      </c>
      <c r="W40" s="106">
        <v>5798.4</v>
      </c>
      <c r="X40" s="106">
        <v>13</v>
      </c>
      <c r="Y40" s="106">
        <v>9422.4</v>
      </c>
      <c r="Z40" s="106">
        <v>7</v>
      </c>
      <c r="AA40" s="106">
        <v>5073.5999999999995</v>
      </c>
      <c r="AB40" s="106">
        <v>11</v>
      </c>
      <c r="AC40" s="106">
        <v>7972.7999999999993</v>
      </c>
      <c r="AD40" s="106">
        <v>9</v>
      </c>
      <c r="AE40" s="106">
        <v>6523.2</v>
      </c>
      <c r="AF40" s="106">
        <v>10</v>
      </c>
      <c r="AG40" s="106">
        <v>7248</v>
      </c>
      <c r="AH40" s="106">
        <v>9</v>
      </c>
      <c r="AI40" s="106">
        <v>6523.2</v>
      </c>
      <c r="AJ40" s="106">
        <v>7</v>
      </c>
      <c r="AK40" s="106">
        <v>5073.5999999999995</v>
      </c>
      <c r="AL40" s="106">
        <v>11</v>
      </c>
      <c r="AM40" s="106">
        <v>7972.7999999999993</v>
      </c>
      <c r="AN40" s="106">
        <v>9</v>
      </c>
      <c r="AO40" s="106">
        <v>6523.2</v>
      </c>
      <c r="AP40" s="106">
        <v>9</v>
      </c>
      <c r="AQ40" s="106">
        <v>6523.2</v>
      </c>
      <c r="AR40" s="106">
        <v>6</v>
      </c>
      <c r="AS40" s="106">
        <v>4348.7999999999993</v>
      </c>
      <c r="AT40" s="106">
        <v>5</v>
      </c>
      <c r="AU40" s="106">
        <v>3624</v>
      </c>
      <c r="AV40" s="106">
        <v>7</v>
      </c>
      <c r="AW40" s="106">
        <v>5073.5999999999995</v>
      </c>
      <c r="AX40" s="106">
        <v>8</v>
      </c>
      <c r="AY40" s="106">
        <v>5798.4</v>
      </c>
      <c r="AZ40" s="106">
        <v>8</v>
      </c>
      <c r="BA40" s="106">
        <v>5798.4</v>
      </c>
      <c r="BB40" s="106">
        <v>7</v>
      </c>
      <c r="BC40" s="106">
        <v>5073.5999999999995</v>
      </c>
      <c r="BD40" s="106">
        <v>6</v>
      </c>
      <c r="BE40" s="106">
        <v>4348.7999999999993</v>
      </c>
      <c r="BF40" s="106">
        <v>5.1598354289727784</v>
      </c>
      <c r="BG40" s="106">
        <v>3739.8487189194693</v>
      </c>
      <c r="BH40" s="106">
        <v>65</v>
      </c>
      <c r="BI40" s="106">
        <v>47112</v>
      </c>
      <c r="BJ40" s="106">
        <v>59</v>
      </c>
      <c r="BK40" s="106">
        <v>42763.199999999997</v>
      </c>
      <c r="BL40" s="106">
        <v>51</v>
      </c>
      <c r="BM40" s="106">
        <v>36964.799999999996</v>
      </c>
      <c r="BN40" s="106">
        <v>51</v>
      </c>
      <c r="BO40" s="106">
        <v>36964.799999999996</v>
      </c>
      <c r="BP40" s="106">
        <v>14</v>
      </c>
      <c r="BQ40" s="106">
        <v>10147.199999999999</v>
      </c>
      <c r="BR40" s="106">
        <v>22</v>
      </c>
      <c r="BS40" s="106">
        <v>15945.599999999999</v>
      </c>
      <c r="BT40" s="106">
        <v>27</v>
      </c>
      <c r="BU40" s="106">
        <v>19569.599999999999</v>
      </c>
      <c r="BV40" s="106">
        <v>26</v>
      </c>
      <c r="BW40" s="106">
        <v>18844.8</v>
      </c>
      <c r="BX40" s="106">
        <v>6</v>
      </c>
      <c r="BY40" s="106">
        <v>4348.7999999999993</v>
      </c>
      <c r="BZ40" s="106">
        <v>8</v>
      </c>
      <c r="CA40" s="106">
        <v>5798.4</v>
      </c>
      <c r="CB40" s="106">
        <v>7</v>
      </c>
      <c r="CC40" s="106">
        <v>5073.5999999999995</v>
      </c>
      <c r="CD40" s="106">
        <v>6</v>
      </c>
      <c r="CE40" s="106">
        <v>4348.7999999999993</v>
      </c>
      <c r="CF40" s="106">
        <v>29</v>
      </c>
      <c r="CG40" s="106">
        <v>21019.199999999997</v>
      </c>
      <c r="CH40" s="106">
        <v>34</v>
      </c>
      <c r="CI40" s="106">
        <v>24643.199999999997</v>
      </c>
      <c r="CJ40" s="106">
        <v>32</v>
      </c>
      <c r="CK40" s="106">
        <v>23193.599999999999</v>
      </c>
      <c r="CL40" s="106">
        <v>21</v>
      </c>
      <c r="CM40" s="106">
        <v>15220.8</v>
      </c>
      <c r="CN40" s="106">
        <v>13</v>
      </c>
      <c r="CO40" s="106">
        <v>9422.4</v>
      </c>
      <c r="CP40" s="106">
        <v>10</v>
      </c>
      <c r="CQ40" s="106">
        <v>7248</v>
      </c>
      <c r="CR40" s="106">
        <v>18</v>
      </c>
      <c r="CS40" s="106">
        <v>13046.4</v>
      </c>
      <c r="CT40" s="106">
        <v>11</v>
      </c>
      <c r="CU40" s="106">
        <v>7972.7999999999993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55</v>
      </c>
      <c r="G41" s="106">
        <v>36300</v>
      </c>
      <c r="H41" s="106">
        <v>45</v>
      </c>
      <c r="I41" s="106">
        <v>29700</v>
      </c>
      <c r="J41" s="106">
        <v>44</v>
      </c>
      <c r="K41" s="106">
        <v>29040</v>
      </c>
      <c r="L41" s="106">
        <v>34</v>
      </c>
      <c r="M41" s="106">
        <v>22440</v>
      </c>
      <c r="N41" s="106">
        <v>41</v>
      </c>
      <c r="O41" s="106">
        <v>27060</v>
      </c>
      <c r="P41" s="106">
        <v>31</v>
      </c>
      <c r="Q41" s="106">
        <v>20460</v>
      </c>
      <c r="R41" s="106">
        <v>44</v>
      </c>
      <c r="S41" s="106">
        <v>29040</v>
      </c>
      <c r="T41" s="106">
        <v>8</v>
      </c>
      <c r="U41" s="106">
        <v>5280</v>
      </c>
      <c r="V41" s="106">
        <v>8</v>
      </c>
      <c r="W41" s="106">
        <v>5280</v>
      </c>
      <c r="X41" s="106">
        <v>12</v>
      </c>
      <c r="Y41" s="106">
        <v>7920</v>
      </c>
      <c r="Z41" s="106">
        <v>7</v>
      </c>
      <c r="AA41" s="106">
        <v>4620</v>
      </c>
      <c r="AB41" s="106">
        <v>11</v>
      </c>
      <c r="AC41" s="106">
        <v>7260</v>
      </c>
      <c r="AD41" s="106">
        <v>9</v>
      </c>
      <c r="AE41" s="106">
        <v>5940</v>
      </c>
      <c r="AF41" s="106">
        <v>9</v>
      </c>
      <c r="AG41" s="106">
        <v>5940</v>
      </c>
      <c r="AH41" s="106">
        <v>10</v>
      </c>
      <c r="AI41" s="106">
        <v>6600</v>
      </c>
      <c r="AJ41" s="106">
        <v>8</v>
      </c>
      <c r="AK41" s="106">
        <v>5280</v>
      </c>
      <c r="AL41" s="106">
        <v>12</v>
      </c>
      <c r="AM41" s="106">
        <v>7920</v>
      </c>
      <c r="AN41" s="106">
        <v>10</v>
      </c>
      <c r="AO41" s="106">
        <v>6600</v>
      </c>
      <c r="AP41" s="106">
        <v>8</v>
      </c>
      <c r="AQ41" s="106">
        <v>5280</v>
      </c>
      <c r="AR41" s="106">
        <v>5</v>
      </c>
      <c r="AS41" s="106">
        <v>3300</v>
      </c>
      <c r="AT41" s="106">
        <v>6</v>
      </c>
      <c r="AU41" s="106">
        <v>3960</v>
      </c>
      <c r="AV41" s="106">
        <v>8</v>
      </c>
      <c r="AW41" s="106">
        <v>5280</v>
      </c>
      <c r="AX41" s="106">
        <v>8</v>
      </c>
      <c r="AY41" s="106">
        <v>5280</v>
      </c>
      <c r="AZ41" s="106">
        <v>8</v>
      </c>
      <c r="BA41" s="106">
        <v>5280</v>
      </c>
      <c r="BB41" s="106">
        <v>7</v>
      </c>
      <c r="BC41" s="106">
        <v>4620</v>
      </c>
      <c r="BD41" s="106">
        <v>6</v>
      </c>
      <c r="BE41" s="106">
        <v>3960</v>
      </c>
      <c r="BF41" s="106">
        <v>5.1598354289727784</v>
      </c>
      <c r="BG41" s="106">
        <v>3405.4913831220338</v>
      </c>
      <c r="BH41" s="106">
        <v>66</v>
      </c>
      <c r="BI41" s="106">
        <v>43560</v>
      </c>
      <c r="BJ41" s="106">
        <v>59</v>
      </c>
      <c r="BK41" s="106">
        <v>38940</v>
      </c>
      <c r="BL41" s="106">
        <v>46</v>
      </c>
      <c r="BM41" s="106">
        <v>30360</v>
      </c>
      <c r="BN41" s="106">
        <v>56</v>
      </c>
      <c r="BO41" s="106">
        <v>36960</v>
      </c>
      <c r="BP41" s="106">
        <v>13</v>
      </c>
      <c r="BQ41" s="106">
        <v>8580</v>
      </c>
      <c r="BR41" s="106">
        <v>23</v>
      </c>
      <c r="BS41" s="106">
        <v>15180</v>
      </c>
      <c r="BT41" s="106">
        <v>26</v>
      </c>
      <c r="BU41" s="106">
        <v>17160</v>
      </c>
      <c r="BV41" s="106">
        <v>23</v>
      </c>
      <c r="BW41" s="106">
        <v>15180</v>
      </c>
      <c r="BX41" s="106">
        <v>5</v>
      </c>
      <c r="BY41" s="106">
        <v>3300</v>
      </c>
      <c r="BZ41" s="106">
        <v>7</v>
      </c>
      <c r="CA41" s="106">
        <v>4620</v>
      </c>
      <c r="CB41" s="106">
        <v>7</v>
      </c>
      <c r="CC41" s="106">
        <v>4620</v>
      </c>
      <c r="CD41" s="106">
        <v>6</v>
      </c>
      <c r="CE41" s="106">
        <v>3960</v>
      </c>
      <c r="CF41" s="106">
        <v>28</v>
      </c>
      <c r="CG41" s="106">
        <v>18480</v>
      </c>
      <c r="CH41" s="106">
        <v>32</v>
      </c>
      <c r="CI41" s="106">
        <v>21120</v>
      </c>
      <c r="CJ41" s="106">
        <v>29</v>
      </c>
      <c r="CK41" s="106">
        <v>19140</v>
      </c>
      <c r="CL41" s="106">
        <v>21</v>
      </c>
      <c r="CM41" s="106">
        <v>13860</v>
      </c>
      <c r="CN41" s="106">
        <v>13</v>
      </c>
      <c r="CO41" s="106">
        <v>8580</v>
      </c>
      <c r="CP41" s="106">
        <v>11</v>
      </c>
      <c r="CQ41" s="106">
        <v>7260</v>
      </c>
      <c r="CR41" s="106">
        <v>17</v>
      </c>
      <c r="CS41" s="106">
        <v>11220</v>
      </c>
      <c r="CT41" s="106">
        <v>10</v>
      </c>
      <c r="CU41" s="106">
        <v>6600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59</v>
      </c>
      <c r="G42" s="106">
        <v>49914</v>
      </c>
      <c r="H42" s="106">
        <v>37</v>
      </c>
      <c r="I42" s="106">
        <v>31302</v>
      </c>
      <c r="J42" s="106">
        <v>37</v>
      </c>
      <c r="K42" s="106">
        <v>31302</v>
      </c>
      <c r="L42" s="106">
        <v>32</v>
      </c>
      <c r="M42" s="106">
        <v>27072</v>
      </c>
      <c r="N42" s="106">
        <v>41</v>
      </c>
      <c r="O42" s="106">
        <v>34686</v>
      </c>
      <c r="P42" s="106">
        <v>29</v>
      </c>
      <c r="Q42" s="106">
        <v>24534</v>
      </c>
      <c r="R42" s="106">
        <v>49</v>
      </c>
      <c r="S42" s="106">
        <v>41454</v>
      </c>
      <c r="T42" s="106">
        <v>9</v>
      </c>
      <c r="U42" s="106">
        <v>7614</v>
      </c>
      <c r="V42" s="106">
        <v>7</v>
      </c>
      <c r="W42" s="106">
        <v>5922</v>
      </c>
      <c r="X42" s="106">
        <v>12</v>
      </c>
      <c r="Y42" s="106">
        <v>10152</v>
      </c>
      <c r="Z42" s="106">
        <v>7</v>
      </c>
      <c r="AA42" s="106">
        <v>5922</v>
      </c>
      <c r="AB42" s="106">
        <v>10</v>
      </c>
      <c r="AC42" s="106">
        <v>8460</v>
      </c>
      <c r="AD42" s="106">
        <v>8</v>
      </c>
      <c r="AE42" s="106">
        <v>6768</v>
      </c>
      <c r="AF42" s="106">
        <v>10</v>
      </c>
      <c r="AG42" s="106">
        <v>8460</v>
      </c>
      <c r="AH42" s="106">
        <v>9</v>
      </c>
      <c r="AI42" s="106">
        <v>7614</v>
      </c>
      <c r="AJ42" s="106">
        <v>8</v>
      </c>
      <c r="AK42" s="106">
        <v>6768</v>
      </c>
      <c r="AL42" s="106">
        <v>12</v>
      </c>
      <c r="AM42" s="106">
        <v>10152</v>
      </c>
      <c r="AN42" s="106">
        <v>10</v>
      </c>
      <c r="AO42" s="106">
        <v>8460</v>
      </c>
      <c r="AP42" s="106">
        <v>8</v>
      </c>
      <c r="AQ42" s="106">
        <v>6768</v>
      </c>
      <c r="AR42" s="106">
        <v>6</v>
      </c>
      <c r="AS42" s="106">
        <v>5076</v>
      </c>
      <c r="AT42" s="106">
        <v>5</v>
      </c>
      <c r="AU42" s="106">
        <v>4230</v>
      </c>
      <c r="AV42" s="106">
        <v>7</v>
      </c>
      <c r="AW42" s="106">
        <v>5922</v>
      </c>
      <c r="AX42" s="106">
        <v>8</v>
      </c>
      <c r="AY42" s="106">
        <v>6768</v>
      </c>
      <c r="AZ42" s="106">
        <v>8</v>
      </c>
      <c r="BA42" s="106">
        <v>6768</v>
      </c>
      <c r="BB42" s="106">
        <v>8</v>
      </c>
      <c r="BC42" s="106">
        <v>6768</v>
      </c>
      <c r="BD42" s="106">
        <v>6</v>
      </c>
      <c r="BE42" s="106">
        <v>5076</v>
      </c>
      <c r="BF42" s="106">
        <v>5.1598354289727784</v>
      </c>
      <c r="BG42" s="106">
        <v>4365.2207729109705</v>
      </c>
      <c r="BH42" s="106">
        <v>67</v>
      </c>
      <c r="BI42" s="106">
        <v>56682</v>
      </c>
      <c r="BJ42" s="106">
        <v>57</v>
      </c>
      <c r="BK42" s="106">
        <v>48222</v>
      </c>
      <c r="BL42" s="106">
        <v>48</v>
      </c>
      <c r="BM42" s="106">
        <v>40608</v>
      </c>
      <c r="BN42" s="106">
        <v>55</v>
      </c>
      <c r="BO42" s="106">
        <v>46530</v>
      </c>
      <c r="BP42" s="106">
        <v>13</v>
      </c>
      <c r="BQ42" s="106">
        <v>10998</v>
      </c>
      <c r="BR42" s="106">
        <v>23</v>
      </c>
      <c r="BS42" s="106">
        <v>19458</v>
      </c>
      <c r="BT42" s="106">
        <v>27</v>
      </c>
      <c r="BU42" s="106">
        <v>22842</v>
      </c>
      <c r="BV42" s="106">
        <v>25</v>
      </c>
      <c r="BW42" s="106">
        <v>21150</v>
      </c>
      <c r="BX42" s="106">
        <v>5</v>
      </c>
      <c r="BY42" s="106">
        <v>4230</v>
      </c>
      <c r="BZ42" s="106">
        <v>8</v>
      </c>
      <c r="CA42" s="106">
        <v>6768</v>
      </c>
      <c r="CB42" s="106">
        <v>8</v>
      </c>
      <c r="CC42" s="106">
        <v>6768</v>
      </c>
      <c r="CD42" s="106">
        <v>7</v>
      </c>
      <c r="CE42" s="106">
        <v>5922</v>
      </c>
      <c r="CF42" s="106">
        <v>26</v>
      </c>
      <c r="CG42" s="106">
        <v>21996</v>
      </c>
      <c r="CH42" s="106">
        <v>34</v>
      </c>
      <c r="CI42" s="106">
        <v>28764</v>
      </c>
      <c r="CJ42" s="106">
        <v>32</v>
      </c>
      <c r="CK42" s="106">
        <v>27072</v>
      </c>
      <c r="CL42" s="106">
        <v>21</v>
      </c>
      <c r="CM42" s="106">
        <v>17766</v>
      </c>
      <c r="CN42" s="106">
        <v>13</v>
      </c>
      <c r="CO42" s="106">
        <v>10998</v>
      </c>
      <c r="CP42" s="106">
        <v>10</v>
      </c>
      <c r="CQ42" s="106">
        <v>8460</v>
      </c>
      <c r="CR42" s="106">
        <v>16</v>
      </c>
      <c r="CS42" s="106">
        <v>13536</v>
      </c>
      <c r="CT42" s="106">
        <v>10</v>
      </c>
      <c r="CU42" s="106">
        <v>8460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57</v>
      </c>
      <c r="G43" s="106">
        <v>58276.799999999996</v>
      </c>
      <c r="H43" s="106">
        <v>38</v>
      </c>
      <c r="I43" s="106">
        <v>38851.199999999997</v>
      </c>
      <c r="J43" s="106">
        <v>37</v>
      </c>
      <c r="K43" s="106">
        <v>37828.799999999996</v>
      </c>
      <c r="L43" s="106">
        <v>30</v>
      </c>
      <c r="M43" s="106">
        <v>30672</v>
      </c>
      <c r="N43" s="106">
        <v>45</v>
      </c>
      <c r="O43" s="106">
        <v>46008</v>
      </c>
      <c r="P43" s="106">
        <v>31</v>
      </c>
      <c r="Q43" s="106">
        <v>31694.399999999998</v>
      </c>
      <c r="R43" s="106">
        <v>41</v>
      </c>
      <c r="S43" s="106">
        <v>41918.400000000001</v>
      </c>
      <c r="T43" s="106">
        <v>9</v>
      </c>
      <c r="U43" s="106">
        <v>9201.6</v>
      </c>
      <c r="V43" s="106">
        <v>8</v>
      </c>
      <c r="W43" s="106">
        <v>8179.2</v>
      </c>
      <c r="X43" s="106">
        <v>12</v>
      </c>
      <c r="Y43" s="106">
        <v>12268.8</v>
      </c>
      <c r="Z43" s="106">
        <v>7</v>
      </c>
      <c r="AA43" s="106">
        <v>7156.8</v>
      </c>
      <c r="AB43" s="106">
        <v>11</v>
      </c>
      <c r="AC43" s="106">
        <v>11246.4</v>
      </c>
      <c r="AD43" s="106">
        <v>9</v>
      </c>
      <c r="AE43" s="106">
        <v>9201.6</v>
      </c>
      <c r="AF43" s="106">
        <v>9</v>
      </c>
      <c r="AG43" s="106">
        <v>9201.6</v>
      </c>
      <c r="AH43" s="106">
        <v>8</v>
      </c>
      <c r="AI43" s="106">
        <v>8179.2</v>
      </c>
      <c r="AJ43" s="106">
        <v>8</v>
      </c>
      <c r="AK43" s="106">
        <v>8179.2</v>
      </c>
      <c r="AL43" s="106">
        <v>11</v>
      </c>
      <c r="AM43" s="106">
        <v>11246.4</v>
      </c>
      <c r="AN43" s="106">
        <v>9</v>
      </c>
      <c r="AO43" s="106">
        <v>9201.6</v>
      </c>
      <c r="AP43" s="106">
        <v>8</v>
      </c>
      <c r="AQ43" s="106">
        <v>8179.2</v>
      </c>
      <c r="AR43" s="106">
        <v>5</v>
      </c>
      <c r="AS43" s="106">
        <v>5112</v>
      </c>
      <c r="AT43" s="106">
        <v>5</v>
      </c>
      <c r="AU43" s="106">
        <v>5112</v>
      </c>
      <c r="AV43" s="106">
        <v>8</v>
      </c>
      <c r="AW43" s="106">
        <v>8179.2</v>
      </c>
      <c r="AX43" s="106">
        <v>8</v>
      </c>
      <c r="AY43" s="106">
        <v>8179.2</v>
      </c>
      <c r="AZ43" s="106">
        <v>8</v>
      </c>
      <c r="BA43" s="106">
        <v>8179.2</v>
      </c>
      <c r="BB43" s="106">
        <v>7</v>
      </c>
      <c r="BC43" s="106">
        <v>7156.8</v>
      </c>
      <c r="BD43" s="106">
        <v>6</v>
      </c>
      <c r="BE43" s="106">
        <v>6134.4</v>
      </c>
      <c r="BF43" s="106">
        <v>5.8969547759688901</v>
      </c>
      <c r="BG43" s="106">
        <v>6029.0465629505934</v>
      </c>
      <c r="BH43" s="106">
        <v>55</v>
      </c>
      <c r="BI43" s="106">
        <v>56232</v>
      </c>
      <c r="BJ43" s="106">
        <v>57</v>
      </c>
      <c r="BK43" s="106">
        <v>58276.799999999996</v>
      </c>
      <c r="BL43" s="106">
        <v>42</v>
      </c>
      <c r="BM43" s="106">
        <v>42940.799999999996</v>
      </c>
      <c r="BN43" s="106">
        <v>57</v>
      </c>
      <c r="BO43" s="106">
        <v>58276.799999999996</v>
      </c>
      <c r="BP43" s="106">
        <v>12</v>
      </c>
      <c r="BQ43" s="106">
        <v>12268.8</v>
      </c>
      <c r="BR43" s="106">
        <v>20</v>
      </c>
      <c r="BS43" s="106">
        <v>20448</v>
      </c>
      <c r="BT43" s="106">
        <v>26</v>
      </c>
      <c r="BU43" s="106">
        <v>26582.399999999998</v>
      </c>
      <c r="BV43" s="106">
        <v>23</v>
      </c>
      <c r="BW43" s="106">
        <v>23515.200000000001</v>
      </c>
      <c r="BX43" s="106">
        <v>6</v>
      </c>
      <c r="BY43" s="106">
        <v>6134.4</v>
      </c>
      <c r="BZ43" s="106">
        <v>7</v>
      </c>
      <c r="CA43" s="106">
        <v>7156.8</v>
      </c>
      <c r="CB43" s="106">
        <v>8</v>
      </c>
      <c r="CC43" s="106">
        <v>8179.2</v>
      </c>
      <c r="CD43" s="106">
        <v>7</v>
      </c>
      <c r="CE43" s="106">
        <v>7156.8</v>
      </c>
      <c r="CF43" s="106">
        <v>26</v>
      </c>
      <c r="CG43" s="106">
        <v>26582.399999999998</v>
      </c>
      <c r="CH43" s="106">
        <v>30</v>
      </c>
      <c r="CI43" s="106">
        <v>30672</v>
      </c>
      <c r="CJ43" s="106">
        <v>31</v>
      </c>
      <c r="CK43" s="106">
        <v>31694.399999999998</v>
      </c>
      <c r="CL43" s="106">
        <v>20</v>
      </c>
      <c r="CM43" s="106">
        <v>20448</v>
      </c>
      <c r="CN43" s="106">
        <v>12</v>
      </c>
      <c r="CO43" s="106">
        <v>12268.8</v>
      </c>
      <c r="CP43" s="106">
        <v>11</v>
      </c>
      <c r="CQ43" s="106">
        <v>11246.4</v>
      </c>
      <c r="CR43" s="106">
        <v>17</v>
      </c>
      <c r="CS43" s="106">
        <v>17380.8</v>
      </c>
      <c r="CT43" s="106">
        <v>9</v>
      </c>
      <c r="CU43" s="106">
        <v>9201.6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55</v>
      </c>
      <c r="G44" s="106">
        <v>56232</v>
      </c>
      <c r="H44" s="106">
        <v>41</v>
      </c>
      <c r="I44" s="106">
        <v>41918.400000000001</v>
      </c>
      <c r="J44" s="106">
        <v>38</v>
      </c>
      <c r="K44" s="106">
        <v>38851.199999999997</v>
      </c>
      <c r="L44" s="106">
        <v>31</v>
      </c>
      <c r="M44" s="106">
        <v>31694.399999999998</v>
      </c>
      <c r="N44" s="106">
        <v>41</v>
      </c>
      <c r="O44" s="106">
        <v>41918.400000000001</v>
      </c>
      <c r="P44" s="106">
        <v>29</v>
      </c>
      <c r="Q44" s="106">
        <v>29649.599999999999</v>
      </c>
      <c r="R44" s="106">
        <v>48</v>
      </c>
      <c r="S44" s="106">
        <v>49075.199999999997</v>
      </c>
      <c r="T44" s="106">
        <v>8</v>
      </c>
      <c r="U44" s="106">
        <v>8179.2</v>
      </c>
      <c r="V44" s="106">
        <v>7</v>
      </c>
      <c r="W44" s="106">
        <v>7156.8</v>
      </c>
      <c r="X44" s="106">
        <v>12</v>
      </c>
      <c r="Y44" s="106">
        <v>12268.8</v>
      </c>
      <c r="Z44" s="106">
        <v>8</v>
      </c>
      <c r="AA44" s="106">
        <v>8179.2</v>
      </c>
      <c r="AB44" s="106">
        <v>10</v>
      </c>
      <c r="AC44" s="106">
        <v>10224</v>
      </c>
      <c r="AD44" s="106">
        <v>8</v>
      </c>
      <c r="AE44" s="106">
        <v>8179.2</v>
      </c>
      <c r="AF44" s="106">
        <v>9</v>
      </c>
      <c r="AG44" s="106">
        <v>9201.6</v>
      </c>
      <c r="AH44" s="106">
        <v>9</v>
      </c>
      <c r="AI44" s="106">
        <v>9201.6</v>
      </c>
      <c r="AJ44" s="106">
        <v>7</v>
      </c>
      <c r="AK44" s="106">
        <v>7156.8</v>
      </c>
      <c r="AL44" s="106">
        <v>11</v>
      </c>
      <c r="AM44" s="106">
        <v>11246.4</v>
      </c>
      <c r="AN44" s="106">
        <v>9</v>
      </c>
      <c r="AO44" s="106">
        <v>9201.6</v>
      </c>
      <c r="AP44" s="106">
        <v>8</v>
      </c>
      <c r="AQ44" s="106">
        <v>8179.2</v>
      </c>
      <c r="AR44" s="106">
        <v>5</v>
      </c>
      <c r="AS44" s="106">
        <v>5112</v>
      </c>
      <c r="AT44" s="106">
        <v>5</v>
      </c>
      <c r="AU44" s="106">
        <v>5112</v>
      </c>
      <c r="AV44" s="106">
        <v>8</v>
      </c>
      <c r="AW44" s="106">
        <v>8179.2</v>
      </c>
      <c r="AX44" s="106">
        <v>8</v>
      </c>
      <c r="AY44" s="106">
        <v>8179.2</v>
      </c>
      <c r="AZ44" s="106">
        <v>8</v>
      </c>
      <c r="BA44" s="106">
        <v>8179.2</v>
      </c>
      <c r="BB44" s="106">
        <v>6</v>
      </c>
      <c r="BC44" s="106">
        <v>6134.4</v>
      </c>
      <c r="BD44" s="106">
        <v>7</v>
      </c>
      <c r="BE44" s="106">
        <v>7156.8</v>
      </c>
      <c r="BF44" s="106">
        <v>5.8969547759688901</v>
      </c>
      <c r="BG44" s="106">
        <v>6029.0465629505934</v>
      </c>
      <c r="BH44" s="106">
        <v>61</v>
      </c>
      <c r="BI44" s="106">
        <v>62366.400000000001</v>
      </c>
      <c r="BJ44" s="106">
        <v>57</v>
      </c>
      <c r="BK44" s="106">
        <v>58276.799999999996</v>
      </c>
      <c r="BL44" s="106">
        <v>47</v>
      </c>
      <c r="BM44" s="106">
        <v>48052.799999999996</v>
      </c>
      <c r="BN44" s="106">
        <v>55</v>
      </c>
      <c r="BO44" s="106">
        <v>56232</v>
      </c>
      <c r="BP44" s="106">
        <v>12</v>
      </c>
      <c r="BQ44" s="106">
        <v>12268.8</v>
      </c>
      <c r="BR44" s="106">
        <v>23</v>
      </c>
      <c r="BS44" s="106">
        <v>23515.200000000001</v>
      </c>
      <c r="BT44" s="106">
        <v>26</v>
      </c>
      <c r="BU44" s="106">
        <v>26582.399999999998</v>
      </c>
      <c r="BV44" s="106">
        <v>22</v>
      </c>
      <c r="BW44" s="106">
        <v>22492.799999999999</v>
      </c>
      <c r="BX44" s="106">
        <v>6</v>
      </c>
      <c r="BY44" s="106">
        <v>6134.4</v>
      </c>
      <c r="BZ44" s="106">
        <v>7</v>
      </c>
      <c r="CA44" s="106">
        <v>7156.8</v>
      </c>
      <c r="CB44" s="106">
        <v>8</v>
      </c>
      <c r="CC44" s="106">
        <v>8179.2</v>
      </c>
      <c r="CD44" s="106">
        <v>6</v>
      </c>
      <c r="CE44" s="106">
        <v>6134.4</v>
      </c>
      <c r="CF44" s="106">
        <v>29</v>
      </c>
      <c r="CG44" s="106">
        <v>29649.599999999999</v>
      </c>
      <c r="CH44" s="106">
        <v>28</v>
      </c>
      <c r="CI44" s="106">
        <v>28627.200000000001</v>
      </c>
      <c r="CJ44" s="106">
        <v>30</v>
      </c>
      <c r="CK44" s="106">
        <v>30672</v>
      </c>
      <c r="CL44" s="106">
        <v>19</v>
      </c>
      <c r="CM44" s="106">
        <v>19425.599999999999</v>
      </c>
      <c r="CN44" s="106">
        <v>13</v>
      </c>
      <c r="CO44" s="106">
        <v>13291.199999999999</v>
      </c>
      <c r="CP44" s="106">
        <v>10</v>
      </c>
      <c r="CQ44" s="106">
        <v>10224</v>
      </c>
      <c r="CR44" s="106">
        <v>16</v>
      </c>
      <c r="CS44" s="106">
        <v>16358.4</v>
      </c>
      <c r="CT44" s="106">
        <v>11</v>
      </c>
      <c r="CU44" s="106">
        <v>11246.4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54</v>
      </c>
      <c r="G45" s="106">
        <v>67456.800000000003</v>
      </c>
      <c r="H45" s="106">
        <v>35</v>
      </c>
      <c r="I45" s="106">
        <v>43722</v>
      </c>
      <c r="J45" s="106">
        <v>40</v>
      </c>
      <c r="K45" s="106">
        <v>49968</v>
      </c>
      <c r="L45" s="106">
        <v>32</v>
      </c>
      <c r="M45" s="106">
        <v>39974.400000000001</v>
      </c>
      <c r="N45" s="106">
        <v>39</v>
      </c>
      <c r="O45" s="106">
        <v>48718.8</v>
      </c>
      <c r="P45" s="106">
        <v>31</v>
      </c>
      <c r="Q45" s="106">
        <v>38725.200000000004</v>
      </c>
      <c r="R45" s="106">
        <v>43</v>
      </c>
      <c r="S45" s="106">
        <v>53715.6</v>
      </c>
      <c r="T45" s="106">
        <v>8</v>
      </c>
      <c r="U45" s="106">
        <v>9993.6</v>
      </c>
      <c r="V45" s="106">
        <v>7</v>
      </c>
      <c r="W45" s="106">
        <v>8744.4</v>
      </c>
      <c r="X45" s="106">
        <v>13</v>
      </c>
      <c r="Y45" s="106">
        <v>16239.6</v>
      </c>
      <c r="Z45" s="106">
        <v>8</v>
      </c>
      <c r="AA45" s="106">
        <v>9993.6</v>
      </c>
      <c r="AB45" s="106">
        <v>12</v>
      </c>
      <c r="AC45" s="106">
        <v>14990.400000000001</v>
      </c>
      <c r="AD45" s="106">
        <v>9</v>
      </c>
      <c r="AE45" s="106">
        <v>11242.800000000001</v>
      </c>
      <c r="AF45" s="106">
        <v>9</v>
      </c>
      <c r="AG45" s="106">
        <v>11242.800000000001</v>
      </c>
      <c r="AH45" s="106">
        <v>9</v>
      </c>
      <c r="AI45" s="106">
        <v>11242.800000000001</v>
      </c>
      <c r="AJ45" s="106">
        <v>8</v>
      </c>
      <c r="AK45" s="106">
        <v>9993.6</v>
      </c>
      <c r="AL45" s="106">
        <v>12</v>
      </c>
      <c r="AM45" s="106">
        <v>14990.400000000001</v>
      </c>
      <c r="AN45" s="106">
        <v>10</v>
      </c>
      <c r="AO45" s="106">
        <v>12492</v>
      </c>
      <c r="AP45" s="106">
        <v>8</v>
      </c>
      <c r="AQ45" s="106">
        <v>9993.6</v>
      </c>
      <c r="AR45" s="106">
        <v>5</v>
      </c>
      <c r="AS45" s="106">
        <v>6246</v>
      </c>
      <c r="AT45" s="106">
        <v>5</v>
      </c>
      <c r="AU45" s="106">
        <v>6246</v>
      </c>
      <c r="AV45" s="106">
        <v>7</v>
      </c>
      <c r="AW45" s="106">
        <v>8744.4</v>
      </c>
      <c r="AX45" s="106">
        <v>8</v>
      </c>
      <c r="AY45" s="106">
        <v>9993.6</v>
      </c>
      <c r="AZ45" s="106">
        <v>8</v>
      </c>
      <c r="BA45" s="106">
        <v>9993.6</v>
      </c>
      <c r="BB45" s="106">
        <v>7</v>
      </c>
      <c r="BC45" s="106">
        <v>8744.4</v>
      </c>
      <c r="BD45" s="106">
        <v>6</v>
      </c>
      <c r="BE45" s="106">
        <v>7495.2000000000007</v>
      </c>
      <c r="BF45" s="106">
        <v>5.1598354289727784</v>
      </c>
      <c r="BG45" s="106">
        <v>6445.6664178727951</v>
      </c>
      <c r="BH45" s="106">
        <v>61</v>
      </c>
      <c r="BI45" s="106">
        <v>76201.2</v>
      </c>
      <c r="BJ45" s="106">
        <v>49</v>
      </c>
      <c r="BK45" s="106">
        <v>61210.8</v>
      </c>
      <c r="BL45" s="106">
        <v>48</v>
      </c>
      <c r="BM45" s="106">
        <v>59961.600000000006</v>
      </c>
      <c r="BN45" s="106">
        <v>50</v>
      </c>
      <c r="BO45" s="106">
        <v>62460</v>
      </c>
      <c r="BP45" s="106">
        <v>13</v>
      </c>
      <c r="BQ45" s="106">
        <v>16239.6</v>
      </c>
      <c r="BR45" s="106">
        <v>19</v>
      </c>
      <c r="BS45" s="106">
        <v>23734.799999999999</v>
      </c>
      <c r="BT45" s="106">
        <v>25</v>
      </c>
      <c r="BU45" s="106">
        <v>31230</v>
      </c>
      <c r="BV45" s="106">
        <v>21</v>
      </c>
      <c r="BW45" s="106">
        <v>26233.200000000001</v>
      </c>
      <c r="BX45" s="106">
        <v>5</v>
      </c>
      <c r="BY45" s="106">
        <v>6246</v>
      </c>
      <c r="BZ45" s="106">
        <v>6</v>
      </c>
      <c r="CA45" s="106">
        <v>7495.2000000000007</v>
      </c>
      <c r="CB45" s="106">
        <v>7</v>
      </c>
      <c r="CC45" s="106">
        <v>8744.4</v>
      </c>
      <c r="CD45" s="106">
        <v>6</v>
      </c>
      <c r="CE45" s="106">
        <v>7495.2000000000007</v>
      </c>
      <c r="CF45" s="106">
        <v>28</v>
      </c>
      <c r="CG45" s="106">
        <v>34977.599999999999</v>
      </c>
      <c r="CH45" s="106">
        <v>29</v>
      </c>
      <c r="CI45" s="106">
        <v>36226.800000000003</v>
      </c>
      <c r="CJ45" s="106">
        <v>28</v>
      </c>
      <c r="CK45" s="106">
        <v>34977.599999999999</v>
      </c>
      <c r="CL45" s="106">
        <v>20</v>
      </c>
      <c r="CM45" s="106">
        <v>24984</v>
      </c>
      <c r="CN45" s="106">
        <v>12</v>
      </c>
      <c r="CO45" s="106">
        <v>14990.400000000001</v>
      </c>
      <c r="CP45" s="106">
        <v>9</v>
      </c>
      <c r="CQ45" s="106">
        <v>11242.800000000001</v>
      </c>
      <c r="CR45" s="106">
        <v>17</v>
      </c>
      <c r="CS45" s="106">
        <v>21236.400000000001</v>
      </c>
      <c r="CT45" s="106">
        <v>9</v>
      </c>
      <c r="CU45" s="106">
        <v>11242.800000000001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57</v>
      </c>
      <c r="G46" s="106">
        <v>69084</v>
      </c>
      <c r="H46" s="106">
        <v>38</v>
      </c>
      <c r="I46" s="106">
        <v>46056</v>
      </c>
      <c r="J46" s="106">
        <v>41</v>
      </c>
      <c r="K46" s="106">
        <v>49692</v>
      </c>
      <c r="L46" s="106">
        <v>32</v>
      </c>
      <c r="M46" s="106">
        <v>38784</v>
      </c>
      <c r="N46" s="106">
        <v>44</v>
      </c>
      <c r="O46" s="106">
        <v>53328</v>
      </c>
      <c r="P46" s="106">
        <v>30</v>
      </c>
      <c r="Q46" s="106">
        <v>36360</v>
      </c>
      <c r="R46" s="106">
        <v>46</v>
      </c>
      <c r="S46" s="106">
        <v>55752</v>
      </c>
      <c r="T46" s="106">
        <v>8</v>
      </c>
      <c r="U46" s="106">
        <v>9696</v>
      </c>
      <c r="V46" s="106">
        <v>7</v>
      </c>
      <c r="W46" s="106">
        <v>8484</v>
      </c>
      <c r="X46" s="106">
        <v>13</v>
      </c>
      <c r="Y46" s="106">
        <v>15756</v>
      </c>
      <c r="Z46" s="106">
        <v>7</v>
      </c>
      <c r="AA46" s="106">
        <v>8484</v>
      </c>
      <c r="AB46" s="106">
        <v>11</v>
      </c>
      <c r="AC46" s="106">
        <v>13332</v>
      </c>
      <c r="AD46" s="106">
        <v>9</v>
      </c>
      <c r="AE46" s="106">
        <v>10908</v>
      </c>
      <c r="AF46" s="106">
        <v>10</v>
      </c>
      <c r="AG46" s="106">
        <v>12120</v>
      </c>
      <c r="AH46" s="106">
        <v>8</v>
      </c>
      <c r="AI46" s="106">
        <v>9696</v>
      </c>
      <c r="AJ46" s="106">
        <v>7</v>
      </c>
      <c r="AK46" s="106">
        <v>8484</v>
      </c>
      <c r="AL46" s="106">
        <v>10</v>
      </c>
      <c r="AM46" s="106">
        <v>12120</v>
      </c>
      <c r="AN46" s="106">
        <v>10</v>
      </c>
      <c r="AO46" s="106">
        <v>12120</v>
      </c>
      <c r="AP46" s="106">
        <v>9</v>
      </c>
      <c r="AQ46" s="106">
        <v>10908</v>
      </c>
      <c r="AR46" s="106">
        <v>5</v>
      </c>
      <c r="AS46" s="106">
        <v>6060</v>
      </c>
      <c r="AT46" s="106">
        <v>5</v>
      </c>
      <c r="AU46" s="106">
        <v>6060</v>
      </c>
      <c r="AV46" s="106">
        <v>7</v>
      </c>
      <c r="AW46" s="106">
        <v>8484</v>
      </c>
      <c r="AX46" s="106">
        <v>7</v>
      </c>
      <c r="AY46" s="106">
        <v>8484</v>
      </c>
      <c r="AZ46" s="106">
        <v>8</v>
      </c>
      <c r="BA46" s="106">
        <v>9696</v>
      </c>
      <c r="BB46" s="106">
        <v>6</v>
      </c>
      <c r="BC46" s="106">
        <v>7272</v>
      </c>
      <c r="BD46" s="106">
        <v>7</v>
      </c>
      <c r="BE46" s="106">
        <v>8484</v>
      </c>
      <c r="BF46" s="106">
        <v>5.1598354289727784</v>
      </c>
      <c r="BG46" s="106">
        <v>6253.7205399150071</v>
      </c>
      <c r="BH46" s="106">
        <v>60</v>
      </c>
      <c r="BI46" s="106">
        <v>72720</v>
      </c>
      <c r="BJ46" s="106">
        <v>53</v>
      </c>
      <c r="BK46" s="106">
        <v>64236</v>
      </c>
      <c r="BL46" s="106">
        <v>45</v>
      </c>
      <c r="BM46" s="106">
        <v>54540</v>
      </c>
      <c r="BN46" s="106">
        <v>48</v>
      </c>
      <c r="BO46" s="106">
        <v>58176</v>
      </c>
      <c r="BP46" s="106">
        <v>13</v>
      </c>
      <c r="BQ46" s="106">
        <v>15756</v>
      </c>
      <c r="BR46" s="106">
        <v>21</v>
      </c>
      <c r="BS46" s="106">
        <v>25452</v>
      </c>
      <c r="BT46" s="106">
        <v>25</v>
      </c>
      <c r="BU46" s="106">
        <v>30300</v>
      </c>
      <c r="BV46" s="106">
        <v>21</v>
      </c>
      <c r="BW46" s="106">
        <v>25452</v>
      </c>
      <c r="BX46" s="106">
        <v>6</v>
      </c>
      <c r="BY46" s="106">
        <v>7272</v>
      </c>
      <c r="BZ46" s="106">
        <v>7</v>
      </c>
      <c r="CA46" s="106">
        <v>8484</v>
      </c>
      <c r="CB46" s="106">
        <v>7</v>
      </c>
      <c r="CC46" s="106">
        <v>8484</v>
      </c>
      <c r="CD46" s="106">
        <v>6</v>
      </c>
      <c r="CE46" s="106">
        <v>7272</v>
      </c>
      <c r="CF46" s="106">
        <v>24</v>
      </c>
      <c r="CG46" s="106">
        <v>29088</v>
      </c>
      <c r="CH46" s="106">
        <v>30</v>
      </c>
      <c r="CI46" s="106">
        <v>36360</v>
      </c>
      <c r="CJ46" s="106">
        <v>29</v>
      </c>
      <c r="CK46" s="106">
        <v>35148</v>
      </c>
      <c r="CL46" s="106">
        <v>18</v>
      </c>
      <c r="CM46" s="106">
        <v>21816</v>
      </c>
      <c r="CN46" s="106">
        <v>11</v>
      </c>
      <c r="CO46" s="106">
        <v>13332</v>
      </c>
      <c r="CP46" s="106">
        <v>9</v>
      </c>
      <c r="CQ46" s="106">
        <v>10908</v>
      </c>
      <c r="CR46" s="106">
        <v>15</v>
      </c>
      <c r="CS46" s="106">
        <v>18180</v>
      </c>
      <c r="CT46" s="106">
        <v>9</v>
      </c>
      <c r="CU46" s="106">
        <v>10908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50</v>
      </c>
      <c r="G47" s="106">
        <v>76380</v>
      </c>
      <c r="H47" s="106">
        <v>39</v>
      </c>
      <c r="I47" s="106">
        <v>59576.399999999994</v>
      </c>
      <c r="J47" s="106">
        <v>37</v>
      </c>
      <c r="K47" s="106">
        <v>56521.2</v>
      </c>
      <c r="L47" s="106">
        <v>34</v>
      </c>
      <c r="M47" s="106">
        <v>51938.399999999994</v>
      </c>
      <c r="N47" s="106">
        <v>36</v>
      </c>
      <c r="O47" s="106">
        <v>54993.599999999999</v>
      </c>
      <c r="P47" s="106">
        <v>29</v>
      </c>
      <c r="Q47" s="106">
        <v>44300.399999999994</v>
      </c>
      <c r="R47" s="106">
        <v>38</v>
      </c>
      <c r="S47" s="106">
        <v>58048.799999999996</v>
      </c>
      <c r="T47" s="106">
        <v>8</v>
      </c>
      <c r="U47" s="106">
        <v>12220.8</v>
      </c>
      <c r="V47" s="106">
        <v>8</v>
      </c>
      <c r="W47" s="106">
        <v>12220.8</v>
      </c>
      <c r="X47" s="106">
        <v>12</v>
      </c>
      <c r="Y47" s="106">
        <v>18331.199999999997</v>
      </c>
      <c r="Z47" s="106">
        <v>6</v>
      </c>
      <c r="AA47" s="106">
        <v>9165.5999999999985</v>
      </c>
      <c r="AB47" s="106">
        <v>11</v>
      </c>
      <c r="AC47" s="106">
        <v>16803.599999999999</v>
      </c>
      <c r="AD47" s="106">
        <v>9</v>
      </c>
      <c r="AE47" s="106">
        <v>13748.4</v>
      </c>
      <c r="AF47" s="106">
        <v>10</v>
      </c>
      <c r="AG47" s="106">
        <v>15276</v>
      </c>
      <c r="AH47" s="106">
        <v>9</v>
      </c>
      <c r="AI47" s="106">
        <v>13748.4</v>
      </c>
      <c r="AJ47" s="106">
        <v>7</v>
      </c>
      <c r="AK47" s="106">
        <v>10693.199999999999</v>
      </c>
      <c r="AL47" s="106">
        <v>12</v>
      </c>
      <c r="AM47" s="106">
        <v>18331.199999999997</v>
      </c>
      <c r="AN47" s="106">
        <v>10</v>
      </c>
      <c r="AO47" s="106">
        <v>15276</v>
      </c>
      <c r="AP47" s="106">
        <v>8</v>
      </c>
      <c r="AQ47" s="106">
        <v>12220.8</v>
      </c>
      <c r="AR47" s="106">
        <v>6</v>
      </c>
      <c r="AS47" s="106">
        <v>9165.5999999999985</v>
      </c>
      <c r="AT47" s="106">
        <v>5</v>
      </c>
      <c r="AU47" s="106">
        <v>7638</v>
      </c>
      <c r="AV47" s="106">
        <v>6</v>
      </c>
      <c r="AW47" s="106">
        <v>9165.5999999999985</v>
      </c>
      <c r="AX47" s="106">
        <v>7</v>
      </c>
      <c r="AY47" s="106">
        <v>10693.199999999999</v>
      </c>
      <c r="AZ47" s="106">
        <v>9</v>
      </c>
      <c r="BA47" s="106">
        <v>13748.4</v>
      </c>
      <c r="BB47" s="106">
        <v>7</v>
      </c>
      <c r="BC47" s="106">
        <v>10693.199999999999</v>
      </c>
      <c r="BD47" s="106">
        <v>6</v>
      </c>
      <c r="BE47" s="106">
        <v>9165.5999999999985</v>
      </c>
      <c r="BF47" s="106">
        <v>5.8969547759688901</v>
      </c>
      <c r="BG47" s="106">
        <v>9008.1881157700755</v>
      </c>
      <c r="BH47" s="106">
        <v>50</v>
      </c>
      <c r="BI47" s="106">
        <v>76380</v>
      </c>
      <c r="BJ47" s="106">
        <v>51</v>
      </c>
      <c r="BK47" s="106">
        <v>77907.599999999991</v>
      </c>
      <c r="BL47" s="106">
        <v>40</v>
      </c>
      <c r="BM47" s="106">
        <v>61104</v>
      </c>
      <c r="BN47" s="106">
        <v>50</v>
      </c>
      <c r="BO47" s="106">
        <v>76380</v>
      </c>
      <c r="BP47" s="106">
        <v>14</v>
      </c>
      <c r="BQ47" s="106">
        <v>21386.399999999998</v>
      </c>
      <c r="BR47" s="106">
        <v>22</v>
      </c>
      <c r="BS47" s="106">
        <v>33607.199999999997</v>
      </c>
      <c r="BT47" s="106">
        <v>21</v>
      </c>
      <c r="BU47" s="106">
        <v>32079.599999999999</v>
      </c>
      <c r="BV47" s="106">
        <v>23</v>
      </c>
      <c r="BW47" s="106">
        <v>35134.799999999996</v>
      </c>
      <c r="BX47" s="106">
        <v>5</v>
      </c>
      <c r="BY47" s="106">
        <v>7638</v>
      </c>
      <c r="BZ47" s="106">
        <v>7</v>
      </c>
      <c r="CA47" s="106">
        <v>10693.199999999999</v>
      </c>
      <c r="CB47" s="106">
        <v>8</v>
      </c>
      <c r="CC47" s="106">
        <v>12220.8</v>
      </c>
      <c r="CD47" s="106">
        <v>6</v>
      </c>
      <c r="CE47" s="106">
        <v>9165.5999999999985</v>
      </c>
      <c r="CF47" s="106">
        <v>23</v>
      </c>
      <c r="CG47" s="106">
        <v>35134.799999999996</v>
      </c>
      <c r="CH47" s="106">
        <v>30</v>
      </c>
      <c r="CI47" s="106">
        <v>45828</v>
      </c>
      <c r="CJ47" s="106">
        <v>30</v>
      </c>
      <c r="CK47" s="106">
        <v>45828</v>
      </c>
      <c r="CL47" s="106">
        <v>18</v>
      </c>
      <c r="CM47" s="106">
        <v>27496.799999999999</v>
      </c>
      <c r="CN47" s="106">
        <v>12</v>
      </c>
      <c r="CO47" s="106">
        <v>18331.199999999997</v>
      </c>
      <c r="CP47" s="106">
        <v>10</v>
      </c>
      <c r="CQ47" s="106">
        <v>15276</v>
      </c>
      <c r="CR47" s="106">
        <v>17</v>
      </c>
      <c r="CS47" s="106">
        <v>25969.199999999997</v>
      </c>
      <c r="CT47" s="106">
        <v>9</v>
      </c>
      <c r="CU47" s="106">
        <v>13748.4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61</v>
      </c>
      <c r="G48" s="106">
        <v>52923.6</v>
      </c>
      <c r="H48" s="106">
        <v>37</v>
      </c>
      <c r="I48" s="106">
        <v>32101.200000000001</v>
      </c>
      <c r="J48" s="106">
        <v>43</v>
      </c>
      <c r="K48" s="106">
        <v>37306.800000000003</v>
      </c>
      <c r="L48" s="106">
        <v>33</v>
      </c>
      <c r="M48" s="106">
        <v>28630.799999999999</v>
      </c>
      <c r="N48" s="106">
        <v>40</v>
      </c>
      <c r="O48" s="106">
        <v>34704</v>
      </c>
      <c r="P48" s="106">
        <v>29</v>
      </c>
      <c r="Q48" s="106">
        <v>25160.400000000001</v>
      </c>
      <c r="R48" s="106">
        <v>46</v>
      </c>
      <c r="S48" s="106">
        <v>39909.599999999999</v>
      </c>
      <c r="T48" s="106">
        <v>8</v>
      </c>
      <c r="U48" s="106">
        <v>6940.8</v>
      </c>
      <c r="V48" s="106">
        <v>8</v>
      </c>
      <c r="W48" s="106">
        <v>6940.8</v>
      </c>
      <c r="X48" s="106">
        <v>12</v>
      </c>
      <c r="Y48" s="106">
        <v>10411.200000000001</v>
      </c>
      <c r="Z48" s="106">
        <v>8</v>
      </c>
      <c r="AA48" s="106">
        <v>6940.8</v>
      </c>
      <c r="AB48" s="106">
        <v>11</v>
      </c>
      <c r="AC48" s="106">
        <v>9543.6</v>
      </c>
      <c r="AD48" s="106">
        <v>10</v>
      </c>
      <c r="AE48" s="106">
        <v>8676</v>
      </c>
      <c r="AF48" s="106">
        <v>9</v>
      </c>
      <c r="AG48" s="106">
        <v>7808.4000000000005</v>
      </c>
      <c r="AH48" s="106">
        <v>9</v>
      </c>
      <c r="AI48" s="106">
        <v>7808.4000000000005</v>
      </c>
      <c r="AJ48" s="106">
        <v>7</v>
      </c>
      <c r="AK48" s="106">
        <v>6073.2</v>
      </c>
      <c r="AL48" s="106">
        <v>12</v>
      </c>
      <c r="AM48" s="106">
        <v>10411.200000000001</v>
      </c>
      <c r="AN48" s="106">
        <v>11</v>
      </c>
      <c r="AO48" s="106">
        <v>9543.6</v>
      </c>
      <c r="AP48" s="106">
        <v>8</v>
      </c>
      <c r="AQ48" s="106">
        <v>6940.8</v>
      </c>
      <c r="AR48" s="106">
        <v>5</v>
      </c>
      <c r="AS48" s="106">
        <v>4338</v>
      </c>
      <c r="AT48" s="106">
        <v>5</v>
      </c>
      <c r="AU48" s="106">
        <v>4338</v>
      </c>
      <c r="AV48" s="106">
        <v>7</v>
      </c>
      <c r="AW48" s="106">
        <v>6073.2</v>
      </c>
      <c r="AX48" s="106">
        <v>7</v>
      </c>
      <c r="AY48" s="106">
        <v>6073.2</v>
      </c>
      <c r="AZ48" s="106">
        <v>8</v>
      </c>
      <c r="BA48" s="106">
        <v>6940.8</v>
      </c>
      <c r="BB48" s="106">
        <v>7</v>
      </c>
      <c r="BC48" s="106">
        <v>6073.2</v>
      </c>
      <c r="BD48" s="106">
        <v>6</v>
      </c>
      <c r="BE48" s="106">
        <v>5205.6000000000004</v>
      </c>
      <c r="BF48" s="106">
        <v>5.1598354289727784</v>
      </c>
      <c r="BG48" s="106">
        <v>4476.6732181767829</v>
      </c>
      <c r="BH48" s="106">
        <v>63</v>
      </c>
      <c r="BI48" s="106">
        <v>54658.8</v>
      </c>
      <c r="BJ48" s="106">
        <v>58</v>
      </c>
      <c r="BK48" s="106">
        <v>50320.800000000003</v>
      </c>
      <c r="BL48" s="106">
        <v>50</v>
      </c>
      <c r="BM48" s="106">
        <v>43380</v>
      </c>
      <c r="BN48" s="106">
        <v>52</v>
      </c>
      <c r="BO48" s="106">
        <v>45115.200000000004</v>
      </c>
      <c r="BP48" s="106">
        <v>14</v>
      </c>
      <c r="BQ48" s="106">
        <v>12146.4</v>
      </c>
      <c r="BR48" s="106">
        <v>22</v>
      </c>
      <c r="BS48" s="106">
        <v>19087.2</v>
      </c>
      <c r="BT48" s="106">
        <v>24</v>
      </c>
      <c r="BU48" s="106">
        <v>20822.400000000001</v>
      </c>
      <c r="BV48" s="106">
        <v>25</v>
      </c>
      <c r="BW48" s="106">
        <v>21690</v>
      </c>
      <c r="BX48" s="106">
        <v>5</v>
      </c>
      <c r="BY48" s="106">
        <v>4338</v>
      </c>
      <c r="BZ48" s="106">
        <v>8</v>
      </c>
      <c r="CA48" s="106">
        <v>6940.8</v>
      </c>
      <c r="CB48" s="106">
        <v>8</v>
      </c>
      <c r="CC48" s="106">
        <v>6940.8</v>
      </c>
      <c r="CD48" s="106">
        <v>6</v>
      </c>
      <c r="CE48" s="106">
        <v>5205.6000000000004</v>
      </c>
      <c r="CF48" s="106">
        <v>27</v>
      </c>
      <c r="CG48" s="106">
        <v>23425.200000000001</v>
      </c>
      <c r="CH48" s="106">
        <v>31</v>
      </c>
      <c r="CI48" s="106">
        <v>26895.600000000002</v>
      </c>
      <c r="CJ48" s="106">
        <v>29</v>
      </c>
      <c r="CK48" s="106">
        <v>25160.400000000001</v>
      </c>
      <c r="CL48" s="106">
        <v>19</v>
      </c>
      <c r="CM48" s="106">
        <v>16484.400000000001</v>
      </c>
      <c r="CN48" s="106">
        <v>12</v>
      </c>
      <c r="CO48" s="106">
        <v>10411.200000000001</v>
      </c>
      <c r="CP48" s="106">
        <v>9</v>
      </c>
      <c r="CQ48" s="106">
        <v>7808.4000000000005</v>
      </c>
      <c r="CR48" s="106">
        <v>18</v>
      </c>
      <c r="CS48" s="106">
        <v>15616.800000000001</v>
      </c>
      <c r="CT48" s="106">
        <v>10</v>
      </c>
      <c r="CU48" s="106">
        <v>8676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18</v>
      </c>
      <c r="G49" s="106">
        <v>17733.599999999999</v>
      </c>
      <c r="H49" s="106">
        <v>15</v>
      </c>
      <c r="I49" s="106">
        <v>14777.999999999998</v>
      </c>
      <c r="J49" s="106">
        <v>17</v>
      </c>
      <c r="K49" s="106">
        <v>16748.399999999998</v>
      </c>
      <c r="L49" s="106">
        <v>33.539029022436395</v>
      </c>
      <c r="M49" s="106">
        <v>33042.651392904336</v>
      </c>
      <c r="N49" s="106">
        <v>25.531982139139355</v>
      </c>
      <c r="O49" s="106">
        <v>25154.108803480092</v>
      </c>
      <c r="P49" s="106">
        <v>29.367494018164145</v>
      </c>
      <c r="Q49" s="106">
        <v>28932.855106695315</v>
      </c>
      <c r="R49" s="106">
        <v>18.317508260468685</v>
      </c>
      <c r="S49" s="106">
        <v>18046.409138213749</v>
      </c>
      <c r="T49" s="106">
        <v>19.169464288373185</v>
      </c>
      <c r="U49" s="106">
        <v>18885.756216905262</v>
      </c>
      <c r="V49" s="106">
        <v>19.184891452360176</v>
      </c>
      <c r="W49" s="106">
        <v>18900.955058865246</v>
      </c>
      <c r="X49" s="106">
        <v>16.216981736288535</v>
      </c>
      <c r="Y49" s="106">
        <v>15976.970406591463</v>
      </c>
      <c r="Z49" s="106">
        <v>19.235006662707868</v>
      </c>
      <c r="AA49" s="106">
        <v>18950.328564099789</v>
      </c>
      <c r="AB49" s="106">
        <v>4.3478546964543527</v>
      </c>
      <c r="AC49" s="106">
        <v>4283.506446946828</v>
      </c>
      <c r="AD49" s="106">
        <v>6.3917975228691937</v>
      </c>
      <c r="AE49" s="106">
        <v>6297.1989195307287</v>
      </c>
      <c r="AF49" s="106">
        <v>5.4488233612706161</v>
      </c>
      <c r="AG49" s="106">
        <v>5368.1807755238106</v>
      </c>
      <c r="AH49" s="106">
        <v>5.299644995831307</v>
      </c>
      <c r="AI49" s="106">
        <v>5221.2102498930035</v>
      </c>
      <c r="AJ49" s="106">
        <v>7.0420030633011228</v>
      </c>
      <c r="AK49" s="106">
        <v>6937.7814179642655</v>
      </c>
      <c r="AL49" s="106">
        <v>6.9771016302140429</v>
      </c>
      <c r="AM49" s="106">
        <v>6873.8405260868749</v>
      </c>
      <c r="AN49" s="106">
        <v>6.8429499573443557</v>
      </c>
      <c r="AO49" s="106">
        <v>6741.6742979756591</v>
      </c>
      <c r="AP49" s="106">
        <v>6.6696346277446308</v>
      </c>
      <c r="AQ49" s="106">
        <v>6570.9240352540101</v>
      </c>
      <c r="AR49" s="106">
        <v>9.2979605581928393</v>
      </c>
      <c r="AS49" s="106">
        <v>9160.3507419315847</v>
      </c>
      <c r="AT49" s="106">
        <v>7</v>
      </c>
      <c r="AU49" s="106">
        <v>6896.4</v>
      </c>
      <c r="AV49" s="106">
        <v>9</v>
      </c>
      <c r="AW49" s="106">
        <v>8866.7999999999993</v>
      </c>
      <c r="AX49" s="106">
        <v>10</v>
      </c>
      <c r="AY49" s="106">
        <v>9852</v>
      </c>
      <c r="AZ49" s="106">
        <v>41</v>
      </c>
      <c r="BA49" s="106">
        <v>40393.199999999997</v>
      </c>
      <c r="BB49" s="106">
        <v>29</v>
      </c>
      <c r="BC49" s="106">
        <v>28570.799999999999</v>
      </c>
      <c r="BD49" s="106">
        <v>32</v>
      </c>
      <c r="BE49" s="106">
        <v>31526.399999999998</v>
      </c>
      <c r="BF49" s="106">
        <v>31</v>
      </c>
      <c r="BG49" s="106">
        <v>30541.199999999997</v>
      </c>
      <c r="BH49" s="106">
        <v>5</v>
      </c>
      <c r="BI49" s="106">
        <v>4926</v>
      </c>
      <c r="BJ49" s="106">
        <v>5</v>
      </c>
      <c r="BK49" s="106">
        <v>4926</v>
      </c>
      <c r="BL49" s="106">
        <v>5.5106787110704234</v>
      </c>
      <c r="BM49" s="106">
        <v>5429.1206661465803</v>
      </c>
      <c r="BN49" s="106">
        <v>5.7997233095685967</v>
      </c>
      <c r="BO49" s="106">
        <v>5713.8874045869807</v>
      </c>
      <c r="BP49" s="106">
        <v>4.7235602961551706</v>
      </c>
      <c r="BQ49" s="106">
        <v>4653.6516037720739</v>
      </c>
      <c r="BR49" s="106">
        <v>7.6173428368119875</v>
      </c>
      <c r="BS49" s="106">
        <v>7504.60616282717</v>
      </c>
      <c r="BT49" s="106">
        <v>4.9325636346331923</v>
      </c>
      <c r="BU49" s="106">
        <v>4859.5616928406207</v>
      </c>
      <c r="BV49" s="106">
        <v>4.7737951302277715</v>
      </c>
      <c r="BW49" s="106">
        <v>4703.1429623004005</v>
      </c>
      <c r="BX49" s="106">
        <v>5</v>
      </c>
      <c r="BY49" s="106">
        <v>4926</v>
      </c>
      <c r="BZ49" s="106">
        <v>5</v>
      </c>
      <c r="CA49" s="106">
        <v>4926</v>
      </c>
      <c r="CB49" s="106">
        <v>6</v>
      </c>
      <c r="CC49" s="106">
        <v>5911.2</v>
      </c>
      <c r="CD49" s="106">
        <v>8</v>
      </c>
      <c r="CE49" s="106">
        <v>7881.5999999999995</v>
      </c>
      <c r="CF49" s="106">
        <v>8.8286808480534162</v>
      </c>
      <c r="CG49" s="106">
        <v>8698.0163715022245</v>
      </c>
      <c r="CH49" s="106">
        <v>11.797588418750207</v>
      </c>
      <c r="CI49" s="106">
        <v>11622.984110152704</v>
      </c>
      <c r="CJ49" s="106">
        <v>10.219413179485112</v>
      </c>
      <c r="CK49" s="106">
        <v>10068.165864428733</v>
      </c>
      <c r="CL49" s="106">
        <v>7</v>
      </c>
      <c r="CM49" s="106">
        <v>6896.4</v>
      </c>
      <c r="CN49" s="106">
        <v>22</v>
      </c>
      <c r="CO49" s="106">
        <v>21674.399999999998</v>
      </c>
      <c r="CP49" s="106">
        <v>34.71053876157427</v>
      </c>
      <c r="CQ49" s="106">
        <v>34196.822787902966</v>
      </c>
      <c r="CR49" s="106">
        <v>30.506197033712642</v>
      </c>
      <c r="CS49" s="106">
        <v>30054.705317613694</v>
      </c>
      <c r="CT49" s="106">
        <v>23</v>
      </c>
      <c r="CU49" s="106">
        <v>22659.599999999999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19</v>
      </c>
      <c r="G50" s="106">
        <v>5358</v>
      </c>
      <c r="H50" s="106">
        <v>18</v>
      </c>
      <c r="I50" s="106">
        <v>5076</v>
      </c>
      <c r="J50" s="106">
        <v>17</v>
      </c>
      <c r="K50" s="106">
        <v>4794</v>
      </c>
      <c r="L50" s="106">
        <v>35</v>
      </c>
      <c r="M50" s="106">
        <v>9870</v>
      </c>
      <c r="N50" s="106">
        <v>25</v>
      </c>
      <c r="O50" s="106">
        <v>7050</v>
      </c>
      <c r="P50" s="106">
        <v>36</v>
      </c>
      <c r="Q50" s="106">
        <v>10152</v>
      </c>
      <c r="R50" s="106">
        <v>19</v>
      </c>
      <c r="S50" s="106">
        <v>5358</v>
      </c>
      <c r="T50" s="106">
        <v>22</v>
      </c>
      <c r="U50" s="106">
        <v>6204</v>
      </c>
      <c r="V50" s="106">
        <v>23</v>
      </c>
      <c r="W50" s="106">
        <v>6486</v>
      </c>
      <c r="X50" s="106">
        <v>17</v>
      </c>
      <c r="Y50" s="106">
        <v>4794</v>
      </c>
      <c r="Z50" s="106">
        <v>17</v>
      </c>
      <c r="AA50" s="106">
        <v>4794</v>
      </c>
      <c r="AB50" s="106">
        <v>4</v>
      </c>
      <c r="AC50" s="106">
        <v>1128</v>
      </c>
      <c r="AD50" s="106">
        <v>6</v>
      </c>
      <c r="AE50" s="106">
        <v>1692</v>
      </c>
      <c r="AF50" s="106">
        <v>5</v>
      </c>
      <c r="AG50" s="106">
        <v>1410</v>
      </c>
      <c r="AH50" s="106">
        <v>5</v>
      </c>
      <c r="AI50" s="106">
        <v>1410</v>
      </c>
      <c r="AJ50" s="106">
        <v>6</v>
      </c>
      <c r="AK50" s="106">
        <v>1692</v>
      </c>
      <c r="AL50" s="106">
        <v>6</v>
      </c>
      <c r="AM50" s="106">
        <v>1692</v>
      </c>
      <c r="AN50" s="106">
        <v>6</v>
      </c>
      <c r="AO50" s="106">
        <v>1692</v>
      </c>
      <c r="AP50" s="106">
        <v>7</v>
      </c>
      <c r="AQ50" s="106">
        <v>1974</v>
      </c>
      <c r="AR50" s="106">
        <v>10</v>
      </c>
      <c r="AS50" s="106">
        <v>2820</v>
      </c>
      <c r="AT50" s="106">
        <v>8</v>
      </c>
      <c r="AU50" s="106">
        <v>2256</v>
      </c>
      <c r="AV50" s="106">
        <v>10</v>
      </c>
      <c r="AW50" s="106">
        <v>2820</v>
      </c>
      <c r="AX50" s="106">
        <v>9</v>
      </c>
      <c r="AY50" s="106">
        <v>2538</v>
      </c>
      <c r="AZ50" s="106">
        <v>46</v>
      </c>
      <c r="BA50" s="106">
        <v>12972</v>
      </c>
      <c r="BB50" s="106">
        <v>37</v>
      </c>
      <c r="BC50" s="106">
        <v>10434</v>
      </c>
      <c r="BD50" s="106">
        <v>34</v>
      </c>
      <c r="BE50" s="106">
        <v>9588</v>
      </c>
      <c r="BF50" s="106">
        <v>25.79917714486389</v>
      </c>
      <c r="BG50" s="106">
        <v>7275.3679548516166</v>
      </c>
      <c r="BH50" s="106">
        <v>5</v>
      </c>
      <c r="BI50" s="106">
        <v>1410</v>
      </c>
      <c r="BJ50" s="106">
        <v>5</v>
      </c>
      <c r="BK50" s="106">
        <v>1410</v>
      </c>
      <c r="BL50" s="106">
        <v>5</v>
      </c>
      <c r="BM50" s="106">
        <v>1410</v>
      </c>
      <c r="BN50" s="106">
        <v>6</v>
      </c>
      <c r="BO50" s="106">
        <v>1692</v>
      </c>
      <c r="BP50" s="106">
        <v>4</v>
      </c>
      <c r="BQ50" s="106">
        <v>1128</v>
      </c>
      <c r="BR50" s="106">
        <v>7</v>
      </c>
      <c r="BS50" s="106">
        <v>1974</v>
      </c>
      <c r="BT50" s="106">
        <v>4</v>
      </c>
      <c r="BU50" s="106">
        <v>1128</v>
      </c>
      <c r="BV50" s="106">
        <v>4</v>
      </c>
      <c r="BW50" s="106">
        <v>1128</v>
      </c>
      <c r="BX50" s="106">
        <v>6</v>
      </c>
      <c r="BY50" s="106">
        <v>1692</v>
      </c>
      <c r="BZ50" s="106">
        <v>6</v>
      </c>
      <c r="CA50" s="106">
        <v>1692</v>
      </c>
      <c r="CB50" s="106">
        <v>7</v>
      </c>
      <c r="CC50" s="106">
        <v>1974</v>
      </c>
      <c r="CD50" s="106">
        <v>9</v>
      </c>
      <c r="CE50" s="106">
        <v>2538</v>
      </c>
      <c r="CF50" s="106">
        <v>8</v>
      </c>
      <c r="CG50" s="106">
        <v>2256</v>
      </c>
      <c r="CH50" s="106">
        <v>11</v>
      </c>
      <c r="CI50" s="106">
        <v>3102</v>
      </c>
      <c r="CJ50" s="106">
        <v>10</v>
      </c>
      <c r="CK50" s="106">
        <v>2820</v>
      </c>
      <c r="CL50" s="106">
        <v>7</v>
      </c>
      <c r="CM50" s="106">
        <v>1974</v>
      </c>
      <c r="CN50" s="106">
        <v>26</v>
      </c>
      <c r="CO50" s="106">
        <v>7332</v>
      </c>
      <c r="CP50" s="106">
        <v>33</v>
      </c>
      <c r="CQ50" s="106">
        <v>9306</v>
      </c>
      <c r="CR50" s="106">
        <v>35</v>
      </c>
      <c r="CS50" s="106">
        <v>9870</v>
      </c>
      <c r="CT50" s="106">
        <v>27</v>
      </c>
      <c r="CU50" s="106">
        <v>7614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16</v>
      </c>
      <c r="G51" s="106">
        <v>13670.4</v>
      </c>
      <c r="H51" s="106">
        <v>16</v>
      </c>
      <c r="I51" s="106">
        <v>13670.4</v>
      </c>
      <c r="J51" s="106">
        <v>17</v>
      </c>
      <c r="K51" s="106">
        <v>14524.8</v>
      </c>
      <c r="L51" s="106">
        <v>35</v>
      </c>
      <c r="M51" s="106">
        <v>29904</v>
      </c>
      <c r="N51" s="106">
        <v>28</v>
      </c>
      <c r="O51" s="106">
        <v>23923.200000000001</v>
      </c>
      <c r="P51" s="106">
        <v>29</v>
      </c>
      <c r="Q51" s="106">
        <v>24777.599999999999</v>
      </c>
      <c r="R51" s="106">
        <v>18</v>
      </c>
      <c r="S51" s="106">
        <v>15379.199999999999</v>
      </c>
      <c r="T51" s="106">
        <v>18</v>
      </c>
      <c r="U51" s="106">
        <v>15379.199999999999</v>
      </c>
      <c r="V51" s="106">
        <v>20</v>
      </c>
      <c r="W51" s="106">
        <v>17088</v>
      </c>
      <c r="X51" s="106">
        <v>18</v>
      </c>
      <c r="Y51" s="106">
        <v>15379.199999999999</v>
      </c>
      <c r="Z51" s="106">
        <v>16</v>
      </c>
      <c r="AA51" s="106">
        <v>13670.4</v>
      </c>
      <c r="AB51" s="106">
        <v>4</v>
      </c>
      <c r="AC51" s="106">
        <v>3417.6</v>
      </c>
      <c r="AD51" s="106">
        <v>6</v>
      </c>
      <c r="AE51" s="106">
        <v>5126.3999999999996</v>
      </c>
      <c r="AF51" s="106">
        <v>6</v>
      </c>
      <c r="AG51" s="106">
        <v>5126.3999999999996</v>
      </c>
      <c r="AH51" s="106">
        <v>5</v>
      </c>
      <c r="AI51" s="106">
        <v>4272</v>
      </c>
      <c r="AJ51" s="106">
        <v>5</v>
      </c>
      <c r="AK51" s="106">
        <v>4272</v>
      </c>
      <c r="AL51" s="106">
        <v>6</v>
      </c>
      <c r="AM51" s="106">
        <v>5126.3999999999996</v>
      </c>
      <c r="AN51" s="106">
        <v>6</v>
      </c>
      <c r="AO51" s="106">
        <v>5126.3999999999996</v>
      </c>
      <c r="AP51" s="106">
        <v>7</v>
      </c>
      <c r="AQ51" s="106">
        <v>5980.8</v>
      </c>
      <c r="AR51" s="106">
        <v>10</v>
      </c>
      <c r="AS51" s="106">
        <v>8544</v>
      </c>
      <c r="AT51" s="106">
        <v>8</v>
      </c>
      <c r="AU51" s="106">
        <v>6835.2</v>
      </c>
      <c r="AV51" s="106">
        <v>9</v>
      </c>
      <c r="AW51" s="106">
        <v>7689.5999999999995</v>
      </c>
      <c r="AX51" s="106">
        <v>9</v>
      </c>
      <c r="AY51" s="106">
        <v>7689.5999999999995</v>
      </c>
      <c r="AZ51" s="106">
        <v>47</v>
      </c>
      <c r="BA51" s="106">
        <v>40156.799999999996</v>
      </c>
      <c r="BB51" s="106">
        <v>31</v>
      </c>
      <c r="BC51" s="106">
        <v>26486.399999999998</v>
      </c>
      <c r="BD51" s="106">
        <v>32</v>
      </c>
      <c r="BE51" s="106">
        <v>27340.799999999999</v>
      </c>
      <c r="BF51" s="106">
        <v>24.32493845087167</v>
      </c>
      <c r="BG51" s="106">
        <v>20783.227412424756</v>
      </c>
      <c r="BH51" s="106">
        <v>4</v>
      </c>
      <c r="BI51" s="106">
        <v>3417.6</v>
      </c>
      <c r="BJ51" s="106">
        <v>5</v>
      </c>
      <c r="BK51" s="106">
        <v>4272</v>
      </c>
      <c r="BL51" s="106">
        <v>5</v>
      </c>
      <c r="BM51" s="106">
        <v>4272</v>
      </c>
      <c r="BN51" s="106">
        <v>5</v>
      </c>
      <c r="BO51" s="106">
        <v>4272</v>
      </c>
      <c r="BP51" s="106">
        <v>4</v>
      </c>
      <c r="BQ51" s="106">
        <v>3417.6</v>
      </c>
      <c r="BR51" s="106">
        <v>6</v>
      </c>
      <c r="BS51" s="106">
        <v>5126.3999999999996</v>
      </c>
      <c r="BT51" s="106">
        <v>4</v>
      </c>
      <c r="BU51" s="106">
        <v>3417.6</v>
      </c>
      <c r="BV51" s="106">
        <v>4</v>
      </c>
      <c r="BW51" s="106">
        <v>3417.6</v>
      </c>
      <c r="BX51" s="106">
        <v>6</v>
      </c>
      <c r="BY51" s="106">
        <v>5126.3999999999996</v>
      </c>
      <c r="BZ51" s="106">
        <v>6</v>
      </c>
      <c r="CA51" s="106">
        <v>5126.3999999999996</v>
      </c>
      <c r="CB51" s="106">
        <v>6</v>
      </c>
      <c r="CC51" s="106">
        <v>5126.3999999999996</v>
      </c>
      <c r="CD51" s="106">
        <v>8</v>
      </c>
      <c r="CE51" s="106">
        <v>6835.2</v>
      </c>
      <c r="CF51" s="106">
        <v>7</v>
      </c>
      <c r="CG51" s="106">
        <v>5980.8</v>
      </c>
      <c r="CH51" s="106">
        <v>11</v>
      </c>
      <c r="CI51" s="106">
        <v>9398.4</v>
      </c>
      <c r="CJ51" s="106">
        <v>11</v>
      </c>
      <c r="CK51" s="106">
        <v>9398.4</v>
      </c>
      <c r="CL51" s="106">
        <v>7</v>
      </c>
      <c r="CM51" s="106">
        <v>5980.8</v>
      </c>
      <c r="CN51" s="106">
        <v>21</v>
      </c>
      <c r="CO51" s="106">
        <v>17942.399999999998</v>
      </c>
      <c r="CP51" s="106">
        <v>30</v>
      </c>
      <c r="CQ51" s="106">
        <v>25632</v>
      </c>
      <c r="CR51" s="106">
        <v>31</v>
      </c>
      <c r="CS51" s="106">
        <v>26486.399999999998</v>
      </c>
      <c r="CT51" s="106">
        <v>23</v>
      </c>
      <c r="CU51" s="106">
        <v>19651.2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20</v>
      </c>
      <c r="G52" s="106">
        <v>10800</v>
      </c>
      <c r="H52" s="106">
        <v>19</v>
      </c>
      <c r="I52" s="106">
        <v>10260</v>
      </c>
      <c r="J52" s="106">
        <v>18</v>
      </c>
      <c r="K52" s="106">
        <v>9720</v>
      </c>
      <c r="L52" s="106">
        <v>36</v>
      </c>
      <c r="M52" s="106">
        <v>19440</v>
      </c>
      <c r="N52" s="106">
        <v>26</v>
      </c>
      <c r="O52" s="106">
        <v>14040</v>
      </c>
      <c r="P52" s="106">
        <v>36</v>
      </c>
      <c r="Q52" s="106">
        <v>19440</v>
      </c>
      <c r="R52" s="106">
        <v>20</v>
      </c>
      <c r="S52" s="106">
        <v>10800</v>
      </c>
      <c r="T52" s="106">
        <v>20</v>
      </c>
      <c r="U52" s="106">
        <v>10800</v>
      </c>
      <c r="V52" s="106">
        <v>21</v>
      </c>
      <c r="W52" s="106">
        <v>11340</v>
      </c>
      <c r="X52" s="106">
        <v>18</v>
      </c>
      <c r="Y52" s="106">
        <v>9720</v>
      </c>
      <c r="Z52" s="106">
        <v>20</v>
      </c>
      <c r="AA52" s="106">
        <v>10800</v>
      </c>
      <c r="AB52" s="106">
        <v>3</v>
      </c>
      <c r="AC52" s="106">
        <v>1620</v>
      </c>
      <c r="AD52" s="106">
        <v>5</v>
      </c>
      <c r="AE52" s="106">
        <v>2700</v>
      </c>
      <c r="AF52" s="106">
        <v>5</v>
      </c>
      <c r="AG52" s="106">
        <v>2700</v>
      </c>
      <c r="AH52" s="106">
        <v>5</v>
      </c>
      <c r="AI52" s="106">
        <v>2700</v>
      </c>
      <c r="AJ52" s="106">
        <v>6</v>
      </c>
      <c r="AK52" s="106">
        <v>3240</v>
      </c>
      <c r="AL52" s="106">
        <v>6</v>
      </c>
      <c r="AM52" s="106">
        <v>3240</v>
      </c>
      <c r="AN52" s="106">
        <v>6</v>
      </c>
      <c r="AO52" s="106">
        <v>3240</v>
      </c>
      <c r="AP52" s="106">
        <v>7</v>
      </c>
      <c r="AQ52" s="106">
        <v>3780</v>
      </c>
      <c r="AR52" s="106">
        <v>9</v>
      </c>
      <c r="AS52" s="106">
        <v>4860</v>
      </c>
      <c r="AT52" s="106">
        <v>7</v>
      </c>
      <c r="AU52" s="106">
        <v>3780</v>
      </c>
      <c r="AV52" s="106">
        <v>9</v>
      </c>
      <c r="AW52" s="106">
        <v>4860</v>
      </c>
      <c r="AX52" s="106">
        <v>10</v>
      </c>
      <c r="AY52" s="106">
        <v>5400</v>
      </c>
      <c r="AZ52" s="106">
        <v>51</v>
      </c>
      <c r="BA52" s="106">
        <v>27540</v>
      </c>
      <c r="BB52" s="106">
        <v>35</v>
      </c>
      <c r="BC52" s="106">
        <v>18900</v>
      </c>
      <c r="BD52" s="106">
        <v>31</v>
      </c>
      <c r="BE52" s="106">
        <v>16740</v>
      </c>
      <c r="BF52" s="106">
        <v>27.27341583885611</v>
      </c>
      <c r="BG52" s="106">
        <v>14727.6445529823</v>
      </c>
      <c r="BH52" s="106">
        <v>5</v>
      </c>
      <c r="BI52" s="106">
        <v>2700</v>
      </c>
      <c r="BJ52" s="106">
        <v>5</v>
      </c>
      <c r="BK52" s="106">
        <v>2700</v>
      </c>
      <c r="BL52" s="106">
        <v>4</v>
      </c>
      <c r="BM52" s="106">
        <v>2160</v>
      </c>
      <c r="BN52" s="106">
        <v>5</v>
      </c>
      <c r="BO52" s="106">
        <v>2700</v>
      </c>
      <c r="BP52" s="106">
        <v>4</v>
      </c>
      <c r="BQ52" s="106">
        <v>2160</v>
      </c>
      <c r="BR52" s="106">
        <v>7</v>
      </c>
      <c r="BS52" s="106">
        <v>3780</v>
      </c>
      <c r="BT52" s="106">
        <v>4</v>
      </c>
      <c r="BU52" s="106">
        <v>2160</v>
      </c>
      <c r="BV52" s="106">
        <v>4</v>
      </c>
      <c r="BW52" s="106">
        <v>2160</v>
      </c>
      <c r="BX52" s="106">
        <v>5</v>
      </c>
      <c r="BY52" s="106">
        <v>2700</v>
      </c>
      <c r="BZ52" s="106">
        <v>5</v>
      </c>
      <c r="CA52" s="106">
        <v>2700</v>
      </c>
      <c r="CB52" s="106">
        <v>6</v>
      </c>
      <c r="CC52" s="106">
        <v>3240</v>
      </c>
      <c r="CD52" s="106">
        <v>9</v>
      </c>
      <c r="CE52" s="106">
        <v>4860</v>
      </c>
      <c r="CF52" s="106">
        <v>7</v>
      </c>
      <c r="CG52" s="106">
        <v>3780</v>
      </c>
      <c r="CH52" s="106">
        <v>10</v>
      </c>
      <c r="CI52" s="106">
        <v>5400</v>
      </c>
      <c r="CJ52" s="106">
        <v>11</v>
      </c>
      <c r="CK52" s="106">
        <v>5940</v>
      </c>
      <c r="CL52" s="106">
        <v>7</v>
      </c>
      <c r="CM52" s="106">
        <v>3780</v>
      </c>
      <c r="CN52" s="106">
        <v>25</v>
      </c>
      <c r="CO52" s="106">
        <v>13500</v>
      </c>
      <c r="CP52" s="106">
        <v>36</v>
      </c>
      <c r="CQ52" s="106">
        <v>19440</v>
      </c>
      <c r="CR52" s="106">
        <v>32</v>
      </c>
      <c r="CS52" s="106">
        <v>17280</v>
      </c>
      <c r="CT52" s="106">
        <v>27</v>
      </c>
      <c r="CU52" s="106">
        <v>14580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17</v>
      </c>
      <c r="G53" s="106">
        <v>6915.6</v>
      </c>
      <c r="H53" s="106">
        <v>19</v>
      </c>
      <c r="I53" s="106">
        <v>7729.2</v>
      </c>
      <c r="J53" s="106">
        <v>16</v>
      </c>
      <c r="K53" s="106">
        <v>6508.8</v>
      </c>
      <c r="L53" s="106">
        <v>38</v>
      </c>
      <c r="M53" s="106">
        <v>15458.4</v>
      </c>
      <c r="N53" s="106">
        <v>28</v>
      </c>
      <c r="O53" s="106">
        <v>11390.4</v>
      </c>
      <c r="P53" s="106">
        <v>35</v>
      </c>
      <c r="Q53" s="106">
        <v>14238</v>
      </c>
      <c r="R53" s="106">
        <v>19</v>
      </c>
      <c r="S53" s="106">
        <v>7729.2</v>
      </c>
      <c r="T53" s="106">
        <v>23</v>
      </c>
      <c r="U53" s="106">
        <v>9356.4</v>
      </c>
      <c r="V53" s="106">
        <v>21</v>
      </c>
      <c r="W53" s="106">
        <v>8542.8000000000011</v>
      </c>
      <c r="X53" s="106">
        <v>17</v>
      </c>
      <c r="Y53" s="106">
        <v>6915.6</v>
      </c>
      <c r="Z53" s="106">
        <v>18</v>
      </c>
      <c r="AA53" s="106">
        <v>7322.4000000000005</v>
      </c>
      <c r="AB53" s="106">
        <v>3</v>
      </c>
      <c r="AC53" s="106">
        <v>1220.4000000000001</v>
      </c>
      <c r="AD53" s="106">
        <v>6</v>
      </c>
      <c r="AE53" s="106">
        <v>2440.8000000000002</v>
      </c>
      <c r="AF53" s="106">
        <v>5</v>
      </c>
      <c r="AG53" s="106">
        <v>2034</v>
      </c>
      <c r="AH53" s="106">
        <v>5</v>
      </c>
      <c r="AI53" s="106">
        <v>2034</v>
      </c>
      <c r="AJ53" s="106">
        <v>6</v>
      </c>
      <c r="AK53" s="106">
        <v>2440.8000000000002</v>
      </c>
      <c r="AL53" s="106">
        <v>6</v>
      </c>
      <c r="AM53" s="106">
        <v>2440.8000000000002</v>
      </c>
      <c r="AN53" s="106">
        <v>6</v>
      </c>
      <c r="AO53" s="106">
        <v>2440.8000000000002</v>
      </c>
      <c r="AP53" s="106">
        <v>7</v>
      </c>
      <c r="AQ53" s="106">
        <v>2847.6</v>
      </c>
      <c r="AR53" s="106">
        <v>9</v>
      </c>
      <c r="AS53" s="106">
        <v>3661.2000000000003</v>
      </c>
      <c r="AT53" s="106">
        <v>9</v>
      </c>
      <c r="AU53" s="106">
        <v>3661.2000000000003</v>
      </c>
      <c r="AV53" s="106">
        <v>9</v>
      </c>
      <c r="AW53" s="106">
        <v>3661.2000000000003</v>
      </c>
      <c r="AX53" s="106">
        <v>9</v>
      </c>
      <c r="AY53" s="106">
        <v>3661.2000000000003</v>
      </c>
      <c r="AZ53" s="106">
        <v>46</v>
      </c>
      <c r="BA53" s="106">
        <v>18712.8</v>
      </c>
      <c r="BB53" s="106">
        <v>34</v>
      </c>
      <c r="BC53" s="106">
        <v>13831.2</v>
      </c>
      <c r="BD53" s="106">
        <v>32</v>
      </c>
      <c r="BE53" s="106">
        <v>13017.6</v>
      </c>
      <c r="BF53" s="106">
        <v>25.79917714486389</v>
      </c>
      <c r="BG53" s="106">
        <v>10495.105262530631</v>
      </c>
      <c r="BH53" s="106">
        <v>5</v>
      </c>
      <c r="BI53" s="106">
        <v>2034</v>
      </c>
      <c r="BJ53" s="106">
        <v>5</v>
      </c>
      <c r="BK53" s="106">
        <v>2034</v>
      </c>
      <c r="BL53" s="106">
        <v>5</v>
      </c>
      <c r="BM53" s="106">
        <v>2034</v>
      </c>
      <c r="BN53" s="106">
        <v>6</v>
      </c>
      <c r="BO53" s="106">
        <v>2440.8000000000002</v>
      </c>
      <c r="BP53" s="106">
        <v>3</v>
      </c>
      <c r="BQ53" s="106">
        <v>1220.4000000000001</v>
      </c>
      <c r="BR53" s="106">
        <v>6</v>
      </c>
      <c r="BS53" s="106">
        <v>2440.8000000000002</v>
      </c>
      <c r="BT53" s="106">
        <v>4</v>
      </c>
      <c r="BU53" s="106">
        <v>1627.2</v>
      </c>
      <c r="BV53" s="106">
        <v>4</v>
      </c>
      <c r="BW53" s="106">
        <v>1627.2</v>
      </c>
      <c r="BX53" s="106">
        <v>6</v>
      </c>
      <c r="BY53" s="106">
        <v>2440.8000000000002</v>
      </c>
      <c r="BZ53" s="106">
        <v>6</v>
      </c>
      <c r="CA53" s="106">
        <v>2440.8000000000002</v>
      </c>
      <c r="CB53" s="106">
        <v>6</v>
      </c>
      <c r="CC53" s="106">
        <v>2440.8000000000002</v>
      </c>
      <c r="CD53" s="106">
        <v>9</v>
      </c>
      <c r="CE53" s="106">
        <v>3661.2000000000003</v>
      </c>
      <c r="CF53" s="106">
        <v>8</v>
      </c>
      <c r="CG53" s="106">
        <v>3254.4</v>
      </c>
      <c r="CH53" s="106">
        <v>10</v>
      </c>
      <c r="CI53" s="106">
        <v>4068</v>
      </c>
      <c r="CJ53" s="106">
        <v>11</v>
      </c>
      <c r="CK53" s="106">
        <v>4474.8</v>
      </c>
      <c r="CL53" s="106">
        <v>7</v>
      </c>
      <c r="CM53" s="106">
        <v>2847.6</v>
      </c>
      <c r="CN53" s="106">
        <v>23</v>
      </c>
      <c r="CO53" s="106">
        <v>9356.4</v>
      </c>
      <c r="CP53" s="106">
        <v>32</v>
      </c>
      <c r="CQ53" s="106">
        <v>13017.6</v>
      </c>
      <c r="CR53" s="106">
        <v>33</v>
      </c>
      <c r="CS53" s="106">
        <v>13424.4</v>
      </c>
      <c r="CT53" s="106">
        <v>25</v>
      </c>
      <c r="CU53" s="106">
        <v>10170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20</v>
      </c>
      <c r="G54" s="106">
        <v>6696</v>
      </c>
      <c r="H54" s="106">
        <v>17</v>
      </c>
      <c r="I54" s="106">
        <v>5691.6</v>
      </c>
      <c r="J54" s="106">
        <v>19</v>
      </c>
      <c r="K54" s="106">
        <v>6361.2</v>
      </c>
      <c r="L54" s="106">
        <v>35</v>
      </c>
      <c r="M54" s="106">
        <v>11718</v>
      </c>
      <c r="N54" s="106">
        <v>28</v>
      </c>
      <c r="O54" s="106">
        <v>9374.4</v>
      </c>
      <c r="P54" s="106">
        <v>32</v>
      </c>
      <c r="Q54" s="106">
        <v>10713.6</v>
      </c>
      <c r="R54" s="106">
        <v>19</v>
      </c>
      <c r="S54" s="106">
        <v>6361.2</v>
      </c>
      <c r="T54" s="106">
        <v>20</v>
      </c>
      <c r="U54" s="106">
        <v>6696</v>
      </c>
      <c r="V54" s="106">
        <v>21</v>
      </c>
      <c r="W54" s="106">
        <v>7030.8</v>
      </c>
      <c r="X54" s="106">
        <v>18</v>
      </c>
      <c r="Y54" s="106">
        <v>6026.4000000000005</v>
      </c>
      <c r="Z54" s="106">
        <v>18</v>
      </c>
      <c r="AA54" s="106">
        <v>6026.4000000000005</v>
      </c>
      <c r="AB54" s="106">
        <v>3</v>
      </c>
      <c r="AC54" s="106">
        <v>1004.4000000000001</v>
      </c>
      <c r="AD54" s="106">
        <v>5</v>
      </c>
      <c r="AE54" s="106">
        <v>1674</v>
      </c>
      <c r="AF54" s="106">
        <v>6</v>
      </c>
      <c r="AG54" s="106">
        <v>2008.8000000000002</v>
      </c>
      <c r="AH54" s="106">
        <v>5</v>
      </c>
      <c r="AI54" s="106">
        <v>1674</v>
      </c>
      <c r="AJ54" s="106">
        <v>6</v>
      </c>
      <c r="AK54" s="106">
        <v>2008.8000000000002</v>
      </c>
      <c r="AL54" s="106">
        <v>6</v>
      </c>
      <c r="AM54" s="106">
        <v>2008.8000000000002</v>
      </c>
      <c r="AN54" s="106">
        <v>6</v>
      </c>
      <c r="AO54" s="106">
        <v>2008.8000000000002</v>
      </c>
      <c r="AP54" s="106">
        <v>7</v>
      </c>
      <c r="AQ54" s="106">
        <v>2343.6</v>
      </c>
      <c r="AR54" s="106">
        <v>9</v>
      </c>
      <c r="AS54" s="106">
        <v>3013.2000000000003</v>
      </c>
      <c r="AT54" s="106">
        <v>8</v>
      </c>
      <c r="AU54" s="106">
        <v>2678.4</v>
      </c>
      <c r="AV54" s="106">
        <v>9</v>
      </c>
      <c r="AW54" s="106">
        <v>3013.2000000000003</v>
      </c>
      <c r="AX54" s="106">
        <v>9</v>
      </c>
      <c r="AY54" s="106">
        <v>3013.2000000000003</v>
      </c>
      <c r="AZ54" s="106">
        <v>46</v>
      </c>
      <c r="BA54" s="106">
        <v>15400.800000000001</v>
      </c>
      <c r="BB54" s="106">
        <v>34</v>
      </c>
      <c r="BC54" s="106">
        <v>11383.2</v>
      </c>
      <c r="BD54" s="106">
        <v>36</v>
      </c>
      <c r="BE54" s="106">
        <v>12052.800000000001</v>
      </c>
      <c r="BF54" s="106">
        <v>26.53629649186</v>
      </c>
      <c r="BG54" s="106">
        <v>8884.3520654747281</v>
      </c>
      <c r="BH54" s="106">
        <v>5</v>
      </c>
      <c r="BI54" s="106">
        <v>1674</v>
      </c>
      <c r="BJ54" s="106">
        <v>5</v>
      </c>
      <c r="BK54" s="106">
        <v>1674</v>
      </c>
      <c r="BL54" s="106">
        <v>5</v>
      </c>
      <c r="BM54" s="106">
        <v>1674</v>
      </c>
      <c r="BN54" s="106">
        <v>6</v>
      </c>
      <c r="BO54" s="106">
        <v>2008.8000000000002</v>
      </c>
      <c r="BP54" s="106">
        <v>4</v>
      </c>
      <c r="BQ54" s="106">
        <v>1339.2</v>
      </c>
      <c r="BR54" s="106">
        <v>7</v>
      </c>
      <c r="BS54" s="106">
        <v>2343.6</v>
      </c>
      <c r="BT54" s="106">
        <v>4</v>
      </c>
      <c r="BU54" s="106">
        <v>1339.2</v>
      </c>
      <c r="BV54" s="106">
        <v>4</v>
      </c>
      <c r="BW54" s="106">
        <v>1339.2</v>
      </c>
      <c r="BX54" s="106">
        <v>6</v>
      </c>
      <c r="BY54" s="106">
        <v>2008.8000000000002</v>
      </c>
      <c r="BZ54" s="106">
        <v>6</v>
      </c>
      <c r="CA54" s="106">
        <v>2008.8000000000002</v>
      </c>
      <c r="CB54" s="106">
        <v>7</v>
      </c>
      <c r="CC54" s="106">
        <v>2343.6</v>
      </c>
      <c r="CD54" s="106">
        <v>9</v>
      </c>
      <c r="CE54" s="106">
        <v>3013.2000000000003</v>
      </c>
      <c r="CF54" s="106">
        <v>8</v>
      </c>
      <c r="CG54" s="106">
        <v>2678.4</v>
      </c>
      <c r="CH54" s="106">
        <v>12</v>
      </c>
      <c r="CI54" s="106">
        <v>4017.6000000000004</v>
      </c>
      <c r="CJ54" s="106">
        <v>11</v>
      </c>
      <c r="CK54" s="106">
        <v>3682.8</v>
      </c>
      <c r="CL54" s="106">
        <v>7</v>
      </c>
      <c r="CM54" s="106">
        <v>2343.6</v>
      </c>
      <c r="CN54" s="106">
        <v>23</v>
      </c>
      <c r="CO54" s="106">
        <v>7700.4000000000005</v>
      </c>
      <c r="CP54" s="106">
        <v>36</v>
      </c>
      <c r="CQ54" s="106">
        <v>12052.800000000001</v>
      </c>
      <c r="CR54" s="106">
        <v>33</v>
      </c>
      <c r="CS54" s="106">
        <v>11048.4</v>
      </c>
      <c r="CT54" s="106">
        <v>29</v>
      </c>
      <c r="CU54" s="106">
        <v>9709.2000000000007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16</v>
      </c>
      <c r="G55" s="106">
        <v>10617.6</v>
      </c>
      <c r="H55" s="106">
        <v>18</v>
      </c>
      <c r="I55" s="106">
        <v>11944.800000000001</v>
      </c>
      <c r="J55" s="106">
        <v>19</v>
      </c>
      <c r="K55" s="106">
        <v>12608.4</v>
      </c>
      <c r="L55" s="106">
        <v>32</v>
      </c>
      <c r="M55" s="106">
        <v>21235.200000000001</v>
      </c>
      <c r="N55" s="106">
        <v>25</v>
      </c>
      <c r="O55" s="106">
        <v>16590</v>
      </c>
      <c r="P55" s="106">
        <v>30</v>
      </c>
      <c r="Q55" s="106">
        <v>19908</v>
      </c>
      <c r="R55" s="106">
        <v>20</v>
      </c>
      <c r="S55" s="106">
        <v>13272</v>
      </c>
      <c r="T55" s="106">
        <v>22</v>
      </c>
      <c r="U55" s="106">
        <v>14599.2</v>
      </c>
      <c r="V55" s="106">
        <v>22</v>
      </c>
      <c r="W55" s="106">
        <v>14599.2</v>
      </c>
      <c r="X55" s="106">
        <v>18</v>
      </c>
      <c r="Y55" s="106">
        <v>11944.800000000001</v>
      </c>
      <c r="Z55" s="106">
        <v>18</v>
      </c>
      <c r="AA55" s="106">
        <v>11944.800000000001</v>
      </c>
      <c r="AB55" s="106">
        <v>4</v>
      </c>
      <c r="AC55" s="106">
        <v>2654.4</v>
      </c>
      <c r="AD55" s="106">
        <v>5</v>
      </c>
      <c r="AE55" s="106">
        <v>3318</v>
      </c>
      <c r="AF55" s="106">
        <v>5</v>
      </c>
      <c r="AG55" s="106">
        <v>3318</v>
      </c>
      <c r="AH55" s="106">
        <v>5</v>
      </c>
      <c r="AI55" s="106">
        <v>3318</v>
      </c>
      <c r="AJ55" s="106">
        <v>6</v>
      </c>
      <c r="AK55" s="106">
        <v>3981.6000000000004</v>
      </c>
      <c r="AL55" s="106">
        <v>6</v>
      </c>
      <c r="AM55" s="106">
        <v>3981.6000000000004</v>
      </c>
      <c r="AN55" s="106">
        <v>6</v>
      </c>
      <c r="AO55" s="106">
        <v>3981.6000000000004</v>
      </c>
      <c r="AP55" s="106">
        <v>7</v>
      </c>
      <c r="AQ55" s="106">
        <v>4645.2</v>
      </c>
      <c r="AR55" s="106">
        <v>10</v>
      </c>
      <c r="AS55" s="106">
        <v>6636</v>
      </c>
      <c r="AT55" s="106">
        <v>8</v>
      </c>
      <c r="AU55" s="106">
        <v>5308.8</v>
      </c>
      <c r="AV55" s="106">
        <v>9</v>
      </c>
      <c r="AW55" s="106">
        <v>5972.4000000000005</v>
      </c>
      <c r="AX55" s="106">
        <v>9</v>
      </c>
      <c r="AY55" s="106">
        <v>5972.4000000000005</v>
      </c>
      <c r="AZ55" s="106">
        <v>50</v>
      </c>
      <c r="BA55" s="106">
        <v>33180</v>
      </c>
      <c r="BB55" s="106">
        <v>31</v>
      </c>
      <c r="BC55" s="106">
        <v>20571.600000000002</v>
      </c>
      <c r="BD55" s="106">
        <v>33</v>
      </c>
      <c r="BE55" s="106">
        <v>21898.799999999999</v>
      </c>
      <c r="BF55" s="106">
        <v>25.06205779786778</v>
      </c>
      <c r="BG55" s="106">
        <v>16631.181554665058</v>
      </c>
      <c r="BH55" s="106">
        <v>5</v>
      </c>
      <c r="BI55" s="106">
        <v>3318</v>
      </c>
      <c r="BJ55" s="106">
        <v>5</v>
      </c>
      <c r="BK55" s="106">
        <v>3318</v>
      </c>
      <c r="BL55" s="106">
        <v>5</v>
      </c>
      <c r="BM55" s="106">
        <v>3318</v>
      </c>
      <c r="BN55" s="106">
        <v>5</v>
      </c>
      <c r="BO55" s="106">
        <v>3318</v>
      </c>
      <c r="BP55" s="106">
        <v>4</v>
      </c>
      <c r="BQ55" s="106">
        <v>2654.4</v>
      </c>
      <c r="BR55" s="106">
        <v>7</v>
      </c>
      <c r="BS55" s="106">
        <v>4645.2</v>
      </c>
      <c r="BT55" s="106">
        <v>4</v>
      </c>
      <c r="BU55" s="106">
        <v>2654.4</v>
      </c>
      <c r="BV55" s="106">
        <v>4</v>
      </c>
      <c r="BW55" s="106">
        <v>2654.4</v>
      </c>
      <c r="BX55" s="106">
        <v>6</v>
      </c>
      <c r="BY55" s="106">
        <v>3981.6000000000004</v>
      </c>
      <c r="BZ55" s="106">
        <v>5</v>
      </c>
      <c r="CA55" s="106">
        <v>3318</v>
      </c>
      <c r="CB55" s="106">
        <v>7</v>
      </c>
      <c r="CC55" s="106">
        <v>4645.2</v>
      </c>
      <c r="CD55" s="106">
        <v>9</v>
      </c>
      <c r="CE55" s="106">
        <v>5972.4000000000005</v>
      </c>
      <c r="CF55" s="106">
        <v>8</v>
      </c>
      <c r="CG55" s="106">
        <v>5308.8</v>
      </c>
      <c r="CH55" s="106">
        <v>11</v>
      </c>
      <c r="CI55" s="106">
        <v>7299.6</v>
      </c>
      <c r="CJ55" s="106">
        <v>9</v>
      </c>
      <c r="CK55" s="106">
        <v>5972.4000000000005</v>
      </c>
      <c r="CL55" s="106">
        <v>7</v>
      </c>
      <c r="CM55" s="106">
        <v>4645.2</v>
      </c>
      <c r="CN55" s="106">
        <v>25</v>
      </c>
      <c r="CO55" s="106">
        <v>16590</v>
      </c>
      <c r="CP55" s="106">
        <v>34</v>
      </c>
      <c r="CQ55" s="106">
        <v>22562.400000000001</v>
      </c>
      <c r="CR55" s="106">
        <v>34</v>
      </c>
      <c r="CS55" s="106">
        <v>22562.400000000001</v>
      </c>
      <c r="CT55" s="106">
        <v>25</v>
      </c>
      <c r="CU55" s="106">
        <v>16590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18</v>
      </c>
      <c r="G56" s="106">
        <v>20714.399999999998</v>
      </c>
      <c r="H56" s="106">
        <v>18</v>
      </c>
      <c r="I56" s="106">
        <v>20714.399999999998</v>
      </c>
      <c r="J56" s="106">
        <v>16</v>
      </c>
      <c r="K56" s="106">
        <v>18412.8</v>
      </c>
      <c r="L56" s="106">
        <v>32</v>
      </c>
      <c r="M56" s="106">
        <v>36825.599999999999</v>
      </c>
      <c r="N56" s="106">
        <v>26</v>
      </c>
      <c r="O56" s="106">
        <v>29920.799999999999</v>
      </c>
      <c r="P56" s="106">
        <v>31.293995214531318</v>
      </c>
      <c r="Q56" s="106">
        <v>36013.129692882641</v>
      </c>
      <c r="R56" s="106">
        <v>17.352786956076319</v>
      </c>
      <c r="S56" s="106">
        <v>19969.587229052628</v>
      </c>
      <c r="T56" s="106">
        <v>19.145255104319872</v>
      </c>
      <c r="U56" s="106">
        <v>22032.359574051308</v>
      </c>
      <c r="V56" s="106">
        <v>18.184891452360176</v>
      </c>
      <c r="W56" s="106">
        <v>20927.173083376088</v>
      </c>
      <c r="X56" s="106">
        <v>17.244104453324603</v>
      </c>
      <c r="Y56" s="106">
        <v>19844.515404885951</v>
      </c>
      <c r="Z56" s="106">
        <v>16.235006662707868</v>
      </c>
      <c r="AA56" s="106">
        <v>18683.245667444215</v>
      </c>
      <c r="AB56" s="106">
        <v>4.2981611683894458</v>
      </c>
      <c r="AC56" s="106">
        <v>4946.323872582574</v>
      </c>
      <c r="AD56" s="106">
        <v>5.3428228325105449</v>
      </c>
      <c r="AE56" s="106">
        <v>6148.5205156531347</v>
      </c>
      <c r="AF56" s="106">
        <v>5.3989540989072147</v>
      </c>
      <c r="AG56" s="106">
        <v>6213.1163770224221</v>
      </c>
      <c r="AH56" s="106">
        <v>5.299644995831307</v>
      </c>
      <c r="AI56" s="106">
        <v>6098.8314612026679</v>
      </c>
      <c r="AJ56" s="106">
        <v>6.9342096429596269</v>
      </c>
      <c r="AK56" s="106">
        <v>7979.8884571179387</v>
      </c>
      <c r="AL56" s="106">
        <v>7.0856684780156032</v>
      </c>
      <c r="AM56" s="106">
        <v>8154.1872845003554</v>
      </c>
      <c r="AN56" s="106">
        <v>6.8429499573443557</v>
      </c>
      <c r="AO56" s="106">
        <v>7874.8668109118844</v>
      </c>
      <c r="AP56" s="106">
        <v>7.6696346277446308</v>
      </c>
      <c r="AQ56" s="106">
        <v>8826.2155296085202</v>
      </c>
      <c r="AR56" s="106">
        <v>9.2979605581928393</v>
      </c>
      <c r="AS56" s="106">
        <v>10700.093010368319</v>
      </c>
      <c r="AT56" s="106">
        <v>7</v>
      </c>
      <c r="AU56" s="106">
        <v>8055.5999999999995</v>
      </c>
      <c r="AV56" s="106">
        <v>8</v>
      </c>
      <c r="AW56" s="106">
        <v>9206.4</v>
      </c>
      <c r="AX56" s="106">
        <v>9.5400289052850979</v>
      </c>
      <c r="AY56" s="106">
        <v>10978.665264202091</v>
      </c>
      <c r="AZ56" s="106">
        <v>40</v>
      </c>
      <c r="BA56" s="106">
        <v>46032</v>
      </c>
      <c r="BB56" s="106">
        <v>28</v>
      </c>
      <c r="BC56" s="106">
        <v>32222.399999999998</v>
      </c>
      <c r="BD56" s="106">
        <v>31</v>
      </c>
      <c r="BE56" s="106">
        <v>35674.799999999996</v>
      </c>
      <c r="BF56" s="106">
        <v>31</v>
      </c>
      <c r="BG56" s="106">
        <v>35674.799999999996</v>
      </c>
      <c r="BH56" s="106">
        <v>4</v>
      </c>
      <c r="BI56" s="106">
        <v>4603.2</v>
      </c>
      <c r="BJ56" s="106">
        <v>4</v>
      </c>
      <c r="BK56" s="106">
        <v>4603.2</v>
      </c>
      <c r="BL56" s="106">
        <v>5.4742016602796788</v>
      </c>
      <c r="BM56" s="106">
        <v>6299.7112706498538</v>
      </c>
      <c r="BN56" s="106">
        <v>5</v>
      </c>
      <c r="BO56" s="106">
        <v>5754</v>
      </c>
      <c r="BP56" s="106">
        <v>4.6546497917594403</v>
      </c>
      <c r="BQ56" s="106">
        <v>5356.5709803567634</v>
      </c>
      <c r="BR56" s="106">
        <v>6.6173428368119875</v>
      </c>
      <c r="BS56" s="106">
        <v>7615.238136603235</v>
      </c>
      <c r="BT56" s="106">
        <v>4.8477851223938107</v>
      </c>
      <c r="BU56" s="106">
        <v>5578.8311188507969</v>
      </c>
      <c r="BV56" s="106">
        <v>3.8597723669197461</v>
      </c>
      <c r="BW56" s="106">
        <v>4441.8260398512439</v>
      </c>
      <c r="BX56" s="106">
        <v>5</v>
      </c>
      <c r="BY56" s="106">
        <v>5754</v>
      </c>
      <c r="BZ56" s="106">
        <v>6</v>
      </c>
      <c r="CA56" s="106">
        <v>6904.7999999999993</v>
      </c>
      <c r="CB56" s="106">
        <v>6</v>
      </c>
      <c r="CC56" s="106">
        <v>6904.7999999999993</v>
      </c>
      <c r="CD56" s="106">
        <v>9</v>
      </c>
      <c r="CE56" s="106">
        <v>10357.199999999999</v>
      </c>
      <c r="CF56" s="106">
        <v>7.8286808480534162</v>
      </c>
      <c r="CG56" s="106">
        <v>9009.2459199398709</v>
      </c>
      <c r="CH56" s="106">
        <v>10.74773914257832</v>
      </c>
      <c r="CI56" s="106">
        <v>12368.498205279129</v>
      </c>
      <c r="CJ56" s="106">
        <v>10.078711658775292</v>
      </c>
      <c r="CK56" s="106">
        <v>11598.581376918606</v>
      </c>
      <c r="CL56" s="106">
        <v>6</v>
      </c>
      <c r="CM56" s="106">
        <v>6904.7999999999993</v>
      </c>
      <c r="CN56" s="106">
        <v>23</v>
      </c>
      <c r="CO56" s="106">
        <v>26468.399999999998</v>
      </c>
      <c r="CP56" s="106">
        <v>29.794131557053596</v>
      </c>
      <c r="CQ56" s="106">
        <v>34287.086595857276</v>
      </c>
      <c r="CR56" s="106">
        <v>33.506197033712645</v>
      </c>
      <c r="CS56" s="106">
        <v>38558.93154639651</v>
      </c>
      <c r="CT56" s="106">
        <v>23</v>
      </c>
      <c r="CU56" s="106">
        <v>26468.399999999998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15</v>
      </c>
      <c r="G57" s="106">
        <v>21168</v>
      </c>
      <c r="H57" s="106">
        <v>16</v>
      </c>
      <c r="I57" s="106">
        <v>22579.200000000001</v>
      </c>
      <c r="J57" s="106">
        <v>16</v>
      </c>
      <c r="K57" s="106">
        <v>22579.200000000001</v>
      </c>
      <c r="L57" s="106">
        <v>32</v>
      </c>
      <c r="M57" s="106">
        <v>45158.400000000001</v>
      </c>
      <c r="N57" s="106">
        <v>24</v>
      </c>
      <c r="O57" s="106">
        <v>33868.800000000003</v>
      </c>
      <c r="P57" s="106">
        <v>28</v>
      </c>
      <c r="Q57" s="106">
        <v>39513.599999999999</v>
      </c>
      <c r="R57" s="106">
        <v>19</v>
      </c>
      <c r="S57" s="106">
        <v>26812.799999999999</v>
      </c>
      <c r="T57" s="106">
        <v>18</v>
      </c>
      <c r="U57" s="106">
        <v>25401.600000000002</v>
      </c>
      <c r="V57" s="106">
        <v>18</v>
      </c>
      <c r="W57" s="106">
        <v>25401.600000000002</v>
      </c>
      <c r="X57" s="106">
        <v>15</v>
      </c>
      <c r="Y57" s="106">
        <v>21168</v>
      </c>
      <c r="Z57" s="106">
        <v>18</v>
      </c>
      <c r="AA57" s="106">
        <v>25401.600000000002</v>
      </c>
      <c r="AB57" s="106">
        <v>3</v>
      </c>
      <c r="AC57" s="106">
        <v>4233.6000000000004</v>
      </c>
      <c r="AD57" s="106">
        <v>5</v>
      </c>
      <c r="AE57" s="106">
        <v>7056</v>
      </c>
      <c r="AF57" s="106">
        <v>5</v>
      </c>
      <c r="AG57" s="106">
        <v>7056</v>
      </c>
      <c r="AH57" s="106">
        <v>5</v>
      </c>
      <c r="AI57" s="106">
        <v>7056</v>
      </c>
      <c r="AJ57" s="106">
        <v>5</v>
      </c>
      <c r="AK57" s="106">
        <v>7056</v>
      </c>
      <c r="AL57" s="106">
        <v>6</v>
      </c>
      <c r="AM57" s="106">
        <v>8467.2000000000007</v>
      </c>
      <c r="AN57" s="106">
        <v>5</v>
      </c>
      <c r="AO57" s="106">
        <v>7056</v>
      </c>
      <c r="AP57" s="106">
        <v>7</v>
      </c>
      <c r="AQ57" s="106">
        <v>9878.4</v>
      </c>
      <c r="AR57" s="106">
        <v>8</v>
      </c>
      <c r="AS57" s="106">
        <v>11289.6</v>
      </c>
      <c r="AT57" s="106">
        <v>8</v>
      </c>
      <c r="AU57" s="106">
        <v>11289.6</v>
      </c>
      <c r="AV57" s="106">
        <v>10</v>
      </c>
      <c r="AW57" s="106">
        <v>14112</v>
      </c>
      <c r="AX57" s="106">
        <v>9</v>
      </c>
      <c r="AY57" s="106">
        <v>12700.800000000001</v>
      </c>
      <c r="AZ57" s="106">
        <v>42</v>
      </c>
      <c r="BA57" s="106">
        <v>59270.400000000001</v>
      </c>
      <c r="BB57" s="106">
        <v>31</v>
      </c>
      <c r="BC57" s="106">
        <v>43747.200000000004</v>
      </c>
      <c r="BD57" s="106">
        <v>28</v>
      </c>
      <c r="BE57" s="106">
        <v>39513.599999999999</v>
      </c>
      <c r="BF57" s="106">
        <v>22.850699756879443</v>
      </c>
      <c r="BG57" s="106">
        <v>32246.907496908272</v>
      </c>
      <c r="BH57" s="106">
        <v>5</v>
      </c>
      <c r="BI57" s="106">
        <v>7056</v>
      </c>
      <c r="BJ57" s="106">
        <v>4</v>
      </c>
      <c r="BK57" s="106">
        <v>5644.8</v>
      </c>
      <c r="BL57" s="106">
        <v>5</v>
      </c>
      <c r="BM57" s="106">
        <v>7056</v>
      </c>
      <c r="BN57" s="106">
        <v>5</v>
      </c>
      <c r="BO57" s="106">
        <v>7056</v>
      </c>
      <c r="BP57" s="106">
        <v>4</v>
      </c>
      <c r="BQ57" s="106">
        <v>5644.8</v>
      </c>
      <c r="BR57" s="106">
        <v>6</v>
      </c>
      <c r="BS57" s="106">
        <v>8467.2000000000007</v>
      </c>
      <c r="BT57" s="106">
        <v>4</v>
      </c>
      <c r="BU57" s="106">
        <v>5644.8</v>
      </c>
      <c r="BV57" s="106">
        <v>4</v>
      </c>
      <c r="BW57" s="106">
        <v>5644.8</v>
      </c>
      <c r="BX57" s="106">
        <v>5</v>
      </c>
      <c r="BY57" s="106">
        <v>7056</v>
      </c>
      <c r="BZ57" s="106">
        <v>6</v>
      </c>
      <c r="CA57" s="106">
        <v>8467.2000000000007</v>
      </c>
      <c r="CB57" s="106">
        <v>6</v>
      </c>
      <c r="CC57" s="106">
        <v>8467.2000000000007</v>
      </c>
      <c r="CD57" s="106">
        <v>8</v>
      </c>
      <c r="CE57" s="106">
        <v>11289.6</v>
      </c>
      <c r="CF57" s="106">
        <v>8</v>
      </c>
      <c r="CG57" s="106">
        <v>11289.6</v>
      </c>
      <c r="CH57" s="106">
        <v>11</v>
      </c>
      <c r="CI57" s="106">
        <v>15523.2</v>
      </c>
      <c r="CJ57" s="106">
        <v>9</v>
      </c>
      <c r="CK57" s="106">
        <v>12700.800000000001</v>
      </c>
      <c r="CL57" s="106">
        <v>6</v>
      </c>
      <c r="CM57" s="106">
        <v>8467.2000000000007</v>
      </c>
      <c r="CN57" s="106">
        <v>22</v>
      </c>
      <c r="CO57" s="106">
        <v>31046.400000000001</v>
      </c>
      <c r="CP57" s="106">
        <v>30</v>
      </c>
      <c r="CQ57" s="106">
        <v>42336</v>
      </c>
      <c r="CR57" s="106">
        <v>28</v>
      </c>
      <c r="CS57" s="106">
        <v>39513.599999999999</v>
      </c>
      <c r="CT57" s="106">
        <v>26</v>
      </c>
      <c r="CU57" s="106">
        <v>36691.200000000004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15</v>
      </c>
      <c r="G58" s="106">
        <v>17658</v>
      </c>
      <c r="H58" s="106">
        <v>16</v>
      </c>
      <c r="I58" s="106">
        <v>18835.2</v>
      </c>
      <c r="J58" s="106">
        <v>15</v>
      </c>
      <c r="K58" s="106">
        <v>17658</v>
      </c>
      <c r="L58" s="106">
        <v>35.497565251479749</v>
      </c>
      <c r="M58" s="106">
        <v>41787.73381404196</v>
      </c>
      <c r="N58" s="106">
        <v>27</v>
      </c>
      <c r="O58" s="106">
        <v>31784.400000000001</v>
      </c>
      <c r="P58" s="106">
        <v>27.367494018164145</v>
      </c>
      <c r="Q58" s="106">
        <v>32217.013958182833</v>
      </c>
      <c r="R58" s="106">
        <v>18.352786956076319</v>
      </c>
      <c r="S58" s="106">
        <v>21604.900804693043</v>
      </c>
      <c r="T58" s="106">
        <v>21.145255104319872</v>
      </c>
      <c r="U58" s="106">
        <v>24892.194308805356</v>
      </c>
      <c r="V58" s="106">
        <v>22.184891452360176</v>
      </c>
      <c r="W58" s="106">
        <v>26116.0542177184</v>
      </c>
      <c r="X58" s="106">
        <v>16.216981736288535</v>
      </c>
      <c r="Y58" s="106">
        <v>19090.630899958865</v>
      </c>
      <c r="Z58" s="106">
        <v>16.208894811295881</v>
      </c>
      <c r="AA58" s="106">
        <v>19081.110971857514</v>
      </c>
      <c r="AB58" s="106">
        <v>3.3478546964543532</v>
      </c>
      <c r="AC58" s="106">
        <v>3941.0945486660648</v>
      </c>
      <c r="AD58" s="106">
        <v>5.3917975228691937</v>
      </c>
      <c r="AE58" s="106">
        <v>6347.2240439216148</v>
      </c>
      <c r="AF58" s="106">
        <v>5.3989540989072147</v>
      </c>
      <c r="AG58" s="106">
        <v>6355.6487652335736</v>
      </c>
      <c r="AH58" s="106">
        <v>4.299644995831307</v>
      </c>
      <c r="AI58" s="106">
        <v>5061.5420890926143</v>
      </c>
      <c r="AJ58" s="106">
        <v>7.0779342034149542</v>
      </c>
      <c r="AK58" s="106">
        <v>8332.1441442600844</v>
      </c>
      <c r="AL58" s="106">
        <v>6.9771016302140429</v>
      </c>
      <c r="AM58" s="106">
        <v>8213.4440390879718</v>
      </c>
      <c r="AN58" s="106">
        <v>5.8062999591989488</v>
      </c>
      <c r="AO58" s="106">
        <v>6835.1763119690031</v>
      </c>
      <c r="AP58" s="106">
        <v>6.6324327039810402</v>
      </c>
      <c r="AQ58" s="106">
        <v>7807.6997791264812</v>
      </c>
      <c r="AR58" s="106">
        <v>9.2979605581928393</v>
      </c>
      <c r="AS58" s="106">
        <v>10945.55916910461</v>
      </c>
      <c r="AT58" s="106">
        <v>8</v>
      </c>
      <c r="AU58" s="106">
        <v>9417.6</v>
      </c>
      <c r="AV58" s="106">
        <v>9</v>
      </c>
      <c r="AW58" s="106">
        <v>10594.800000000001</v>
      </c>
      <c r="AX58" s="106">
        <v>10.57003051113427</v>
      </c>
      <c r="AY58" s="106">
        <v>12443.039917707263</v>
      </c>
      <c r="AZ58" s="106">
        <v>42</v>
      </c>
      <c r="BA58" s="106">
        <v>49442.400000000001</v>
      </c>
      <c r="BB58" s="106">
        <v>33</v>
      </c>
      <c r="BC58" s="106">
        <v>38847.599999999999</v>
      </c>
      <c r="BD58" s="106">
        <v>29</v>
      </c>
      <c r="BE58" s="106">
        <v>34138.800000000003</v>
      </c>
      <c r="BF58" s="106">
        <v>29</v>
      </c>
      <c r="BG58" s="106">
        <v>34138.800000000003</v>
      </c>
      <c r="BH58" s="106">
        <v>5</v>
      </c>
      <c r="BI58" s="106">
        <v>5886</v>
      </c>
      <c r="BJ58" s="106">
        <v>5</v>
      </c>
      <c r="BK58" s="106">
        <v>5886</v>
      </c>
      <c r="BL58" s="106">
        <v>5.547155761861168</v>
      </c>
      <c r="BM58" s="106">
        <v>6530.1117628629672</v>
      </c>
      <c r="BN58" s="106">
        <v>5</v>
      </c>
      <c r="BO58" s="106">
        <v>5886</v>
      </c>
      <c r="BP58" s="106">
        <v>3.7580155483530358</v>
      </c>
      <c r="BQ58" s="106">
        <v>4423.9359035211937</v>
      </c>
      <c r="BR58" s="106">
        <v>7.6173428368119875</v>
      </c>
      <c r="BS58" s="106">
        <v>8967.1359874950722</v>
      </c>
      <c r="BT58" s="106">
        <v>4.9325636346331923</v>
      </c>
      <c r="BU58" s="106">
        <v>5806.6139106901937</v>
      </c>
      <c r="BV58" s="106">
        <v>3.7737951302277715</v>
      </c>
      <c r="BW58" s="106">
        <v>4442.5116273041331</v>
      </c>
      <c r="BX58" s="106">
        <v>6</v>
      </c>
      <c r="BY58" s="106">
        <v>7063.2000000000007</v>
      </c>
      <c r="BZ58" s="106">
        <v>5</v>
      </c>
      <c r="CA58" s="106">
        <v>5886</v>
      </c>
      <c r="CB58" s="106">
        <v>6</v>
      </c>
      <c r="CC58" s="106">
        <v>7063.2000000000007</v>
      </c>
      <c r="CD58" s="106">
        <v>8</v>
      </c>
      <c r="CE58" s="106">
        <v>9417.6</v>
      </c>
      <c r="CF58" s="106">
        <v>7.7826430231615591</v>
      </c>
      <c r="CG58" s="106">
        <v>9161.7273668657872</v>
      </c>
      <c r="CH58" s="106">
        <v>11.697889866406431</v>
      </c>
      <c r="CI58" s="106">
        <v>13770.755950733652</v>
      </c>
      <c r="CJ58" s="106">
        <v>12.172512672581838</v>
      </c>
      <c r="CK58" s="106">
        <v>14329.481918163341</v>
      </c>
      <c r="CL58" s="106">
        <v>7</v>
      </c>
      <c r="CM58" s="106">
        <v>8240.4</v>
      </c>
      <c r="CN58" s="106">
        <v>23</v>
      </c>
      <c r="CO58" s="106">
        <v>27075.600000000002</v>
      </c>
      <c r="CP58" s="106">
        <v>27.752335159313933</v>
      </c>
      <c r="CQ58" s="106">
        <v>32670.048949544362</v>
      </c>
      <c r="CR58" s="106">
        <v>30.460179121556948</v>
      </c>
      <c r="CS58" s="106">
        <v>35857.722861896844</v>
      </c>
      <c r="CT58" s="106">
        <v>25</v>
      </c>
      <c r="CU58" s="106">
        <v>29430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19</v>
      </c>
      <c r="G59" s="106">
        <v>5768.4</v>
      </c>
      <c r="H59" s="106">
        <v>16</v>
      </c>
      <c r="I59" s="106">
        <v>4857.5999999999995</v>
      </c>
      <c r="J59" s="106">
        <v>16</v>
      </c>
      <c r="K59" s="106">
        <v>4857.5999999999995</v>
      </c>
      <c r="L59" s="106">
        <v>33</v>
      </c>
      <c r="M59" s="106">
        <v>10018.799999999999</v>
      </c>
      <c r="N59" s="106">
        <v>29</v>
      </c>
      <c r="O59" s="106">
        <v>8804.4</v>
      </c>
      <c r="P59" s="106">
        <v>38</v>
      </c>
      <c r="Q59" s="106">
        <v>11536.8</v>
      </c>
      <c r="R59" s="106">
        <v>22</v>
      </c>
      <c r="S59" s="106">
        <v>6679.1999999999989</v>
      </c>
      <c r="T59" s="106">
        <v>20</v>
      </c>
      <c r="U59" s="106">
        <v>6071.9999999999991</v>
      </c>
      <c r="V59" s="106">
        <v>22</v>
      </c>
      <c r="W59" s="106">
        <v>6679.1999999999989</v>
      </c>
      <c r="X59" s="106">
        <v>17</v>
      </c>
      <c r="Y59" s="106">
        <v>5161.2</v>
      </c>
      <c r="Z59" s="106">
        <v>18</v>
      </c>
      <c r="AA59" s="106">
        <v>5464.7999999999993</v>
      </c>
      <c r="AB59" s="106">
        <v>4</v>
      </c>
      <c r="AC59" s="106">
        <v>1214.3999999999999</v>
      </c>
      <c r="AD59" s="106">
        <v>6</v>
      </c>
      <c r="AE59" s="106">
        <v>1821.6</v>
      </c>
      <c r="AF59" s="106">
        <v>6</v>
      </c>
      <c r="AG59" s="106">
        <v>1821.6</v>
      </c>
      <c r="AH59" s="106">
        <v>5</v>
      </c>
      <c r="AI59" s="106">
        <v>1517.9999999999998</v>
      </c>
      <c r="AJ59" s="106">
        <v>6</v>
      </c>
      <c r="AK59" s="106">
        <v>1821.6</v>
      </c>
      <c r="AL59" s="106">
        <v>6</v>
      </c>
      <c r="AM59" s="106">
        <v>1821.6</v>
      </c>
      <c r="AN59" s="106">
        <v>6</v>
      </c>
      <c r="AO59" s="106">
        <v>1821.6</v>
      </c>
      <c r="AP59" s="106">
        <v>7</v>
      </c>
      <c r="AQ59" s="106">
        <v>2125.1999999999998</v>
      </c>
      <c r="AR59" s="106">
        <v>10</v>
      </c>
      <c r="AS59" s="106">
        <v>3035.9999999999995</v>
      </c>
      <c r="AT59" s="106">
        <v>8</v>
      </c>
      <c r="AU59" s="106">
        <v>2428.7999999999997</v>
      </c>
      <c r="AV59" s="106">
        <v>9</v>
      </c>
      <c r="AW59" s="106">
        <v>2732.3999999999996</v>
      </c>
      <c r="AX59" s="106">
        <v>10</v>
      </c>
      <c r="AY59" s="106">
        <v>3035.9999999999995</v>
      </c>
      <c r="AZ59" s="106">
        <v>45</v>
      </c>
      <c r="BA59" s="106">
        <v>13661.999999999998</v>
      </c>
      <c r="BB59" s="106">
        <v>34</v>
      </c>
      <c r="BC59" s="106">
        <v>10322.4</v>
      </c>
      <c r="BD59" s="106">
        <v>36</v>
      </c>
      <c r="BE59" s="106">
        <v>10929.599999999999</v>
      </c>
      <c r="BF59" s="106">
        <v>25.79917714486389</v>
      </c>
      <c r="BG59" s="106">
        <v>7832.6301811806761</v>
      </c>
      <c r="BH59" s="106">
        <v>5</v>
      </c>
      <c r="BI59" s="106">
        <v>1517.9999999999998</v>
      </c>
      <c r="BJ59" s="106">
        <v>5</v>
      </c>
      <c r="BK59" s="106">
        <v>1517.9999999999998</v>
      </c>
      <c r="BL59" s="106">
        <v>5</v>
      </c>
      <c r="BM59" s="106">
        <v>1517.9999999999998</v>
      </c>
      <c r="BN59" s="106">
        <v>5</v>
      </c>
      <c r="BO59" s="106">
        <v>1517.9999999999998</v>
      </c>
      <c r="BP59" s="106">
        <v>4</v>
      </c>
      <c r="BQ59" s="106">
        <v>1214.3999999999999</v>
      </c>
      <c r="BR59" s="106">
        <v>7</v>
      </c>
      <c r="BS59" s="106">
        <v>2125.1999999999998</v>
      </c>
      <c r="BT59" s="106">
        <v>4</v>
      </c>
      <c r="BU59" s="106">
        <v>1214.3999999999999</v>
      </c>
      <c r="BV59" s="106">
        <v>4</v>
      </c>
      <c r="BW59" s="106">
        <v>1214.3999999999999</v>
      </c>
      <c r="BX59" s="106">
        <v>6</v>
      </c>
      <c r="BY59" s="106">
        <v>1821.6</v>
      </c>
      <c r="BZ59" s="106">
        <v>6</v>
      </c>
      <c r="CA59" s="106">
        <v>1821.6</v>
      </c>
      <c r="CB59" s="106">
        <v>7</v>
      </c>
      <c r="CC59" s="106">
        <v>2125.1999999999998</v>
      </c>
      <c r="CD59" s="106">
        <v>8</v>
      </c>
      <c r="CE59" s="106">
        <v>2428.7999999999997</v>
      </c>
      <c r="CF59" s="106">
        <v>8</v>
      </c>
      <c r="CG59" s="106">
        <v>2428.7999999999997</v>
      </c>
      <c r="CH59" s="106">
        <v>12</v>
      </c>
      <c r="CI59" s="106">
        <v>3643.2</v>
      </c>
      <c r="CJ59" s="106">
        <v>11</v>
      </c>
      <c r="CK59" s="106">
        <v>3339.5999999999995</v>
      </c>
      <c r="CL59" s="106">
        <v>6</v>
      </c>
      <c r="CM59" s="106">
        <v>1821.6</v>
      </c>
      <c r="CN59" s="106">
        <v>24</v>
      </c>
      <c r="CO59" s="106">
        <v>7286.4</v>
      </c>
      <c r="CP59" s="106">
        <v>31</v>
      </c>
      <c r="CQ59" s="106">
        <v>9411.5999999999985</v>
      </c>
      <c r="CR59" s="106">
        <v>31</v>
      </c>
      <c r="CS59" s="106">
        <v>9411.5999999999985</v>
      </c>
      <c r="CT59" s="106">
        <v>28</v>
      </c>
      <c r="CU59" s="106">
        <v>8500.7999999999993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19</v>
      </c>
      <c r="G60" s="106">
        <v>12380.4</v>
      </c>
      <c r="H60" s="106">
        <v>16</v>
      </c>
      <c r="I60" s="106">
        <v>10425.6</v>
      </c>
      <c r="J60" s="106">
        <v>17</v>
      </c>
      <c r="K60" s="106">
        <v>11077.2</v>
      </c>
      <c r="L60" s="106">
        <v>32</v>
      </c>
      <c r="M60" s="106">
        <v>20851.2</v>
      </c>
      <c r="N60" s="106">
        <v>27</v>
      </c>
      <c r="O60" s="106">
        <v>17593.2</v>
      </c>
      <c r="P60" s="106">
        <v>34</v>
      </c>
      <c r="Q60" s="106">
        <v>22154.400000000001</v>
      </c>
      <c r="R60" s="106">
        <v>20</v>
      </c>
      <c r="S60" s="106">
        <v>13032</v>
      </c>
      <c r="T60" s="106">
        <v>21</v>
      </c>
      <c r="U60" s="106">
        <v>13683.6</v>
      </c>
      <c r="V60" s="106">
        <v>22</v>
      </c>
      <c r="W60" s="106">
        <v>14335.2</v>
      </c>
      <c r="X60" s="106">
        <v>18</v>
      </c>
      <c r="Y60" s="106">
        <v>11728.800000000001</v>
      </c>
      <c r="Z60" s="106">
        <v>16</v>
      </c>
      <c r="AA60" s="106">
        <v>10425.6</v>
      </c>
      <c r="AB60" s="106">
        <v>4</v>
      </c>
      <c r="AC60" s="106">
        <v>2606.4</v>
      </c>
      <c r="AD60" s="106">
        <v>5</v>
      </c>
      <c r="AE60" s="106">
        <v>3258</v>
      </c>
      <c r="AF60" s="106">
        <v>5</v>
      </c>
      <c r="AG60" s="106">
        <v>3258</v>
      </c>
      <c r="AH60" s="106">
        <v>5</v>
      </c>
      <c r="AI60" s="106">
        <v>3258</v>
      </c>
      <c r="AJ60" s="106">
        <v>6</v>
      </c>
      <c r="AK60" s="106">
        <v>3909.6000000000004</v>
      </c>
      <c r="AL60" s="106">
        <v>7</v>
      </c>
      <c r="AM60" s="106">
        <v>4561.2</v>
      </c>
      <c r="AN60" s="106">
        <v>6</v>
      </c>
      <c r="AO60" s="106">
        <v>3909.6000000000004</v>
      </c>
      <c r="AP60" s="106">
        <v>7</v>
      </c>
      <c r="AQ60" s="106">
        <v>4561.2</v>
      </c>
      <c r="AR60" s="106">
        <v>9</v>
      </c>
      <c r="AS60" s="106">
        <v>5864.4000000000005</v>
      </c>
      <c r="AT60" s="106">
        <v>7</v>
      </c>
      <c r="AU60" s="106">
        <v>4561.2</v>
      </c>
      <c r="AV60" s="106">
        <v>9</v>
      </c>
      <c r="AW60" s="106">
        <v>5864.4000000000005</v>
      </c>
      <c r="AX60" s="106">
        <v>10</v>
      </c>
      <c r="AY60" s="106">
        <v>6516</v>
      </c>
      <c r="AZ60" s="106">
        <v>49</v>
      </c>
      <c r="BA60" s="106">
        <v>31928.400000000001</v>
      </c>
      <c r="BB60" s="106">
        <v>36</v>
      </c>
      <c r="BC60" s="106">
        <v>23457.600000000002</v>
      </c>
      <c r="BD60" s="106">
        <v>32</v>
      </c>
      <c r="BE60" s="106">
        <v>20851.2</v>
      </c>
      <c r="BF60" s="106">
        <v>25.06205779786778</v>
      </c>
      <c r="BG60" s="106">
        <v>16330.436861090646</v>
      </c>
      <c r="BH60" s="106">
        <v>4</v>
      </c>
      <c r="BI60" s="106">
        <v>2606.4</v>
      </c>
      <c r="BJ60" s="106">
        <v>5</v>
      </c>
      <c r="BK60" s="106">
        <v>3258</v>
      </c>
      <c r="BL60" s="106">
        <v>5</v>
      </c>
      <c r="BM60" s="106">
        <v>3258</v>
      </c>
      <c r="BN60" s="106">
        <v>5</v>
      </c>
      <c r="BO60" s="106">
        <v>3258</v>
      </c>
      <c r="BP60" s="106">
        <v>3</v>
      </c>
      <c r="BQ60" s="106">
        <v>1954.8000000000002</v>
      </c>
      <c r="BR60" s="106">
        <v>7</v>
      </c>
      <c r="BS60" s="106">
        <v>4561.2</v>
      </c>
      <c r="BT60" s="106">
        <v>4</v>
      </c>
      <c r="BU60" s="106">
        <v>2606.4</v>
      </c>
      <c r="BV60" s="106">
        <v>4</v>
      </c>
      <c r="BW60" s="106">
        <v>2606.4</v>
      </c>
      <c r="BX60" s="106">
        <v>5</v>
      </c>
      <c r="BY60" s="106">
        <v>3258</v>
      </c>
      <c r="BZ60" s="106">
        <v>5</v>
      </c>
      <c r="CA60" s="106">
        <v>3258</v>
      </c>
      <c r="CB60" s="106">
        <v>7</v>
      </c>
      <c r="CC60" s="106">
        <v>4561.2</v>
      </c>
      <c r="CD60" s="106">
        <v>8</v>
      </c>
      <c r="CE60" s="106">
        <v>5212.8</v>
      </c>
      <c r="CF60" s="106">
        <v>8</v>
      </c>
      <c r="CG60" s="106">
        <v>5212.8</v>
      </c>
      <c r="CH60" s="106">
        <v>11</v>
      </c>
      <c r="CI60" s="106">
        <v>7167.6</v>
      </c>
      <c r="CJ60" s="106">
        <v>10</v>
      </c>
      <c r="CK60" s="106">
        <v>6516</v>
      </c>
      <c r="CL60" s="106">
        <v>6</v>
      </c>
      <c r="CM60" s="106">
        <v>3909.6000000000004</v>
      </c>
      <c r="CN60" s="106">
        <v>23</v>
      </c>
      <c r="CO60" s="106">
        <v>14986.800000000001</v>
      </c>
      <c r="CP60" s="106">
        <v>31</v>
      </c>
      <c r="CQ60" s="106">
        <v>20199.600000000002</v>
      </c>
      <c r="CR60" s="106">
        <v>29</v>
      </c>
      <c r="CS60" s="106">
        <v>18896.400000000001</v>
      </c>
      <c r="CT60" s="106">
        <v>28</v>
      </c>
      <c r="CU60" s="106">
        <v>18244.8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16</v>
      </c>
      <c r="G61" s="106">
        <v>15225.599999999999</v>
      </c>
      <c r="H61" s="106">
        <v>15</v>
      </c>
      <c r="I61" s="106">
        <v>14273.999999999998</v>
      </c>
      <c r="J61" s="106">
        <v>17</v>
      </c>
      <c r="K61" s="106">
        <v>16177.199999999999</v>
      </c>
      <c r="L61" s="106">
        <v>33</v>
      </c>
      <c r="M61" s="106">
        <v>31402.799999999996</v>
      </c>
      <c r="N61" s="106">
        <v>27</v>
      </c>
      <c r="O61" s="106">
        <v>25693.199999999997</v>
      </c>
      <c r="P61" s="106">
        <v>30</v>
      </c>
      <c r="Q61" s="106">
        <v>28547.999999999996</v>
      </c>
      <c r="R61" s="106">
        <v>21</v>
      </c>
      <c r="S61" s="106">
        <v>19983.599999999999</v>
      </c>
      <c r="T61" s="106">
        <v>19</v>
      </c>
      <c r="U61" s="106">
        <v>18080.399999999998</v>
      </c>
      <c r="V61" s="106">
        <v>19</v>
      </c>
      <c r="W61" s="106">
        <v>18080.399999999998</v>
      </c>
      <c r="X61" s="106">
        <v>16</v>
      </c>
      <c r="Y61" s="106">
        <v>15225.599999999999</v>
      </c>
      <c r="Z61" s="106">
        <v>18</v>
      </c>
      <c r="AA61" s="106">
        <v>17128.8</v>
      </c>
      <c r="AB61" s="106">
        <v>4</v>
      </c>
      <c r="AC61" s="106">
        <v>3806.3999999999996</v>
      </c>
      <c r="AD61" s="106">
        <v>6</v>
      </c>
      <c r="AE61" s="106">
        <v>5709.5999999999995</v>
      </c>
      <c r="AF61" s="106">
        <v>5</v>
      </c>
      <c r="AG61" s="106">
        <v>4758</v>
      </c>
      <c r="AH61" s="106">
        <v>5</v>
      </c>
      <c r="AI61" s="106">
        <v>4758</v>
      </c>
      <c r="AJ61" s="106">
        <v>5</v>
      </c>
      <c r="AK61" s="106">
        <v>4758</v>
      </c>
      <c r="AL61" s="106">
        <v>6</v>
      </c>
      <c r="AM61" s="106">
        <v>5709.5999999999995</v>
      </c>
      <c r="AN61" s="106">
        <v>5</v>
      </c>
      <c r="AO61" s="106">
        <v>4758</v>
      </c>
      <c r="AP61" s="106">
        <v>6</v>
      </c>
      <c r="AQ61" s="106">
        <v>5709.5999999999995</v>
      </c>
      <c r="AR61" s="106">
        <v>10</v>
      </c>
      <c r="AS61" s="106">
        <v>9516</v>
      </c>
      <c r="AT61" s="106">
        <v>8</v>
      </c>
      <c r="AU61" s="106">
        <v>7612.7999999999993</v>
      </c>
      <c r="AV61" s="106">
        <v>9</v>
      </c>
      <c r="AW61" s="106">
        <v>8564.4</v>
      </c>
      <c r="AX61" s="106">
        <v>10</v>
      </c>
      <c r="AY61" s="106">
        <v>9516</v>
      </c>
      <c r="AZ61" s="106">
        <v>48</v>
      </c>
      <c r="BA61" s="106">
        <v>45676.799999999996</v>
      </c>
      <c r="BB61" s="106">
        <v>35</v>
      </c>
      <c r="BC61" s="106">
        <v>33306</v>
      </c>
      <c r="BD61" s="106">
        <v>28</v>
      </c>
      <c r="BE61" s="106">
        <v>26644.799999999996</v>
      </c>
      <c r="BF61" s="106">
        <v>22.850699756879443</v>
      </c>
      <c r="BG61" s="106">
        <v>21744.725888646477</v>
      </c>
      <c r="BH61" s="106">
        <v>5</v>
      </c>
      <c r="BI61" s="106">
        <v>4758</v>
      </c>
      <c r="BJ61" s="106">
        <v>5</v>
      </c>
      <c r="BK61" s="106">
        <v>4758</v>
      </c>
      <c r="BL61" s="106">
        <v>5</v>
      </c>
      <c r="BM61" s="106">
        <v>4758</v>
      </c>
      <c r="BN61" s="106">
        <v>5</v>
      </c>
      <c r="BO61" s="106">
        <v>4758</v>
      </c>
      <c r="BP61" s="106">
        <v>4</v>
      </c>
      <c r="BQ61" s="106">
        <v>3806.3999999999996</v>
      </c>
      <c r="BR61" s="106">
        <v>7</v>
      </c>
      <c r="BS61" s="106">
        <v>6661.1999999999989</v>
      </c>
      <c r="BT61" s="106">
        <v>4</v>
      </c>
      <c r="BU61" s="106">
        <v>3806.3999999999996</v>
      </c>
      <c r="BV61" s="106">
        <v>4</v>
      </c>
      <c r="BW61" s="106">
        <v>3806.3999999999996</v>
      </c>
      <c r="BX61" s="106">
        <v>6</v>
      </c>
      <c r="BY61" s="106">
        <v>5709.5999999999995</v>
      </c>
      <c r="BZ61" s="106">
        <v>6</v>
      </c>
      <c r="CA61" s="106">
        <v>5709.5999999999995</v>
      </c>
      <c r="CB61" s="106">
        <v>6</v>
      </c>
      <c r="CC61" s="106">
        <v>5709.5999999999995</v>
      </c>
      <c r="CD61" s="106">
        <v>8</v>
      </c>
      <c r="CE61" s="106">
        <v>7612.7999999999993</v>
      </c>
      <c r="CF61" s="106">
        <v>8</v>
      </c>
      <c r="CG61" s="106">
        <v>7612.7999999999993</v>
      </c>
      <c r="CH61" s="106">
        <v>10</v>
      </c>
      <c r="CI61" s="106">
        <v>9516</v>
      </c>
      <c r="CJ61" s="106">
        <v>10</v>
      </c>
      <c r="CK61" s="106">
        <v>9516</v>
      </c>
      <c r="CL61" s="106">
        <v>6</v>
      </c>
      <c r="CM61" s="106">
        <v>5709.5999999999995</v>
      </c>
      <c r="CN61" s="106">
        <v>24</v>
      </c>
      <c r="CO61" s="106">
        <v>22838.399999999998</v>
      </c>
      <c r="CP61" s="106">
        <v>33</v>
      </c>
      <c r="CQ61" s="106">
        <v>31402.799999999996</v>
      </c>
      <c r="CR61" s="106">
        <v>31</v>
      </c>
      <c r="CS61" s="106">
        <v>29499.599999999999</v>
      </c>
      <c r="CT61" s="106">
        <v>25</v>
      </c>
      <c r="CU61" s="106">
        <v>23789.999999999996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17</v>
      </c>
      <c r="G62" s="106">
        <v>28988.400000000001</v>
      </c>
      <c r="H62" s="106">
        <v>15</v>
      </c>
      <c r="I62" s="106">
        <v>25578</v>
      </c>
      <c r="J62" s="106">
        <v>15</v>
      </c>
      <c r="K62" s="106">
        <v>25578</v>
      </c>
      <c r="L62" s="106">
        <v>31</v>
      </c>
      <c r="M62" s="106">
        <v>52861.200000000004</v>
      </c>
      <c r="N62" s="106">
        <v>24</v>
      </c>
      <c r="O62" s="106">
        <v>40924.800000000003</v>
      </c>
      <c r="P62" s="106">
        <v>27</v>
      </c>
      <c r="Q62" s="106">
        <v>46040.4</v>
      </c>
      <c r="R62" s="106">
        <v>16</v>
      </c>
      <c r="S62" s="106">
        <v>27283.200000000001</v>
      </c>
      <c r="T62" s="106">
        <v>19</v>
      </c>
      <c r="U62" s="106">
        <v>32398.799999999999</v>
      </c>
      <c r="V62" s="106">
        <v>20</v>
      </c>
      <c r="W62" s="106">
        <v>34104</v>
      </c>
      <c r="X62" s="106">
        <v>17</v>
      </c>
      <c r="Y62" s="106">
        <v>28988.400000000001</v>
      </c>
      <c r="Z62" s="106">
        <v>15</v>
      </c>
      <c r="AA62" s="106">
        <v>25578</v>
      </c>
      <c r="AB62" s="106">
        <v>4</v>
      </c>
      <c r="AC62" s="106">
        <v>6820.8</v>
      </c>
      <c r="AD62" s="106">
        <v>5</v>
      </c>
      <c r="AE62" s="106">
        <v>8526</v>
      </c>
      <c r="AF62" s="106">
        <v>5</v>
      </c>
      <c r="AG62" s="106">
        <v>8526</v>
      </c>
      <c r="AH62" s="106">
        <v>5</v>
      </c>
      <c r="AI62" s="106">
        <v>8526</v>
      </c>
      <c r="AJ62" s="106">
        <v>5</v>
      </c>
      <c r="AK62" s="106">
        <v>8526</v>
      </c>
      <c r="AL62" s="106">
        <v>5</v>
      </c>
      <c r="AM62" s="106">
        <v>8526</v>
      </c>
      <c r="AN62" s="106">
        <v>5</v>
      </c>
      <c r="AO62" s="106">
        <v>8526</v>
      </c>
      <c r="AP62" s="106">
        <v>6</v>
      </c>
      <c r="AQ62" s="106">
        <v>10231.200000000001</v>
      </c>
      <c r="AR62" s="106">
        <v>8</v>
      </c>
      <c r="AS62" s="106">
        <v>13641.6</v>
      </c>
      <c r="AT62" s="106">
        <v>7</v>
      </c>
      <c r="AU62" s="106">
        <v>11936.4</v>
      </c>
      <c r="AV62" s="106">
        <v>9</v>
      </c>
      <c r="AW62" s="106">
        <v>15346.800000000001</v>
      </c>
      <c r="AX62" s="106">
        <v>9</v>
      </c>
      <c r="AY62" s="106">
        <v>15346.800000000001</v>
      </c>
      <c r="AZ62" s="106">
        <v>42</v>
      </c>
      <c r="BA62" s="106">
        <v>71618.400000000009</v>
      </c>
      <c r="BB62" s="106">
        <v>27</v>
      </c>
      <c r="BC62" s="106">
        <v>46040.4</v>
      </c>
      <c r="BD62" s="106">
        <v>25</v>
      </c>
      <c r="BE62" s="106">
        <v>42630</v>
      </c>
      <c r="BF62" s="106">
        <v>21.376461062887223</v>
      </c>
      <c r="BG62" s="106">
        <v>36451.141404435293</v>
      </c>
      <c r="BH62" s="106">
        <v>4</v>
      </c>
      <c r="BI62" s="106">
        <v>6820.8</v>
      </c>
      <c r="BJ62" s="106">
        <v>4</v>
      </c>
      <c r="BK62" s="106">
        <v>6820.8</v>
      </c>
      <c r="BL62" s="106">
        <v>4</v>
      </c>
      <c r="BM62" s="106">
        <v>6820.8</v>
      </c>
      <c r="BN62" s="106">
        <v>5</v>
      </c>
      <c r="BO62" s="106">
        <v>8526</v>
      </c>
      <c r="BP62" s="106">
        <v>3</v>
      </c>
      <c r="BQ62" s="106">
        <v>5115.6000000000004</v>
      </c>
      <c r="BR62" s="106">
        <v>6</v>
      </c>
      <c r="BS62" s="106">
        <v>10231.200000000001</v>
      </c>
      <c r="BT62" s="106">
        <v>3</v>
      </c>
      <c r="BU62" s="106">
        <v>5115.6000000000004</v>
      </c>
      <c r="BV62" s="106">
        <v>3</v>
      </c>
      <c r="BW62" s="106">
        <v>5115.6000000000004</v>
      </c>
      <c r="BX62" s="106">
        <v>6</v>
      </c>
      <c r="BY62" s="106">
        <v>10231.200000000001</v>
      </c>
      <c r="BZ62" s="106">
        <v>5</v>
      </c>
      <c r="CA62" s="106">
        <v>8526</v>
      </c>
      <c r="CB62" s="106">
        <v>6</v>
      </c>
      <c r="CC62" s="106">
        <v>10231.200000000001</v>
      </c>
      <c r="CD62" s="106">
        <v>7</v>
      </c>
      <c r="CE62" s="106">
        <v>11936.4</v>
      </c>
      <c r="CF62" s="106">
        <v>7</v>
      </c>
      <c r="CG62" s="106">
        <v>11936.4</v>
      </c>
      <c r="CH62" s="106">
        <v>9</v>
      </c>
      <c r="CI62" s="106">
        <v>15346.800000000001</v>
      </c>
      <c r="CJ62" s="106">
        <v>10</v>
      </c>
      <c r="CK62" s="106">
        <v>17052</v>
      </c>
      <c r="CL62" s="106">
        <v>6</v>
      </c>
      <c r="CM62" s="106">
        <v>10231.200000000001</v>
      </c>
      <c r="CN62" s="106">
        <v>18</v>
      </c>
      <c r="CO62" s="106">
        <v>30693.600000000002</v>
      </c>
      <c r="CP62" s="106">
        <v>29</v>
      </c>
      <c r="CQ62" s="106">
        <v>49450.8</v>
      </c>
      <c r="CR62" s="106">
        <v>28</v>
      </c>
      <c r="CS62" s="106">
        <v>47745.599999999999</v>
      </c>
      <c r="CT62" s="106">
        <v>25</v>
      </c>
      <c r="CU62" s="106">
        <v>42630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17</v>
      </c>
      <c r="G63" s="106">
        <v>13525.2</v>
      </c>
      <c r="H63" s="106">
        <v>18</v>
      </c>
      <c r="I63" s="106">
        <v>14320.800000000001</v>
      </c>
      <c r="J63" s="106">
        <v>18</v>
      </c>
      <c r="K63" s="106">
        <v>14320.800000000001</v>
      </c>
      <c r="L63" s="106">
        <v>37</v>
      </c>
      <c r="M63" s="106">
        <v>29437.200000000001</v>
      </c>
      <c r="N63" s="106">
        <v>27</v>
      </c>
      <c r="O63" s="106">
        <v>21481.200000000001</v>
      </c>
      <c r="P63" s="106">
        <v>34</v>
      </c>
      <c r="Q63" s="106">
        <v>27050.400000000001</v>
      </c>
      <c r="R63" s="106">
        <v>21</v>
      </c>
      <c r="S63" s="106">
        <v>16707.600000000002</v>
      </c>
      <c r="T63" s="106">
        <v>21</v>
      </c>
      <c r="U63" s="106">
        <v>16707.600000000002</v>
      </c>
      <c r="V63" s="106">
        <v>21</v>
      </c>
      <c r="W63" s="106">
        <v>16707.600000000002</v>
      </c>
      <c r="X63" s="106">
        <v>16</v>
      </c>
      <c r="Y63" s="106">
        <v>12729.6</v>
      </c>
      <c r="Z63" s="106">
        <v>19</v>
      </c>
      <c r="AA63" s="106">
        <v>15116.4</v>
      </c>
      <c r="AB63" s="106">
        <v>4</v>
      </c>
      <c r="AC63" s="106">
        <v>3182.4</v>
      </c>
      <c r="AD63" s="106">
        <v>5</v>
      </c>
      <c r="AE63" s="106">
        <v>3978</v>
      </c>
      <c r="AF63" s="106">
        <v>6</v>
      </c>
      <c r="AG63" s="106">
        <v>4773.6000000000004</v>
      </c>
      <c r="AH63" s="106">
        <v>5</v>
      </c>
      <c r="AI63" s="106">
        <v>3978</v>
      </c>
      <c r="AJ63" s="106">
        <v>6</v>
      </c>
      <c r="AK63" s="106">
        <v>4773.6000000000004</v>
      </c>
      <c r="AL63" s="106">
        <v>6</v>
      </c>
      <c r="AM63" s="106">
        <v>4773.6000000000004</v>
      </c>
      <c r="AN63" s="106">
        <v>5</v>
      </c>
      <c r="AO63" s="106">
        <v>3978</v>
      </c>
      <c r="AP63" s="106">
        <v>7</v>
      </c>
      <c r="AQ63" s="106">
        <v>5569.2</v>
      </c>
      <c r="AR63" s="106">
        <v>9</v>
      </c>
      <c r="AS63" s="106">
        <v>7160.4000000000005</v>
      </c>
      <c r="AT63" s="106">
        <v>9</v>
      </c>
      <c r="AU63" s="106">
        <v>7160.4000000000005</v>
      </c>
      <c r="AV63" s="106">
        <v>10</v>
      </c>
      <c r="AW63" s="106">
        <v>7956</v>
      </c>
      <c r="AX63" s="106">
        <v>9</v>
      </c>
      <c r="AY63" s="106">
        <v>7160.4000000000005</v>
      </c>
      <c r="AZ63" s="106">
        <v>50</v>
      </c>
      <c r="BA63" s="106">
        <v>39780</v>
      </c>
      <c r="BB63" s="106">
        <v>36</v>
      </c>
      <c r="BC63" s="106">
        <v>28641.600000000002</v>
      </c>
      <c r="BD63" s="106">
        <v>31</v>
      </c>
      <c r="BE63" s="106">
        <v>24663.600000000002</v>
      </c>
      <c r="BF63" s="106">
        <v>26.53629649186</v>
      </c>
      <c r="BG63" s="106">
        <v>21112.277488923817</v>
      </c>
      <c r="BH63" s="106">
        <v>4</v>
      </c>
      <c r="BI63" s="106">
        <v>3182.4</v>
      </c>
      <c r="BJ63" s="106">
        <v>5</v>
      </c>
      <c r="BK63" s="106">
        <v>3978</v>
      </c>
      <c r="BL63" s="106">
        <v>5</v>
      </c>
      <c r="BM63" s="106">
        <v>3978</v>
      </c>
      <c r="BN63" s="106">
        <v>5</v>
      </c>
      <c r="BO63" s="106">
        <v>3978</v>
      </c>
      <c r="BP63" s="106">
        <v>4</v>
      </c>
      <c r="BQ63" s="106">
        <v>3182.4</v>
      </c>
      <c r="BR63" s="106">
        <v>7</v>
      </c>
      <c r="BS63" s="106">
        <v>5569.2</v>
      </c>
      <c r="BT63" s="106">
        <v>4</v>
      </c>
      <c r="BU63" s="106">
        <v>3182.4</v>
      </c>
      <c r="BV63" s="106">
        <v>4</v>
      </c>
      <c r="BW63" s="106">
        <v>3182.4</v>
      </c>
      <c r="BX63" s="106">
        <v>5</v>
      </c>
      <c r="BY63" s="106">
        <v>3978</v>
      </c>
      <c r="BZ63" s="106">
        <v>5</v>
      </c>
      <c r="CA63" s="106">
        <v>3978</v>
      </c>
      <c r="CB63" s="106">
        <v>6</v>
      </c>
      <c r="CC63" s="106">
        <v>4773.6000000000004</v>
      </c>
      <c r="CD63" s="106">
        <v>9</v>
      </c>
      <c r="CE63" s="106">
        <v>7160.4000000000005</v>
      </c>
      <c r="CF63" s="106">
        <v>7</v>
      </c>
      <c r="CG63" s="106">
        <v>5569.2</v>
      </c>
      <c r="CH63" s="106">
        <v>9</v>
      </c>
      <c r="CI63" s="106">
        <v>7160.4000000000005</v>
      </c>
      <c r="CJ63" s="106">
        <v>10</v>
      </c>
      <c r="CK63" s="106">
        <v>7956</v>
      </c>
      <c r="CL63" s="106">
        <v>7</v>
      </c>
      <c r="CM63" s="106">
        <v>5569.2</v>
      </c>
      <c r="CN63" s="106">
        <v>23</v>
      </c>
      <c r="CO63" s="106">
        <v>18298.8</v>
      </c>
      <c r="CP63" s="106">
        <v>33</v>
      </c>
      <c r="CQ63" s="106">
        <v>26254.799999999999</v>
      </c>
      <c r="CR63" s="106">
        <v>33</v>
      </c>
      <c r="CS63" s="106">
        <v>26254.799999999999</v>
      </c>
      <c r="CT63" s="106">
        <v>25</v>
      </c>
      <c r="CU63" s="106">
        <v>19890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17</v>
      </c>
      <c r="G64" s="106">
        <v>17156.399999999998</v>
      </c>
      <c r="H64" s="106">
        <v>16</v>
      </c>
      <c r="I64" s="106">
        <v>16147.199999999997</v>
      </c>
      <c r="J64" s="106">
        <v>15</v>
      </c>
      <c r="K64" s="106">
        <v>15137.999999999996</v>
      </c>
      <c r="L64" s="106">
        <v>35</v>
      </c>
      <c r="M64" s="106">
        <v>35321.999999999993</v>
      </c>
      <c r="N64" s="106">
        <v>27</v>
      </c>
      <c r="O64" s="106">
        <v>27248.399999999994</v>
      </c>
      <c r="P64" s="106">
        <v>29</v>
      </c>
      <c r="Q64" s="106">
        <v>29266.799999999996</v>
      </c>
      <c r="R64" s="106">
        <v>20</v>
      </c>
      <c r="S64" s="106">
        <v>20183.999999999996</v>
      </c>
      <c r="T64" s="106">
        <v>18</v>
      </c>
      <c r="U64" s="106">
        <v>18165.599999999999</v>
      </c>
      <c r="V64" s="106">
        <v>21</v>
      </c>
      <c r="W64" s="106">
        <v>21193.199999999997</v>
      </c>
      <c r="X64" s="106">
        <v>16</v>
      </c>
      <c r="Y64" s="106">
        <v>16147.199999999997</v>
      </c>
      <c r="Z64" s="106">
        <v>18</v>
      </c>
      <c r="AA64" s="106">
        <v>18165.599999999999</v>
      </c>
      <c r="AB64" s="106">
        <v>3</v>
      </c>
      <c r="AC64" s="106">
        <v>3027.5999999999995</v>
      </c>
      <c r="AD64" s="106">
        <v>6</v>
      </c>
      <c r="AE64" s="106">
        <v>6055.1999999999989</v>
      </c>
      <c r="AF64" s="106">
        <v>5</v>
      </c>
      <c r="AG64" s="106">
        <v>5045.9999999999991</v>
      </c>
      <c r="AH64" s="106">
        <v>5</v>
      </c>
      <c r="AI64" s="106">
        <v>5045.9999999999991</v>
      </c>
      <c r="AJ64" s="106">
        <v>5</v>
      </c>
      <c r="AK64" s="106">
        <v>5045.9999999999991</v>
      </c>
      <c r="AL64" s="106">
        <v>6</v>
      </c>
      <c r="AM64" s="106">
        <v>6055.1999999999989</v>
      </c>
      <c r="AN64" s="106">
        <v>5</v>
      </c>
      <c r="AO64" s="106">
        <v>5045.9999999999991</v>
      </c>
      <c r="AP64" s="106">
        <v>7</v>
      </c>
      <c r="AQ64" s="106">
        <v>7064.3999999999987</v>
      </c>
      <c r="AR64" s="106">
        <v>9</v>
      </c>
      <c r="AS64" s="106">
        <v>9082.7999999999993</v>
      </c>
      <c r="AT64" s="106">
        <v>8</v>
      </c>
      <c r="AU64" s="106">
        <v>8073.5999999999985</v>
      </c>
      <c r="AV64" s="106">
        <v>8</v>
      </c>
      <c r="AW64" s="106">
        <v>8073.5999999999985</v>
      </c>
      <c r="AX64" s="106">
        <v>10</v>
      </c>
      <c r="AY64" s="106">
        <v>10091.999999999998</v>
      </c>
      <c r="AZ64" s="106">
        <v>40</v>
      </c>
      <c r="BA64" s="106">
        <v>40367.999999999993</v>
      </c>
      <c r="BB64" s="106">
        <v>31</v>
      </c>
      <c r="BC64" s="106">
        <v>31285.199999999993</v>
      </c>
      <c r="BD64" s="106">
        <v>32</v>
      </c>
      <c r="BE64" s="106">
        <v>32294.399999999994</v>
      </c>
      <c r="BF64" s="106">
        <v>22.113580409883333</v>
      </c>
      <c r="BG64" s="106">
        <v>22317.025349654257</v>
      </c>
      <c r="BH64" s="106">
        <v>5</v>
      </c>
      <c r="BI64" s="106">
        <v>5045.9999999999991</v>
      </c>
      <c r="BJ64" s="106">
        <v>4</v>
      </c>
      <c r="BK64" s="106">
        <v>4036.7999999999993</v>
      </c>
      <c r="BL64" s="106">
        <v>5</v>
      </c>
      <c r="BM64" s="106">
        <v>5045.9999999999991</v>
      </c>
      <c r="BN64" s="106">
        <v>5</v>
      </c>
      <c r="BO64" s="106">
        <v>5045.9999999999991</v>
      </c>
      <c r="BP64" s="106">
        <v>4</v>
      </c>
      <c r="BQ64" s="106">
        <v>4036.7999999999993</v>
      </c>
      <c r="BR64" s="106">
        <v>6</v>
      </c>
      <c r="BS64" s="106">
        <v>6055.1999999999989</v>
      </c>
      <c r="BT64" s="106">
        <v>4</v>
      </c>
      <c r="BU64" s="106">
        <v>4036.7999999999993</v>
      </c>
      <c r="BV64" s="106">
        <v>4</v>
      </c>
      <c r="BW64" s="106">
        <v>4036.7999999999993</v>
      </c>
      <c r="BX64" s="106">
        <v>6</v>
      </c>
      <c r="BY64" s="106">
        <v>6055.1999999999989</v>
      </c>
      <c r="BZ64" s="106">
        <v>5</v>
      </c>
      <c r="CA64" s="106">
        <v>5045.9999999999991</v>
      </c>
      <c r="CB64" s="106">
        <v>7</v>
      </c>
      <c r="CC64" s="106">
        <v>7064.3999999999987</v>
      </c>
      <c r="CD64" s="106">
        <v>9</v>
      </c>
      <c r="CE64" s="106">
        <v>9082.7999999999993</v>
      </c>
      <c r="CF64" s="106">
        <v>8</v>
      </c>
      <c r="CG64" s="106">
        <v>8073.5999999999985</v>
      </c>
      <c r="CH64" s="106">
        <v>11</v>
      </c>
      <c r="CI64" s="106">
        <v>11101.199999999997</v>
      </c>
      <c r="CJ64" s="106">
        <v>10</v>
      </c>
      <c r="CK64" s="106">
        <v>10091.999999999998</v>
      </c>
      <c r="CL64" s="106">
        <v>7</v>
      </c>
      <c r="CM64" s="106">
        <v>7064.3999999999987</v>
      </c>
      <c r="CN64" s="106">
        <v>21</v>
      </c>
      <c r="CO64" s="106">
        <v>21193.199999999997</v>
      </c>
      <c r="CP64" s="106">
        <v>34</v>
      </c>
      <c r="CQ64" s="106">
        <v>34312.799999999996</v>
      </c>
      <c r="CR64" s="106">
        <v>29</v>
      </c>
      <c r="CS64" s="106">
        <v>29266.799999999996</v>
      </c>
      <c r="CT64" s="106">
        <v>24</v>
      </c>
      <c r="CU64" s="106">
        <v>24220.799999999996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17</v>
      </c>
      <c r="G65" s="106">
        <v>17442</v>
      </c>
      <c r="H65" s="106">
        <v>17</v>
      </c>
      <c r="I65" s="106">
        <v>17442</v>
      </c>
      <c r="J65" s="106">
        <v>17</v>
      </c>
      <c r="K65" s="106">
        <v>17442</v>
      </c>
      <c r="L65" s="106">
        <v>34</v>
      </c>
      <c r="M65" s="106">
        <v>34884</v>
      </c>
      <c r="N65" s="106">
        <v>27</v>
      </c>
      <c r="O65" s="106">
        <v>27702</v>
      </c>
      <c r="P65" s="106">
        <v>33</v>
      </c>
      <c r="Q65" s="106">
        <v>33858</v>
      </c>
      <c r="R65" s="106">
        <v>20</v>
      </c>
      <c r="S65" s="106">
        <v>20520</v>
      </c>
      <c r="T65" s="106">
        <v>18</v>
      </c>
      <c r="U65" s="106">
        <v>18468</v>
      </c>
      <c r="V65" s="106">
        <v>19</v>
      </c>
      <c r="W65" s="106">
        <v>19494</v>
      </c>
      <c r="X65" s="106">
        <v>17</v>
      </c>
      <c r="Y65" s="106">
        <v>17442</v>
      </c>
      <c r="Z65" s="106">
        <v>17</v>
      </c>
      <c r="AA65" s="106">
        <v>17442</v>
      </c>
      <c r="AB65" s="106">
        <v>3</v>
      </c>
      <c r="AC65" s="106">
        <v>3078</v>
      </c>
      <c r="AD65" s="106">
        <v>5</v>
      </c>
      <c r="AE65" s="106">
        <v>5130</v>
      </c>
      <c r="AF65" s="106">
        <v>5</v>
      </c>
      <c r="AG65" s="106">
        <v>5130</v>
      </c>
      <c r="AH65" s="106">
        <v>5</v>
      </c>
      <c r="AI65" s="106">
        <v>5130</v>
      </c>
      <c r="AJ65" s="106">
        <v>5</v>
      </c>
      <c r="AK65" s="106">
        <v>5130</v>
      </c>
      <c r="AL65" s="106">
        <v>5</v>
      </c>
      <c r="AM65" s="106">
        <v>5130</v>
      </c>
      <c r="AN65" s="106">
        <v>5</v>
      </c>
      <c r="AO65" s="106">
        <v>5130</v>
      </c>
      <c r="AP65" s="106">
        <v>6</v>
      </c>
      <c r="AQ65" s="106">
        <v>6156</v>
      </c>
      <c r="AR65" s="106">
        <v>9</v>
      </c>
      <c r="AS65" s="106">
        <v>9234</v>
      </c>
      <c r="AT65" s="106">
        <v>8</v>
      </c>
      <c r="AU65" s="106">
        <v>8208</v>
      </c>
      <c r="AV65" s="106">
        <v>9</v>
      </c>
      <c r="AW65" s="106">
        <v>9234</v>
      </c>
      <c r="AX65" s="106">
        <v>8</v>
      </c>
      <c r="AY65" s="106">
        <v>8208</v>
      </c>
      <c r="AZ65" s="106">
        <v>48</v>
      </c>
      <c r="BA65" s="106">
        <v>49248</v>
      </c>
      <c r="BB65" s="106">
        <v>30</v>
      </c>
      <c r="BC65" s="106">
        <v>30780</v>
      </c>
      <c r="BD65" s="106">
        <v>29</v>
      </c>
      <c r="BE65" s="106">
        <v>29754</v>
      </c>
      <c r="BF65" s="106">
        <v>25.79917714486389</v>
      </c>
      <c r="BG65" s="106">
        <v>26469.95575063035</v>
      </c>
      <c r="BH65" s="106">
        <v>4</v>
      </c>
      <c r="BI65" s="106">
        <v>4104</v>
      </c>
      <c r="BJ65" s="106">
        <v>5</v>
      </c>
      <c r="BK65" s="106">
        <v>5130</v>
      </c>
      <c r="BL65" s="106">
        <v>5</v>
      </c>
      <c r="BM65" s="106">
        <v>5130</v>
      </c>
      <c r="BN65" s="106">
        <v>5</v>
      </c>
      <c r="BO65" s="106">
        <v>5130</v>
      </c>
      <c r="BP65" s="106">
        <v>3</v>
      </c>
      <c r="BQ65" s="106">
        <v>3078</v>
      </c>
      <c r="BR65" s="106">
        <v>7</v>
      </c>
      <c r="BS65" s="106">
        <v>7182</v>
      </c>
      <c r="BT65" s="106">
        <v>4</v>
      </c>
      <c r="BU65" s="106">
        <v>4104</v>
      </c>
      <c r="BV65" s="106">
        <v>3</v>
      </c>
      <c r="BW65" s="106">
        <v>3078</v>
      </c>
      <c r="BX65" s="106">
        <v>6</v>
      </c>
      <c r="BY65" s="106">
        <v>6156</v>
      </c>
      <c r="BZ65" s="106">
        <v>6</v>
      </c>
      <c r="CA65" s="106">
        <v>6156</v>
      </c>
      <c r="CB65" s="106">
        <v>6</v>
      </c>
      <c r="CC65" s="106">
        <v>6156</v>
      </c>
      <c r="CD65" s="106">
        <v>8</v>
      </c>
      <c r="CE65" s="106">
        <v>8208</v>
      </c>
      <c r="CF65" s="106">
        <v>8</v>
      </c>
      <c r="CG65" s="106">
        <v>8208</v>
      </c>
      <c r="CH65" s="106">
        <v>11</v>
      </c>
      <c r="CI65" s="106">
        <v>11286</v>
      </c>
      <c r="CJ65" s="106">
        <v>10</v>
      </c>
      <c r="CK65" s="106">
        <v>10260</v>
      </c>
      <c r="CL65" s="106">
        <v>6</v>
      </c>
      <c r="CM65" s="106">
        <v>6156</v>
      </c>
      <c r="CN65" s="106">
        <v>23</v>
      </c>
      <c r="CO65" s="106">
        <v>23598</v>
      </c>
      <c r="CP65" s="106">
        <v>29</v>
      </c>
      <c r="CQ65" s="106">
        <v>29754</v>
      </c>
      <c r="CR65" s="106">
        <v>29</v>
      </c>
      <c r="CS65" s="106">
        <v>29754</v>
      </c>
      <c r="CT65" s="106">
        <v>27</v>
      </c>
      <c r="CU65" s="106">
        <v>27702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17</v>
      </c>
      <c r="G66" s="106">
        <v>20236.8</v>
      </c>
      <c r="H66" s="106">
        <v>15</v>
      </c>
      <c r="I66" s="106">
        <v>17855.999999999996</v>
      </c>
      <c r="J66" s="106">
        <v>16</v>
      </c>
      <c r="K66" s="106">
        <v>19046.399999999998</v>
      </c>
      <c r="L66" s="106">
        <v>33</v>
      </c>
      <c r="M66" s="106">
        <v>39283.199999999997</v>
      </c>
      <c r="N66" s="106">
        <v>27</v>
      </c>
      <c r="O66" s="106">
        <v>32140.799999999996</v>
      </c>
      <c r="P66" s="106">
        <v>31</v>
      </c>
      <c r="Q66" s="106">
        <v>36902.399999999994</v>
      </c>
      <c r="R66" s="106">
        <v>19</v>
      </c>
      <c r="S66" s="106">
        <v>22617.599999999999</v>
      </c>
      <c r="T66" s="106">
        <v>18</v>
      </c>
      <c r="U66" s="106">
        <v>21427.199999999997</v>
      </c>
      <c r="V66" s="106">
        <v>18</v>
      </c>
      <c r="W66" s="106">
        <v>21427.199999999997</v>
      </c>
      <c r="X66" s="106">
        <v>17</v>
      </c>
      <c r="Y66" s="106">
        <v>20236.8</v>
      </c>
      <c r="Z66" s="106">
        <v>15</v>
      </c>
      <c r="AA66" s="106">
        <v>17855.999999999996</v>
      </c>
      <c r="AB66" s="106">
        <v>4</v>
      </c>
      <c r="AC66" s="106">
        <v>4761.5999999999995</v>
      </c>
      <c r="AD66" s="106">
        <v>5</v>
      </c>
      <c r="AE66" s="106">
        <v>5951.9999999999991</v>
      </c>
      <c r="AF66" s="106">
        <v>5</v>
      </c>
      <c r="AG66" s="106">
        <v>5951.9999999999991</v>
      </c>
      <c r="AH66" s="106">
        <v>5</v>
      </c>
      <c r="AI66" s="106">
        <v>5951.9999999999991</v>
      </c>
      <c r="AJ66" s="106">
        <v>6</v>
      </c>
      <c r="AK66" s="106">
        <v>7142.4</v>
      </c>
      <c r="AL66" s="106">
        <v>6</v>
      </c>
      <c r="AM66" s="106">
        <v>7142.4</v>
      </c>
      <c r="AN66" s="106">
        <v>6</v>
      </c>
      <c r="AO66" s="106">
        <v>7142.4</v>
      </c>
      <c r="AP66" s="106">
        <v>6</v>
      </c>
      <c r="AQ66" s="106">
        <v>7142.4</v>
      </c>
      <c r="AR66" s="106">
        <v>9</v>
      </c>
      <c r="AS66" s="106">
        <v>10713.599999999999</v>
      </c>
      <c r="AT66" s="106">
        <v>8</v>
      </c>
      <c r="AU66" s="106">
        <v>9523.1999999999989</v>
      </c>
      <c r="AV66" s="106">
        <v>9</v>
      </c>
      <c r="AW66" s="106">
        <v>10713.599999999999</v>
      </c>
      <c r="AX66" s="106">
        <v>9</v>
      </c>
      <c r="AY66" s="106">
        <v>10713.599999999999</v>
      </c>
      <c r="AZ66" s="106">
        <v>41</v>
      </c>
      <c r="BA66" s="106">
        <v>48806.399999999994</v>
      </c>
      <c r="BB66" s="106">
        <v>28</v>
      </c>
      <c r="BC66" s="106">
        <v>33331.199999999997</v>
      </c>
      <c r="BD66" s="106">
        <v>27</v>
      </c>
      <c r="BE66" s="106">
        <v>32140.799999999996</v>
      </c>
      <c r="BF66" s="106">
        <v>24.32493845087167</v>
      </c>
      <c r="BG66" s="106">
        <v>28956.406731917632</v>
      </c>
      <c r="BH66" s="106">
        <v>5</v>
      </c>
      <c r="BI66" s="106">
        <v>5951.9999999999991</v>
      </c>
      <c r="BJ66" s="106">
        <v>4</v>
      </c>
      <c r="BK66" s="106">
        <v>4761.5999999999995</v>
      </c>
      <c r="BL66" s="106">
        <v>5</v>
      </c>
      <c r="BM66" s="106">
        <v>5951.9999999999991</v>
      </c>
      <c r="BN66" s="106">
        <v>5</v>
      </c>
      <c r="BO66" s="106">
        <v>5951.9999999999991</v>
      </c>
      <c r="BP66" s="106">
        <v>3</v>
      </c>
      <c r="BQ66" s="106">
        <v>3571.2</v>
      </c>
      <c r="BR66" s="106">
        <v>6</v>
      </c>
      <c r="BS66" s="106">
        <v>7142.4</v>
      </c>
      <c r="BT66" s="106">
        <v>4</v>
      </c>
      <c r="BU66" s="106">
        <v>4761.5999999999995</v>
      </c>
      <c r="BV66" s="106">
        <v>4</v>
      </c>
      <c r="BW66" s="106">
        <v>4761.5999999999995</v>
      </c>
      <c r="BX66" s="106">
        <v>6</v>
      </c>
      <c r="BY66" s="106">
        <v>7142.4</v>
      </c>
      <c r="BZ66" s="106">
        <v>5</v>
      </c>
      <c r="CA66" s="106">
        <v>5951.9999999999991</v>
      </c>
      <c r="CB66" s="106">
        <v>6</v>
      </c>
      <c r="CC66" s="106">
        <v>7142.4</v>
      </c>
      <c r="CD66" s="106">
        <v>7</v>
      </c>
      <c r="CE66" s="106">
        <v>8332.7999999999993</v>
      </c>
      <c r="CF66" s="106">
        <v>7</v>
      </c>
      <c r="CG66" s="106">
        <v>8332.7999999999993</v>
      </c>
      <c r="CH66" s="106">
        <v>9</v>
      </c>
      <c r="CI66" s="106">
        <v>10713.599999999999</v>
      </c>
      <c r="CJ66" s="106">
        <v>10</v>
      </c>
      <c r="CK66" s="106">
        <v>11903.999999999998</v>
      </c>
      <c r="CL66" s="106">
        <v>7</v>
      </c>
      <c r="CM66" s="106">
        <v>8332.7999999999993</v>
      </c>
      <c r="CN66" s="106">
        <v>21</v>
      </c>
      <c r="CO66" s="106">
        <v>24998.399999999998</v>
      </c>
      <c r="CP66" s="106">
        <v>30</v>
      </c>
      <c r="CQ66" s="106">
        <v>35711.999999999993</v>
      </c>
      <c r="CR66" s="106">
        <v>30</v>
      </c>
      <c r="CS66" s="106">
        <v>35711.999999999993</v>
      </c>
      <c r="CT66" s="106">
        <v>24</v>
      </c>
      <c r="CU66" s="106">
        <v>28569.599999999999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16</v>
      </c>
      <c r="G67" s="106">
        <v>17971.2</v>
      </c>
      <c r="H67" s="106">
        <v>15</v>
      </c>
      <c r="I67" s="106">
        <v>16848</v>
      </c>
      <c r="J67" s="106">
        <v>15</v>
      </c>
      <c r="K67" s="106">
        <v>16848</v>
      </c>
      <c r="L67" s="106">
        <v>31</v>
      </c>
      <c r="M67" s="106">
        <v>34819.200000000004</v>
      </c>
      <c r="N67" s="106">
        <v>24</v>
      </c>
      <c r="O67" s="106">
        <v>26956.800000000003</v>
      </c>
      <c r="P67" s="106">
        <v>33</v>
      </c>
      <c r="Q67" s="106">
        <v>37065.599999999999</v>
      </c>
      <c r="R67" s="106">
        <v>17</v>
      </c>
      <c r="S67" s="106">
        <v>19094.400000000001</v>
      </c>
      <c r="T67" s="106">
        <v>19</v>
      </c>
      <c r="U67" s="106">
        <v>21340.799999999999</v>
      </c>
      <c r="V67" s="106">
        <v>19</v>
      </c>
      <c r="W67" s="106">
        <v>21340.799999999999</v>
      </c>
      <c r="X67" s="106">
        <v>18</v>
      </c>
      <c r="Y67" s="106">
        <v>20217.600000000002</v>
      </c>
      <c r="Z67" s="106">
        <v>16</v>
      </c>
      <c r="AA67" s="106">
        <v>17971.2</v>
      </c>
      <c r="AB67" s="106">
        <v>4</v>
      </c>
      <c r="AC67" s="106">
        <v>4492.8</v>
      </c>
      <c r="AD67" s="106">
        <v>5</v>
      </c>
      <c r="AE67" s="106">
        <v>5616</v>
      </c>
      <c r="AF67" s="106">
        <v>5</v>
      </c>
      <c r="AG67" s="106">
        <v>5616</v>
      </c>
      <c r="AH67" s="106">
        <v>5</v>
      </c>
      <c r="AI67" s="106">
        <v>5616</v>
      </c>
      <c r="AJ67" s="106">
        <v>6</v>
      </c>
      <c r="AK67" s="106">
        <v>6739.2000000000007</v>
      </c>
      <c r="AL67" s="106">
        <v>6</v>
      </c>
      <c r="AM67" s="106">
        <v>6739.2000000000007</v>
      </c>
      <c r="AN67" s="106">
        <v>6</v>
      </c>
      <c r="AO67" s="106">
        <v>6739.2000000000007</v>
      </c>
      <c r="AP67" s="106">
        <v>6</v>
      </c>
      <c r="AQ67" s="106">
        <v>6739.2000000000007</v>
      </c>
      <c r="AR67" s="106">
        <v>9</v>
      </c>
      <c r="AS67" s="106">
        <v>10108.800000000001</v>
      </c>
      <c r="AT67" s="106">
        <v>8</v>
      </c>
      <c r="AU67" s="106">
        <v>8985.6</v>
      </c>
      <c r="AV67" s="106">
        <v>8</v>
      </c>
      <c r="AW67" s="106">
        <v>8985.6</v>
      </c>
      <c r="AX67" s="106">
        <v>9</v>
      </c>
      <c r="AY67" s="106">
        <v>10108.800000000001</v>
      </c>
      <c r="AZ67" s="106">
        <v>40</v>
      </c>
      <c r="BA67" s="106">
        <v>44928</v>
      </c>
      <c r="BB67" s="106">
        <v>29</v>
      </c>
      <c r="BC67" s="106">
        <v>32572.800000000003</v>
      </c>
      <c r="BD67" s="106">
        <v>27</v>
      </c>
      <c r="BE67" s="106">
        <v>30326.400000000001</v>
      </c>
      <c r="BF67" s="106">
        <v>25.06205779786778</v>
      </c>
      <c r="BG67" s="106">
        <v>28149.703318565091</v>
      </c>
      <c r="BH67" s="106">
        <v>5</v>
      </c>
      <c r="BI67" s="106">
        <v>5616</v>
      </c>
      <c r="BJ67" s="106">
        <v>4</v>
      </c>
      <c r="BK67" s="106">
        <v>4492.8</v>
      </c>
      <c r="BL67" s="106">
        <v>4</v>
      </c>
      <c r="BM67" s="106">
        <v>4492.8</v>
      </c>
      <c r="BN67" s="106">
        <v>5</v>
      </c>
      <c r="BO67" s="106">
        <v>5616</v>
      </c>
      <c r="BP67" s="106">
        <v>4</v>
      </c>
      <c r="BQ67" s="106">
        <v>4492.8</v>
      </c>
      <c r="BR67" s="106">
        <v>6</v>
      </c>
      <c r="BS67" s="106">
        <v>6739.2000000000007</v>
      </c>
      <c r="BT67" s="106">
        <v>4</v>
      </c>
      <c r="BU67" s="106">
        <v>4492.8</v>
      </c>
      <c r="BV67" s="106">
        <v>4</v>
      </c>
      <c r="BW67" s="106">
        <v>4492.8</v>
      </c>
      <c r="BX67" s="106">
        <v>6</v>
      </c>
      <c r="BY67" s="106">
        <v>6739.2000000000007</v>
      </c>
      <c r="BZ67" s="106">
        <v>5</v>
      </c>
      <c r="CA67" s="106">
        <v>5616</v>
      </c>
      <c r="CB67" s="106">
        <v>6</v>
      </c>
      <c r="CC67" s="106">
        <v>6739.2000000000007</v>
      </c>
      <c r="CD67" s="106">
        <v>8</v>
      </c>
      <c r="CE67" s="106">
        <v>8985.6</v>
      </c>
      <c r="CF67" s="106">
        <v>7</v>
      </c>
      <c r="CG67" s="106">
        <v>7862.4000000000005</v>
      </c>
      <c r="CH67" s="106">
        <v>10</v>
      </c>
      <c r="CI67" s="106">
        <v>11232</v>
      </c>
      <c r="CJ67" s="106">
        <v>10</v>
      </c>
      <c r="CK67" s="106">
        <v>11232</v>
      </c>
      <c r="CL67" s="106">
        <v>7</v>
      </c>
      <c r="CM67" s="106">
        <v>7862.4000000000005</v>
      </c>
      <c r="CN67" s="106">
        <v>22</v>
      </c>
      <c r="CO67" s="106">
        <v>24710.400000000001</v>
      </c>
      <c r="CP67" s="106">
        <v>29</v>
      </c>
      <c r="CQ67" s="106">
        <v>32572.800000000003</v>
      </c>
      <c r="CR67" s="106">
        <v>28</v>
      </c>
      <c r="CS67" s="106">
        <v>31449.600000000002</v>
      </c>
      <c r="CT67" s="106">
        <v>26</v>
      </c>
      <c r="CU67" s="106">
        <v>29203.200000000001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18</v>
      </c>
      <c r="G68" s="106">
        <v>18597.600000000002</v>
      </c>
      <c r="H68" s="106">
        <v>17</v>
      </c>
      <c r="I68" s="106">
        <v>17564.400000000001</v>
      </c>
      <c r="J68" s="106">
        <v>16</v>
      </c>
      <c r="K68" s="106">
        <v>16531.2</v>
      </c>
      <c r="L68" s="106">
        <v>35</v>
      </c>
      <c r="M68" s="106">
        <v>36162</v>
      </c>
      <c r="N68" s="106">
        <v>24</v>
      </c>
      <c r="O68" s="106">
        <v>24796.800000000003</v>
      </c>
      <c r="P68" s="106">
        <v>29</v>
      </c>
      <c r="Q68" s="106">
        <v>29962.800000000003</v>
      </c>
      <c r="R68" s="106">
        <v>20</v>
      </c>
      <c r="S68" s="106">
        <v>20664</v>
      </c>
      <c r="T68" s="106">
        <v>18</v>
      </c>
      <c r="U68" s="106">
        <v>18597.600000000002</v>
      </c>
      <c r="V68" s="106">
        <v>19</v>
      </c>
      <c r="W68" s="106">
        <v>19630.8</v>
      </c>
      <c r="X68" s="106">
        <v>17</v>
      </c>
      <c r="Y68" s="106">
        <v>17564.400000000001</v>
      </c>
      <c r="Z68" s="106">
        <v>17</v>
      </c>
      <c r="AA68" s="106">
        <v>17564.400000000001</v>
      </c>
      <c r="AB68" s="106">
        <v>4</v>
      </c>
      <c r="AC68" s="106">
        <v>4132.8</v>
      </c>
      <c r="AD68" s="106">
        <v>5</v>
      </c>
      <c r="AE68" s="106">
        <v>5166</v>
      </c>
      <c r="AF68" s="106">
        <v>5</v>
      </c>
      <c r="AG68" s="106">
        <v>5166</v>
      </c>
      <c r="AH68" s="106">
        <v>5</v>
      </c>
      <c r="AI68" s="106">
        <v>5166</v>
      </c>
      <c r="AJ68" s="106">
        <v>5</v>
      </c>
      <c r="AK68" s="106">
        <v>5166</v>
      </c>
      <c r="AL68" s="106">
        <v>6</v>
      </c>
      <c r="AM68" s="106">
        <v>6199.2000000000007</v>
      </c>
      <c r="AN68" s="106">
        <v>6</v>
      </c>
      <c r="AO68" s="106">
        <v>6199.2000000000007</v>
      </c>
      <c r="AP68" s="106">
        <v>6</v>
      </c>
      <c r="AQ68" s="106">
        <v>6199.2000000000007</v>
      </c>
      <c r="AR68" s="106">
        <v>9</v>
      </c>
      <c r="AS68" s="106">
        <v>9298.8000000000011</v>
      </c>
      <c r="AT68" s="106">
        <v>8</v>
      </c>
      <c r="AU68" s="106">
        <v>8265.6</v>
      </c>
      <c r="AV68" s="106">
        <v>9</v>
      </c>
      <c r="AW68" s="106">
        <v>9298.8000000000011</v>
      </c>
      <c r="AX68" s="106">
        <v>10</v>
      </c>
      <c r="AY68" s="106">
        <v>10332</v>
      </c>
      <c r="AZ68" s="106">
        <v>40</v>
      </c>
      <c r="BA68" s="106">
        <v>41328</v>
      </c>
      <c r="BB68" s="106">
        <v>31</v>
      </c>
      <c r="BC68" s="106">
        <v>32029.200000000001</v>
      </c>
      <c r="BD68" s="106">
        <v>27</v>
      </c>
      <c r="BE68" s="106">
        <v>27896.400000000001</v>
      </c>
      <c r="BF68" s="106">
        <v>25.79917714486389</v>
      </c>
      <c r="BG68" s="106">
        <v>26655.709826073373</v>
      </c>
      <c r="BH68" s="106">
        <v>5</v>
      </c>
      <c r="BI68" s="106">
        <v>5166</v>
      </c>
      <c r="BJ68" s="106">
        <v>5</v>
      </c>
      <c r="BK68" s="106">
        <v>5166</v>
      </c>
      <c r="BL68" s="106">
        <v>4</v>
      </c>
      <c r="BM68" s="106">
        <v>4132.8</v>
      </c>
      <c r="BN68" s="106">
        <v>6</v>
      </c>
      <c r="BO68" s="106">
        <v>6199.2000000000007</v>
      </c>
      <c r="BP68" s="106">
        <v>3</v>
      </c>
      <c r="BQ68" s="106">
        <v>3099.6000000000004</v>
      </c>
      <c r="BR68" s="106">
        <v>6</v>
      </c>
      <c r="BS68" s="106">
        <v>6199.2000000000007</v>
      </c>
      <c r="BT68" s="106">
        <v>4</v>
      </c>
      <c r="BU68" s="106">
        <v>4132.8</v>
      </c>
      <c r="BV68" s="106">
        <v>4</v>
      </c>
      <c r="BW68" s="106">
        <v>4132.8</v>
      </c>
      <c r="BX68" s="106">
        <v>5</v>
      </c>
      <c r="BY68" s="106">
        <v>5166</v>
      </c>
      <c r="BZ68" s="106">
        <v>5</v>
      </c>
      <c r="CA68" s="106">
        <v>5166</v>
      </c>
      <c r="CB68" s="106">
        <v>6</v>
      </c>
      <c r="CC68" s="106">
        <v>6199.2000000000007</v>
      </c>
      <c r="CD68" s="106">
        <v>8</v>
      </c>
      <c r="CE68" s="106">
        <v>8265.6</v>
      </c>
      <c r="CF68" s="106">
        <v>7</v>
      </c>
      <c r="CG68" s="106">
        <v>7232.4000000000005</v>
      </c>
      <c r="CH68" s="106">
        <v>10</v>
      </c>
      <c r="CI68" s="106">
        <v>10332</v>
      </c>
      <c r="CJ68" s="106">
        <v>10</v>
      </c>
      <c r="CK68" s="106">
        <v>10332</v>
      </c>
      <c r="CL68" s="106">
        <v>6</v>
      </c>
      <c r="CM68" s="106">
        <v>6199.2000000000007</v>
      </c>
      <c r="CN68" s="106">
        <v>23</v>
      </c>
      <c r="CO68" s="106">
        <v>23763.600000000002</v>
      </c>
      <c r="CP68" s="106">
        <v>28</v>
      </c>
      <c r="CQ68" s="106">
        <v>28929.600000000002</v>
      </c>
      <c r="CR68" s="106">
        <v>28</v>
      </c>
      <c r="CS68" s="106">
        <v>28929.600000000002</v>
      </c>
      <c r="CT68" s="106">
        <v>25</v>
      </c>
      <c r="CU68" s="106">
        <v>25830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18</v>
      </c>
      <c r="G69" s="106">
        <v>13651.199999999999</v>
      </c>
      <c r="H69" s="106">
        <v>16</v>
      </c>
      <c r="I69" s="106">
        <v>12134.4</v>
      </c>
      <c r="J69" s="106">
        <v>16</v>
      </c>
      <c r="K69" s="106">
        <v>12134.4</v>
      </c>
      <c r="L69" s="106">
        <v>37</v>
      </c>
      <c r="M69" s="106">
        <v>28060.799999999999</v>
      </c>
      <c r="N69" s="106">
        <v>27</v>
      </c>
      <c r="O69" s="106">
        <v>20476.8</v>
      </c>
      <c r="P69" s="106">
        <v>31</v>
      </c>
      <c r="Q69" s="106">
        <v>23510.399999999998</v>
      </c>
      <c r="R69" s="106">
        <v>20</v>
      </c>
      <c r="S69" s="106">
        <v>15168</v>
      </c>
      <c r="T69" s="106">
        <v>20</v>
      </c>
      <c r="U69" s="106">
        <v>15168</v>
      </c>
      <c r="V69" s="106">
        <v>22</v>
      </c>
      <c r="W69" s="106">
        <v>16684.8</v>
      </c>
      <c r="X69" s="106">
        <v>17</v>
      </c>
      <c r="Y69" s="106">
        <v>12892.8</v>
      </c>
      <c r="Z69" s="106">
        <v>18</v>
      </c>
      <c r="AA69" s="106">
        <v>13651.199999999999</v>
      </c>
      <c r="AB69" s="106">
        <v>4</v>
      </c>
      <c r="AC69" s="106">
        <v>3033.6</v>
      </c>
      <c r="AD69" s="106">
        <v>5</v>
      </c>
      <c r="AE69" s="106">
        <v>3792</v>
      </c>
      <c r="AF69" s="106">
        <v>5</v>
      </c>
      <c r="AG69" s="106">
        <v>3792</v>
      </c>
      <c r="AH69" s="106">
        <v>5</v>
      </c>
      <c r="AI69" s="106">
        <v>3792</v>
      </c>
      <c r="AJ69" s="106">
        <v>6</v>
      </c>
      <c r="AK69" s="106">
        <v>4550.3999999999996</v>
      </c>
      <c r="AL69" s="106">
        <v>6</v>
      </c>
      <c r="AM69" s="106">
        <v>4550.3999999999996</v>
      </c>
      <c r="AN69" s="106">
        <v>6</v>
      </c>
      <c r="AO69" s="106">
        <v>4550.3999999999996</v>
      </c>
      <c r="AP69" s="106">
        <v>7</v>
      </c>
      <c r="AQ69" s="106">
        <v>5308.8</v>
      </c>
      <c r="AR69" s="106">
        <v>8</v>
      </c>
      <c r="AS69" s="106">
        <v>6067.2</v>
      </c>
      <c r="AT69" s="106">
        <v>8</v>
      </c>
      <c r="AU69" s="106">
        <v>6067.2</v>
      </c>
      <c r="AV69" s="106">
        <v>8</v>
      </c>
      <c r="AW69" s="106">
        <v>6067.2</v>
      </c>
      <c r="AX69" s="106">
        <v>10</v>
      </c>
      <c r="AY69" s="106">
        <v>7584</v>
      </c>
      <c r="AZ69" s="106">
        <v>44</v>
      </c>
      <c r="BA69" s="106">
        <v>33369.599999999999</v>
      </c>
      <c r="BB69" s="106">
        <v>34</v>
      </c>
      <c r="BC69" s="106">
        <v>25785.599999999999</v>
      </c>
      <c r="BD69" s="106">
        <v>30</v>
      </c>
      <c r="BE69" s="106">
        <v>22752</v>
      </c>
      <c r="BF69" s="106">
        <v>27.27341583885611</v>
      </c>
      <c r="BG69" s="106">
        <v>20684.158572188473</v>
      </c>
      <c r="BH69" s="106">
        <v>5</v>
      </c>
      <c r="BI69" s="106">
        <v>3792</v>
      </c>
      <c r="BJ69" s="106">
        <v>4</v>
      </c>
      <c r="BK69" s="106">
        <v>3033.6</v>
      </c>
      <c r="BL69" s="106">
        <v>5</v>
      </c>
      <c r="BM69" s="106">
        <v>3792</v>
      </c>
      <c r="BN69" s="106">
        <v>6</v>
      </c>
      <c r="BO69" s="106">
        <v>4550.3999999999996</v>
      </c>
      <c r="BP69" s="106">
        <v>4</v>
      </c>
      <c r="BQ69" s="106">
        <v>3033.6</v>
      </c>
      <c r="BR69" s="106">
        <v>7</v>
      </c>
      <c r="BS69" s="106">
        <v>5308.8</v>
      </c>
      <c r="BT69" s="106">
        <v>4</v>
      </c>
      <c r="BU69" s="106">
        <v>3033.6</v>
      </c>
      <c r="BV69" s="106">
        <v>4</v>
      </c>
      <c r="BW69" s="106">
        <v>3033.6</v>
      </c>
      <c r="BX69" s="106">
        <v>6</v>
      </c>
      <c r="BY69" s="106">
        <v>4550.3999999999996</v>
      </c>
      <c r="BZ69" s="106">
        <v>6</v>
      </c>
      <c r="CA69" s="106">
        <v>4550.3999999999996</v>
      </c>
      <c r="CB69" s="106">
        <v>6</v>
      </c>
      <c r="CC69" s="106">
        <v>4550.3999999999996</v>
      </c>
      <c r="CD69" s="106">
        <v>8</v>
      </c>
      <c r="CE69" s="106">
        <v>6067.2</v>
      </c>
      <c r="CF69" s="106">
        <v>8</v>
      </c>
      <c r="CG69" s="106">
        <v>6067.2</v>
      </c>
      <c r="CH69" s="106">
        <v>10</v>
      </c>
      <c r="CI69" s="106">
        <v>7584</v>
      </c>
      <c r="CJ69" s="106">
        <v>11</v>
      </c>
      <c r="CK69" s="106">
        <v>8342.4</v>
      </c>
      <c r="CL69" s="106">
        <v>7</v>
      </c>
      <c r="CM69" s="106">
        <v>5308.8</v>
      </c>
      <c r="CN69" s="106">
        <v>22</v>
      </c>
      <c r="CO69" s="106">
        <v>16684.8</v>
      </c>
      <c r="CP69" s="106">
        <v>32</v>
      </c>
      <c r="CQ69" s="106">
        <v>24268.799999999999</v>
      </c>
      <c r="CR69" s="106">
        <v>33</v>
      </c>
      <c r="CS69" s="106">
        <v>25027.200000000001</v>
      </c>
      <c r="CT69" s="106">
        <v>24</v>
      </c>
      <c r="CU69" s="106">
        <v>18201.599999999999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17</v>
      </c>
      <c r="G70" s="106">
        <v>9098.4</v>
      </c>
      <c r="H70" s="106">
        <v>17</v>
      </c>
      <c r="I70" s="106">
        <v>9098.4</v>
      </c>
      <c r="J70" s="106">
        <v>16</v>
      </c>
      <c r="K70" s="106">
        <v>8563.1999999999989</v>
      </c>
      <c r="L70" s="106">
        <v>34</v>
      </c>
      <c r="M70" s="106">
        <v>18196.8</v>
      </c>
      <c r="N70" s="106">
        <v>25</v>
      </c>
      <c r="O70" s="106">
        <v>13379.999999999998</v>
      </c>
      <c r="P70" s="106">
        <v>36</v>
      </c>
      <c r="Q70" s="106">
        <v>19267.199999999997</v>
      </c>
      <c r="R70" s="106">
        <v>20</v>
      </c>
      <c r="S70" s="106">
        <v>10703.999999999998</v>
      </c>
      <c r="T70" s="106">
        <v>21</v>
      </c>
      <c r="U70" s="106">
        <v>11239.199999999999</v>
      </c>
      <c r="V70" s="106">
        <v>22</v>
      </c>
      <c r="W70" s="106">
        <v>11774.399999999998</v>
      </c>
      <c r="X70" s="106">
        <v>17</v>
      </c>
      <c r="Y70" s="106">
        <v>9098.4</v>
      </c>
      <c r="Z70" s="106">
        <v>19</v>
      </c>
      <c r="AA70" s="106">
        <v>10168.799999999999</v>
      </c>
      <c r="AB70" s="106">
        <v>4</v>
      </c>
      <c r="AC70" s="106">
        <v>2140.7999999999997</v>
      </c>
      <c r="AD70" s="106">
        <v>6</v>
      </c>
      <c r="AE70" s="106">
        <v>3211.2</v>
      </c>
      <c r="AF70" s="106">
        <v>5</v>
      </c>
      <c r="AG70" s="106">
        <v>2675.9999999999995</v>
      </c>
      <c r="AH70" s="106">
        <v>6</v>
      </c>
      <c r="AI70" s="106">
        <v>3211.2</v>
      </c>
      <c r="AJ70" s="106">
        <v>6</v>
      </c>
      <c r="AK70" s="106">
        <v>3211.2</v>
      </c>
      <c r="AL70" s="106">
        <v>6</v>
      </c>
      <c r="AM70" s="106">
        <v>3211.2</v>
      </c>
      <c r="AN70" s="106">
        <v>6</v>
      </c>
      <c r="AO70" s="106">
        <v>3211.2</v>
      </c>
      <c r="AP70" s="106">
        <v>6</v>
      </c>
      <c r="AQ70" s="106">
        <v>3211.2</v>
      </c>
      <c r="AR70" s="106">
        <v>9</v>
      </c>
      <c r="AS70" s="106">
        <v>4816.7999999999993</v>
      </c>
      <c r="AT70" s="106">
        <v>7</v>
      </c>
      <c r="AU70" s="106">
        <v>3746.3999999999996</v>
      </c>
      <c r="AV70" s="106">
        <v>9</v>
      </c>
      <c r="AW70" s="106">
        <v>4816.7999999999993</v>
      </c>
      <c r="AX70" s="106">
        <v>9</v>
      </c>
      <c r="AY70" s="106">
        <v>4816.7999999999993</v>
      </c>
      <c r="AZ70" s="106">
        <v>50</v>
      </c>
      <c r="BA70" s="106">
        <v>26759.999999999996</v>
      </c>
      <c r="BB70" s="106">
        <v>31</v>
      </c>
      <c r="BC70" s="106">
        <v>16591.199999999997</v>
      </c>
      <c r="BD70" s="106">
        <v>30</v>
      </c>
      <c r="BE70" s="106">
        <v>16055.999999999998</v>
      </c>
      <c r="BF70" s="106">
        <v>28.010535185852227</v>
      </c>
      <c r="BG70" s="106">
        <v>14991.238431468109</v>
      </c>
      <c r="BH70" s="106">
        <v>5</v>
      </c>
      <c r="BI70" s="106">
        <v>2675.9999999999995</v>
      </c>
      <c r="BJ70" s="106">
        <v>5</v>
      </c>
      <c r="BK70" s="106">
        <v>2675.9999999999995</v>
      </c>
      <c r="BL70" s="106">
        <v>5</v>
      </c>
      <c r="BM70" s="106">
        <v>2675.9999999999995</v>
      </c>
      <c r="BN70" s="106">
        <v>5</v>
      </c>
      <c r="BO70" s="106">
        <v>2675.9999999999995</v>
      </c>
      <c r="BP70" s="106">
        <v>3</v>
      </c>
      <c r="BQ70" s="106">
        <v>1605.6</v>
      </c>
      <c r="BR70" s="106">
        <v>7</v>
      </c>
      <c r="BS70" s="106">
        <v>3746.3999999999996</v>
      </c>
      <c r="BT70" s="106">
        <v>4</v>
      </c>
      <c r="BU70" s="106">
        <v>2140.7999999999997</v>
      </c>
      <c r="BV70" s="106">
        <v>4</v>
      </c>
      <c r="BW70" s="106">
        <v>2140.7999999999997</v>
      </c>
      <c r="BX70" s="106">
        <v>6</v>
      </c>
      <c r="BY70" s="106">
        <v>3211.2</v>
      </c>
      <c r="BZ70" s="106">
        <v>5</v>
      </c>
      <c r="CA70" s="106">
        <v>2675.9999999999995</v>
      </c>
      <c r="CB70" s="106">
        <v>7</v>
      </c>
      <c r="CC70" s="106">
        <v>3746.3999999999996</v>
      </c>
      <c r="CD70" s="106">
        <v>9</v>
      </c>
      <c r="CE70" s="106">
        <v>4816.7999999999993</v>
      </c>
      <c r="CF70" s="106">
        <v>8</v>
      </c>
      <c r="CG70" s="106">
        <v>4281.5999999999995</v>
      </c>
      <c r="CH70" s="106">
        <v>11</v>
      </c>
      <c r="CI70" s="106">
        <v>5887.1999999999989</v>
      </c>
      <c r="CJ70" s="106">
        <v>9</v>
      </c>
      <c r="CK70" s="106">
        <v>4816.7999999999993</v>
      </c>
      <c r="CL70" s="106">
        <v>7</v>
      </c>
      <c r="CM70" s="106">
        <v>3746.3999999999996</v>
      </c>
      <c r="CN70" s="106">
        <v>24</v>
      </c>
      <c r="CO70" s="106">
        <v>12844.8</v>
      </c>
      <c r="CP70" s="106">
        <v>31</v>
      </c>
      <c r="CQ70" s="106">
        <v>16591.199999999997</v>
      </c>
      <c r="CR70" s="106">
        <v>35</v>
      </c>
      <c r="CS70" s="106">
        <v>18731.999999999996</v>
      </c>
      <c r="CT70" s="106">
        <v>26</v>
      </c>
      <c r="CU70" s="106">
        <v>13915.199999999999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9</v>
      </c>
      <c r="G71" s="106">
        <v>5076</v>
      </c>
      <c r="H71" s="106">
        <v>10.680786340303662</v>
      </c>
      <c r="I71" s="106">
        <v>6023.9634959312652</v>
      </c>
      <c r="J71" s="106">
        <v>11.980358846266776</v>
      </c>
      <c r="K71" s="106">
        <v>6756.9223892944619</v>
      </c>
      <c r="L71" s="106">
        <v>4.9536667320028469</v>
      </c>
      <c r="M71" s="106">
        <v>2793.8680368496057</v>
      </c>
      <c r="N71" s="106">
        <v>5.9002774662358313</v>
      </c>
      <c r="O71" s="106">
        <v>3327.7564909570087</v>
      </c>
      <c r="P71" s="106">
        <v>3.7717374381447066</v>
      </c>
      <c r="Q71" s="106">
        <v>2127.2599151136146</v>
      </c>
      <c r="R71" s="106">
        <v>3.6702952165450031</v>
      </c>
      <c r="S71" s="106">
        <v>2070.0465021313817</v>
      </c>
      <c r="T71" s="106">
        <v>28.508392865119557</v>
      </c>
      <c r="U71" s="106">
        <v>16078.73357592743</v>
      </c>
      <c r="V71" s="106">
        <v>26.52826129245765</v>
      </c>
      <c r="W71" s="106">
        <v>14961.939368946114</v>
      </c>
      <c r="X71" s="106">
        <v>32.596699774793471</v>
      </c>
      <c r="Y71" s="106">
        <v>18384.538672983519</v>
      </c>
      <c r="Z71" s="106">
        <v>25.522237028239701</v>
      </c>
      <c r="AA71" s="106">
        <v>14394.541683927191</v>
      </c>
      <c r="AB71" s="106">
        <v>14.596322336778892</v>
      </c>
      <c r="AC71" s="106">
        <v>8232.3257979432947</v>
      </c>
      <c r="AD71" s="106">
        <v>19.63667097466244</v>
      </c>
      <c r="AE71" s="106">
        <v>11075.082429709617</v>
      </c>
      <c r="AF71" s="106">
        <v>12.698169673087625</v>
      </c>
      <c r="AG71" s="106">
        <v>7161.76769562142</v>
      </c>
      <c r="AH71" s="106">
        <v>9.599289991662614</v>
      </c>
      <c r="AI71" s="106">
        <v>5413.9995552977143</v>
      </c>
      <c r="AJ71" s="106">
        <v>8.467104821479813</v>
      </c>
      <c r="AK71" s="106">
        <v>4775.4471193146146</v>
      </c>
      <c r="AL71" s="106">
        <v>14.615212137542175</v>
      </c>
      <c r="AM71" s="106">
        <v>8242.9796455737869</v>
      </c>
      <c r="AN71" s="106">
        <v>9.4397999777448813</v>
      </c>
      <c r="AO71" s="106">
        <v>5324.0471874481127</v>
      </c>
      <c r="AP71" s="106">
        <v>13.558028856453859</v>
      </c>
      <c r="AQ71" s="106">
        <v>7646.7282750399763</v>
      </c>
      <c r="AR71" s="106">
        <v>21.807627386369887</v>
      </c>
      <c r="AS71" s="106">
        <v>12299.501845912617</v>
      </c>
      <c r="AT71" s="106">
        <v>15.824640379791429</v>
      </c>
      <c r="AU71" s="106">
        <v>8925.0971742023667</v>
      </c>
      <c r="AV71" s="106">
        <v>20.542688858250759</v>
      </c>
      <c r="AW71" s="106">
        <v>11586.076516053428</v>
      </c>
      <c r="AX71" s="106">
        <v>14.800096350950325</v>
      </c>
      <c r="AY71" s="106">
        <v>8347.2543419359827</v>
      </c>
      <c r="AZ71" s="106">
        <v>4</v>
      </c>
      <c r="BA71" s="106">
        <v>2256</v>
      </c>
      <c r="BB71" s="106">
        <v>5</v>
      </c>
      <c r="BC71" s="106">
        <v>2820</v>
      </c>
      <c r="BD71" s="106">
        <v>5</v>
      </c>
      <c r="BE71" s="106">
        <v>2820</v>
      </c>
      <c r="BF71" s="106">
        <v>5</v>
      </c>
      <c r="BG71" s="106">
        <v>2820</v>
      </c>
      <c r="BH71" s="106">
        <v>19</v>
      </c>
      <c r="BI71" s="106">
        <v>10716</v>
      </c>
      <c r="BJ71" s="106">
        <v>11</v>
      </c>
      <c r="BK71" s="106">
        <v>6204</v>
      </c>
      <c r="BL71" s="106">
        <v>11</v>
      </c>
      <c r="BM71" s="106">
        <v>6204</v>
      </c>
      <c r="BN71" s="106">
        <v>13</v>
      </c>
      <c r="BO71" s="106">
        <v>7332</v>
      </c>
      <c r="BP71" s="106">
        <v>6</v>
      </c>
      <c r="BQ71" s="106">
        <v>3384</v>
      </c>
      <c r="BR71" s="106">
        <v>6</v>
      </c>
      <c r="BS71" s="106">
        <v>3384</v>
      </c>
      <c r="BT71" s="106">
        <v>6.2967247928378338</v>
      </c>
      <c r="BU71" s="106">
        <v>3551.3527831605384</v>
      </c>
      <c r="BV71" s="106">
        <v>9.4728748018058599</v>
      </c>
      <c r="BW71" s="106">
        <v>5342.7013882185047</v>
      </c>
      <c r="BX71" s="106">
        <v>6.4323588278792618</v>
      </c>
      <c r="BY71" s="106">
        <v>3627.8503789239035</v>
      </c>
      <c r="BZ71" s="106">
        <v>8.5686381226651633</v>
      </c>
      <c r="CA71" s="106">
        <v>4832.7119011831519</v>
      </c>
      <c r="CB71" s="106">
        <v>6.478633094018778</v>
      </c>
      <c r="CC71" s="106">
        <v>3653.9490650265907</v>
      </c>
      <c r="CD71" s="106">
        <v>5.4820429794374679</v>
      </c>
      <c r="CE71" s="106">
        <v>3091.8722404027317</v>
      </c>
      <c r="CF71" s="106">
        <v>15</v>
      </c>
      <c r="CG71" s="106">
        <v>8460</v>
      </c>
      <c r="CH71" s="106">
        <v>12</v>
      </c>
      <c r="CI71" s="106">
        <v>6768</v>
      </c>
      <c r="CJ71" s="106">
        <v>17</v>
      </c>
      <c r="CK71" s="106">
        <v>9588</v>
      </c>
      <c r="CL71" s="106">
        <v>12</v>
      </c>
      <c r="CM71" s="106">
        <v>6768</v>
      </c>
      <c r="CN71" s="106">
        <v>7</v>
      </c>
      <c r="CO71" s="106">
        <v>3948</v>
      </c>
      <c r="CP71" s="106">
        <v>6.6269459660949446</v>
      </c>
      <c r="CQ71" s="106">
        <v>3737.5975248775489</v>
      </c>
      <c r="CR71" s="106">
        <v>6</v>
      </c>
      <c r="CS71" s="106">
        <v>3384</v>
      </c>
      <c r="CT71" s="106">
        <v>4</v>
      </c>
      <c r="CU71" s="106">
        <v>2256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11</v>
      </c>
      <c r="G72" s="106">
        <v>818.39999999999986</v>
      </c>
      <c r="H72" s="106">
        <v>10.680786340303662</v>
      </c>
      <c r="I72" s="106">
        <v>794.6505037185924</v>
      </c>
      <c r="J72" s="106">
        <v>13.093477174682175</v>
      </c>
      <c r="K72" s="106">
        <v>974.15470179635372</v>
      </c>
      <c r="L72" s="106">
        <v>4.9122029610462015</v>
      </c>
      <c r="M72" s="106">
        <v>365.46790030183735</v>
      </c>
      <c r="N72" s="106">
        <v>6.0230425752679899</v>
      </c>
      <c r="O72" s="106">
        <v>448.11436759993842</v>
      </c>
      <c r="P72" s="106">
        <v>3.6982386345118772</v>
      </c>
      <c r="Q72" s="106">
        <v>275.14895440768362</v>
      </c>
      <c r="R72" s="106">
        <v>3.7761313033678983</v>
      </c>
      <c r="S72" s="106">
        <v>280.94416897057158</v>
      </c>
      <c r="T72" s="106">
        <v>29.532602049172869</v>
      </c>
      <c r="U72" s="106">
        <v>2197.2255924584611</v>
      </c>
      <c r="V72" s="106">
        <v>30.633913550949178</v>
      </c>
      <c r="W72" s="106">
        <v>2279.1631681906188</v>
      </c>
      <c r="X72" s="106">
        <v>39.623822491829536</v>
      </c>
      <c r="Y72" s="106">
        <v>2948.0123933921172</v>
      </c>
      <c r="Z72" s="106">
        <v>27.600572582475657</v>
      </c>
      <c r="AA72" s="106">
        <v>2053.4826001361885</v>
      </c>
      <c r="AB72" s="106">
        <v>15.695709392908705</v>
      </c>
      <c r="AC72" s="106">
        <v>1167.7607788324076</v>
      </c>
      <c r="AD72" s="106">
        <v>19.63667097466244</v>
      </c>
      <c r="AE72" s="106">
        <v>1460.9683205148854</v>
      </c>
      <c r="AF72" s="106">
        <v>12.748038935451028</v>
      </c>
      <c r="AG72" s="106">
        <v>948.45409679755642</v>
      </c>
      <c r="AH72" s="106">
        <v>9.7491124895782661</v>
      </c>
      <c r="AI72" s="106">
        <v>725.33396922462293</v>
      </c>
      <c r="AJ72" s="106">
        <v>10.538967101707478</v>
      </c>
      <c r="AK72" s="106">
        <v>784.09915236703625</v>
      </c>
      <c r="AL72" s="106">
        <v>16.615212137542176</v>
      </c>
      <c r="AM72" s="106">
        <v>1236.1717830331377</v>
      </c>
      <c r="AN72" s="106">
        <v>11.439799977744881</v>
      </c>
      <c r="AO72" s="106">
        <v>851.1211183442191</v>
      </c>
      <c r="AP72" s="106">
        <v>13.520826932690268</v>
      </c>
      <c r="AQ72" s="106">
        <v>1005.9495237921558</v>
      </c>
      <c r="AR72" s="106">
        <v>24.165180056201294</v>
      </c>
      <c r="AS72" s="106">
        <v>1797.889396181376</v>
      </c>
      <c r="AT72" s="106">
        <v>18.269104062048314</v>
      </c>
      <c r="AU72" s="106">
        <v>1359.2213422163943</v>
      </c>
      <c r="AV72" s="106">
        <v>23.542688858250759</v>
      </c>
      <c r="AW72" s="106">
        <v>1751.5760510538562</v>
      </c>
      <c r="AX72" s="106">
        <v>15.770094745101153</v>
      </c>
      <c r="AY72" s="106">
        <v>1173.2950490355256</v>
      </c>
      <c r="AZ72" s="106">
        <v>4</v>
      </c>
      <c r="BA72" s="106">
        <v>297.59999999999997</v>
      </c>
      <c r="BB72" s="106">
        <v>6</v>
      </c>
      <c r="BC72" s="106">
        <v>446.4</v>
      </c>
      <c r="BD72" s="106">
        <v>5</v>
      </c>
      <c r="BE72" s="106">
        <v>371.99999999999994</v>
      </c>
      <c r="BF72" s="106">
        <v>6</v>
      </c>
      <c r="BG72" s="106">
        <v>446.4</v>
      </c>
      <c r="BH72" s="106">
        <v>20</v>
      </c>
      <c r="BI72" s="106">
        <v>1487.9999999999998</v>
      </c>
      <c r="BJ72" s="106">
        <v>12</v>
      </c>
      <c r="BK72" s="106">
        <v>892.8</v>
      </c>
      <c r="BL72" s="106">
        <v>12</v>
      </c>
      <c r="BM72" s="106">
        <v>892.8</v>
      </c>
      <c r="BN72" s="106">
        <v>14</v>
      </c>
      <c r="BO72" s="106">
        <v>1041.5999999999999</v>
      </c>
      <c r="BP72" s="106">
        <v>7</v>
      </c>
      <c r="BQ72" s="106">
        <v>520.79999999999995</v>
      </c>
      <c r="BR72" s="106">
        <v>6</v>
      </c>
      <c r="BS72" s="106">
        <v>446.4</v>
      </c>
      <c r="BT72" s="106">
        <v>6.3391140489575246</v>
      </c>
      <c r="BU72" s="106">
        <v>471.6300852424398</v>
      </c>
      <c r="BV72" s="106">
        <v>8.3868975651138857</v>
      </c>
      <c r="BW72" s="106">
        <v>623.98517884447301</v>
      </c>
      <c r="BX72" s="106">
        <v>7.4988755706299184</v>
      </c>
      <c r="BY72" s="106">
        <v>557.91634245486591</v>
      </c>
      <c r="BZ72" s="106">
        <v>9.5351888213319178</v>
      </c>
      <c r="CA72" s="106">
        <v>709.41804830709464</v>
      </c>
      <c r="CB72" s="106">
        <v>7.5584052763552414</v>
      </c>
      <c r="CC72" s="106">
        <v>562.34535256082995</v>
      </c>
      <c r="CD72" s="106">
        <v>6.4499067808083037</v>
      </c>
      <c r="CE72" s="106">
        <v>479.87306449213776</v>
      </c>
      <c r="CF72" s="106">
        <v>16</v>
      </c>
      <c r="CG72" s="106">
        <v>1190.3999999999999</v>
      </c>
      <c r="CH72" s="106">
        <v>13</v>
      </c>
      <c r="CI72" s="106">
        <v>967.19999999999993</v>
      </c>
      <c r="CJ72" s="106">
        <v>19</v>
      </c>
      <c r="CK72" s="106">
        <v>1413.6</v>
      </c>
      <c r="CL72" s="106">
        <v>12</v>
      </c>
      <c r="CM72" s="106">
        <v>892.8</v>
      </c>
      <c r="CN72" s="106">
        <v>6</v>
      </c>
      <c r="CO72" s="106">
        <v>446.4</v>
      </c>
      <c r="CP72" s="106">
        <v>7.7941315570535963</v>
      </c>
      <c r="CQ72" s="106">
        <v>579.88338784478753</v>
      </c>
      <c r="CR72" s="106">
        <v>7</v>
      </c>
      <c r="CS72" s="106">
        <v>520.79999999999995</v>
      </c>
      <c r="CT72" s="106">
        <v>4</v>
      </c>
      <c r="CU72" s="106">
        <v>297.59999999999997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9</v>
      </c>
      <c r="G73" s="106">
        <v>5032.7999999999993</v>
      </c>
      <c r="H73" s="106">
        <v>10.680786340303662</v>
      </c>
      <c r="I73" s="106">
        <v>5972.6957214978074</v>
      </c>
      <c r="J73" s="106">
        <v>11.980358846266776</v>
      </c>
      <c r="K73" s="106">
        <v>6699.4166668323805</v>
      </c>
      <c r="L73" s="106">
        <v>4.870739190089556</v>
      </c>
      <c r="M73" s="106">
        <v>2723.7173550980792</v>
      </c>
      <c r="N73" s="106">
        <v>5.9411991692465502</v>
      </c>
      <c r="O73" s="106">
        <v>3322.3185754426704</v>
      </c>
      <c r="P73" s="106">
        <v>3.6614892326954629</v>
      </c>
      <c r="Q73" s="106">
        <v>2047.5047789233026</v>
      </c>
      <c r="R73" s="106">
        <v>3.705573912152635</v>
      </c>
      <c r="S73" s="106">
        <v>2072.1569316757532</v>
      </c>
      <c r="T73" s="106">
        <v>29.484183681066245</v>
      </c>
      <c r="U73" s="106">
        <v>16487.55551445224</v>
      </c>
      <c r="V73" s="106">
        <v>27.554674357080533</v>
      </c>
      <c r="W73" s="106">
        <v>15408.573900479432</v>
      </c>
      <c r="X73" s="106">
        <v>37.542454340721335</v>
      </c>
      <c r="Y73" s="106">
        <v>20993.740467331369</v>
      </c>
      <c r="Z73" s="106">
        <v>22.574460731063674</v>
      </c>
      <c r="AA73" s="106">
        <v>12623.638440810804</v>
      </c>
      <c r="AB73" s="106">
        <v>12.695709392908705</v>
      </c>
      <c r="AC73" s="106">
        <v>7099.4406925145477</v>
      </c>
      <c r="AD73" s="106">
        <v>19.63667097466244</v>
      </c>
      <c r="AE73" s="106">
        <v>10980.826409031235</v>
      </c>
      <c r="AF73" s="106">
        <v>12.797908197814429</v>
      </c>
      <c r="AG73" s="106">
        <v>7156.590264217828</v>
      </c>
      <c r="AH73" s="106">
        <v>10.699171656939715</v>
      </c>
      <c r="AI73" s="106">
        <v>5982.9767905606877</v>
      </c>
      <c r="AJ73" s="106">
        <v>8.467104821479813</v>
      </c>
      <c r="AK73" s="106">
        <v>4734.8050161715109</v>
      </c>
      <c r="AL73" s="106">
        <v>16.542834239007803</v>
      </c>
      <c r="AM73" s="106">
        <v>9250.7529064531627</v>
      </c>
      <c r="AN73" s="106">
        <v>11.513099974035695</v>
      </c>
      <c r="AO73" s="106">
        <v>6438.1255054807598</v>
      </c>
      <c r="AP73" s="106">
        <v>13.595230780217449</v>
      </c>
      <c r="AQ73" s="106">
        <v>7602.4530522975965</v>
      </c>
      <c r="AR73" s="106">
        <v>24.986403721285591</v>
      </c>
      <c r="AS73" s="106">
        <v>13972.3969609429</v>
      </c>
      <c r="AT73" s="106">
        <v>16.01178298284696</v>
      </c>
      <c r="AU73" s="106">
        <v>8953.7890440080191</v>
      </c>
      <c r="AV73" s="106">
        <v>22.568400339221608</v>
      </c>
      <c r="AW73" s="106">
        <v>12620.249469692721</v>
      </c>
      <c r="AX73" s="106">
        <v>15.530081898307776</v>
      </c>
      <c r="AY73" s="106">
        <v>8684.4217975337069</v>
      </c>
      <c r="AZ73" s="106">
        <v>3</v>
      </c>
      <c r="BA73" s="106">
        <v>1677.6</v>
      </c>
      <c r="BB73" s="106">
        <v>6</v>
      </c>
      <c r="BC73" s="106">
        <v>3355.2</v>
      </c>
      <c r="BD73" s="106">
        <v>6</v>
      </c>
      <c r="BE73" s="106">
        <v>3355.2</v>
      </c>
      <c r="BF73" s="106">
        <v>5</v>
      </c>
      <c r="BG73" s="106">
        <v>2795.9999999999995</v>
      </c>
      <c r="BH73" s="106">
        <v>18</v>
      </c>
      <c r="BI73" s="106">
        <v>10065.599999999999</v>
      </c>
      <c r="BJ73" s="106">
        <v>11</v>
      </c>
      <c r="BK73" s="106">
        <v>6151.1999999999989</v>
      </c>
      <c r="BL73" s="106">
        <v>11</v>
      </c>
      <c r="BM73" s="106">
        <v>6151.1999999999989</v>
      </c>
      <c r="BN73" s="106">
        <v>13</v>
      </c>
      <c r="BO73" s="106">
        <v>7269.5999999999995</v>
      </c>
      <c r="BP73" s="106">
        <v>6</v>
      </c>
      <c r="BQ73" s="106">
        <v>3355.2</v>
      </c>
      <c r="BR73" s="106">
        <v>5.385839273007492</v>
      </c>
      <c r="BS73" s="106">
        <v>3011.761321465789</v>
      </c>
      <c r="BT73" s="106">
        <v>5.2967247928378338</v>
      </c>
      <c r="BU73" s="106">
        <v>2961.9285041549165</v>
      </c>
      <c r="BV73" s="106">
        <v>8.3868975651138857</v>
      </c>
      <c r="BW73" s="106">
        <v>4689.953118411684</v>
      </c>
      <c r="BX73" s="106">
        <v>7.4323588278792618</v>
      </c>
      <c r="BY73" s="106">
        <v>4156.1750565500824</v>
      </c>
      <c r="BZ73" s="106">
        <v>8.5686381226651633</v>
      </c>
      <c r="CA73" s="106">
        <v>4791.5824381943585</v>
      </c>
      <c r="CB73" s="106">
        <v>6.478633094018778</v>
      </c>
      <c r="CC73" s="106">
        <v>3622.8516261753002</v>
      </c>
      <c r="CD73" s="106">
        <v>6.3856343835499745</v>
      </c>
      <c r="CE73" s="106">
        <v>3570.8467472811453</v>
      </c>
      <c r="CF73" s="106">
        <v>16</v>
      </c>
      <c r="CG73" s="106">
        <v>8947.1999999999989</v>
      </c>
      <c r="CH73" s="106">
        <v>12</v>
      </c>
      <c r="CI73" s="106">
        <v>6710.4</v>
      </c>
      <c r="CJ73" s="106">
        <v>18</v>
      </c>
      <c r="CK73" s="106">
        <v>10065.599999999999</v>
      </c>
      <c r="CL73" s="106">
        <v>13</v>
      </c>
      <c r="CM73" s="106">
        <v>7269.5999999999995</v>
      </c>
      <c r="CN73" s="106">
        <v>7</v>
      </c>
      <c r="CO73" s="106">
        <v>3914.3999999999996</v>
      </c>
      <c r="CP73" s="106">
        <v>6.7523351593139331</v>
      </c>
      <c r="CQ73" s="106">
        <v>3775.9058210883509</v>
      </c>
      <c r="CR73" s="106">
        <v>6</v>
      </c>
      <c r="CS73" s="106">
        <v>3355.2</v>
      </c>
      <c r="CT73" s="106">
        <v>4</v>
      </c>
      <c r="CU73" s="106">
        <v>2236.7999999999997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10</v>
      </c>
      <c r="G74" s="106">
        <v>4032</v>
      </c>
      <c r="H74" s="106">
        <v>10.680786340303662</v>
      </c>
      <c r="I74" s="106">
        <v>4306.4930524104366</v>
      </c>
      <c r="J74" s="106">
        <v>11.942652736794978</v>
      </c>
      <c r="K74" s="106">
        <v>4815.2775834757349</v>
      </c>
      <c r="L74" s="106">
        <v>4.8292754191329106</v>
      </c>
      <c r="M74" s="106">
        <v>1947.1638489943896</v>
      </c>
      <c r="N74" s="106">
        <v>4.9821208722572701</v>
      </c>
      <c r="O74" s="106">
        <v>2008.7911356941313</v>
      </c>
      <c r="P74" s="106">
        <v>3.7349880363282919</v>
      </c>
      <c r="Q74" s="106">
        <v>1505.9471762475673</v>
      </c>
      <c r="R74" s="106">
        <v>3.7761313033678983</v>
      </c>
      <c r="S74" s="106">
        <v>1522.5361415179366</v>
      </c>
      <c r="T74" s="106">
        <v>26.532602049172869</v>
      </c>
      <c r="U74" s="106">
        <v>10697.945146226501</v>
      </c>
      <c r="V74" s="106">
        <v>30.554674357080533</v>
      </c>
      <c r="W74" s="106">
        <v>12319.64470077487</v>
      </c>
      <c r="X74" s="106">
        <v>36.678067925901672</v>
      </c>
      <c r="Y74" s="106">
        <v>14788.596987723553</v>
      </c>
      <c r="Z74" s="106">
        <v>24.522237028239701</v>
      </c>
      <c r="AA74" s="106">
        <v>9887.3659697862477</v>
      </c>
      <c r="AB74" s="106">
        <v>13.596322336778892</v>
      </c>
      <c r="AC74" s="106">
        <v>5482.0371661892486</v>
      </c>
      <c r="AD74" s="106">
        <v>18.63667097466244</v>
      </c>
      <c r="AE74" s="106">
        <v>7514.3057369838953</v>
      </c>
      <c r="AF74" s="106">
        <v>12.748038935451028</v>
      </c>
      <c r="AG74" s="106">
        <v>5140.0092987738544</v>
      </c>
      <c r="AH74" s="106">
        <v>10.649230824301164</v>
      </c>
      <c r="AI74" s="106">
        <v>4293.7698683582294</v>
      </c>
      <c r="AJ74" s="106">
        <v>8.5389671017074775</v>
      </c>
      <c r="AK74" s="106">
        <v>3442.9115354084547</v>
      </c>
      <c r="AL74" s="106">
        <v>16.579023188274988</v>
      </c>
      <c r="AM74" s="106">
        <v>6684.6621495124746</v>
      </c>
      <c r="AN74" s="106">
        <v>10.476449975890288</v>
      </c>
      <c r="AO74" s="106">
        <v>4224.1046302789637</v>
      </c>
      <c r="AP74" s="106">
        <v>13.558028856453859</v>
      </c>
      <c r="AQ74" s="106">
        <v>5466.5972349221956</v>
      </c>
      <c r="AR74" s="106">
        <v>24.847355460795601</v>
      </c>
      <c r="AS74" s="106">
        <v>10018.453721792786</v>
      </c>
      <c r="AT74" s="106">
        <v>18.01178298284696</v>
      </c>
      <c r="AU74" s="106">
        <v>7262.3508986838942</v>
      </c>
      <c r="AV74" s="106">
        <v>22.67124626310499</v>
      </c>
      <c r="AW74" s="106">
        <v>9141.0464932839313</v>
      </c>
      <c r="AX74" s="106">
        <v>17.770094745101151</v>
      </c>
      <c r="AY74" s="106">
        <v>7164.9022012247842</v>
      </c>
      <c r="AZ74" s="106">
        <v>3</v>
      </c>
      <c r="BA74" s="106">
        <v>1209.5999999999999</v>
      </c>
      <c r="BB74" s="106">
        <v>6</v>
      </c>
      <c r="BC74" s="106">
        <v>2419.1999999999998</v>
      </c>
      <c r="BD74" s="106">
        <v>5</v>
      </c>
      <c r="BE74" s="106">
        <v>2016</v>
      </c>
      <c r="BF74" s="106">
        <v>6</v>
      </c>
      <c r="BG74" s="106">
        <v>2419.1999999999998</v>
      </c>
      <c r="BH74" s="106">
        <v>20</v>
      </c>
      <c r="BI74" s="106">
        <v>8064</v>
      </c>
      <c r="BJ74" s="106">
        <v>12</v>
      </c>
      <c r="BK74" s="106">
        <v>4838.3999999999996</v>
      </c>
      <c r="BL74" s="106">
        <v>10</v>
      </c>
      <c r="BM74" s="106">
        <v>4032</v>
      </c>
      <c r="BN74" s="106">
        <v>12</v>
      </c>
      <c r="BO74" s="106">
        <v>4838.3999999999996</v>
      </c>
      <c r="BP74" s="106">
        <v>6</v>
      </c>
      <c r="BQ74" s="106">
        <v>2419.1999999999998</v>
      </c>
      <c r="BR74" s="106">
        <v>6</v>
      </c>
      <c r="BS74" s="106">
        <v>2419.1999999999998</v>
      </c>
      <c r="BT74" s="106">
        <v>6.3391140489575246</v>
      </c>
      <c r="BU74" s="106">
        <v>2555.9307845396738</v>
      </c>
      <c r="BV74" s="106">
        <v>9.4728748018058599</v>
      </c>
      <c r="BW74" s="106">
        <v>3819.4631200881227</v>
      </c>
      <c r="BX74" s="106">
        <v>7.4323588278792618</v>
      </c>
      <c r="BY74" s="106">
        <v>2996.7270794009182</v>
      </c>
      <c r="BZ74" s="106">
        <v>8.5686381226651633</v>
      </c>
      <c r="CA74" s="106">
        <v>3454.8748910585937</v>
      </c>
      <c r="CB74" s="106">
        <v>7.478633094018778</v>
      </c>
      <c r="CC74" s="106">
        <v>3015.3848635083714</v>
      </c>
      <c r="CD74" s="106">
        <v>5.4499067808083037</v>
      </c>
      <c r="CE74" s="106">
        <v>2197.402414021908</v>
      </c>
      <c r="CF74" s="106">
        <v>17</v>
      </c>
      <c r="CG74" s="106">
        <v>6854.4</v>
      </c>
      <c r="CH74" s="106">
        <v>12</v>
      </c>
      <c r="CI74" s="106">
        <v>4838.3999999999996</v>
      </c>
      <c r="CJ74" s="106">
        <v>17</v>
      </c>
      <c r="CK74" s="106">
        <v>6854.4</v>
      </c>
      <c r="CL74" s="106">
        <v>13</v>
      </c>
      <c r="CM74" s="106">
        <v>5241.5999999999995</v>
      </c>
      <c r="CN74" s="106">
        <v>6</v>
      </c>
      <c r="CO74" s="106">
        <v>2419.1999999999998</v>
      </c>
      <c r="CP74" s="106">
        <v>5.71053876157427</v>
      </c>
      <c r="CQ74" s="106">
        <v>2302.4892286667455</v>
      </c>
      <c r="CR74" s="106">
        <v>7</v>
      </c>
      <c r="CS74" s="106">
        <v>2822.4</v>
      </c>
      <c r="CT74" s="106">
        <v>4</v>
      </c>
      <c r="CU74" s="106">
        <v>1612.8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10</v>
      </c>
      <c r="G75" s="106">
        <v>6431.9999999999991</v>
      </c>
      <c r="H75" s="106">
        <v>9.7564292670040693</v>
      </c>
      <c r="I75" s="106">
        <v>6275.3353045370168</v>
      </c>
      <c r="J75" s="106">
        <v>11.942652736794978</v>
      </c>
      <c r="K75" s="106">
        <v>7681.5142403065292</v>
      </c>
      <c r="L75" s="106">
        <v>3.7878116481762647</v>
      </c>
      <c r="M75" s="106">
        <v>2436.3204521069733</v>
      </c>
      <c r="N75" s="106">
        <v>5.9821208722572701</v>
      </c>
      <c r="O75" s="106">
        <v>3847.7001450358757</v>
      </c>
      <c r="P75" s="106">
        <v>3.7717374381447066</v>
      </c>
      <c r="Q75" s="106">
        <v>2425.9815202146751</v>
      </c>
      <c r="R75" s="106">
        <v>3.705573912152635</v>
      </c>
      <c r="S75" s="106">
        <v>2383.4251402965747</v>
      </c>
      <c r="T75" s="106">
        <v>27.508392865119557</v>
      </c>
      <c r="U75" s="106">
        <v>17693.398290844896</v>
      </c>
      <c r="V75" s="106">
        <v>29.607500486326298</v>
      </c>
      <c r="W75" s="106">
        <v>19043.544312805072</v>
      </c>
      <c r="X75" s="106">
        <v>36.596699774793471</v>
      </c>
      <c r="Y75" s="106">
        <v>23538.997295147157</v>
      </c>
      <c r="Z75" s="106">
        <v>24.522237028239701</v>
      </c>
      <c r="AA75" s="106">
        <v>15772.702856563774</v>
      </c>
      <c r="AB75" s="106">
        <v>14.596322336778892</v>
      </c>
      <c r="AC75" s="106">
        <v>9388.3545270161812</v>
      </c>
      <c r="AD75" s="106">
        <v>17.63667097466244</v>
      </c>
      <c r="AE75" s="106">
        <v>11343.90677090288</v>
      </c>
      <c r="AF75" s="106">
        <v>12.748038935451028</v>
      </c>
      <c r="AG75" s="106">
        <v>8199.5386432820997</v>
      </c>
      <c r="AH75" s="106">
        <v>10.649230824301164</v>
      </c>
      <c r="AI75" s="106">
        <v>6849.5852661905074</v>
      </c>
      <c r="AJ75" s="106">
        <v>9.4311736813659817</v>
      </c>
      <c r="AK75" s="106">
        <v>6066.1309118545987</v>
      </c>
      <c r="AL75" s="106">
        <v>16.579023188274988</v>
      </c>
      <c r="AM75" s="106">
        <v>10663.62771469847</v>
      </c>
      <c r="AN75" s="106">
        <v>9.4397999777448813</v>
      </c>
      <c r="AO75" s="106">
        <v>6071.6793456855066</v>
      </c>
      <c r="AP75" s="106">
        <v>13.558028856453859</v>
      </c>
      <c r="AQ75" s="106">
        <v>8720.5241604711209</v>
      </c>
      <c r="AR75" s="106">
        <v>23.986403721285591</v>
      </c>
      <c r="AS75" s="106">
        <v>15428.054873530889</v>
      </c>
      <c r="AT75" s="106">
        <v>15.824640379791429</v>
      </c>
      <c r="AU75" s="106">
        <v>10178.408692281846</v>
      </c>
      <c r="AV75" s="106">
        <v>20.465554415338222</v>
      </c>
      <c r="AW75" s="106">
        <v>13163.444599945542</v>
      </c>
      <c r="AX75" s="106">
        <v>15.560083504156948</v>
      </c>
      <c r="AY75" s="106">
        <v>10008.245709873749</v>
      </c>
      <c r="AZ75" s="106">
        <v>3</v>
      </c>
      <c r="BA75" s="106">
        <v>1929.6</v>
      </c>
      <c r="BB75" s="106">
        <v>6</v>
      </c>
      <c r="BC75" s="106">
        <v>3859.2</v>
      </c>
      <c r="BD75" s="106">
        <v>6</v>
      </c>
      <c r="BE75" s="106">
        <v>3859.2</v>
      </c>
      <c r="BF75" s="106">
        <v>5</v>
      </c>
      <c r="BG75" s="106">
        <v>3215.9999999999995</v>
      </c>
      <c r="BH75" s="106">
        <v>16</v>
      </c>
      <c r="BI75" s="106">
        <v>10291.199999999999</v>
      </c>
      <c r="BJ75" s="106">
        <v>11</v>
      </c>
      <c r="BK75" s="106">
        <v>7075.1999999999989</v>
      </c>
      <c r="BL75" s="106">
        <v>11</v>
      </c>
      <c r="BM75" s="106">
        <v>7075.1999999999989</v>
      </c>
      <c r="BN75" s="106">
        <v>13</v>
      </c>
      <c r="BO75" s="106">
        <v>8361.5999999999985</v>
      </c>
      <c r="BP75" s="106">
        <v>6</v>
      </c>
      <c r="BQ75" s="106">
        <v>3859.2</v>
      </c>
      <c r="BR75" s="106">
        <v>5.385839273007492</v>
      </c>
      <c r="BS75" s="106">
        <v>3464.1718203984183</v>
      </c>
      <c r="BT75" s="106">
        <v>6.3391140489575246</v>
      </c>
      <c r="BU75" s="106">
        <v>4077.3181562894792</v>
      </c>
      <c r="BV75" s="106">
        <v>9.3868975651138857</v>
      </c>
      <c r="BW75" s="106">
        <v>6037.6525138812503</v>
      </c>
      <c r="BX75" s="106">
        <v>7.4323588278792618</v>
      </c>
      <c r="BY75" s="106">
        <v>4780.4931980919409</v>
      </c>
      <c r="BZ75" s="106">
        <v>9.6020874239984089</v>
      </c>
      <c r="CA75" s="106">
        <v>6176.0626311157757</v>
      </c>
      <c r="CB75" s="106">
        <v>6.5584052763552414</v>
      </c>
      <c r="CC75" s="106">
        <v>4218.3662737516906</v>
      </c>
      <c r="CD75" s="106">
        <v>6.4177705821791386</v>
      </c>
      <c r="CE75" s="106">
        <v>4127.9100384576213</v>
      </c>
      <c r="CF75" s="106">
        <v>17</v>
      </c>
      <c r="CG75" s="106">
        <v>10934.4</v>
      </c>
      <c r="CH75" s="106">
        <v>11</v>
      </c>
      <c r="CI75" s="106">
        <v>7075.1999999999989</v>
      </c>
      <c r="CJ75" s="106">
        <v>18</v>
      </c>
      <c r="CK75" s="106">
        <v>11577.599999999999</v>
      </c>
      <c r="CL75" s="106">
        <v>13</v>
      </c>
      <c r="CM75" s="106">
        <v>8361.5999999999985</v>
      </c>
      <c r="CN75" s="106">
        <v>6</v>
      </c>
      <c r="CO75" s="106">
        <v>3859.2</v>
      </c>
      <c r="CP75" s="106">
        <v>5.6269459660949446</v>
      </c>
      <c r="CQ75" s="106">
        <v>3619.2516453922681</v>
      </c>
      <c r="CR75" s="106">
        <v>6</v>
      </c>
      <c r="CS75" s="106">
        <v>3859.2</v>
      </c>
      <c r="CT75" s="106">
        <v>4</v>
      </c>
      <c r="CU75" s="106">
        <v>2572.7999999999997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10</v>
      </c>
      <c r="G76" s="106">
        <v>7788</v>
      </c>
      <c r="H76" s="106">
        <v>10.718607803653866</v>
      </c>
      <c r="I76" s="106">
        <v>8347.6517574856298</v>
      </c>
      <c r="J76" s="106">
        <v>11.904946627323179</v>
      </c>
      <c r="K76" s="106">
        <v>9271.5724333592916</v>
      </c>
      <c r="L76" s="106">
        <v>4.8292754191329106</v>
      </c>
      <c r="M76" s="106">
        <v>3761.0396964207107</v>
      </c>
      <c r="N76" s="106">
        <v>4.8593557632251114</v>
      </c>
      <c r="O76" s="106">
        <v>3784.4662683997167</v>
      </c>
      <c r="P76" s="106">
        <v>3.6982386345118772</v>
      </c>
      <c r="Q76" s="106">
        <v>2880.1882485578499</v>
      </c>
      <c r="R76" s="106">
        <v>3.6702952165450031</v>
      </c>
      <c r="S76" s="106">
        <v>2858.4259146452482</v>
      </c>
      <c r="T76" s="106">
        <v>25.508392865119557</v>
      </c>
      <c r="U76" s="106">
        <v>19865.936363355111</v>
      </c>
      <c r="V76" s="106">
        <v>28.501848227834767</v>
      </c>
      <c r="W76" s="106">
        <v>22197.239399837716</v>
      </c>
      <c r="X76" s="106">
        <v>36.623822491829536</v>
      </c>
      <c r="Y76" s="106">
        <v>28522.63295663684</v>
      </c>
      <c r="Z76" s="106">
        <v>24.496125176827718</v>
      </c>
      <c r="AA76" s="106">
        <v>19077.582287713427</v>
      </c>
      <c r="AB76" s="106">
        <v>12.596322336778892</v>
      </c>
      <c r="AC76" s="106">
        <v>9810.0158358833996</v>
      </c>
      <c r="AD76" s="106">
        <v>19.685645665021088</v>
      </c>
      <c r="AE76" s="106">
        <v>15331.180843918422</v>
      </c>
      <c r="AF76" s="106">
        <v>11.698169673087625</v>
      </c>
      <c r="AG76" s="106">
        <v>9110.5345414006424</v>
      </c>
      <c r="AH76" s="106">
        <v>9.6991716569397148</v>
      </c>
      <c r="AI76" s="106">
        <v>7553.7148864246492</v>
      </c>
      <c r="AJ76" s="106">
        <v>8.4311736813659817</v>
      </c>
      <c r="AK76" s="106">
        <v>6566.1980630478265</v>
      </c>
      <c r="AL76" s="106">
        <v>14.615212137542175</v>
      </c>
      <c r="AM76" s="106">
        <v>11382.327212717844</v>
      </c>
      <c r="AN76" s="106">
        <v>9.4397999777448813</v>
      </c>
      <c r="AO76" s="106">
        <v>7351.7162226677128</v>
      </c>
      <c r="AP76" s="106">
        <v>12.558028856453859</v>
      </c>
      <c r="AQ76" s="106">
        <v>9780.1928734062658</v>
      </c>
      <c r="AR76" s="106">
        <v>24.807627386369887</v>
      </c>
      <c r="AS76" s="106">
        <v>19320.180208504866</v>
      </c>
      <c r="AT76" s="106">
        <v>16.754461903645606</v>
      </c>
      <c r="AU76" s="106">
        <v>13048.374930559197</v>
      </c>
      <c r="AV76" s="106">
        <v>20.439842934367377</v>
      </c>
      <c r="AW76" s="106">
        <v>15918.549677285313</v>
      </c>
      <c r="AX76" s="106">
        <v>15.740093139251981</v>
      </c>
      <c r="AY76" s="106">
        <v>12258.384536849442</v>
      </c>
      <c r="AZ76" s="106">
        <v>3</v>
      </c>
      <c r="BA76" s="106">
        <v>2336.3999999999996</v>
      </c>
      <c r="BB76" s="106">
        <v>6</v>
      </c>
      <c r="BC76" s="106">
        <v>4672.7999999999993</v>
      </c>
      <c r="BD76" s="106">
        <v>6</v>
      </c>
      <c r="BE76" s="106">
        <v>4672.7999999999993</v>
      </c>
      <c r="BF76" s="106">
        <v>5</v>
      </c>
      <c r="BG76" s="106">
        <v>3894</v>
      </c>
      <c r="BH76" s="106">
        <v>19</v>
      </c>
      <c r="BI76" s="106">
        <v>14797.199999999999</v>
      </c>
      <c r="BJ76" s="106">
        <v>11</v>
      </c>
      <c r="BK76" s="106">
        <v>8566.7999999999993</v>
      </c>
      <c r="BL76" s="106">
        <v>11</v>
      </c>
      <c r="BM76" s="106">
        <v>8566.7999999999993</v>
      </c>
      <c r="BN76" s="106">
        <v>12</v>
      </c>
      <c r="BO76" s="106">
        <v>9345.5999999999985</v>
      </c>
      <c r="BP76" s="106">
        <v>6</v>
      </c>
      <c r="BQ76" s="106">
        <v>4672.7999999999993</v>
      </c>
      <c r="BR76" s="106">
        <v>5.385839273007492</v>
      </c>
      <c r="BS76" s="106">
        <v>4194.4916258182348</v>
      </c>
      <c r="BT76" s="106">
        <v>5.3391140489575246</v>
      </c>
      <c r="BU76" s="106">
        <v>4158.1020213281199</v>
      </c>
      <c r="BV76" s="106">
        <v>8.3868975651138857</v>
      </c>
      <c r="BW76" s="106">
        <v>6531.7158237106942</v>
      </c>
      <c r="BX76" s="106">
        <v>6.4323588278792618</v>
      </c>
      <c r="BY76" s="106">
        <v>5009.5210551523687</v>
      </c>
      <c r="BZ76" s="106">
        <v>8.5686381226651633</v>
      </c>
      <c r="CA76" s="106">
        <v>6673.2553699316286</v>
      </c>
      <c r="CB76" s="106">
        <v>6.5185191851870101</v>
      </c>
      <c r="CC76" s="106">
        <v>5076.6227414236428</v>
      </c>
      <c r="CD76" s="106">
        <v>5.4177705821791386</v>
      </c>
      <c r="CE76" s="106">
        <v>4219.3597294011133</v>
      </c>
      <c r="CF76" s="106">
        <v>14</v>
      </c>
      <c r="CG76" s="106">
        <v>10903.199999999999</v>
      </c>
      <c r="CH76" s="106">
        <v>12</v>
      </c>
      <c r="CI76" s="106">
        <v>9345.5999999999985</v>
      </c>
      <c r="CJ76" s="106">
        <v>16</v>
      </c>
      <c r="CK76" s="106">
        <v>12460.8</v>
      </c>
      <c r="CL76" s="106">
        <v>12</v>
      </c>
      <c r="CM76" s="106">
        <v>9345.5999999999985</v>
      </c>
      <c r="CN76" s="106">
        <v>6</v>
      </c>
      <c r="CO76" s="106">
        <v>4672.7999999999993</v>
      </c>
      <c r="CP76" s="106">
        <v>6.7523351593139331</v>
      </c>
      <c r="CQ76" s="106">
        <v>5258.7186220736912</v>
      </c>
      <c r="CR76" s="106">
        <v>7</v>
      </c>
      <c r="CS76" s="106">
        <v>5451.5999999999995</v>
      </c>
      <c r="CT76" s="106">
        <v>4</v>
      </c>
      <c r="CU76" s="106">
        <v>3115.2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11</v>
      </c>
      <c r="G77" s="106">
        <v>3062.3999999999996</v>
      </c>
      <c r="H77" s="106">
        <v>9.7186078036538657</v>
      </c>
      <c r="I77" s="106">
        <v>2705.660412537236</v>
      </c>
      <c r="J77" s="106">
        <v>12.942652736794978</v>
      </c>
      <c r="K77" s="106">
        <v>3603.2345219237213</v>
      </c>
      <c r="L77" s="106">
        <v>3.9951305029594923</v>
      </c>
      <c r="M77" s="106">
        <v>1112.2443320239227</v>
      </c>
      <c r="N77" s="106">
        <v>5.9002774662358313</v>
      </c>
      <c r="O77" s="106">
        <v>1642.6372466000553</v>
      </c>
      <c r="P77" s="106">
        <v>3.7717374381447066</v>
      </c>
      <c r="Q77" s="106">
        <v>1050.0517027794863</v>
      </c>
      <c r="R77" s="106">
        <v>3.705573912152635</v>
      </c>
      <c r="S77" s="106">
        <v>1031.6317771432934</v>
      </c>
      <c r="T77" s="106">
        <v>26.581020417279497</v>
      </c>
      <c r="U77" s="106">
        <v>7400.1560841706114</v>
      </c>
      <c r="V77" s="106">
        <v>33.607500486326295</v>
      </c>
      <c r="W77" s="106">
        <v>9356.3281353932398</v>
      </c>
      <c r="X77" s="106">
        <v>35.569577057757407</v>
      </c>
      <c r="Y77" s="106">
        <v>9902.570252879661</v>
      </c>
      <c r="Z77" s="106">
        <v>26.600572582475657</v>
      </c>
      <c r="AA77" s="106">
        <v>7405.5994069612225</v>
      </c>
      <c r="AB77" s="106">
        <v>13.695709392908705</v>
      </c>
      <c r="AC77" s="106">
        <v>3812.8854949857832</v>
      </c>
      <c r="AD77" s="106">
        <v>20.63667097466244</v>
      </c>
      <c r="AE77" s="106">
        <v>5745.2491993460226</v>
      </c>
      <c r="AF77" s="106">
        <v>11.748038935451028</v>
      </c>
      <c r="AG77" s="106">
        <v>3270.6540396295659</v>
      </c>
      <c r="AH77" s="106">
        <v>9.7491124895782661</v>
      </c>
      <c r="AI77" s="106">
        <v>2714.1529170985891</v>
      </c>
      <c r="AJ77" s="106">
        <v>9.5030359615936462</v>
      </c>
      <c r="AK77" s="106">
        <v>2645.645211707671</v>
      </c>
      <c r="AL77" s="106">
        <v>16.579023188274988</v>
      </c>
      <c r="AM77" s="106">
        <v>4615.600055615756</v>
      </c>
      <c r="AN77" s="106">
        <v>11.439799977744881</v>
      </c>
      <c r="AO77" s="106">
        <v>3184.8403138041749</v>
      </c>
      <c r="AP77" s="106">
        <v>12.558028856453859</v>
      </c>
      <c r="AQ77" s="106">
        <v>3496.155233636754</v>
      </c>
      <c r="AR77" s="106">
        <v>26.986403721285591</v>
      </c>
      <c r="AS77" s="106">
        <v>7513.0147960059076</v>
      </c>
      <c r="AT77" s="106">
        <v>18.105354284374727</v>
      </c>
      <c r="AU77" s="106">
        <v>5040.5306327699236</v>
      </c>
      <c r="AV77" s="106">
        <v>20.619823301163297</v>
      </c>
      <c r="AW77" s="106">
        <v>5740.5588070438616</v>
      </c>
      <c r="AX77" s="106">
        <v>16.740093139251982</v>
      </c>
      <c r="AY77" s="106">
        <v>4660.4419299677511</v>
      </c>
      <c r="AZ77" s="106">
        <v>4</v>
      </c>
      <c r="BA77" s="106">
        <v>1113.5999999999999</v>
      </c>
      <c r="BB77" s="106">
        <v>6</v>
      </c>
      <c r="BC77" s="106">
        <v>1670.3999999999999</v>
      </c>
      <c r="BD77" s="106">
        <v>6</v>
      </c>
      <c r="BE77" s="106">
        <v>1670.3999999999999</v>
      </c>
      <c r="BF77" s="106">
        <v>5</v>
      </c>
      <c r="BG77" s="106">
        <v>1392</v>
      </c>
      <c r="BH77" s="106">
        <v>17</v>
      </c>
      <c r="BI77" s="106">
        <v>4732.7999999999993</v>
      </c>
      <c r="BJ77" s="106">
        <v>11</v>
      </c>
      <c r="BK77" s="106">
        <v>3062.3999999999996</v>
      </c>
      <c r="BL77" s="106">
        <v>10</v>
      </c>
      <c r="BM77" s="106">
        <v>2784</v>
      </c>
      <c r="BN77" s="106">
        <v>13</v>
      </c>
      <c r="BO77" s="106">
        <v>3619.2</v>
      </c>
      <c r="BP77" s="106">
        <v>6</v>
      </c>
      <c r="BQ77" s="106">
        <v>1670.3999999999999</v>
      </c>
      <c r="BR77" s="106">
        <v>5.385839273007492</v>
      </c>
      <c r="BS77" s="106">
        <v>1499.4176536052858</v>
      </c>
      <c r="BT77" s="106">
        <v>5.3391140489575246</v>
      </c>
      <c r="BU77" s="106">
        <v>1486.4093512297748</v>
      </c>
      <c r="BV77" s="106">
        <v>8.4728748018058599</v>
      </c>
      <c r="BW77" s="106">
        <v>2358.8483448227512</v>
      </c>
      <c r="BX77" s="106">
        <v>6.4656171992545897</v>
      </c>
      <c r="BY77" s="106">
        <v>1800.0278282724776</v>
      </c>
      <c r="BZ77" s="106">
        <v>8.5351888213319178</v>
      </c>
      <c r="CA77" s="106">
        <v>2376.1965678588058</v>
      </c>
      <c r="CB77" s="106">
        <v>6.5584052763552414</v>
      </c>
      <c r="CC77" s="106">
        <v>1825.8600289372991</v>
      </c>
      <c r="CD77" s="106">
        <v>5.4177705821791386</v>
      </c>
      <c r="CE77" s="106">
        <v>1508.3073300786721</v>
      </c>
      <c r="CF77" s="106">
        <v>16</v>
      </c>
      <c r="CG77" s="106">
        <v>4454.3999999999996</v>
      </c>
      <c r="CH77" s="106">
        <v>13</v>
      </c>
      <c r="CI77" s="106">
        <v>3619.2</v>
      </c>
      <c r="CJ77" s="106">
        <v>19</v>
      </c>
      <c r="CK77" s="106">
        <v>5289.5999999999995</v>
      </c>
      <c r="CL77" s="106">
        <v>12</v>
      </c>
      <c r="CM77" s="106">
        <v>3340.7999999999997</v>
      </c>
      <c r="CN77" s="106">
        <v>6</v>
      </c>
      <c r="CO77" s="106">
        <v>1670.3999999999999</v>
      </c>
      <c r="CP77" s="106">
        <v>5.6687423638346077</v>
      </c>
      <c r="CQ77" s="106">
        <v>1578.1778740915547</v>
      </c>
      <c r="CR77" s="106">
        <v>7</v>
      </c>
      <c r="CS77" s="106">
        <v>1948.7999999999997</v>
      </c>
      <c r="CT77" s="106">
        <v>4</v>
      </c>
      <c r="CU77" s="106">
        <v>1113.5999999999999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10</v>
      </c>
      <c r="G78" s="106">
        <v>5520</v>
      </c>
      <c r="H78" s="106">
        <v>8.6429648769534584</v>
      </c>
      <c r="I78" s="106">
        <v>4770.9166120783093</v>
      </c>
      <c r="J78" s="106">
        <v>12.055771065210376</v>
      </c>
      <c r="K78" s="106">
        <v>6654.785627996127</v>
      </c>
      <c r="L78" s="106">
        <v>3.912202961046201</v>
      </c>
      <c r="M78" s="106">
        <v>2159.5360344975029</v>
      </c>
      <c r="N78" s="106">
        <v>5.9821208722572701</v>
      </c>
      <c r="O78" s="106">
        <v>3302.130721486013</v>
      </c>
      <c r="P78" s="106">
        <v>3.6614892326954629</v>
      </c>
      <c r="Q78" s="106">
        <v>2021.1420564478956</v>
      </c>
      <c r="R78" s="106">
        <v>3.7408526077602668</v>
      </c>
      <c r="S78" s="106">
        <v>2064.9506394836671</v>
      </c>
      <c r="T78" s="106">
        <v>30.508392865119557</v>
      </c>
      <c r="U78" s="106">
        <v>16840.632861545997</v>
      </c>
      <c r="V78" s="106">
        <v>28.52826129245765</v>
      </c>
      <c r="W78" s="106">
        <v>15747.600233436622</v>
      </c>
      <c r="X78" s="106">
        <v>32.623822491829536</v>
      </c>
      <c r="Y78" s="106">
        <v>18008.350015489905</v>
      </c>
      <c r="Z78" s="106">
        <v>27.522237028239701</v>
      </c>
      <c r="AA78" s="106">
        <v>15192.274839588315</v>
      </c>
      <c r="AB78" s="106">
        <v>14.596322336778892</v>
      </c>
      <c r="AC78" s="106">
        <v>8057.1699299019483</v>
      </c>
      <c r="AD78" s="106">
        <v>17.685645665021088</v>
      </c>
      <c r="AE78" s="106">
        <v>9762.4764070916408</v>
      </c>
      <c r="AF78" s="106">
        <v>12.698169673087625</v>
      </c>
      <c r="AG78" s="106">
        <v>7009.3896595443684</v>
      </c>
      <c r="AH78" s="106">
        <v>10.699171656939715</v>
      </c>
      <c r="AI78" s="106">
        <v>5905.9427546307224</v>
      </c>
      <c r="AJ78" s="106">
        <v>10.467104821479813</v>
      </c>
      <c r="AK78" s="106">
        <v>5777.8418614568563</v>
      </c>
      <c r="AL78" s="106">
        <v>16.506645289740614</v>
      </c>
      <c r="AM78" s="106">
        <v>9111.6681999368193</v>
      </c>
      <c r="AN78" s="106">
        <v>10.513099974035695</v>
      </c>
      <c r="AO78" s="106">
        <v>5803.2311856677034</v>
      </c>
      <c r="AP78" s="106">
        <v>12.483625008926678</v>
      </c>
      <c r="AQ78" s="106">
        <v>6890.9610049275261</v>
      </c>
      <c r="AR78" s="106">
        <v>22.807627386369887</v>
      </c>
      <c r="AS78" s="106">
        <v>12589.810317276178</v>
      </c>
      <c r="AT78" s="106">
        <v>17.152139935138607</v>
      </c>
      <c r="AU78" s="106">
        <v>9467.9812441965114</v>
      </c>
      <c r="AV78" s="106">
        <v>20.696957744075839</v>
      </c>
      <c r="AW78" s="106">
        <v>11424.720674729862</v>
      </c>
      <c r="AX78" s="106">
        <v>16.650088321704466</v>
      </c>
      <c r="AY78" s="106">
        <v>9190.8487535808654</v>
      </c>
      <c r="AZ78" s="106">
        <v>4</v>
      </c>
      <c r="BA78" s="106">
        <v>2208</v>
      </c>
      <c r="BB78" s="106">
        <v>6</v>
      </c>
      <c r="BC78" s="106">
        <v>3312</v>
      </c>
      <c r="BD78" s="106">
        <v>6</v>
      </c>
      <c r="BE78" s="106">
        <v>3312</v>
      </c>
      <c r="BF78" s="106">
        <v>5</v>
      </c>
      <c r="BG78" s="106">
        <v>2760</v>
      </c>
      <c r="BH78" s="106">
        <v>18</v>
      </c>
      <c r="BI78" s="106">
        <v>9936</v>
      </c>
      <c r="BJ78" s="106">
        <v>12</v>
      </c>
      <c r="BK78" s="106">
        <v>6624</v>
      </c>
      <c r="BL78" s="106">
        <v>12</v>
      </c>
      <c r="BM78" s="106">
        <v>6624</v>
      </c>
      <c r="BN78" s="106">
        <v>13</v>
      </c>
      <c r="BO78" s="106">
        <v>7176</v>
      </c>
      <c r="BP78" s="106">
        <v>6</v>
      </c>
      <c r="BQ78" s="106">
        <v>3312</v>
      </c>
      <c r="BR78" s="106">
        <v>6</v>
      </c>
      <c r="BS78" s="106">
        <v>3312</v>
      </c>
      <c r="BT78" s="106">
        <v>6.2967247928378338</v>
      </c>
      <c r="BU78" s="106">
        <v>3475.7920856464843</v>
      </c>
      <c r="BV78" s="106">
        <v>8.3868975651138857</v>
      </c>
      <c r="BW78" s="106">
        <v>4629.5674559428653</v>
      </c>
      <c r="BX78" s="106">
        <v>7.4656171992545897</v>
      </c>
      <c r="BY78" s="106">
        <v>4121.0206939885338</v>
      </c>
      <c r="BZ78" s="106">
        <v>9.5017395199986741</v>
      </c>
      <c r="CA78" s="106">
        <v>5244.9602150392684</v>
      </c>
      <c r="CB78" s="106">
        <v>6.5584052763552414</v>
      </c>
      <c r="CC78" s="106">
        <v>3620.2397125480934</v>
      </c>
      <c r="CD78" s="106">
        <v>5.4499067808083037</v>
      </c>
      <c r="CE78" s="106">
        <v>3008.3485430061837</v>
      </c>
      <c r="CF78" s="106">
        <v>17</v>
      </c>
      <c r="CG78" s="106">
        <v>9384</v>
      </c>
      <c r="CH78" s="106">
        <v>12</v>
      </c>
      <c r="CI78" s="106">
        <v>6624</v>
      </c>
      <c r="CJ78" s="106">
        <v>19</v>
      </c>
      <c r="CK78" s="106">
        <v>10488</v>
      </c>
      <c r="CL78" s="106">
        <v>12</v>
      </c>
      <c r="CM78" s="106">
        <v>6624</v>
      </c>
      <c r="CN78" s="106">
        <v>6</v>
      </c>
      <c r="CO78" s="106">
        <v>3312</v>
      </c>
      <c r="CP78" s="106">
        <v>6.6687423638346077</v>
      </c>
      <c r="CQ78" s="106">
        <v>3681.1457848367036</v>
      </c>
      <c r="CR78" s="106">
        <v>7</v>
      </c>
      <c r="CS78" s="106">
        <v>3864</v>
      </c>
      <c r="CT78" s="106">
        <v>4</v>
      </c>
      <c r="CU78" s="106">
        <v>2208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9</v>
      </c>
      <c r="G79" s="106">
        <v>6814.7999999999993</v>
      </c>
      <c r="H79" s="106">
        <v>10.680786340303662</v>
      </c>
      <c r="I79" s="106">
        <v>8087.4914168779324</v>
      </c>
      <c r="J79" s="106">
        <v>11.980358846266776</v>
      </c>
      <c r="K79" s="106">
        <v>9071.527718393203</v>
      </c>
      <c r="L79" s="106">
        <v>4.9122029610462015</v>
      </c>
      <c r="M79" s="106">
        <v>3719.5200821041835</v>
      </c>
      <c r="N79" s="106">
        <v>4.8184340602143916</v>
      </c>
      <c r="O79" s="106">
        <v>3648.5182703943369</v>
      </c>
      <c r="P79" s="106">
        <v>3.6982386345118772</v>
      </c>
      <c r="Q79" s="106">
        <v>2800.3062940523932</v>
      </c>
      <c r="R79" s="106">
        <v>3.7408526077602668</v>
      </c>
      <c r="S79" s="106">
        <v>2832.5735945960737</v>
      </c>
      <c r="T79" s="106">
        <v>25.508392865119557</v>
      </c>
      <c r="U79" s="106">
        <v>19314.955077468527</v>
      </c>
      <c r="V79" s="106">
        <v>28.52826129245765</v>
      </c>
      <c r="W79" s="106">
        <v>21601.59945064893</v>
      </c>
      <c r="X79" s="106">
        <v>36.650945208865608</v>
      </c>
      <c r="Y79" s="106">
        <v>27752.095712153037</v>
      </c>
      <c r="Z79" s="106">
        <v>25.574460731063674</v>
      </c>
      <c r="AA79" s="106">
        <v>19364.981665561412</v>
      </c>
      <c r="AB79" s="106">
        <v>13.646015864843799</v>
      </c>
      <c r="AC79" s="106">
        <v>10332.763212859723</v>
      </c>
      <c r="AD79" s="106">
        <v>17.587696284303792</v>
      </c>
      <c r="AE79" s="106">
        <v>13317.40362647483</v>
      </c>
      <c r="AF79" s="106">
        <v>11.698169673087625</v>
      </c>
      <c r="AG79" s="106">
        <v>8857.8540764619484</v>
      </c>
      <c r="AH79" s="106">
        <v>10.699171656939715</v>
      </c>
      <c r="AI79" s="106">
        <v>8101.4127786347517</v>
      </c>
      <c r="AJ79" s="106">
        <v>8.4311736813659817</v>
      </c>
      <c r="AK79" s="106">
        <v>6384.0847115303204</v>
      </c>
      <c r="AL79" s="106">
        <v>15.506645289740614</v>
      </c>
      <c r="AM79" s="106">
        <v>11741.631813391592</v>
      </c>
      <c r="AN79" s="106">
        <v>9.4397999777448813</v>
      </c>
      <c r="AO79" s="106">
        <v>7147.8165431484231</v>
      </c>
      <c r="AP79" s="106">
        <v>13.520826932690268</v>
      </c>
      <c r="AQ79" s="106">
        <v>10237.970153433071</v>
      </c>
      <c r="AR79" s="106">
        <v>23.065859870137015</v>
      </c>
      <c r="AS79" s="106">
        <v>17465.469093667747</v>
      </c>
      <c r="AT79" s="106">
        <v>15.848033205173369</v>
      </c>
      <c r="AU79" s="106">
        <v>12000.130742957273</v>
      </c>
      <c r="AV79" s="106">
        <v>19.414131453396532</v>
      </c>
      <c r="AW79" s="106">
        <v>14700.380336511853</v>
      </c>
      <c r="AX79" s="106">
        <v>14.500080292458604</v>
      </c>
      <c r="AY79" s="106">
        <v>10979.460797449654</v>
      </c>
      <c r="AZ79" s="106">
        <v>4</v>
      </c>
      <c r="BA79" s="106">
        <v>3028.7999999999997</v>
      </c>
      <c r="BB79" s="106">
        <v>6</v>
      </c>
      <c r="BC79" s="106">
        <v>4543.2</v>
      </c>
      <c r="BD79" s="106">
        <v>6</v>
      </c>
      <c r="BE79" s="106">
        <v>4543.2</v>
      </c>
      <c r="BF79" s="106">
        <v>5</v>
      </c>
      <c r="BG79" s="106">
        <v>3785.9999999999995</v>
      </c>
      <c r="BH79" s="106">
        <v>18</v>
      </c>
      <c r="BI79" s="106">
        <v>13629.599999999999</v>
      </c>
      <c r="BJ79" s="106">
        <v>10</v>
      </c>
      <c r="BK79" s="106">
        <v>7571.9999999999991</v>
      </c>
      <c r="BL79" s="106">
        <v>11</v>
      </c>
      <c r="BM79" s="106">
        <v>8329.1999999999989</v>
      </c>
      <c r="BN79" s="106">
        <v>14</v>
      </c>
      <c r="BO79" s="106">
        <v>10600.8</v>
      </c>
      <c r="BP79" s="106">
        <v>6</v>
      </c>
      <c r="BQ79" s="106">
        <v>4543.2</v>
      </c>
      <c r="BR79" s="106">
        <v>5</v>
      </c>
      <c r="BS79" s="106">
        <v>3785.9999999999995</v>
      </c>
      <c r="BT79" s="106">
        <v>6.3391140489575246</v>
      </c>
      <c r="BU79" s="106">
        <v>4799.9771578706368</v>
      </c>
      <c r="BV79" s="106">
        <v>9.4298861834598728</v>
      </c>
      <c r="BW79" s="106">
        <v>7140.3098181158148</v>
      </c>
      <c r="BX79" s="106">
        <v>7.4323588278792618</v>
      </c>
      <c r="BY79" s="106">
        <v>5627.7821044701768</v>
      </c>
      <c r="BZ79" s="106">
        <v>9.6020874239984089</v>
      </c>
      <c r="CA79" s="106">
        <v>7270.7005974515941</v>
      </c>
      <c r="CB79" s="106">
        <v>6.5185191851870101</v>
      </c>
      <c r="CC79" s="106">
        <v>4935.8227270236039</v>
      </c>
      <c r="CD79" s="106">
        <v>6.4499067808083037</v>
      </c>
      <c r="CE79" s="106">
        <v>4883.8694144280471</v>
      </c>
      <c r="CF79" s="106">
        <v>16</v>
      </c>
      <c r="CG79" s="106">
        <v>12115.199999999999</v>
      </c>
      <c r="CH79" s="106">
        <v>12</v>
      </c>
      <c r="CI79" s="106">
        <v>9086.4</v>
      </c>
      <c r="CJ79" s="106">
        <v>17</v>
      </c>
      <c r="CK79" s="106">
        <v>12872.4</v>
      </c>
      <c r="CL79" s="106">
        <v>13</v>
      </c>
      <c r="CM79" s="106">
        <v>9843.5999999999985</v>
      </c>
      <c r="CN79" s="106">
        <v>7</v>
      </c>
      <c r="CO79" s="106">
        <v>5300.4</v>
      </c>
      <c r="CP79" s="106">
        <v>6.6687423638346077</v>
      </c>
      <c r="CQ79" s="106">
        <v>5049.5717178955647</v>
      </c>
      <c r="CR79" s="106">
        <v>7</v>
      </c>
      <c r="CS79" s="106">
        <v>5300.4</v>
      </c>
      <c r="CT79" s="106">
        <v>4</v>
      </c>
      <c r="CU79" s="106">
        <v>3028.7999999999997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10</v>
      </c>
      <c r="G80" s="106">
        <v>8051.9999999999991</v>
      </c>
      <c r="H80" s="106">
        <v>8.6429648769534584</v>
      </c>
      <c r="I80" s="106">
        <v>6959.3153189229242</v>
      </c>
      <c r="J80" s="106">
        <v>10.980358846266776</v>
      </c>
      <c r="K80" s="106">
        <v>8841.3849430140071</v>
      </c>
      <c r="L80" s="106">
        <v>4.9122029610462015</v>
      </c>
      <c r="M80" s="106">
        <v>3955.3058242344009</v>
      </c>
      <c r="N80" s="106">
        <v>5.8593557632251114</v>
      </c>
      <c r="O80" s="106">
        <v>4717.9532605488594</v>
      </c>
      <c r="P80" s="106">
        <v>3.6614892326954629</v>
      </c>
      <c r="Q80" s="106">
        <v>2948.2311301663863</v>
      </c>
      <c r="R80" s="106">
        <v>3.6702952165450031</v>
      </c>
      <c r="S80" s="106">
        <v>2955.3217083620361</v>
      </c>
      <c r="T80" s="106">
        <v>28.484183681066245</v>
      </c>
      <c r="U80" s="106">
        <v>22935.46469999454</v>
      </c>
      <c r="V80" s="106">
        <v>29.554674357080533</v>
      </c>
      <c r="W80" s="106">
        <v>23797.423792321242</v>
      </c>
      <c r="X80" s="106">
        <v>33.650945208865608</v>
      </c>
      <c r="Y80" s="106">
        <v>27095.741082178585</v>
      </c>
      <c r="Z80" s="106">
        <v>22.496125176827718</v>
      </c>
      <c r="AA80" s="106">
        <v>18113.879992381677</v>
      </c>
      <c r="AB80" s="106">
        <v>12.596322336778892</v>
      </c>
      <c r="AC80" s="106">
        <v>10142.558745574363</v>
      </c>
      <c r="AD80" s="106">
        <v>17.685645665021088</v>
      </c>
      <c r="AE80" s="106">
        <v>14240.481889474979</v>
      </c>
      <c r="AF80" s="106">
        <v>12.698169673087625</v>
      </c>
      <c r="AG80" s="106">
        <v>10224.566220770155</v>
      </c>
      <c r="AH80" s="106">
        <v>10.649230824301164</v>
      </c>
      <c r="AI80" s="106">
        <v>8574.760659727297</v>
      </c>
      <c r="AJ80" s="106">
        <v>8.467104821479813</v>
      </c>
      <c r="AK80" s="106">
        <v>6817.7128022555453</v>
      </c>
      <c r="AL80" s="106">
        <v>15.579023188274988</v>
      </c>
      <c r="AM80" s="106">
        <v>12544.22947119902</v>
      </c>
      <c r="AN80" s="106">
        <v>10.403149979599474</v>
      </c>
      <c r="AO80" s="106">
        <v>8376.6163635734956</v>
      </c>
      <c r="AP80" s="106">
        <v>12.520826932690268</v>
      </c>
      <c r="AQ80" s="106">
        <v>10081.769846202204</v>
      </c>
      <c r="AR80" s="106">
        <v>21.767899311944177</v>
      </c>
      <c r="AS80" s="106">
        <v>17527.51252597745</v>
      </c>
      <c r="AT80" s="106">
        <v>14.754461903645606</v>
      </c>
      <c r="AU80" s="106">
        <v>11880.292724815441</v>
      </c>
      <c r="AV80" s="106">
        <v>22.388419972425684</v>
      </c>
      <c r="AW80" s="106">
        <v>18027.155761797159</v>
      </c>
      <c r="AX80" s="106">
        <v>14.740093139251981</v>
      </c>
      <c r="AY80" s="106">
        <v>11868.722995725693</v>
      </c>
      <c r="AZ80" s="106">
        <v>4</v>
      </c>
      <c r="BA80" s="106">
        <v>3220.7999999999997</v>
      </c>
      <c r="BB80" s="106">
        <v>6</v>
      </c>
      <c r="BC80" s="106">
        <v>4831.2</v>
      </c>
      <c r="BD80" s="106">
        <v>6</v>
      </c>
      <c r="BE80" s="106">
        <v>4831.2</v>
      </c>
      <c r="BF80" s="106">
        <v>5</v>
      </c>
      <c r="BG80" s="106">
        <v>4025.9999999999995</v>
      </c>
      <c r="BH80" s="106">
        <v>18</v>
      </c>
      <c r="BI80" s="106">
        <v>14493.599999999999</v>
      </c>
      <c r="BJ80" s="106">
        <v>11</v>
      </c>
      <c r="BK80" s="106">
        <v>8857.1999999999989</v>
      </c>
      <c r="BL80" s="106">
        <v>11</v>
      </c>
      <c r="BM80" s="106">
        <v>8857.1999999999989</v>
      </c>
      <c r="BN80" s="106">
        <v>14</v>
      </c>
      <c r="BO80" s="106">
        <v>11272.8</v>
      </c>
      <c r="BP80" s="106">
        <v>6</v>
      </c>
      <c r="BQ80" s="106">
        <v>4831.2</v>
      </c>
      <c r="BR80" s="106">
        <v>6</v>
      </c>
      <c r="BS80" s="106">
        <v>4831.2</v>
      </c>
      <c r="BT80" s="106">
        <v>6.2967247928378338</v>
      </c>
      <c r="BU80" s="106">
        <v>5070.1228031930232</v>
      </c>
      <c r="BV80" s="106">
        <v>8.4298861834598728</v>
      </c>
      <c r="BW80" s="106">
        <v>6787.7443549218888</v>
      </c>
      <c r="BX80" s="106">
        <v>6.4656171992545897</v>
      </c>
      <c r="BY80" s="106">
        <v>5206.1149688397954</v>
      </c>
      <c r="BZ80" s="106">
        <v>8.5351888213319178</v>
      </c>
      <c r="CA80" s="106">
        <v>6872.5340389364592</v>
      </c>
      <c r="CB80" s="106">
        <v>6.478633094018778</v>
      </c>
      <c r="CC80" s="106">
        <v>5216.5953673039194</v>
      </c>
      <c r="CD80" s="106">
        <v>5.4499067808083037</v>
      </c>
      <c r="CE80" s="106">
        <v>4388.2649399068459</v>
      </c>
      <c r="CF80" s="106">
        <v>16</v>
      </c>
      <c r="CG80" s="106">
        <v>12883.199999999999</v>
      </c>
      <c r="CH80" s="106">
        <v>13</v>
      </c>
      <c r="CI80" s="106">
        <v>10467.599999999999</v>
      </c>
      <c r="CJ80" s="106">
        <v>17</v>
      </c>
      <c r="CK80" s="106">
        <v>13688.4</v>
      </c>
      <c r="CL80" s="106">
        <v>12</v>
      </c>
      <c r="CM80" s="106">
        <v>9662.4</v>
      </c>
      <c r="CN80" s="106">
        <v>6</v>
      </c>
      <c r="CO80" s="106">
        <v>4831.2</v>
      </c>
      <c r="CP80" s="106">
        <v>5.6687423638346077</v>
      </c>
      <c r="CQ80" s="106">
        <v>4564.4713513596262</v>
      </c>
      <c r="CR80" s="106">
        <v>7</v>
      </c>
      <c r="CS80" s="106">
        <v>5636.4</v>
      </c>
      <c r="CT80" s="106">
        <v>4</v>
      </c>
      <c r="CU80" s="106">
        <v>3220.7999999999997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10</v>
      </c>
      <c r="G81" s="106">
        <v>7536</v>
      </c>
      <c r="H81" s="106">
        <v>9.680786340303662</v>
      </c>
      <c r="I81" s="106">
        <v>7295.4405860528395</v>
      </c>
      <c r="J81" s="106">
        <v>12.055771065210376</v>
      </c>
      <c r="K81" s="106">
        <v>9085.2290747425395</v>
      </c>
      <c r="L81" s="106">
        <v>4.8292754191329106</v>
      </c>
      <c r="M81" s="106">
        <v>3639.3419558585615</v>
      </c>
      <c r="N81" s="106">
        <v>4.8184340602143916</v>
      </c>
      <c r="O81" s="106">
        <v>3631.1719077775656</v>
      </c>
      <c r="P81" s="106">
        <v>3.7349880363282919</v>
      </c>
      <c r="Q81" s="106">
        <v>2814.6869841770008</v>
      </c>
      <c r="R81" s="106">
        <v>3.7408526077602668</v>
      </c>
      <c r="S81" s="106">
        <v>2819.1065252081371</v>
      </c>
      <c r="T81" s="106">
        <v>24.556811233226185</v>
      </c>
      <c r="U81" s="106">
        <v>18506.012945359253</v>
      </c>
      <c r="V81" s="106">
        <v>28.607500486326298</v>
      </c>
      <c r="W81" s="106">
        <v>21558.612366495498</v>
      </c>
      <c r="X81" s="106">
        <v>32.596699774793471</v>
      </c>
      <c r="Y81" s="106">
        <v>24564.87295028436</v>
      </c>
      <c r="Z81" s="106">
        <v>23.548348879651687</v>
      </c>
      <c r="AA81" s="106">
        <v>17746.035715705511</v>
      </c>
      <c r="AB81" s="106">
        <v>12.646015864843799</v>
      </c>
      <c r="AC81" s="106">
        <v>9530.0375557462867</v>
      </c>
      <c r="AD81" s="106">
        <v>17.587696284303792</v>
      </c>
      <c r="AE81" s="106">
        <v>13254.087919851338</v>
      </c>
      <c r="AF81" s="106">
        <v>11.698169673087625</v>
      </c>
      <c r="AG81" s="106">
        <v>8815.7406656388339</v>
      </c>
      <c r="AH81" s="106">
        <v>9.6991716569397148</v>
      </c>
      <c r="AI81" s="106">
        <v>7309.2957606697692</v>
      </c>
      <c r="AJ81" s="106">
        <v>8.467104821479813</v>
      </c>
      <c r="AK81" s="106">
        <v>6380.8101934671877</v>
      </c>
      <c r="AL81" s="106">
        <v>15.542834239007801</v>
      </c>
      <c r="AM81" s="106">
        <v>11713.07988251628</v>
      </c>
      <c r="AN81" s="106">
        <v>11.403149979599474</v>
      </c>
      <c r="AO81" s="106">
        <v>8593.4138246261646</v>
      </c>
      <c r="AP81" s="106">
        <v>13.520826932690268</v>
      </c>
      <c r="AQ81" s="106">
        <v>10189.295176475385</v>
      </c>
      <c r="AR81" s="106">
        <v>24.085723907349873</v>
      </c>
      <c r="AS81" s="106">
        <v>18151.001536578864</v>
      </c>
      <c r="AT81" s="106">
        <v>13.731069078263664</v>
      </c>
      <c r="AU81" s="106">
        <v>10347.733657379496</v>
      </c>
      <c r="AV81" s="106">
        <v>21.362708491454839</v>
      </c>
      <c r="AW81" s="106">
        <v>16098.937119160368</v>
      </c>
      <c r="AX81" s="106">
        <v>16.530081898307778</v>
      </c>
      <c r="AY81" s="106">
        <v>12457.069718564742</v>
      </c>
      <c r="AZ81" s="106">
        <v>4</v>
      </c>
      <c r="BA81" s="106">
        <v>3014.4</v>
      </c>
      <c r="BB81" s="106">
        <v>6</v>
      </c>
      <c r="BC81" s="106">
        <v>4521.6000000000004</v>
      </c>
      <c r="BD81" s="106">
        <v>6</v>
      </c>
      <c r="BE81" s="106">
        <v>4521.6000000000004</v>
      </c>
      <c r="BF81" s="106">
        <v>5</v>
      </c>
      <c r="BG81" s="106">
        <v>3768</v>
      </c>
      <c r="BH81" s="106">
        <v>17</v>
      </c>
      <c r="BI81" s="106">
        <v>12811.2</v>
      </c>
      <c r="BJ81" s="106">
        <v>12</v>
      </c>
      <c r="BK81" s="106">
        <v>9043.2000000000007</v>
      </c>
      <c r="BL81" s="106">
        <v>10</v>
      </c>
      <c r="BM81" s="106">
        <v>7536</v>
      </c>
      <c r="BN81" s="106">
        <v>12</v>
      </c>
      <c r="BO81" s="106">
        <v>9043.2000000000007</v>
      </c>
      <c r="BP81" s="106">
        <v>6</v>
      </c>
      <c r="BQ81" s="106">
        <v>4521.6000000000004</v>
      </c>
      <c r="BR81" s="106">
        <v>6</v>
      </c>
      <c r="BS81" s="106">
        <v>4521.6000000000004</v>
      </c>
      <c r="BT81" s="106">
        <v>6.3391140489575246</v>
      </c>
      <c r="BU81" s="106">
        <v>4777.1563472943908</v>
      </c>
      <c r="BV81" s="106">
        <v>9.4728748018058599</v>
      </c>
      <c r="BW81" s="106">
        <v>7138.7584506408966</v>
      </c>
      <c r="BX81" s="106">
        <v>7.4323588278792618</v>
      </c>
      <c r="BY81" s="106">
        <v>5601.0256126898121</v>
      </c>
      <c r="BZ81" s="106">
        <v>9.5686381226651633</v>
      </c>
      <c r="CA81" s="106">
        <v>7210.9256892404674</v>
      </c>
      <c r="CB81" s="106">
        <v>6.5185191851870101</v>
      </c>
      <c r="CC81" s="106">
        <v>4912.3560579569312</v>
      </c>
      <c r="CD81" s="106">
        <v>6.4177705821791386</v>
      </c>
      <c r="CE81" s="106">
        <v>4836.431910730199</v>
      </c>
      <c r="CF81" s="106">
        <v>15</v>
      </c>
      <c r="CG81" s="106">
        <v>11304</v>
      </c>
      <c r="CH81" s="106">
        <v>13</v>
      </c>
      <c r="CI81" s="106">
        <v>9796.8000000000011</v>
      </c>
      <c r="CJ81" s="106">
        <v>18</v>
      </c>
      <c r="CK81" s="106">
        <v>13564.800000000001</v>
      </c>
      <c r="CL81" s="106">
        <v>12</v>
      </c>
      <c r="CM81" s="106">
        <v>9043.2000000000007</v>
      </c>
      <c r="CN81" s="106">
        <v>6</v>
      </c>
      <c r="CO81" s="106">
        <v>4521.6000000000004</v>
      </c>
      <c r="CP81" s="106">
        <v>6.71053876157427</v>
      </c>
      <c r="CQ81" s="106">
        <v>5057.0620107223704</v>
      </c>
      <c r="CR81" s="106">
        <v>6</v>
      </c>
      <c r="CS81" s="106">
        <v>4521.6000000000004</v>
      </c>
      <c r="CT81" s="106">
        <v>4</v>
      </c>
      <c r="CU81" s="106">
        <v>3014.4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10</v>
      </c>
      <c r="G82" s="106">
        <v>5087.9999999999991</v>
      </c>
      <c r="H82" s="106">
        <v>9.6429648769534584</v>
      </c>
      <c r="I82" s="106">
        <v>4906.3405293939186</v>
      </c>
      <c r="J82" s="106">
        <v>11.86724051785138</v>
      </c>
      <c r="K82" s="106">
        <v>6038.051975482781</v>
      </c>
      <c r="L82" s="106">
        <v>3.8707391900895556</v>
      </c>
      <c r="M82" s="106">
        <v>1969.4320999175654</v>
      </c>
      <c r="N82" s="106">
        <v>5.8593557632251114</v>
      </c>
      <c r="O82" s="106">
        <v>2981.2402123289362</v>
      </c>
      <c r="P82" s="106">
        <v>3.6982386345118772</v>
      </c>
      <c r="Q82" s="106">
        <v>1881.6638172396426</v>
      </c>
      <c r="R82" s="106">
        <v>3.7761313033678983</v>
      </c>
      <c r="S82" s="106">
        <v>1921.2956071535862</v>
      </c>
      <c r="T82" s="106">
        <v>28.508392865119557</v>
      </c>
      <c r="U82" s="106">
        <v>14505.070289772828</v>
      </c>
      <c r="V82" s="106">
        <v>30.607500486326298</v>
      </c>
      <c r="W82" s="106">
        <v>15573.096247442818</v>
      </c>
      <c r="X82" s="106">
        <v>32.650945208865608</v>
      </c>
      <c r="Y82" s="106">
        <v>16612.800922270817</v>
      </c>
      <c r="Z82" s="106">
        <v>26.548348879651687</v>
      </c>
      <c r="AA82" s="106">
        <v>13507.799909966776</v>
      </c>
      <c r="AB82" s="106">
        <v>13.596322336778892</v>
      </c>
      <c r="AC82" s="106">
        <v>6917.8088049530988</v>
      </c>
      <c r="AD82" s="106">
        <v>19.587696284303792</v>
      </c>
      <c r="AE82" s="106">
        <v>9966.2198694537674</v>
      </c>
      <c r="AF82" s="106">
        <v>12.748038935451028</v>
      </c>
      <c r="AG82" s="106">
        <v>6486.2022103574818</v>
      </c>
      <c r="AH82" s="106">
        <v>10.699171656939715</v>
      </c>
      <c r="AI82" s="106">
        <v>5443.7385390509262</v>
      </c>
      <c r="AJ82" s="106">
        <v>10.503035961593646</v>
      </c>
      <c r="AK82" s="106">
        <v>5343.9446972588457</v>
      </c>
      <c r="AL82" s="106">
        <v>16.542834239007803</v>
      </c>
      <c r="AM82" s="106">
        <v>8416.9940608071684</v>
      </c>
      <c r="AN82" s="106">
        <v>10.403149979599474</v>
      </c>
      <c r="AO82" s="106">
        <v>5293.1227096202119</v>
      </c>
      <c r="AP82" s="106">
        <v>11.558028856453859</v>
      </c>
      <c r="AQ82" s="106">
        <v>5880.7250821637226</v>
      </c>
      <c r="AR82" s="106">
        <v>26.145316018988439</v>
      </c>
      <c r="AS82" s="106">
        <v>13302.736790461315</v>
      </c>
      <c r="AT82" s="106">
        <v>14.894818855937253</v>
      </c>
      <c r="AU82" s="106">
        <v>7578.4838339008729</v>
      </c>
      <c r="AV82" s="106">
        <v>20.67124626310499</v>
      </c>
      <c r="AW82" s="106">
        <v>10517.530098667818</v>
      </c>
      <c r="AX82" s="106">
        <v>15.740093139251981</v>
      </c>
      <c r="AY82" s="106">
        <v>8008.5593892514062</v>
      </c>
      <c r="AZ82" s="106">
        <v>4</v>
      </c>
      <c r="BA82" s="106">
        <v>2035.1999999999996</v>
      </c>
      <c r="BB82" s="106">
        <v>7</v>
      </c>
      <c r="BC82" s="106">
        <v>3561.5999999999995</v>
      </c>
      <c r="BD82" s="106">
        <v>5</v>
      </c>
      <c r="BE82" s="106">
        <v>2543.9999999999995</v>
      </c>
      <c r="BF82" s="106">
        <v>5</v>
      </c>
      <c r="BG82" s="106">
        <v>2543.9999999999995</v>
      </c>
      <c r="BH82" s="106">
        <v>17</v>
      </c>
      <c r="BI82" s="106">
        <v>8649.5999999999985</v>
      </c>
      <c r="BJ82" s="106">
        <v>11</v>
      </c>
      <c r="BK82" s="106">
        <v>5596.7999999999993</v>
      </c>
      <c r="BL82" s="106">
        <v>10</v>
      </c>
      <c r="BM82" s="106">
        <v>5087.9999999999991</v>
      </c>
      <c r="BN82" s="106">
        <v>14</v>
      </c>
      <c r="BO82" s="106">
        <v>7123.1999999999989</v>
      </c>
      <c r="BP82" s="106">
        <v>7</v>
      </c>
      <c r="BQ82" s="106">
        <v>3561.5999999999995</v>
      </c>
      <c r="BR82" s="106">
        <v>5</v>
      </c>
      <c r="BS82" s="106">
        <v>2543.9999999999995</v>
      </c>
      <c r="BT82" s="106">
        <v>6.3391140489575246</v>
      </c>
      <c r="BU82" s="106">
        <v>3225.341228109588</v>
      </c>
      <c r="BV82" s="106">
        <v>8.4728748018058599</v>
      </c>
      <c r="BW82" s="106">
        <v>4310.9986991588203</v>
      </c>
      <c r="BX82" s="106">
        <v>6.4323588278792618</v>
      </c>
      <c r="BY82" s="106">
        <v>3272.7841716249677</v>
      </c>
      <c r="BZ82" s="106">
        <v>9.5686381226651633</v>
      </c>
      <c r="CA82" s="106">
        <v>4868.5230768120346</v>
      </c>
      <c r="CB82" s="106">
        <v>6.478633094018778</v>
      </c>
      <c r="CC82" s="106">
        <v>3296.3285182367536</v>
      </c>
      <c r="CD82" s="106">
        <v>6.4499067808083037</v>
      </c>
      <c r="CE82" s="106">
        <v>3281.7125700752645</v>
      </c>
      <c r="CF82" s="106">
        <v>14</v>
      </c>
      <c r="CG82" s="106">
        <v>7123.1999999999989</v>
      </c>
      <c r="CH82" s="106">
        <v>12</v>
      </c>
      <c r="CI82" s="106">
        <v>6105.5999999999985</v>
      </c>
      <c r="CJ82" s="106">
        <v>19</v>
      </c>
      <c r="CK82" s="106">
        <v>9667.1999999999989</v>
      </c>
      <c r="CL82" s="106">
        <v>12</v>
      </c>
      <c r="CM82" s="106">
        <v>6105.5999999999985</v>
      </c>
      <c r="CN82" s="106">
        <v>6</v>
      </c>
      <c r="CO82" s="106">
        <v>3052.7999999999993</v>
      </c>
      <c r="CP82" s="106">
        <v>6.6687423638346077</v>
      </c>
      <c r="CQ82" s="106">
        <v>3393.0561147190479</v>
      </c>
      <c r="CR82" s="106">
        <v>7</v>
      </c>
      <c r="CS82" s="106">
        <v>3561.5999999999995</v>
      </c>
      <c r="CT82" s="106">
        <v>4</v>
      </c>
      <c r="CU82" s="106">
        <v>2035.1999999999996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11</v>
      </c>
      <c r="G83" s="106">
        <v>9464.4</v>
      </c>
      <c r="H83" s="106">
        <v>8.7186078036538657</v>
      </c>
      <c r="I83" s="106">
        <v>7501.4901542637863</v>
      </c>
      <c r="J83" s="106">
        <v>11.942652736794978</v>
      </c>
      <c r="K83" s="106">
        <v>10275.458414738399</v>
      </c>
      <c r="L83" s="106">
        <v>4.9536667320028469</v>
      </c>
      <c r="M83" s="106">
        <v>4262.1348562152498</v>
      </c>
      <c r="N83" s="106">
        <v>5.9411991692465502</v>
      </c>
      <c r="O83" s="106">
        <v>5111.8077652197317</v>
      </c>
      <c r="P83" s="106">
        <v>3.7349880363282919</v>
      </c>
      <c r="Q83" s="106">
        <v>3213.5837064568623</v>
      </c>
      <c r="R83" s="106">
        <v>3.705573912152635</v>
      </c>
      <c r="S83" s="106">
        <v>3188.2757940161268</v>
      </c>
      <c r="T83" s="106">
        <v>26.532602049172869</v>
      </c>
      <c r="U83" s="106">
        <v>22828.650803108336</v>
      </c>
      <c r="V83" s="106">
        <v>29.501848227834767</v>
      </c>
      <c r="W83" s="106">
        <v>25383.390215229032</v>
      </c>
      <c r="X83" s="106">
        <v>33.569577057757407</v>
      </c>
      <c r="Y83" s="106">
        <v>28883.264100494471</v>
      </c>
      <c r="Z83" s="106">
        <v>22.548348879651687</v>
      </c>
      <c r="AA83" s="106">
        <v>19400.599376052312</v>
      </c>
      <c r="AB83" s="106">
        <v>12.596322336778892</v>
      </c>
      <c r="AC83" s="106">
        <v>10837.875738564559</v>
      </c>
      <c r="AD83" s="106">
        <v>19.685645665021088</v>
      </c>
      <c r="AE83" s="106">
        <v>16937.529530184143</v>
      </c>
      <c r="AF83" s="106">
        <v>12.698169673087625</v>
      </c>
      <c r="AG83" s="106">
        <v>10925.505186724593</v>
      </c>
      <c r="AH83" s="106">
        <v>9.599289991662614</v>
      </c>
      <c r="AI83" s="106">
        <v>8259.2291088265119</v>
      </c>
      <c r="AJ83" s="106">
        <v>8.467104821479813</v>
      </c>
      <c r="AK83" s="106">
        <v>7285.0969884012311</v>
      </c>
      <c r="AL83" s="106">
        <v>14.579023188274988</v>
      </c>
      <c r="AM83" s="106">
        <v>12543.7915511918</v>
      </c>
      <c r="AN83" s="106">
        <v>11.439799977744881</v>
      </c>
      <c r="AO83" s="106">
        <v>9842.8039008516953</v>
      </c>
      <c r="AP83" s="106">
        <v>12.520826932690268</v>
      </c>
      <c r="AQ83" s="106">
        <v>10772.919492886705</v>
      </c>
      <c r="AR83" s="106">
        <v>23.867219498008456</v>
      </c>
      <c r="AS83" s="106">
        <v>20535.355656086474</v>
      </c>
      <c r="AT83" s="106">
        <v>17.058568633610843</v>
      </c>
      <c r="AU83" s="106">
        <v>14677.19245235877</v>
      </c>
      <c r="AV83" s="106">
        <v>21.414131453396532</v>
      </c>
      <c r="AW83" s="106">
        <v>18424.718702502374</v>
      </c>
      <c r="AX83" s="106">
        <v>15.500080292458604</v>
      </c>
      <c r="AY83" s="106">
        <v>13336.269083631381</v>
      </c>
      <c r="AZ83" s="106">
        <v>4</v>
      </c>
      <c r="BA83" s="106">
        <v>3441.6</v>
      </c>
      <c r="BB83" s="106">
        <v>6</v>
      </c>
      <c r="BC83" s="106">
        <v>5162.3999999999996</v>
      </c>
      <c r="BD83" s="106">
        <v>6</v>
      </c>
      <c r="BE83" s="106">
        <v>5162.3999999999996</v>
      </c>
      <c r="BF83" s="106">
        <v>5</v>
      </c>
      <c r="BG83" s="106">
        <v>4302</v>
      </c>
      <c r="BH83" s="106">
        <v>17</v>
      </c>
      <c r="BI83" s="106">
        <v>14626.8</v>
      </c>
      <c r="BJ83" s="106">
        <v>11</v>
      </c>
      <c r="BK83" s="106">
        <v>9464.4</v>
      </c>
      <c r="BL83" s="106">
        <v>11</v>
      </c>
      <c r="BM83" s="106">
        <v>9464.4</v>
      </c>
      <c r="BN83" s="106">
        <v>13</v>
      </c>
      <c r="BO83" s="106">
        <v>11185.199999999999</v>
      </c>
      <c r="BP83" s="106">
        <v>6</v>
      </c>
      <c r="BQ83" s="106">
        <v>5162.3999999999996</v>
      </c>
      <c r="BR83" s="106">
        <v>6.385839273007492</v>
      </c>
      <c r="BS83" s="106">
        <v>5494.3761104956457</v>
      </c>
      <c r="BT83" s="106">
        <v>6.3391140489575246</v>
      </c>
      <c r="BU83" s="106">
        <v>5454.1737277230541</v>
      </c>
      <c r="BV83" s="106">
        <v>9.4298861834598728</v>
      </c>
      <c r="BW83" s="106">
        <v>8113.4740722488741</v>
      </c>
      <c r="BX83" s="106">
        <v>6.4656171992545897</v>
      </c>
      <c r="BY83" s="106">
        <v>5563.0170382386486</v>
      </c>
      <c r="BZ83" s="106">
        <v>8.5351888213319178</v>
      </c>
      <c r="CA83" s="106">
        <v>7343.6764618739817</v>
      </c>
      <c r="CB83" s="106">
        <v>6.478633094018778</v>
      </c>
      <c r="CC83" s="106">
        <v>5574.2159140937565</v>
      </c>
      <c r="CD83" s="106">
        <v>5.4177705821791386</v>
      </c>
      <c r="CE83" s="106">
        <v>4661.4498089069311</v>
      </c>
      <c r="CF83" s="106">
        <v>14</v>
      </c>
      <c r="CG83" s="106">
        <v>12045.6</v>
      </c>
      <c r="CH83" s="106">
        <v>11</v>
      </c>
      <c r="CI83" s="106">
        <v>9464.4</v>
      </c>
      <c r="CJ83" s="106">
        <v>18</v>
      </c>
      <c r="CK83" s="106">
        <v>15487.199999999999</v>
      </c>
      <c r="CL83" s="106">
        <v>12</v>
      </c>
      <c r="CM83" s="106">
        <v>10324.799999999999</v>
      </c>
      <c r="CN83" s="106">
        <v>6</v>
      </c>
      <c r="CO83" s="106">
        <v>5162.3999999999996</v>
      </c>
      <c r="CP83" s="106">
        <v>6</v>
      </c>
      <c r="CQ83" s="106">
        <v>5162.3999999999996</v>
      </c>
      <c r="CR83" s="106">
        <v>7</v>
      </c>
      <c r="CS83" s="106">
        <v>6022.8</v>
      </c>
      <c r="CT83" s="106">
        <v>4</v>
      </c>
      <c r="CU83" s="106">
        <v>3441.6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10</v>
      </c>
      <c r="G84" s="106">
        <v>7811.9999999999991</v>
      </c>
      <c r="H84" s="106">
        <v>9.680786340303662</v>
      </c>
      <c r="I84" s="106">
        <v>7562.6302890452198</v>
      </c>
      <c r="J84" s="106">
        <v>11.942652736794978</v>
      </c>
      <c r="K84" s="106">
        <v>9329.6003179842355</v>
      </c>
      <c r="L84" s="106">
        <v>4.9536667320028469</v>
      </c>
      <c r="M84" s="106">
        <v>3869.8044510406235</v>
      </c>
      <c r="N84" s="106">
        <v>5.9002774662358313</v>
      </c>
      <c r="O84" s="106">
        <v>4609.2967566234311</v>
      </c>
      <c r="P84" s="106">
        <v>3.6614892326954629</v>
      </c>
      <c r="Q84" s="106">
        <v>2860.3553885816955</v>
      </c>
      <c r="R84" s="106">
        <v>3.8114099989755301</v>
      </c>
      <c r="S84" s="106">
        <v>2977.4734911996838</v>
      </c>
      <c r="T84" s="106">
        <v>27.459974497012933</v>
      </c>
      <c r="U84" s="106">
        <v>21451.732077066503</v>
      </c>
      <c r="V84" s="106">
        <v>28.52826129245765</v>
      </c>
      <c r="W84" s="106">
        <v>22286.277721667913</v>
      </c>
      <c r="X84" s="106">
        <v>33.623822491829536</v>
      </c>
      <c r="Y84" s="106">
        <v>26266.930130617231</v>
      </c>
      <c r="Z84" s="106">
        <v>22.522237028239701</v>
      </c>
      <c r="AA84" s="106">
        <v>17594.371566460854</v>
      </c>
      <c r="AB84" s="106">
        <v>12.596322336778892</v>
      </c>
      <c r="AC84" s="106">
        <v>9840.2470094916698</v>
      </c>
      <c r="AD84" s="106">
        <v>18.63667097466244</v>
      </c>
      <c r="AE84" s="106">
        <v>14558.967365406297</v>
      </c>
      <c r="AF84" s="106">
        <v>12</v>
      </c>
      <c r="AG84" s="106">
        <v>9374.4</v>
      </c>
      <c r="AH84" s="106">
        <v>9.599289991662614</v>
      </c>
      <c r="AI84" s="106">
        <v>7498.9653414868335</v>
      </c>
      <c r="AJ84" s="106">
        <v>9.5030359615936462</v>
      </c>
      <c r="AK84" s="106">
        <v>7423.7716931969553</v>
      </c>
      <c r="AL84" s="106">
        <v>15.506645289740614</v>
      </c>
      <c r="AM84" s="106">
        <v>12113.791300345367</v>
      </c>
      <c r="AN84" s="106">
        <v>11.513099974035695</v>
      </c>
      <c r="AO84" s="106">
        <v>8994.0336997166851</v>
      </c>
      <c r="AP84" s="106">
        <v>11.558028856453859</v>
      </c>
      <c r="AQ84" s="106">
        <v>9029.1321426617542</v>
      </c>
      <c r="AR84" s="106">
        <v>21.728171237518463</v>
      </c>
      <c r="AS84" s="106">
        <v>16974.04737074942</v>
      </c>
      <c r="AT84" s="106">
        <v>15.754461903645606</v>
      </c>
      <c r="AU84" s="106">
        <v>12307.385639127946</v>
      </c>
      <c r="AV84" s="106">
        <v>22.362708491454839</v>
      </c>
      <c r="AW84" s="106">
        <v>17469.74787352452</v>
      </c>
      <c r="AX84" s="106">
        <v>16.620086715855294</v>
      </c>
      <c r="AY84" s="106">
        <v>12983.611742426154</v>
      </c>
      <c r="AZ84" s="106">
        <v>4</v>
      </c>
      <c r="BA84" s="106">
        <v>3124.7999999999997</v>
      </c>
      <c r="BB84" s="106">
        <v>5</v>
      </c>
      <c r="BC84" s="106">
        <v>3905.9999999999995</v>
      </c>
      <c r="BD84" s="106">
        <v>5</v>
      </c>
      <c r="BE84" s="106">
        <v>3905.9999999999995</v>
      </c>
      <c r="BF84" s="106">
        <v>5</v>
      </c>
      <c r="BG84" s="106">
        <v>3905.9999999999995</v>
      </c>
      <c r="BH84" s="106">
        <v>19</v>
      </c>
      <c r="BI84" s="106">
        <v>14842.8</v>
      </c>
      <c r="BJ84" s="106">
        <v>10</v>
      </c>
      <c r="BK84" s="106">
        <v>7811.9999999999991</v>
      </c>
      <c r="BL84" s="106">
        <v>10</v>
      </c>
      <c r="BM84" s="106">
        <v>7811.9999999999991</v>
      </c>
      <c r="BN84" s="106">
        <v>13</v>
      </c>
      <c r="BO84" s="106">
        <v>10155.599999999999</v>
      </c>
      <c r="BP84" s="106">
        <v>6</v>
      </c>
      <c r="BQ84" s="106">
        <v>4687.2</v>
      </c>
      <c r="BR84" s="106">
        <v>6.385839273007492</v>
      </c>
      <c r="BS84" s="106">
        <v>4988.6176400734521</v>
      </c>
      <c r="BT84" s="106">
        <v>6.3391140489575246</v>
      </c>
      <c r="BU84" s="106">
        <v>4952.1158950456174</v>
      </c>
      <c r="BV84" s="106">
        <v>8.3868975651138857</v>
      </c>
      <c r="BW84" s="106">
        <v>6551.8443778669671</v>
      </c>
      <c r="BX84" s="106">
        <v>6.399100456503934</v>
      </c>
      <c r="BY84" s="106">
        <v>4998.9772766208725</v>
      </c>
      <c r="BZ84" s="106">
        <v>8.5351888213319178</v>
      </c>
      <c r="CA84" s="106">
        <v>6667.6895072244934</v>
      </c>
      <c r="CB84" s="106">
        <v>5.478633094018778</v>
      </c>
      <c r="CC84" s="106">
        <v>4279.9081730474691</v>
      </c>
      <c r="CD84" s="106">
        <v>5.4177705821791386</v>
      </c>
      <c r="CE84" s="106">
        <v>4232.3623787983424</v>
      </c>
      <c r="CF84" s="106">
        <v>15</v>
      </c>
      <c r="CG84" s="106">
        <v>11717.999999999998</v>
      </c>
      <c r="CH84" s="106">
        <v>11</v>
      </c>
      <c r="CI84" s="106">
        <v>8593.1999999999989</v>
      </c>
      <c r="CJ84" s="106">
        <v>17</v>
      </c>
      <c r="CK84" s="106">
        <v>13280.4</v>
      </c>
      <c r="CL84" s="106">
        <v>11</v>
      </c>
      <c r="CM84" s="106">
        <v>8593.1999999999989</v>
      </c>
      <c r="CN84" s="106">
        <v>7</v>
      </c>
      <c r="CO84" s="106">
        <v>5468.4</v>
      </c>
      <c r="CP84" s="106">
        <v>6.6269459660949446</v>
      </c>
      <c r="CQ84" s="106">
        <v>5176.9701887133706</v>
      </c>
      <c r="CR84" s="106">
        <v>7</v>
      </c>
      <c r="CS84" s="106">
        <v>5468.4</v>
      </c>
      <c r="CT84" s="106">
        <v>4</v>
      </c>
      <c r="CU84" s="106">
        <v>3124.7999999999997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11</v>
      </c>
      <c r="G85" s="106">
        <v>1650</v>
      </c>
      <c r="H85" s="106">
        <v>11.718607803653866</v>
      </c>
      <c r="I85" s="106">
        <v>1757.7911705480799</v>
      </c>
      <c r="J85" s="106">
        <v>12.018064955738575</v>
      </c>
      <c r="K85" s="106">
        <v>1802.7097433607862</v>
      </c>
      <c r="L85" s="106">
        <v>4.9122029610462015</v>
      </c>
      <c r="M85" s="106">
        <v>736.83044415693018</v>
      </c>
      <c r="N85" s="106">
        <v>6.0230425752679899</v>
      </c>
      <c r="O85" s="106">
        <v>903.45638629019845</v>
      </c>
      <c r="P85" s="106">
        <v>3.7349880363282919</v>
      </c>
      <c r="Q85" s="106">
        <v>560.24820544924376</v>
      </c>
      <c r="R85" s="106">
        <v>3.8114099989755301</v>
      </c>
      <c r="S85" s="106">
        <v>571.7114998463295</v>
      </c>
      <c r="T85" s="106">
        <v>26.532602049172869</v>
      </c>
      <c r="U85" s="106">
        <v>3979.8903073759302</v>
      </c>
      <c r="V85" s="106">
        <v>34.52826129245765</v>
      </c>
      <c r="W85" s="106">
        <v>5179.2391938686478</v>
      </c>
      <c r="X85" s="106">
        <v>34.569577057757407</v>
      </c>
      <c r="Y85" s="106">
        <v>5185.4365586636113</v>
      </c>
      <c r="Z85" s="106">
        <v>25.600572582475657</v>
      </c>
      <c r="AA85" s="106">
        <v>3840.0858873713487</v>
      </c>
      <c r="AB85" s="106">
        <v>13.695709392908705</v>
      </c>
      <c r="AC85" s="106">
        <v>2054.3564089363058</v>
      </c>
      <c r="AD85" s="106">
        <v>17.63667097466244</v>
      </c>
      <c r="AE85" s="106">
        <v>2645.5006461993662</v>
      </c>
      <c r="AF85" s="106">
        <v>11.748038935451028</v>
      </c>
      <c r="AG85" s="106">
        <v>1762.2058403176543</v>
      </c>
      <c r="AH85" s="106">
        <v>11.699171656939715</v>
      </c>
      <c r="AI85" s="106">
        <v>1754.8757485409571</v>
      </c>
      <c r="AJ85" s="106">
        <v>10.467104821479813</v>
      </c>
      <c r="AK85" s="106">
        <v>1570.0657232219719</v>
      </c>
      <c r="AL85" s="106">
        <v>16.651401086809361</v>
      </c>
      <c r="AM85" s="106">
        <v>2497.7101630214042</v>
      </c>
      <c r="AN85" s="106">
        <v>11.476449975890288</v>
      </c>
      <c r="AO85" s="106">
        <v>1721.4674963835432</v>
      </c>
      <c r="AP85" s="106">
        <v>12.558028856453859</v>
      </c>
      <c r="AQ85" s="106">
        <v>1883.704328468079</v>
      </c>
      <c r="AR85" s="106">
        <v>27.006267758498449</v>
      </c>
      <c r="AS85" s="106">
        <v>4050.9401637747674</v>
      </c>
      <c r="AT85" s="106">
        <v>17.98839015746502</v>
      </c>
      <c r="AU85" s="106">
        <v>2698.2585236197529</v>
      </c>
      <c r="AV85" s="106">
        <v>23.67124626310499</v>
      </c>
      <c r="AW85" s="106">
        <v>3550.6869394657488</v>
      </c>
      <c r="AX85" s="106">
        <v>15.890101168497841</v>
      </c>
      <c r="AY85" s="106">
        <v>2383.515175274676</v>
      </c>
      <c r="AZ85" s="106">
        <v>4</v>
      </c>
      <c r="BA85" s="106">
        <v>600</v>
      </c>
      <c r="BB85" s="106">
        <v>6</v>
      </c>
      <c r="BC85" s="106">
        <v>900</v>
      </c>
      <c r="BD85" s="106">
        <v>6</v>
      </c>
      <c r="BE85" s="106">
        <v>900</v>
      </c>
      <c r="BF85" s="106">
        <v>5</v>
      </c>
      <c r="BG85" s="106">
        <v>750</v>
      </c>
      <c r="BH85" s="106">
        <v>19</v>
      </c>
      <c r="BI85" s="106">
        <v>2850</v>
      </c>
      <c r="BJ85" s="106">
        <v>11</v>
      </c>
      <c r="BK85" s="106">
        <v>1650</v>
      </c>
      <c r="BL85" s="106">
        <v>11</v>
      </c>
      <c r="BM85" s="106">
        <v>1650</v>
      </c>
      <c r="BN85" s="106">
        <v>15</v>
      </c>
      <c r="BO85" s="106">
        <v>2250</v>
      </c>
      <c r="BP85" s="106">
        <v>6</v>
      </c>
      <c r="BQ85" s="106">
        <v>900</v>
      </c>
      <c r="BR85" s="106">
        <v>6</v>
      </c>
      <c r="BS85" s="106">
        <v>900</v>
      </c>
      <c r="BT85" s="106">
        <v>6.3391140489575246</v>
      </c>
      <c r="BU85" s="106">
        <v>950.86710734362873</v>
      </c>
      <c r="BV85" s="106">
        <v>8.4298861834598728</v>
      </c>
      <c r="BW85" s="106">
        <v>1264.4829275189809</v>
      </c>
      <c r="BX85" s="106">
        <v>7.4323588278792618</v>
      </c>
      <c r="BY85" s="106">
        <v>1114.8538241818892</v>
      </c>
      <c r="BZ85" s="106">
        <v>8.6020874239984089</v>
      </c>
      <c r="CA85" s="106">
        <v>1290.3131135997614</v>
      </c>
      <c r="CB85" s="106">
        <v>6.5584052763552414</v>
      </c>
      <c r="CC85" s="106">
        <v>983.76079145328617</v>
      </c>
      <c r="CD85" s="106">
        <v>5.4177705821791386</v>
      </c>
      <c r="CE85" s="106">
        <v>812.66558732687076</v>
      </c>
      <c r="CF85" s="106">
        <v>16</v>
      </c>
      <c r="CG85" s="106">
        <v>2400</v>
      </c>
      <c r="CH85" s="106">
        <v>14</v>
      </c>
      <c r="CI85" s="106">
        <v>2100</v>
      </c>
      <c r="CJ85" s="106">
        <v>20</v>
      </c>
      <c r="CK85" s="106">
        <v>3000</v>
      </c>
      <c r="CL85" s="106">
        <v>13</v>
      </c>
      <c r="CM85" s="106">
        <v>1950</v>
      </c>
      <c r="CN85" s="106">
        <v>6</v>
      </c>
      <c r="CO85" s="106">
        <v>900</v>
      </c>
      <c r="CP85" s="106">
        <v>6.71053876157427</v>
      </c>
      <c r="CQ85" s="106">
        <v>1006.5808142361404</v>
      </c>
      <c r="CR85" s="106">
        <v>7</v>
      </c>
      <c r="CS85" s="106">
        <v>1050</v>
      </c>
      <c r="CT85" s="106">
        <v>4</v>
      </c>
      <c r="CU85" s="106">
        <v>600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10</v>
      </c>
      <c r="G86" s="106">
        <v>5400</v>
      </c>
      <c r="H86" s="106">
        <v>10.718607803653866</v>
      </c>
      <c r="I86" s="106">
        <v>5788.0482139730875</v>
      </c>
      <c r="J86" s="106">
        <v>11.980358846266776</v>
      </c>
      <c r="K86" s="106">
        <v>6469.3937769840595</v>
      </c>
      <c r="L86" s="106">
        <v>4.9536667320028469</v>
      </c>
      <c r="M86" s="106">
        <v>2674.9800352815373</v>
      </c>
      <c r="N86" s="106">
        <v>5.8184340602143916</v>
      </c>
      <c r="O86" s="106">
        <v>3141.9543925157714</v>
      </c>
      <c r="P86" s="106">
        <v>3.6982386345118772</v>
      </c>
      <c r="Q86" s="106">
        <v>1997.0488626364138</v>
      </c>
      <c r="R86" s="106">
        <v>3.7761313033678983</v>
      </c>
      <c r="S86" s="106">
        <v>2039.1109038186651</v>
      </c>
      <c r="T86" s="106">
        <v>27.508392865119557</v>
      </c>
      <c r="U86" s="106">
        <v>14854.53214716456</v>
      </c>
      <c r="V86" s="106">
        <v>31.607500486326298</v>
      </c>
      <c r="W86" s="106">
        <v>17068.050262616202</v>
      </c>
      <c r="X86" s="106">
        <v>34.569577057757407</v>
      </c>
      <c r="Y86" s="106">
        <v>18667.571611189</v>
      </c>
      <c r="Z86" s="106">
        <v>27.600572582475657</v>
      </c>
      <c r="AA86" s="106">
        <v>14904.309194536854</v>
      </c>
      <c r="AB86" s="106">
        <v>14.646015864843799</v>
      </c>
      <c r="AC86" s="106">
        <v>7908.8485670156515</v>
      </c>
      <c r="AD86" s="106">
        <v>16.63667097466244</v>
      </c>
      <c r="AE86" s="106">
        <v>8983.8023263177183</v>
      </c>
      <c r="AF86" s="106">
        <v>11.698169673087625</v>
      </c>
      <c r="AG86" s="106">
        <v>6317.0116234673178</v>
      </c>
      <c r="AH86" s="106">
        <v>10.699171656939715</v>
      </c>
      <c r="AI86" s="106">
        <v>5777.5526947474464</v>
      </c>
      <c r="AJ86" s="106">
        <v>9.5030359615936462</v>
      </c>
      <c r="AK86" s="106">
        <v>5131.6394192605685</v>
      </c>
      <c r="AL86" s="106">
        <v>14.506645289740614</v>
      </c>
      <c r="AM86" s="106">
        <v>7833.5884564599319</v>
      </c>
      <c r="AN86" s="106">
        <v>9.4764499758902883</v>
      </c>
      <c r="AO86" s="106">
        <v>5117.2829869807556</v>
      </c>
      <c r="AP86" s="106">
        <v>11.558028856453859</v>
      </c>
      <c r="AQ86" s="106">
        <v>6241.3355824850842</v>
      </c>
      <c r="AR86" s="106">
        <v>23.026131795711304</v>
      </c>
      <c r="AS86" s="106">
        <v>12434.111169684104</v>
      </c>
      <c r="AT86" s="106">
        <v>16.152139935138607</v>
      </c>
      <c r="AU86" s="106">
        <v>8722.1555649748479</v>
      </c>
      <c r="AV86" s="106">
        <v>23.439842934367377</v>
      </c>
      <c r="AW86" s="106">
        <v>12657.515184558384</v>
      </c>
      <c r="AX86" s="106">
        <v>16.56008350415695</v>
      </c>
      <c r="AY86" s="106">
        <v>8942.4450922447522</v>
      </c>
      <c r="AZ86" s="106">
        <v>4</v>
      </c>
      <c r="BA86" s="106">
        <v>2160</v>
      </c>
      <c r="BB86" s="106">
        <v>6</v>
      </c>
      <c r="BC86" s="106">
        <v>3240</v>
      </c>
      <c r="BD86" s="106">
        <v>5</v>
      </c>
      <c r="BE86" s="106">
        <v>2700</v>
      </c>
      <c r="BF86" s="106">
        <v>5</v>
      </c>
      <c r="BG86" s="106">
        <v>2700</v>
      </c>
      <c r="BH86" s="106">
        <v>18</v>
      </c>
      <c r="BI86" s="106">
        <v>9720</v>
      </c>
      <c r="BJ86" s="106">
        <v>11</v>
      </c>
      <c r="BK86" s="106">
        <v>5940</v>
      </c>
      <c r="BL86" s="106">
        <v>11</v>
      </c>
      <c r="BM86" s="106">
        <v>5940</v>
      </c>
      <c r="BN86" s="106">
        <v>13</v>
      </c>
      <c r="BO86" s="106">
        <v>7020</v>
      </c>
      <c r="BP86" s="106">
        <v>6</v>
      </c>
      <c r="BQ86" s="106">
        <v>3240</v>
      </c>
      <c r="BR86" s="106">
        <v>5</v>
      </c>
      <c r="BS86" s="106">
        <v>2700</v>
      </c>
      <c r="BT86" s="106">
        <v>6.3391140489575246</v>
      </c>
      <c r="BU86" s="106">
        <v>3423.1215864370633</v>
      </c>
      <c r="BV86" s="106">
        <v>9.3868975651138857</v>
      </c>
      <c r="BW86" s="106">
        <v>5068.924685161498</v>
      </c>
      <c r="BX86" s="106">
        <v>6.399100456503934</v>
      </c>
      <c r="BY86" s="106">
        <v>3455.5142465121244</v>
      </c>
      <c r="BZ86" s="106">
        <v>8.5017395199986741</v>
      </c>
      <c r="CA86" s="106">
        <v>4590.9393407992839</v>
      </c>
      <c r="CB86" s="106">
        <v>6.5584052763552414</v>
      </c>
      <c r="CC86" s="106">
        <v>3541.5388492318302</v>
      </c>
      <c r="CD86" s="106">
        <v>6.4499067808083037</v>
      </c>
      <c r="CE86" s="106">
        <v>3482.9496616364841</v>
      </c>
      <c r="CF86" s="106">
        <v>15</v>
      </c>
      <c r="CG86" s="106">
        <v>8100</v>
      </c>
      <c r="CH86" s="106">
        <v>13</v>
      </c>
      <c r="CI86" s="106">
        <v>7020</v>
      </c>
      <c r="CJ86" s="106">
        <v>17</v>
      </c>
      <c r="CK86" s="106">
        <v>9180</v>
      </c>
      <c r="CL86" s="106">
        <v>11</v>
      </c>
      <c r="CM86" s="106">
        <v>5940</v>
      </c>
      <c r="CN86" s="106">
        <v>7</v>
      </c>
      <c r="CO86" s="106">
        <v>3780</v>
      </c>
      <c r="CP86" s="106">
        <v>6.7523351593139331</v>
      </c>
      <c r="CQ86" s="106">
        <v>3646.2609860295238</v>
      </c>
      <c r="CR86" s="106">
        <v>7</v>
      </c>
      <c r="CS86" s="106">
        <v>3780</v>
      </c>
      <c r="CT86" s="106">
        <v>4</v>
      </c>
      <c r="CU86" s="106">
        <v>2160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5</v>
      </c>
      <c r="G87" s="106">
        <v>9774</v>
      </c>
      <c r="H87" s="106">
        <v>5.4538575602024411</v>
      </c>
      <c r="I87" s="106">
        <v>10661.200758683732</v>
      </c>
      <c r="J87" s="106">
        <v>4.4901794231333882</v>
      </c>
      <c r="K87" s="106">
        <v>8777.4027363411478</v>
      </c>
      <c r="L87" s="106">
        <v>16</v>
      </c>
      <c r="M87" s="106">
        <v>31276.799999999999</v>
      </c>
      <c r="N87" s="106">
        <v>12</v>
      </c>
      <c r="O87" s="106">
        <v>23457.599999999999</v>
      </c>
      <c r="P87" s="106">
        <v>12</v>
      </c>
      <c r="Q87" s="106">
        <v>23457.599999999999</v>
      </c>
      <c r="R87" s="106">
        <v>13</v>
      </c>
      <c r="S87" s="106">
        <v>25412.399999999998</v>
      </c>
      <c r="T87" s="106">
        <v>29</v>
      </c>
      <c r="U87" s="106">
        <v>56689.2</v>
      </c>
      <c r="V87" s="106">
        <v>26</v>
      </c>
      <c r="W87" s="106">
        <v>50824.799999999996</v>
      </c>
      <c r="X87" s="106">
        <v>28</v>
      </c>
      <c r="Y87" s="106">
        <v>54734.400000000001</v>
      </c>
      <c r="Z87" s="106">
        <v>34</v>
      </c>
      <c r="AA87" s="106">
        <v>66463.199999999997</v>
      </c>
      <c r="AB87" s="106">
        <v>11</v>
      </c>
      <c r="AC87" s="106">
        <v>21502.799999999999</v>
      </c>
      <c r="AD87" s="106">
        <v>12.224367258966232</v>
      </c>
      <c r="AE87" s="106">
        <v>23896.193117827192</v>
      </c>
      <c r="AF87" s="106">
        <v>10</v>
      </c>
      <c r="AG87" s="106">
        <v>19548</v>
      </c>
      <c r="AH87" s="106">
        <v>9</v>
      </c>
      <c r="AI87" s="106">
        <v>17593.2</v>
      </c>
      <c r="AJ87" s="106">
        <v>16</v>
      </c>
      <c r="AK87" s="106">
        <v>31276.799999999999</v>
      </c>
      <c r="AL87" s="106">
        <v>13</v>
      </c>
      <c r="AM87" s="106">
        <v>25412.399999999998</v>
      </c>
      <c r="AN87" s="106">
        <v>8</v>
      </c>
      <c r="AO87" s="106">
        <v>15638.4</v>
      </c>
      <c r="AP87" s="106">
        <v>14</v>
      </c>
      <c r="AQ87" s="106">
        <v>27367.200000000001</v>
      </c>
      <c r="AR87" s="106">
        <v>4.3178245954056944</v>
      </c>
      <c r="AS87" s="106">
        <v>8440.4835190990507</v>
      </c>
      <c r="AT87" s="106">
        <v>7.3041067299652385</v>
      </c>
      <c r="AU87" s="106">
        <v>14278.067835736048</v>
      </c>
      <c r="AV87" s="106">
        <v>5.2314033287376143</v>
      </c>
      <c r="AW87" s="106">
        <v>10226.347227016287</v>
      </c>
      <c r="AX87" s="106">
        <v>5.270014452642549</v>
      </c>
      <c r="AY87" s="106">
        <v>10301.824252025655</v>
      </c>
      <c r="AZ87" s="106">
        <v>11</v>
      </c>
      <c r="BA87" s="106">
        <v>21502.799999999999</v>
      </c>
      <c r="BB87" s="106">
        <v>11</v>
      </c>
      <c r="BC87" s="106">
        <v>21502.799999999999</v>
      </c>
      <c r="BD87" s="106">
        <v>6</v>
      </c>
      <c r="BE87" s="106">
        <v>11728.8</v>
      </c>
      <c r="BF87" s="106">
        <v>8</v>
      </c>
      <c r="BG87" s="106">
        <v>15638.4</v>
      </c>
      <c r="BH87" s="106">
        <v>13.549217445121013</v>
      </c>
      <c r="BI87" s="106">
        <v>26486.010261722553</v>
      </c>
      <c r="BJ87" s="106">
        <v>12.727026497570625</v>
      </c>
      <c r="BK87" s="106">
        <v>24878.791397451056</v>
      </c>
      <c r="BL87" s="106">
        <v>13</v>
      </c>
      <c r="BM87" s="106">
        <v>25412.399999999998</v>
      </c>
      <c r="BN87" s="106">
        <v>17.633114286741804</v>
      </c>
      <c r="BO87" s="106">
        <v>34469.211807722881</v>
      </c>
      <c r="BP87" s="106">
        <v>39</v>
      </c>
      <c r="BQ87" s="106">
        <v>76237.2</v>
      </c>
      <c r="BR87" s="106">
        <v>43.62052494663147</v>
      </c>
      <c r="BS87" s="106">
        <v>85269.402165675201</v>
      </c>
      <c r="BT87" s="106">
        <v>24</v>
      </c>
      <c r="BU87" s="106">
        <v>46915.199999999997</v>
      </c>
      <c r="BV87" s="106">
        <v>40.547590260455543</v>
      </c>
      <c r="BW87" s="106">
        <v>79262.429441138491</v>
      </c>
      <c r="BX87" s="106">
        <v>23.432358827879263</v>
      </c>
      <c r="BY87" s="106">
        <v>45805.575036738381</v>
      </c>
      <c r="BZ87" s="106">
        <v>22.46829021866543</v>
      </c>
      <c r="CA87" s="106">
        <v>43921.013719447183</v>
      </c>
      <c r="CB87" s="106">
        <v>27.478633094018779</v>
      </c>
      <c r="CC87" s="106">
        <v>53715.23197218791</v>
      </c>
      <c r="CD87" s="106">
        <v>22.706996369841619</v>
      </c>
      <c r="CE87" s="106">
        <v>44387.636503766393</v>
      </c>
      <c r="CF87" s="106">
        <v>8</v>
      </c>
      <c r="CG87" s="106">
        <v>15638.4</v>
      </c>
      <c r="CH87" s="106">
        <v>12</v>
      </c>
      <c r="CI87" s="106">
        <v>23457.599999999999</v>
      </c>
      <c r="CJ87" s="106">
        <v>9</v>
      </c>
      <c r="CK87" s="106">
        <v>17593.2</v>
      </c>
      <c r="CL87" s="106">
        <v>11</v>
      </c>
      <c r="CM87" s="106">
        <v>21502.799999999999</v>
      </c>
      <c r="CN87" s="106">
        <v>6</v>
      </c>
      <c r="CO87" s="106">
        <v>11728.8</v>
      </c>
      <c r="CP87" s="106">
        <v>7</v>
      </c>
      <c r="CQ87" s="106">
        <v>13683.6</v>
      </c>
      <c r="CR87" s="106">
        <v>7</v>
      </c>
      <c r="CS87" s="106">
        <v>13683.6</v>
      </c>
      <c r="CT87" s="106">
        <v>5</v>
      </c>
      <c r="CU87" s="106">
        <v>9774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4</v>
      </c>
      <c r="G88" s="106">
        <v>7569.5999999999995</v>
      </c>
      <c r="H88" s="106">
        <v>5.4916790235526447</v>
      </c>
      <c r="I88" s="106">
        <v>10392.453384171024</v>
      </c>
      <c r="J88" s="106">
        <v>4.5278855326051879</v>
      </c>
      <c r="K88" s="106">
        <v>8568.5705819020568</v>
      </c>
      <c r="L88" s="106">
        <v>17</v>
      </c>
      <c r="M88" s="106">
        <v>32170.799999999999</v>
      </c>
      <c r="N88" s="106">
        <v>11</v>
      </c>
      <c r="O88" s="106">
        <v>20816.399999999998</v>
      </c>
      <c r="P88" s="106">
        <v>11</v>
      </c>
      <c r="Q88" s="106">
        <v>20816.399999999998</v>
      </c>
      <c r="R88" s="106">
        <v>14</v>
      </c>
      <c r="S88" s="106">
        <v>26493.599999999999</v>
      </c>
      <c r="T88" s="106">
        <v>33</v>
      </c>
      <c r="U88" s="106">
        <v>62449.2</v>
      </c>
      <c r="V88" s="106">
        <v>25</v>
      </c>
      <c r="W88" s="106">
        <v>47310</v>
      </c>
      <c r="X88" s="106">
        <v>28</v>
      </c>
      <c r="Y88" s="106">
        <v>52987.199999999997</v>
      </c>
      <c r="Z88" s="106">
        <v>39</v>
      </c>
      <c r="AA88" s="106">
        <v>73803.599999999991</v>
      </c>
      <c r="AB88" s="106">
        <v>11</v>
      </c>
      <c r="AC88" s="106">
        <v>20816.399999999998</v>
      </c>
      <c r="AD88" s="106">
        <v>12.27334194932488</v>
      </c>
      <c r="AE88" s="106">
        <v>23226.072304902402</v>
      </c>
      <c r="AF88" s="106">
        <v>10</v>
      </c>
      <c r="AG88" s="106">
        <v>18924</v>
      </c>
      <c r="AH88" s="106">
        <v>10</v>
      </c>
      <c r="AI88" s="106">
        <v>18924</v>
      </c>
      <c r="AJ88" s="106">
        <v>14</v>
      </c>
      <c r="AK88" s="106">
        <v>26493.599999999999</v>
      </c>
      <c r="AL88" s="106">
        <v>13</v>
      </c>
      <c r="AM88" s="106">
        <v>24601.199999999997</v>
      </c>
      <c r="AN88" s="106">
        <v>8</v>
      </c>
      <c r="AO88" s="106">
        <v>15139.199999999999</v>
      </c>
      <c r="AP88" s="106">
        <v>13</v>
      </c>
      <c r="AQ88" s="106">
        <v>24601.199999999997</v>
      </c>
      <c r="AR88" s="106">
        <v>4.2979605581928384</v>
      </c>
      <c r="AS88" s="106">
        <v>8133.4605603241271</v>
      </c>
      <c r="AT88" s="106">
        <v>7.3041067299652385</v>
      </c>
      <c r="AU88" s="106">
        <v>13822.291575786216</v>
      </c>
      <c r="AV88" s="106">
        <v>6.2314033287376143</v>
      </c>
      <c r="AW88" s="106">
        <v>11792.30765930306</v>
      </c>
      <c r="AX88" s="106">
        <v>5.3000160584917211</v>
      </c>
      <c r="AY88" s="106">
        <v>10029.750389089731</v>
      </c>
      <c r="AZ88" s="106">
        <v>10</v>
      </c>
      <c r="BA88" s="106">
        <v>18924</v>
      </c>
      <c r="BB88" s="106">
        <v>10</v>
      </c>
      <c r="BC88" s="106">
        <v>18924</v>
      </c>
      <c r="BD88" s="106">
        <v>6</v>
      </c>
      <c r="BE88" s="106">
        <v>11354.4</v>
      </c>
      <c r="BF88" s="106">
        <v>8</v>
      </c>
      <c r="BG88" s="106">
        <v>15139.199999999999</v>
      </c>
      <c r="BH88" s="106">
        <v>12.549217445121013</v>
      </c>
      <c r="BI88" s="106">
        <v>23748.139093147001</v>
      </c>
      <c r="BJ88" s="106">
        <v>13.727026497570625</v>
      </c>
      <c r="BK88" s="106">
        <v>25977.024944002649</v>
      </c>
      <c r="BL88" s="106">
        <v>14</v>
      </c>
      <c r="BM88" s="106">
        <v>26493.599999999999</v>
      </c>
      <c r="BN88" s="106">
        <v>17.633114286741804</v>
      </c>
      <c r="BO88" s="106">
        <v>33368.905476230189</v>
      </c>
      <c r="BP88" s="106">
        <v>36.653852105497535</v>
      </c>
      <c r="BQ88" s="106">
        <v>69363.749724443536</v>
      </c>
      <c r="BR88" s="106">
        <v>37.62052494663147</v>
      </c>
      <c r="BS88" s="106">
        <v>71193.08140900539</v>
      </c>
      <c r="BT88" s="106">
        <v>28</v>
      </c>
      <c r="BU88" s="106">
        <v>52987.199999999997</v>
      </c>
      <c r="BV88" s="106">
        <v>43.676556115493504</v>
      </c>
      <c r="BW88" s="106">
        <v>82653.514792959904</v>
      </c>
      <c r="BX88" s="106">
        <v>23.465617199254591</v>
      </c>
      <c r="BY88" s="106">
        <v>44406.333987869388</v>
      </c>
      <c r="BZ88" s="106">
        <v>23.46829021866543</v>
      </c>
      <c r="CA88" s="106">
        <v>44411.392409802458</v>
      </c>
      <c r="CB88" s="106">
        <v>29.51851918518701</v>
      </c>
      <c r="CC88" s="106">
        <v>55860.84570604789</v>
      </c>
      <c r="CD88" s="106">
        <v>20.739132568470783</v>
      </c>
      <c r="CE88" s="106">
        <v>39246.734472574106</v>
      </c>
      <c r="CF88" s="106">
        <v>9</v>
      </c>
      <c r="CG88" s="106">
        <v>17031.599999999999</v>
      </c>
      <c r="CH88" s="106">
        <v>13</v>
      </c>
      <c r="CI88" s="106">
        <v>24601.199999999997</v>
      </c>
      <c r="CJ88" s="106">
        <v>10</v>
      </c>
      <c r="CK88" s="106">
        <v>18924</v>
      </c>
      <c r="CL88" s="106">
        <v>12</v>
      </c>
      <c r="CM88" s="106">
        <v>22708.799999999999</v>
      </c>
      <c r="CN88" s="106">
        <v>5</v>
      </c>
      <c r="CO88" s="106">
        <v>9462</v>
      </c>
      <c r="CP88" s="106">
        <v>7</v>
      </c>
      <c r="CQ88" s="106">
        <v>13246.8</v>
      </c>
      <c r="CR88" s="106">
        <v>7</v>
      </c>
      <c r="CS88" s="106">
        <v>13246.8</v>
      </c>
      <c r="CT88" s="106">
        <v>6</v>
      </c>
      <c r="CU88" s="106">
        <v>11354.4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4</v>
      </c>
      <c r="G89" s="106">
        <v>9590.4</v>
      </c>
      <c r="H89" s="106">
        <v>4.4160360968522374</v>
      </c>
      <c r="I89" s="106">
        <v>10587.888145812924</v>
      </c>
      <c r="J89" s="106">
        <v>4.4901794231333882</v>
      </c>
      <c r="K89" s="106">
        <v>10765.654184904612</v>
      </c>
      <c r="L89" s="106">
        <v>17</v>
      </c>
      <c r="M89" s="106">
        <v>40759.199999999997</v>
      </c>
      <c r="N89" s="106">
        <v>10</v>
      </c>
      <c r="O89" s="106">
        <v>23976</v>
      </c>
      <c r="P89" s="106">
        <v>12</v>
      </c>
      <c r="Q89" s="106">
        <v>28771.199999999997</v>
      </c>
      <c r="R89" s="106">
        <v>13</v>
      </c>
      <c r="S89" s="106">
        <v>31168.799999999999</v>
      </c>
      <c r="T89" s="106">
        <v>30</v>
      </c>
      <c r="U89" s="106">
        <v>71928</v>
      </c>
      <c r="V89" s="106">
        <v>26</v>
      </c>
      <c r="W89" s="106">
        <v>62337.599999999999</v>
      </c>
      <c r="X89" s="106">
        <v>25</v>
      </c>
      <c r="Y89" s="106">
        <v>59940</v>
      </c>
      <c r="Z89" s="106">
        <v>32</v>
      </c>
      <c r="AA89" s="106">
        <v>76723.199999999997</v>
      </c>
      <c r="AB89" s="106">
        <v>10</v>
      </c>
      <c r="AC89" s="106">
        <v>23976</v>
      </c>
      <c r="AD89" s="106">
        <v>10.37129133004218</v>
      </c>
      <c r="AE89" s="106">
        <v>24866.208092909128</v>
      </c>
      <c r="AF89" s="106">
        <v>10</v>
      </c>
      <c r="AG89" s="106">
        <v>23976</v>
      </c>
      <c r="AH89" s="106">
        <v>9</v>
      </c>
      <c r="AI89" s="106">
        <v>21578.399999999998</v>
      </c>
      <c r="AJ89" s="106">
        <v>14</v>
      </c>
      <c r="AK89" s="106">
        <v>33566.400000000001</v>
      </c>
      <c r="AL89" s="106">
        <v>13</v>
      </c>
      <c r="AM89" s="106">
        <v>31168.799999999999</v>
      </c>
      <c r="AN89" s="106">
        <v>8</v>
      </c>
      <c r="AO89" s="106">
        <v>19180.8</v>
      </c>
      <c r="AP89" s="106">
        <v>12.450875026780032</v>
      </c>
      <c r="AQ89" s="106">
        <v>29852.217964207804</v>
      </c>
      <c r="AR89" s="106">
        <v>4.2780965209799824</v>
      </c>
      <c r="AS89" s="106">
        <v>10257.164218701606</v>
      </c>
      <c r="AT89" s="106">
        <v>8.2807139045832976</v>
      </c>
      <c r="AU89" s="106">
        <v>19853.839657628912</v>
      </c>
      <c r="AV89" s="106">
        <v>6.2056918477667677</v>
      </c>
      <c r="AW89" s="106">
        <v>14878.766774205602</v>
      </c>
      <c r="AX89" s="106">
        <v>5.2400128467933769</v>
      </c>
      <c r="AY89" s="106">
        <v>12563.4548014718</v>
      </c>
      <c r="AZ89" s="106">
        <v>11</v>
      </c>
      <c r="BA89" s="106">
        <v>26373.599999999999</v>
      </c>
      <c r="BB89" s="106">
        <v>11</v>
      </c>
      <c r="BC89" s="106">
        <v>26373.599999999999</v>
      </c>
      <c r="BD89" s="106">
        <v>7</v>
      </c>
      <c r="BE89" s="106">
        <v>16783.2</v>
      </c>
      <c r="BF89" s="106">
        <v>8</v>
      </c>
      <c r="BG89" s="106">
        <v>19180.8</v>
      </c>
      <c r="BH89" s="106">
        <v>12.51489135480095</v>
      </c>
      <c r="BI89" s="106">
        <v>30005.703512270757</v>
      </c>
      <c r="BJ89" s="106">
        <v>13.650497392563192</v>
      </c>
      <c r="BK89" s="106">
        <v>32728.43254840951</v>
      </c>
      <c r="BL89" s="106">
        <v>14</v>
      </c>
      <c r="BM89" s="106">
        <v>33566.400000000001</v>
      </c>
      <c r="BN89" s="106">
        <v>14.56647067761109</v>
      </c>
      <c r="BO89" s="106">
        <v>34924.570096640346</v>
      </c>
      <c r="BP89" s="106">
        <v>39.722762609893266</v>
      </c>
      <c r="BQ89" s="106">
        <v>95239.295633480084</v>
      </c>
      <c r="BR89" s="106">
        <v>37.504773164729222</v>
      </c>
      <c r="BS89" s="106">
        <v>89921.444139754778</v>
      </c>
      <c r="BT89" s="106">
        <v>25</v>
      </c>
      <c r="BU89" s="106">
        <v>59940</v>
      </c>
      <c r="BV89" s="106">
        <v>38.547590260455543</v>
      </c>
      <c r="BW89" s="106">
        <v>92421.702408468205</v>
      </c>
      <c r="BX89" s="106">
        <v>23.465617199254591</v>
      </c>
      <c r="BY89" s="106">
        <v>56261.163796932808</v>
      </c>
      <c r="BZ89" s="106">
        <v>18.46829021866543</v>
      </c>
      <c r="CA89" s="106">
        <v>44279.572628272232</v>
      </c>
      <c r="CB89" s="106">
        <v>27.478633094018779</v>
      </c>
      <c r="CC89" s="106">
        <v>65882.770706219424</v>
      </c>
      <c r="CD89" s="106">
        <v>21.706996369841619</v>
      </c>
      <c r="CE89" s="106">
        <v>52044.69449633226</v>
      </c>
      <c r="CF89" s="106">
        <v>8</v>
      </c>
      <c r="CG89" s="106">
        <v>19180.8</v>
      </c>
      <c r="CH89" s="106">
        <v>12</v>
      </c>
      <c r="CI89" s="106">
        <v>28771.199999999997</v>
      </c>
      <c r="CJ89" s="106">
        <v>8</v>
      </c>
      <c r="CK89" s="106">
        <v>19180.8</v>
      </c>
      <c r="CL89" s="106">
        <v>11</v>
      </c>
      <c r="CM89" s="106">
        <v>26373.599999999999</v>
      </c>
      <c r="CN89" s="106">
        <v>5</v>
      </c>
      <c r="CO89" s="106">
        <v>11988</v>
      </c>
      <c r="CP89" s="106">
        <v>6</v>
      </c>
      <c r="CQ89" s="106">
        <v>14385.599999999999</v>
      </c>
      <c r="CR89" s="106">
        <v>8</v>
      </c>
      <c r="CS89" s="106">
        <v>19180.8</v>
      </c>
      <c r="CT89" s="106">
        <v>6</v>
      </c>
      <c r="CU89" s="106">
        <v>14385.599999999999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4</v>
      </c>
      <c r="G90" s="106">
        <v>8788.7999999999993</v>
      </c>
      <c r="H90" s="106">
        <v>4.4916790235526447</v>
      </c>
      <c r="I90" s="106">
        <v>9869.1171505498696</v>
      </c>
      <c r="J90" s="106">
        <v>4.4901794231333882</v>
      </c>
      <c r="K90" s="106">
        <v>9865.8222285086795</v>
      </c>
      <c r="L90" s="106">
        <v>16</v>
      </c>
      <c r="M90" s="106">
        <v>35155.199999999997</v>
      </c>
      <c r="N90" s="106">
        <v>11</v>
      </c>
      <c r="O90" s="106">
        <v>24169.199999999997</v>
      </c>
      <c r="P90" s="106">
        <v>12</v>
      </c>
      <c r="Q90" s="106">
        <v>26366.399999999998</v>
      </c>
      <c r="R90" s="106">
        <v>13</v>
      </c>
      <c r="S90" s="106">
        <v>28563.599999999999</v>
      </c>
      <c r="T90" s="106">
        <v>30</v>
      </c>
      <c r="U90" s="106">
        <v>65916</v>
      </c>
      <c r="V90" s="106">
        <v>26</v>
      </c>
      <c r="W90" s="106">
        <v>57127.199999999997</v>
      </c>
      <c r="X90" s="106">
        <v>26</v>
      </c>
      <c r="Y90" s="106">
        <v>57127.199999999997</v>
      </c>
      <c r="Z90" s="106">
        <v>32</v>
      </c>
      <c r="AA90" s="106">
        <v>70310.399999999994</v>
      </c>
      <c r="AB90" s="106">
        <v>10</v>
      </c>
      <c r="AC90" s="106">
        <v>21972</v>
      </c>
      <c r="AD90" s="106">
        <v>10.420266020400829</v>
      </c>
      <c r="AE90" s="106">
        <v>22895.4085000247</v>
      </c>
      <c r="AF90" s="106">
        <v>11</v>
      </c>
      <c r="AG90" s="106">
        <v>24169.199999999997</v>
      </c>
      <c r="AH90" s="106">
        <v>9</v>
      </c>
      <c r="AI90" s="106">
        <v>19774.8</v>
      </c>
      <c r="AJ90" s="106">
        <v>14</v>
      </c>
      <c r="AK90" s="106">
        <v>30760.799999999996</v>
      </c>
      <c r="AL90" s="106">
        <v>13</v>
      </c>
      <c r="AM90" s="106">
        <v>28563.599999999999</v>
      </c>
      <c r="AN90" s="106">
        <v>8</v>
      </c>
      <c r="AO90" s="106">
        <v>17577.599999999999</v>
      </c>
      <c r="AP90" s="106">
        <v>13.636884645597986</v>
      </c>
      <c r="AQ90" s="106">
        <v>29962.962943307892</v>
      </c>
      <c r="AR90" s="106">
        <v>4.2979605581928384</v>
      </c>
      <c r="AS90" s="106">
        <v>9443.4789384613032</v>
      </c>
      <c r="AT90" s="106">
        <v>8.3274995553471793</v>
      </c>
      <c r="AU90" s="106">
        <v>18297.18202300882</v>
      </c>
      <c r="AV90" s="106">
        <v>6.2056918477667677</v>
      </c>
      <c r="AW90" s="106">
        <v>13635.146127913142</v>
      </c>
      <c r="AX90" s="106">
        <v>5.270014452642549</v>
      </c>
      <c r="AY90" s="106">
        <v>11579.275755346207</v>
      </c>
      <c r="AZ90" s="106">
        <v>10</v>
      </c>
      <c r="BA90" s="106">
        <v>21972</v>
      </c>
      <c r="BB90" s="106">
        <v>11</v>
      </c>
      <c r="BC90" s="106">
        <v>24169.199999999997</v>
      </c>
      <c r="BD90" s="106">
        <v>6</v>
      </c>
      <c r="BE90" s="106">
        <v>13183.199999999999</v>
      </c>
      <c r="BF90" s="106">
        <v>7</v>
      </c>
      <c r="BG90" s="106">
        <v>15380.399999999998</v>
      </c>
      <c r="BH90" s="106">
        <v>12.549217445121013</v>
      </c>
      <c r="BI90" s="106">
        <v>27573.140570419888</v>
      </c>
      <c r="BJ90" s="106">
        <v>12.688761945066908</v>
      </c>
      <c r="BK90" s="106">
        <v>27879.747745701006</v>
      </c>
      <c r="BL90" s="106">
        <v>12</v>
      </c>
      <c r="BM90" s="106">
        <v>26366.399999999998</v>
      </c>
      <c r="BN90" s="106">
        <v>15.599792482176447</v>
      </c>
      <c r="BO90" s="106">
        <v>34275.864041838089</v>
      </c>
      <c r="BP90" s="106">
        <v>33.860583618684721</v>
      </c>
      <c r="BQ90" s="106">
        <v>74398.474326974057</v>
      </c>
      <c r="BR90" s="106">
        <v>35.659108873932219</v>
      </c>
      <c r="BS90" s="106">
        <v>78350.194017803864</v>
      </c>
      <c r="BT90" s="106">
        <v>26</v>
      </c>
      <c r="BU90" s="106">
        <v>57127.199999999997</v>
      </c>
      <c r="BV90" s="106">
        <v>40.418624405417582</v>
      </c>
      <c r="BW90" s="106">
        <v>88807.801543583497</v>
      </c>
      <c r="BX90" s="106">
        <v>21.465617199254591</v>
      </c>
      <c r="BY90" s="106">
        <v>47164.254110202186</v>
      </c>
      <c r="BZ90" s="106">
        <v>20.46829021866543</v>
      </c>
      <c r="CA90" s="106">
        <v>44972.927268451676</v>
      </c>
      <c r="CB90" s="106">
        <v>23.51851918518701</v>
      </c>
      <c r="CC90" s="106">
        <v>51674.890353692892</v>
      </c>
      <c r="CD90" s="106">
        <v>21.674860171212455</v>
      </c>
      <c r="CE90" s="106">
        <v>47624.002768188002</v>
      </c>
      <c r="CF90" s="106">
        <v>8</v>
      </c>
      <c r="CG90" s="106">
        <v>17577.599999999999</v>
      </c>
      <c r="CH90" s="106">
        <v>11</v>
      </c>
      <c r="CI90" s="106">
        <v>24169.199999999997</v>
      </c>
      <c r="CJ90" s="106">
        <v>10</v>
      </c>
      <c r="CK90" s="106">
        <v>21972</v>
      </c>
      <c r="CL90" s="106">
        <v>11</v>
      </c>
      <c r="CM90" s="106">
        <v>24169.199999999997</v>
      </c>
      <c r="CN90" s="106">
        <v>5</v>
      </c>
      <c r="CO90" s="106">
        <v>10986</v>
      </c>
      <c r="CP90" s="106">
        <v>6.250778386437978</v>
      </c>
      <c r="CQ90" s="106">
        <v>13734.210270681524</v>
      </c>
      <c r="CR90" s="106">
        <v>7</v>
      </c>
      <c r="CS90" s="106">
        <v>15380.399999999998</v>
      </c>
      <c r="CT90" s="106">
        <v>5.3312943878485646</v>
      </c>
      <c r="CU90" s="106">
        <v>11713.920028980865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5</v>
      </c>
      <c r="G91" s="106">
        <v>11483.999999999998</v>
      </c>
      <c r="H91" s="106">
        <v>4.4160360968522374</v>
      </c>
      <c r="I91" s="106">
        <v>10142.751707250218</v>
      </c>
      <c r="J91" s="106">
        <v>4.5278855326051879</v>
      </c>
      <c r="K91" s="106">
        <v>10399.647491287595</v>
      </c>
      <c r="L91" s="106">
        <v>17</v>
      </c>
      <c r="M91" s="106">
        <v>39045.599999999999</v>
      </c>
      <c r="N91" s="106">
        <v>11</v>
      </c>
      <c r="O91" s="106">
        <v>25264.799999999996</v>
      </c>
      <c r="P91" s="106">
        <v>10</v>
      </c>
      <c r="Q91" s="106">
        <v>22967.999999999996</v>
      </c>
      <c r="R91" s="106">
        <v>13</v>
      </c>
      <c r="S91" s="106">
        <v>29858.399999999998</v>
      </c>
      <c r="T91" s="106">
        <v>33</v>
      </c>
      <c r="U91" s="106">
        <v>75794.399999999994</v>
      </c>
      <c r="V91" s="106">
        <v>26</v>
      </c>
      <c r="W91" s="106">
        <v>59716.799999999996</v>
      </c>
      <c r="X91" s="106">
        <v>25</v>
      </c>
      <c r="Y91" s="106">
        <v>57419.999999999993</v>
      </c>
      <c r="Z91" s="106">
        <v>34</v>
      </c>
      <c r="AA91" s="106">
        <v>78091.199999999997</v>
      </c>
      <c r="AB91" s="106">
        <v>10</v>
      </c>
      <c r="AC91" s="106">
        <v>22967.999999999996</v>
      </c>
      <c r="AD91" s="106">
        <v>11.32231663968353</v>
      </c>
      <c r="AE91" s="106">
        <v>26005.096858025128</v>
      </c>
      <c r="AF91" s="106">
        <v>10</v>
      </c>
      <c r="AG91" s="106">
        <v>22967.999999999996</v>
      </c>
      <c r="AH91" s="106">
        <v>10</v>
      </c>
      <c r="AI91" s="106">
        <v>22967.999999999996</v>
      </c>
      <c r="AJ91" s="106">
        <v>14</v>
      </c>
      <c r="AK91" s="106">
        <v>32155.199999999997</v>
      </c>
      <c r="AL91" s="106">
        <v>13</v>
      </c>
      <c r="AM91" s="106">
        <v>29858.399999999998</v>
      </c>
      <c r="AN91" s="106">
        <v>9</v>
      </c>
      <c r="AO91" s="106">
        <v>20671.199999999997</v>
      </c>
      <c r="AP91" s="106">
        <v>14.488076950543624</v>
      </c>
      <c r="AQ91" s="106">
        <v>33276.215140008593</v>
      </c>
      <c r="AR91" s="106">
        <v>4.3178245954056944</v>
      </c>
      <c r="AS91" s="106">
        <v>9917.1795307277971</v>
      </c>
      <c r="AT91" s="106">
        <v>7.3274995553471793</v>
      </c>
      <c r="AU91" s="106">
        <v>16829.8009787214</v>
      </c>
      <c r="AV91" s="106">
        <v>6.2314033287376143</v>
      </c>
      <c r="AW91" s="106">
        <v>14312.287165444552</v>
      </c>
      <c r="AX91" s="106">
        <v>5.270014452642549</v>
      </c>
      <c r="AY91" s="106">
        <v>12104.169194829405</v>
      </c>
      <c r="AZ91" s="106">
        <v>9</v>
      </c>
      <c r="BA91" s="106">
        <v>20671.199999999997</v>
      </c>
      <c r="BB91" s="106">
        <v>11</v>
      </c>
      <c r="BC91" s="106">
        <v>25264.799999999996</v>
      </c>
      <c r="BD91" s="106">
        <v>6</v>
      </c>
      <c r="BE91" s="106">
        <v>13780.8</v>
      </c>
      <c r="BF91" s="106">
        <v>8</v>
      </c>
      <c r="BG91" s="106">
        <v>18374.399999999998</v>
      </c>
      <c r="BH91" s="106">
        <v>12.480565264480886</v>
      </c>
      <c r="BI91" s="106">
        <v>28665.362299459695</v>
      </c>
      <c r="BJ91" s="106">
        <v>12.612232840059475</v>
      </c>
      <c r="BK91" s="106">
        <v>28967.776387048598</v>
      </c>
      <c r="BL91" s="106">
        <v>14</v>
      </c>
      <c r="BM91" s="106">
        <v>32155.199999999997</v>
      </c>
      <c r="BN91" s="106">
        <v>15.633114286741806</v>
      </c>
      <c r="BO91" s="106">
        <v>35906.136893788578</v>
      </c>
      <c r="BP91" s="106">
        <v>34</v>
      </c>
      <c r="BQ91" s="106">
        <v>78091.199999999997</v>
      </c>
      <c r="BR91" s="106">
        <v>39.697692801232968</v>
      </c>
      <c r="BS91" s="106">
        <v>91177.660825871877</v>
      </c>
      <c r="BT91" s="106">
        <v>26.526013220308858</v>
      </c>
      <c r="BU91" s="106">
        <v>60924.947164405377</v>
      </c>
      <c r="BV91" s="106">
        <v>38.332647168725607</v>
      </c>
      <c r="BW91" s="106">
        <v>88042.424017128971</v>
      </c>
      <c r="BX91" s="106">
        <v>22.498875570629917</v>
      </c>
      <c r="BY91" s="106">
        <v>51675.417410622787</v>
      </c>
      <c r="BZ91" s="106">
        <v>19.501739519998672</v>
      </c>
      <c r="CA91" s="106">
        <v>44791.595329532945</v>
      </c>
      <c r="CB91" s="106">
        <v>26.51851918518701</v>
      </c>
      <c r="CC91" s="106">
        <v>60907.734864537517</v>
      </c>
      <c r="CD91" s="106">
        <v>19.610587773954126</v>
      </c>
      <c r="CE91" s="106">
        <v>45041.597999217833</v>
      </c>
      <c r="CF91" s="106">
        <v>8</v>
      </c>
      <c r="CG91" s="106">
        <v>18374.399999999998</v>
      </c>
      <c r="CH91" s="106">
        <v>11</v>
      </c>
      <c r="CI91" s="106">
        <v>25264.799999999996</v>
      </c>
      <c r="CJ91" s="106">
        <v>10</v>
      </c>
      <c r="CK91" s="106">
        <v>22967.999999999996</v>
      </c>
      <c r="CL91" s="106">
        <v>10</v>
      </c>
      <c r="CM91" s="106">
        <v>22967.999999999996</v>
      </c>
      <c r="CN91" s="106">
        <v>6</v>
      </c>
      <c r="CO91" s="106">
        <v>13780.8</v>
      </c>
      <c r="CP91" s="106">
        <v>6</v>
      </c>
      <c r="CQ91" s="106">
        <v>13780.8</v>
      </c>
      <c r="CR91" s="106">
        <v>7</v>
      </c>
      <c r="CS91" s="106">
        <v>16077.599999999999</v>
      </c>
      <c r="CT91" s="106">
        <v>6</v>
      </c>
      <c r="CU91" s="106">
        <v>13780.8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5</v>
      </c>
      <c r="G92" s="106">
        <v>7104</v>
      </c>
      <c r="H92" s="106">
        <v>5.4916790235526447</v>
      </c>
      <c r="I92" s="106">
        <v>7802.5775566635975</v>
      </c>
      <c r="J92" s="106">
        <v>4</v>
      </c>
      <c r="K92" s="106">
        <v>5683.2</v>
      </c>
      <c r="L92" s="106">
        <v>19</v>
      </c>
      <c r="M92" s="106">
        <v>26995.200000000001</v>
      </c>
      <c r="N92" s="106">
        <v>12</v>
      </c>
      <c r="O92" s="106">
        <v>17049.599999999999</v>
      </c>
      <c r="P92" s="106">
        <v>13</v>
      </c>
      <c r="Q92" s="106">
        <v>18470.399999999998</v>
      </c>
      <c r="R92" s="106">
        <v>14</v>
      </c>
      <c r="S92" s="106">
        <v>19891.2</v>
      </c>
      <c r="T92" s="106">
        <v>34</v>
      </c>
      <c r="U92" s="106">
        <v>48307.199999999997</v>
      </c>
      <c r="V92" s="106">
        <v>26</v>
      </c>
      <c r="W92" s="106">
        <v>36940.799999999996</v>
      </c>
      <c r="X92" s="106">
        <v>31</v>
      </c>
      <c r="Y92" s="106">
        <v>44044.799999999996</v>
      </c>
      <c r="Z92" s="106">
        <v>36</v>
      </c>
      <c r="AA92" s="106">
        <v>51148.799999999996</v>
      </c>
      <c r="AB92" s="106">
        <v>12</v>
      </c>
      <c r="AC92" s="106">
        <v>17049.599999999999</v>
      </c>
      <c r="AD92" s="106">
        <v>11</v>
      </c>
      <c r="AE92" s="106">
        <v>15628.8</v>
      </c>
      <c r="AF92" s="106">
        <v>12</v>
      </c>
      <c r="AG92" s="106">
        <v>17049.599999999999</v>
      </c>
      <c r="AH92" s="106">
        <v>10</v>
      </c>
      <c r="AI92" s="106">
        <v>14208</v>
      </c>
      <c r="AJ92" s="106">
        <v>15</v>
      </c>
      <c r="AK92" s="106">
        <v>21312</v>
      </c>
      <c r="AL92" s="106">
        <v>13</v>
      </c>
      <c r="AM92" s="106">
        <v>18470.399999999998</v>
      </c>
      <c r="AN92" s="106">
        <v>9</v>
      </c>
      <c r="AO92" s="106">
        <v>12787.199999999999</v>
      </c>
      <c r="AP92" s="106">
        <v>15.82289426441594</v>
      </c>
      <c r="AQ92" s="106">
        <v>22481.168170882167</v>
      </c>
      <c r="AR92" s="106">
        <v>4.3178245954056944</v>
      </c>
      <c r="AS92" s="106">
        <v>6134.7651851524106</v>
      </c>
      <c r="AT92" s="106">
        <v>7.3508923807291211</v>
      </c>
      <c r="AU92" s="106">
        <v>10444.147894539936</v>
      </c>
      <c r="AV92" s="106">
        <v>6.2314033287376143</v>
      </c>
      <c r="AW92" s="106">
        <v>8853.5778494704027</v>
      </c>
      <c r="AX92" s="106">
        <v>5.3000160584917211</v>
      </c>
      <c r="AY92" s="106">
        <v>7530.2628159050373</v>
      </c>
      <c r="AZ92" s="106">
        <v>10</v>
      </c>
      <c r="BA92" s="106">
        <v>14208</v>
      </c>
      <c r="BB92" s="106">
        <v>11</v>
      </c>
      <c r="BC92" s="106">
        <v>15628.8</v>
      </c>
      <c r="BD92" s="106">
        <v>6</v>
      </c>
      <c r="BE92" s="106">
        <v>8524.7999999999993</v>
      </c>
      <c r="BF92" s="106">
        <v>8</v>
      </c>
      <c r="BG92" s="106">
        <v>11366.4</v>
      </c>
      <c r="BH92" s="106">
        <v>14.549217445121013</v>
      </c>
      <c r="BI92" s="106">
        <v>20671.528146027933</v>
      </c>
      <c r="BJ92" s="106">
        <v>12.688761945066908</v>
      </c>
      <c r="BK92" s="106">
        <v>18028.192971551063</v>
      </c>
      <c r="BL92" s="106">
        <v>16</v>
      </c>
      <c r="BM92" s="106">
        <v>22732.799999999999</v>
      </c>
      <c r="BN92" s="106">
        <v>16.599792482176447</v>
      </c>
      <c r="BO92" s="106">
        <v>23584.985158676296</v>
      </c>
      <c r="BP92" s="106">
        <v>40.860583618684721</v>
      </c>
      <c r="BQ92" s="106">
        <v>58054.717205427252</v>
      </c>
      <c r="BR92" s="106">
        <v>40.852028510435964</v>
      </c>
      <c r="BS92" s="106">
        <v>58042.562107627418</v>
      </c>
      <c r="BT92" s="106">
        <v>25</v>
      </c>
      <c r="BU92" s="106">
        <v>35520</v>
      </c>
      <c r="BV92" s="106">
        <v>46.633567497147517</v>
      </c>
      <c r="BW92" s="106">
        <v>66256.97269994719</v>
      </c>
      <c r="BX92" s="106">
        <v>25.432358827879263</v>
      </c>
      <c r="BY92" s="106">
        <v>36134.295422650852</v>
      </c>
      <c r="BZ92" s="106">
        <v>20.535188821331918</v>
      </c>
      <c r="CA92" s="106">
        <v>29176.396277348387</v>
      </c>
      <c r="CB92" s="106">
        <v>27.478633094018779</v>
      </c>
      <c r="CC92" s="106">
        <v>39041.641899981878</v>
      </c>
      <c r="CD92" s="106">
        <v>23.706996369841619</v>
      </c>
      <c r="CE92" s="106">
        <v>33682.90044227097</v>
      </c>
      <c r="CF92" s="106">
        <v>9</v>
      </c>
      <c r="CG92" s="106">
        <v>12787.199999999999</v>
      </c>
      <c r="CH92" s="106">
        <v>12</v>
      </c>
      <c r="CI92" s="106">
        <v>17049.599999999999</v>
      </c>
      <c r="CJ92" s="106">
        <v>10</v>
      </c>
      <c r="CK92" s="106">
        <v>14208</v>
      </c>
      <c r="CL92" s="106">
        <v>13</v>
      </c>
      <c r="CM92" s="106">
        <v>18470.399999999998</v>
      </c>
      <c r="CN92" s="106">
        <v>5</v>
      </c>
      <c r="CO92" s="106">
        <v>7104</v>
      </c>
      <c r="CP92" s="106">
        <v>7</v>
      </c>
      <c r="CQ92" s="106">
        <v>9945.6</v>
      </c>
      <c r="CR92" s="106">
        <v>7</v>
      </c>
      <c r="CS92" s="106">
        <v>9945.6</v>
      </c>
      <c r="CT92" s="106">
        <v>6</v>
      </c>
      <c r="CU92" s="106">
        <v>8524.7999999999993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5</v>
      </c>
      <c r="G93" s="106">
        <v>8862</v>
      </c>
      <c r="H93" s="106">
        <v>5.4160360968522374</v>
      </c>
      <c r="I93" s="106">
        <v>9599.3823780609055</v>
      </c>
      <c r="J93" s="106">
        <v>5.4901794231333882</v>
      </c>
      <c r="K93" s="106">
        <v>9730.7940095616159</v>
      </c>
      <c r="L93" s="106">
        <v>19</v>
      </c>
      <c r="M93" s="106">
        <v>33675.599999999999</v>
      </c>
      <c r="N93" s="106">
        <v>12</v>
      </c>
      <c r="O93" s="106">
        <v>21268.799999999999</v>
      </c>
      <c r="P93" s="106">
        <v>13</v>
      </c>
      <c r="Q93" s="106">
        <v>23041.199999999997</v>
      </c>
      <c r="R93" s="106">
        <v>16</v>
      </c>
      <c r="S93" s="106">
        <v>28358.399999999998</v>
      </c>
      <c r="T93" s="106">
        <v>32</v>
      </c>
      <c r="U93" s="106">
        <v>56716.799999999996</v>
      </c>
      <c r="V93" s="106">
        <v>26</v>
      </c>
      <c r="W93" s="106">
        <v>46082.399999999994</v>
      </c>
      <c r="X93" s="106">
        <v>25</v>
      </c>
      <c r="Y93" s="106">
        <v>44310</v>
      </c>
      <c r="Z93" s="106">
        <v>33</v>
      </c>
      <c r="AA93" s="106">
        <v>58489.2</v>
      </c>
      <c r="AB93" s="106">
        <v>12</v>
      </c>
      <c r="AC93" s="106">
        <v>21268.799999999999</v>
      </c>
      <c r="AD93" s="106">
        <v>11.32231663968353</v>
      </c>
      <c r="AE93" s="106">
        <v>20067.674012175088</v>
      </c>
      <c r="AF93" s="106">
        <v>11</v>
      </c>
      <c r="AG93" s="106">
        <v>19496.399999999998</v>
      </c>
      <c r="AH93" s="106">
        <v>10</v>
      </c>
      <c r="AI93" s="106">
        <v>17724</v>
      </c>
      <c r="AJ93" s="106">
        <v>14</v>
      </c>
      <c r="AK93" s="106">
        <v>24813.599999999999</v>
      </c>
      <c r="AL93" s="106">
        <v>12</v>
      </c>
      <c r="AM93" s="106">
        <v>21268.799999999999</v>
      </c>
      <c r="AN93" s="106">
        <v>9</v>
      </c>
      <c r="AO93" s="106">
        <v>15951.599999999999</v>
      </c>
      <c r="AP93" s="106">
        <v>14</v>
      </c>
      <c r="AQ93" s="106">
        <v>24813.599999999999</v>
      </c>
      <c r="AR93" s="106">
        <v>4.3178245954056944</v>
      </c>
      <c r="AS93" s="106">
        <v>7652.9123128970523</v>
      </c>
      <c r="AT93" s="106">
        <v>7.3274995553471793</v>
      </c>
      <c r="AU93" s="106">
        <v>12987.260211897339</v>
      </c>
      <c r="AV93" s="106">
        <v>6.2314033287376143</v>
      </c>
      <c r="AW93" s="106">
        <v>11044.539259854546</v>
      </c>
      <c r="AX93" s="106">
        <v>5.3000160584917211</v>
      </c>
      <c r="AY93" s="106">
        <v>9393.7484620707255</v>
      </c>
      <c r="AZ93" s="106">
        <v>10</v>
      </c>
      <c r="BA93" s="106">
        <v>17724</v>
      </c>
      <c r="BB93" s="106">
        <v>11</v>
      </c>
      <c r="BC93" s="106">
        <v>19496.399999999998</v>
      </c>
      <c r="BD93" s="106">
        <v>6</v>
      </c>
      <c r="BE93" s="106">
        <v>10634.4</v>
      </c>
      <c r="BF93" s="106">
        <v>9</v>
      </c>
      <c r="BG93" s="106">
        <v>15951.599999999999</v>
      </c>
      <c r="BH93" s="106">
        <v>15.51489135480095</v>
      </c>
      <c r="BI93" s="106">
        <v>27498.593437249201</v>
      </c>
      <c r="BJ93" s="106">
        <v>13.612232840059475</v>
      </c>
      <c r="BK93" s="106">
        <v>24126.321485721412</v>
      </c>
      <c r="BL93" s="106">
        <v>13.948403320559358</v>
      </c>
      <c r="BM93" s="106">
        <v>24722.150045359405</v>
      </c>
      <c r="BN93" s="106">
        <v>17.666436091307165</v>
      </c>
      <c r="BO93" s="106">
        <v>31311.991328232816</v>
      </c>
      <c r="BP93" s="106">
        <v>42.6883073576954</v>
      </c>
      <c r="BQ93" s="106">
        <v>75660.755960779323</v>
      </c>
      <c r="BR93" s="106">
        <v>41.697692801232968</v>
      </c>
      <c r="BS93" s="106">
        <v>73904.990720905305</v>
      </c>
      <c r="BT93" s="106">
        <v>25</v>
      </c>
      <c r="BU93" s="106">
        <v>44310</v>
      </c>
      <c r="BV93" s="106">
        <v>40.59057887880153</v>
      </c>
      <c r="BW93" s="106">
        <v>71942.742004787826</v>
      </c>
      <c r="BX93" s="106">
        <v>25.465617199254591</v>
      </c>
      <c r="BY93" s="106">
        <v>45135.259923958831</v>
      </c>
      <c r="BZ93" s="106">
        <v>21.434840917332185</v>
      </c>
      <c r="CA93" s="106">
        <v>37991.112041879562</v>
      </c>
      <c r="CB93" s="106">
        <v>26.51851918518701</v>
      </c>
      <c r="CC93" s="106">
        <v>47001.423403825451</v>
      </c>
      <c r="CD93" s="106">
        <v>20.771268767099947</v>
      </c>
      <c r="CE93" s="106">
        <v>36814.996762807947</v>
      </c>
      <c r="CF93" s="106">
        <v>9</v>
      </c>
      <c r="CG93" s="106">
        <v>15951.599999999999</v>
      </c>
      <c r="CH93" s="106">
        <v>12</v>
      </c>
      <c r="CI93" s="106">
        <v>21268.799999999999</v>
      </c>
      <c r="CJ93" s="106">
        <v>11</v>
      </c>
      <c r="CK93" s="106">
        <v>19496.399999999998</v>
      </c>
      <c r="CL93" s="106">
        <v>11</v>
      </c>
      <c r="CM93" s="106">
        <v>19496.399999999998</v>
      </c>
      <c r="CN93" s="106">
        <v>6</v>
      </c>
      <c r="CO93" s="106">
        <v>10634.4</v>
      </c>
      <c r="CP93" s="106">
        <v>8</v>
      </c>
      <c r="CQ93" s="106">
        <v>14179.199999999999</v>
      </c>
      <c r="CR93" s="106">
        <v>7</v>
      </c>
      <c r="CS93" s="106">
        <v>12406.8</v>
      </c>
      <c r="CT93" s="106">
        <v>5</v>
      </c>
      <c r="CU93" s="106">
        <v>8862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5</v>
      </c>
      <c r="G94" s="106">
        <v>11976</v>
      </c>
      <c r="H94" s="106">
        <v>5.4160360968522374</v>
      </c>
      <c r="I94" s="106">
        <v>12972.489659180477</v>
      </c>
      <c r="J94" s="106">
        <v>4.4901794231333882</v>
      </c>
      <c r="K94" s="106">
        <v>10754.877754289091</v>
      </c>
      <c r="L94" s="106">
        <v>16</v>
      </c>
      <c r="M94" s="106">
        <v>38323.199999999997</v>
      </c>
      <c r="N94" s="106">
        <v>10</v>
      </c>
      <c r="O94" s="106">
        <v>23952</v>
      </c>
      <c r="P94" s="106">
        <v>12</v>
      </c>
      <c r="Q94" s="106">
        <v>28742.399999999998</v>
      </c>
      <c r="R94" s="106">
        <v>12</v>
      </c>
      <c r="S94" s="106">
        <v>28742.399999999998</v>
      </c>
      <c r="T94" s="106">
        <v>33</v>
      </c>
      <c r="U94" s="106">
        <v>79041.599999999991</v>
      </c>
      <c r="V94" s="106">
        <v>22</v>
      </c>
      <c r="W94" s="106">
        <v>52694.399999999994</v>
      </c>
      <c r="X94" s="106">
        <v>24</v>
      </c>
      <c r="Y94" s="106">
        <v>57484.799999999996</v>
      </c>
      <c r="Z94" s="106">
        <v>30</v>
      </c>
      <c r="AA94" s="106">
        <v>71856</v>
      </c>
      <c r="AB94" s="106">
        <v>11</v>
      </c>
      <c r="AC94" s="106">
        <v>26347.199999999997</v>
      </c>
      <c r="AD94" s="106">
        <v>10.224367258966232</v>
      </c>
      <c r="AE94" s="106">
        <v>24489.404458675919</v>
      </c>
      <c r="AF94" s="106">
        <v>11</v>
      </c>
      <c r="AG94" s="106">
        <v>26347.199999999997</v>
      </c>
      <c r="AH94" s="106">
        <v>10</v>
      </c>
      <c r="AI94" s="106">
        <v>23952</v>
      </c>
      <c r="AJ94" s="106">
        <v>15</v>
      </c>
      <c r="AK94" s="106">
        <v>35928</v>
      </c>
      <c r="AL94" s="106">
        <v>11</v>
      </c>
      <c r="AM94" s="106">
        <v>26347.199999999997</v>
      </c>
      <c r="AN94" s="106">
        <v>9</v>
      </c>
      <c r="AO94" s="106">
        <v>21556.799999999999</v>
      </c>
      <c r="AP94" s="106">
        <v>13.599682721834395</v>
      </c>
      <c r="AQ94" s="106">
        <v>32573.960055337739</v>
      </c>
      <c r="AR94" s="106">
        <v>4.2979605581928384</v>
      </c>
      <c r="AS94" s="106">
        <v>10294.475128983486</v>
      </c>
      <c r="AT94" s="106">
        <v>7.3274995553471793</v>
      </c>
      <c r="AU94" s="106">
        <v>17550.826934967561</v>
      </c>
      <c r="AV94" s="106">
        <v>5.2314033287376143</v>
      </c>
      <c r="AW94" s="106">
        <v>12530.257252992333</v>
      </c>
      <c r="AX94" s="106">
        <v>5.3000160584917211</v>
      </c>
      <c r="AY94" s="106">
        <v>12694.59846329937</v>
      </c>
      <c r="AZ94" s="106">
        <v>9</v>
      </c>
      <c r="BA94" s="106">
        <v>21556.799999999999</v>
      </c>
      <c r="BB94" s="106">
        <v>10</v>
      </c>
      <c r="BC94" s="106">
        <v>23952</v>
      </c>
      <c r="BD94" s="106">
        <v>7</v>
      </c>
      <c r="BE94" s="106">
        <v>16766.399999999998</v>
      </c>
      <c r="BF94" s="106">
        <v>8</v>
      </c>
      <c r="BG94" s="106">
        <v>19161.599999999999</v>
      </c>
      <c r="BH94" s="106">
        <v>12.51489135480095</v>
      </c>
      <c r="BI94" s="106">
        <v>29975.667773019231</v>
      </c>
      <c r="BJ94" s="106">
        <v>11.573968287555758</v>
      </c>
      <c r="BK94" s="106">
        <v>27721.968842353548</v>
      </c>
      <c r="BL94" s="106">
        <v>14</v>
      </c>
      <c r="BM94" s="106">
        <v>33532.799999999996</v>
      </c>
      <c r="BN94" s="106">
        <v>16.599792482176447</v>
      </c>
      <c r="BO94" s="106">
        <v>39759.82295330902</v>
      </c>
      <c r="BP94" s="106">
        <v>35.550486348903938</v>
      </c>
      <c r="BQ94" s="106">
        <v>85150.5249028947</v>
      </c>
      <c r="BR94" s="106">
        <v>36.581941019330721</v>
      </c>
      <c r="BS94" s="106">
        <v>87621.06512950093</v>
      </c>
      <c r="BT94" s="106">
        <v>25</v>
      </c>
      <c r="BU94" s="106">
        <v>59879.999999999993</v>
      </c>
      <c r="BV94" s="106">
        <v>34.418624405417582</v>
      </c>
      <c r="BW94" s="106">
        <v>82439.489175856186</v>
      </c>
      <c r="BX94" s="106">
        <v>21.399100456503934</v>
      </c>
      <c r="BY94" s="106">
        <v>51255.125413418216</v>
      </c>
      <c r="BZ94" s="106">
        <v>20.501739519998672</v>
      </c>
      <c r="CA94" s="106">
        <v>49105.766498300814</v>
      </c>
      <c r="CB94" s="106">
        <v>24.51851918518701</v>
      </c>
      <c r="CC94" s="106">
        <v>58726.757152359925</v>
      </c>
      <c r="CD94" s="106">
        <v>19.674860171212455</v>
      </c>
      <c r="CE94" s="106">
        <v>47125.225082088065</v>
      </c>
      <c r="CF94" s="106">
        <v>9</v>
      </c>
      <c r="CG94" s="106">
        <v>21556.799999999999</v>
      </c>
      <c r="CH94" s="106">
        <v>11</v>
      </c>
      <c r="CI94" s="106">
        <v>26347.199999999997</v>
      </c>
      <c r="CJ94" s="106">
        <v>9</v>
      </c>
      <c r="CK94" s="106">
        <v>21556.799999999999</v>
      </c>
      <c r="CL94" s="106">
        <v>10</v>
      </c>
      <c r="CM94" s="106">
        <v>23952</v>
      </c>
      <c r="CN94" s="106">
        <v>5</v>
      </c>
      <c r="CO94" s="106">
        <v>11976</v>
      </c>
      <c r="CP94" s="106">
        <v>7.250778386437978</v>
      </c>
      <c r="CQ94" s="106">
        <v>17367.064391196243</v>
      </c>
      <c r="CR94" s="106">
        <v>7</v>
      </c>
      <c r="CS94" s="106">
        <v>16766.399999999998</v>
      </c>
      <c r="CT94" s="106">
        <v>6</v>
      </c>
      <c r="CU94" s="106">
        <v>14371.199999999999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7</v>
      </c>
      <c r="G95" s="106">
        <v>12129.6</v>
      </c>
      <c r="H95" s="106">
        <v>7.9288946308603743</v>
      </c>
      <c r="I95" s="106">
        <v>13739.188616354857</v>
      </c>
      <c r="J95" s="106">
        <v>11.395126050456568</v>
      </c>
      <c r="K95" s="106">
        <v>19745.474420231141</v>
      </c>
      <c r="L95" s="106">
        <v>14.285376899656011</v>
      </c>
      <c r="M95" s="106">
        <v>24753.701091723935</v>
      </c>
      <c r="N95" s="106">
        <v>15.063964278278709</v>
      </c>
      <c r="O95" s="106">
        <v>26102.837301401345</v>
      </c>
      <c r="P95" s="106">
        <v>13.322978465390925</v>
      </c>
      <c r="Q95" s="106">
        <v>23086.057084829394</v>
      </c>
      <c r="R95" s="106">
        <v>10.952524781406057</v>
      </c>
      <c r="S95" s="106">
        <v>18978.534941220416</v>
      </c>
      <c r="T95" s="106">
        <v>13.985153092371609</v>
      </c>
      <c r="U95" s="106">
        <v>24233.473278461523</v>
      </c>
      <c r="V95" s="106">
        <v>11.452718554258535</v>
      </c>
      <c r="W95" s="106">
        <v>19845.27071081919</v>
      </c>
      <c r="X95" s="106">
        <v>18.329013134767276</v>
      </c>
      <c r="Y95" s="106">
        <v>31760.513959924734</v>
      </c>
      <c r="Z95" s="106">
        <v>9</v>
      </c>
      <c r="AA95" s="106">
        <v>15595.199999999999</v>
      </c>
      <c r="AB95" s="106">
        <v>50.397548224519262</v>
      </c>
      <c r="AC95" s="106">
        <v>87328.87156344697</v>
      </c>
      <c r="AD95" s="106">
        <v>33.489746903586493</v>
      </c>
      <c r="AE95" s="106">
        <v>58031.033434534671</v>
      </c>
      <c r="AF95" s="106">
        <v>33</v>
      </c>
      <c r="AG95" s="106">
        <v>57182.400000000001</v>
      </c>
      <c r="AH95" s="106">
        <v>31</v>
      </c>
      <c r="AI95" s="106">
        <v>53716.799999999996</v>
      </c>
      <c r="AJ95" s="106">
        <v>9</v>
      </c>
      <c r="AK95" s="106">
        <v>15595.199999999999</v>
      </c>
      <c r="AL95" s="106">
        <v>9.7961568838781083</v>
      </c>
      <c r="AM95" s="106">
        <v>16974.780648383985</v>
      </c>
      <c r="AN95" s="106">
        <v>6</v>
      </c>
      <c r="AO95" s="106">
        <v>10396.799999999999</v>
      </c>
      <c r="AP95" s="106">
        <v>9</v>
      </c>
      <c r="AQ95" s="106">
        <v>15595.199999999999</v>
      </c>
      <c r="AR95" s="106">
        <v>52</v>
      </c>
      <c r="AS95" s="106">
        <v>90105.599999999991</v>
      </c>
      <c r="AT95" s="106">
        <v>33.631606285312415</v>
      </c>
      <c r="AU95" s="106">
        <v>58276.847371189353</v>
      </c>
      <c r="AV95" s="106">
        <v>50</v>
      </c>
      <c r="AW95" s="106">
        <v>86640</v>
      </c>
      <c r="AX95" s="106">
        <v>37</v>
      </c>
      <c r="AY95" s="106">
        <v>64113.599999999999</v>
      </c>
      <c r="AZ95" s="106">
        <v>22</v>
      </c>
      <c r="BA95" s="106">
        <v>38121.599999999999</v>
      </c>
      <c r="BB95" s="106">
        <v>28</v>
      </c>
      <c r="BC95" s="106">
        <v>48518.400000000001</v>
      </c>
      <c r="BD95" s="106">
        <v>20</v>
      </c>
      <c r="BE95" s="106">
        <v>34656</v>
      </c>
      <c r="BF95" s="106">
        <v>29.555202336108966</v>
      </c>
      <c r="BG95" s="106">
        <v>51213.254608009614</v>
      </c>
      <c r="BH95" s="106">
        <v>31.995456619281835</v>
      </c>
      <c r="BI95" s="106">
        <v>55441.727229891563</v>
      </c>
      <c r="BJ95" s="106">
        <v>39.765291050074346</v>
      </c>
      <c r="BK95" s="106">
        <v>68905.296331568825</v>
      </c>
      <c r="BL95" s="106">
        <v>40</v>
      </c>
      <c r="BM95" s="106">
        <v>69312</v>
      </c>
      <c r="BN95" s="106">
        <v>30.533148873045732</v>
      </c>
      <c r="BO95" s="106">
        <v>52907.840367213641</v>
      </c>
      <c r="BP95" s="106">
        <v>23</v>
      </c>
      <c r="BQ95" s="106">
        <v>39854.400000000001</v>
      </c>
      <c r="BR95" s="106">
        <v>25</v>
      </c>
      <c r="BS95" s="106">
        <v>43320</v>
      </c>
      <c r="BT95" s="106">
        <v>33</v>
      </c>
      <c r="BU95" s="106">
        <v>57182.400000000001</v>
      </c>
      <c r="BV95" s="106">
        <v>20</v>
      </c>
      <c r="BW95" s="106">
        <v>34656</v>
      </c>
      <c r="BX95" s="106">
        <v>29</v>
      </c>
      <c r="BY95" s="106">
        <v>50251.199999999997</v>
      </c>
      <c r="BZ95" s="106">
        <v>32</v>
      </c>
      <c r="CA95" s="106">
        <v>55449.599999999999</v>
      </c>
      <c r="CB95" s="106">
        <v>26</v>
      </c>
      <c r="CC95" s="106">
        <v>45052.799999999996</v>
      </c>
      <c r="CD95" s="106">
        <v>34</v>
      </c>
      <c r="CE95" s="106">
        <v>58915.199999999997</v>
      </c>
      <c r="CF95" s="106">
        <v>29</v>
      </c>
      <c r="CG95" s="106">
        <v>50251.199999999997</v>
      </c>
      <c r="CH95" s="106">
        <v>22</v>
      </c>
      <c r="CI95" s="106">
        <v>38121.599999999999</v>
      </c>
      <c r="CJ95" s="106">
        <v>23</v>
      </c>
      <c r="CK95" s="106">
        <v>39854.400000000001</v>
      </c>
      <c r="CL95" s="106">
        <v>19</v>
      </c>
      <c r="CM95" s="106">
        <v>32923.199999999997</v>
      </c>
      <c r="CN95" s="106">
        <v>67</v>
      </c>
      <c r="CO95" s="106">
        <v>116097.59999999999</v>
      </c>
      <c r="CP95" s="106">
        <v>95</v>
      </c>
      <c r="CQ95" s="106">
        <v>164616</v>
      </c>
      <c r="CR95" s="106">
        <v>98</v>
      </c>
      <c r="CS95" s="106">
        <v>169814.39999999999</v>
      </c>
      <c r="CT95" s="106">
        <v>66</v>
      </c>
      <c r="CU95" s="106">
        <v>114364.8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9</v>
      </c>
      <c r="G96" s="106">
        <v>7408.7999999999993</v>
      </c>
      <c r="H96" s="106">
        <v>7.8532517041599679</v>
      </c>
      <c r="I96" s="106">
        <v>6464.7968028644846</v>
      </c>
      <c r="J96" s="106">
        <v>12.809893254646358</v>
      </c>
      <c r="K96" s="106">
        <v>10545.10412722488</v>
      </c>
      <c r="L96" s="106">
        <v>14.534159525395884</v>
      </c>
      <c r="M96" s="106">
        <v>11964.52012130589</v>
      </c>
      <c r="N96" s="106">
        <v>18.309494496343028</v>
      </c>
      <c r="O96" s="106">
        <v>15072.37586938958</v>
      </c>
      <c r="P96" s="106">
        <v>14.580224278105828</v>
      </c>
      <c r="Q96" s="106">
        <v>12002.440625736715</v>
      </c>
      <c r="R96" s="106">
        <v>12.164196955051848</v>
      </c>
      <c r="S96" s="106">
        <v>10013.566933398681</v>
      </c>
      <c r="T96" s="106">
        <v>15.372500037224606</v>
      </c>
      <c r="U96" s="106">
        <v>12654.642030643296</v>
      </c>
      <c r="V96" s="106">
        <v>13.875327588224655</v>
      </c>
      <c r="W96" s="106">
        <v>11422.169670626536</v>
      </c>
      <c r="X96" s="106">
        <v>19.600240305127944</v>
      </c>
      <c r="Y96" s="106">
        <v>16134.917819181323</v>
      </c>
      <c r="Z96" s="106">
        <v>10</v>
      </c>
      <c r="AA96" s="106">
        <v>8232</v>
      </c>
      <c r="AB96" s="106">
        <v>59.447241752584169</v>
      </c>
      <c r="AC96" s="106">
        <v>48936.969410727281</v>
      </c>
      <c r="AD96" s="106">
        <v>36.538721593945141</v>
      </c>
      <c r="AE96" s="106">
        <v>30078.675616135639</v>
      </c>
      <c r="AF96" s="106">
        <v>41.648300410724225</v>
      </c>
      <c r="AG96" s="106">
        <v>34284.880898108182</v>
      </c>
      <c r="AH96" s="106">
        <v>35.649230824301164</v>
      </c>
      <c r="AI96" s="106">
        <v>29346.446814564715</v>
      </c>
      <c r="AJ96" s="106">
        <v>11.149796483642618</v>
      </c>
      <c r="AK96" s="106">
        <v>9178.5124653346029</v>
      </c>
      <c r="AL96" s="106">
        <v>9.8685347824124818</v>
      </c>
      <c r="AM96" s="106">
        <v>8123.7778328819541</v>
      </c>
      <c r="AN96" s="106">
        <v>6</v>
      </c>
      <c r="AO96" s="106">
        <v>4939.2</v>
      </c>
      <c r="AP96" s="106">
        <v>8</v>
      </c>
      <c r="AQ96" s="106">
        <v>6585.5999999999995</v>
      </c>
      <c r="AR96" s="106">
        <v>51</v>
      </c>
      <c r="AS96" s="106">
        <v>41983.199999999997</v>
      </c>
      <c r="AT96" s="106">
        <v>38</v>
      </c>
      <c r="AU96" s="106">
        <v>31281.599999999999</v>
      </c>
      <c r="AV96" s="106">
        <v>56</v>
      </c>
      <c r="AW96" s="106">
        <v>46099.199999999997</v>
      </c>
      <c r="AX96" s="106">
        <v>39</v>
      </c>
      <c r="AY96" s="106">
        <v>32104.799999999996</v>
      </c>
      <c r="AZ96" s="106">
        <v>24.646862236386283</v>
      </c>
      <c r="BA96" s="106">
        <v>20289.296992993186</v>
      </c>
      <c r="BB96" s="106">
        <v>28</v>
      </c>
      <c r="BC96" s="106">
        <v>23049.599999999999</v>
      </c>
      <c r="BD96" s="106">
        <v>20.646071046566334</v>
      </c>
      <c r="BE96" s="106">
        <v>16995.845685533404</v>
      </c>
      <c r="BF96" s="106">
        <v>37.508935474766552</v>
      </c>
      <c r="BG96" s="106">
        <v>30877.355682827823</v>
      </c>
      <c r="BH96" s="106">
        <v>36.098434890242025</v>
      </c>
      <c r="BI96" s="106">
        <v>29716.231601647232</v>
      </c>
      <c r="BJ96" s="106">
        <v>44.880084707585496</v>
      </c>
      <c r="BK96" s="106">
        <v>36945.285731284377</v>
      </c>
      <c r="BL96" s="106">
        <v>44.057834472931589</v>
      </c>
      <c r="BM96" s="106">
        <v>36268.409338117279</v>
      </c>
      <c r="BN96" s="106">
        <v>29.666436091307165</v>
      </c>
      <c r="BO96" s="106">
        <v>24421.410190364055</v>
      </c>
      <c r="BP96" s="106">
        <v>25</v>
      </c>
      <c r="BQ96" s="106">
        <v>20580</v>
      </c>
      <c r="BR96" s="106">
        <v>29</v>
      </c>
      <c r="BS96" s="106">
        <v>23872.799999999999</v>
      </c>
      <c r="BT96" s="106">
        <v>37</v>
      </c>
      <c r="BU96" s="106">
        <v>30458.399999999998</v>
      </c>
      <c r="BV96" s="106">
        <v>21</v>
      </c>
      <c r="BW96" s="106">
        <v>17287.199999999997</v>
      </c>
      <c r="BX96" s="106">
        <v>34</v>
      </c>
      <c r="BY96" s="106">
        <v>27988.799999999999</v>
      </c>
      <c r="BZ96" s="106">
        <v>35</v>
      </c>
      <c r="CA96" s="106">
        <v>28811.999999999996</v>
      </c>
      <c r="CB96" s="106">
        <v>25</v>
      </c>
      <c r="CC96" s="106">
        <v>20580</v>
      </c>
      <c r="CD96" s="106">
        <v>35</v>
      </c>
      <c r="CE96" s="106">
        <v>28811.999999999996</v>
      </c>
      <c r="CF96" s="106">
        <v>33.644529548485991</v>
      </c>
      <c r="CG96" s="106">
        <v>27696.176724313667</v>
      </c>
      <c r="CH96" s="106">
        <v>21</v>
      </c>
      <c r="CI96" s="106">
        <v>17287.199999999997</v>
      </c>
      <c r="CJ96" s="106">
        <v>27</v>
      </c>
      <c r="CK96" s="106">
        <v>22226.399999999998</v>
      </c>
      <c r="CL96" s="106">
        <v>22</v>
      </c>
      <c r="CM96" s="106">
        <v>18110.399999999998</v>
      </c>
      <c r="CN96" s="106">
        <v>82</v>
      </c>
      <c r="CO96" s="106">
        <v>67502.399999999994</v>
      </c>
      <c r="CP96" s="106">
        <v>129</v>
      </c>
      <c r="CQ96" s="106">
        <v>106192.79999999999</v>
      </c>
      <c r="CR96" s="106">
        <v>120</v>
      </c>
      <c r="CS96" s="106">
        <v>98783.999999999985</v>
      </c>
      <c r="CT96" s="106">
        <v>92</v>
      </c>
      <c r="CU96" s="106">
        <v>75734.399999999994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7</v>
      </c>
      <c r="G97" s="106">
        <v>12801.6</v>
      </c>
      <c r="H97" s="106">
        <v>5</v>
      </c>
      <c r="I97" s="106">
        <v>9144</v>
      </c>
      <c r="J97" s="106">
        <v>10.357419940984768</v>
      </c>
      <c r="K97" s="106">
        <v>18941.649588072942</v>
      </c>
      <c r="L97" s="106">
        <v>13.368304441569302</v>
      </c>
      <c r="M97" s="106">
        <v>24447.955162741939</v>
      </c>
      <c r="N97" s="106">
        <v>16.104885981289428</v>
      </c>
      <c r="O97" s="106">
        <v>29452.615482582103</v>
      </c>
      <c r="P97" s="106">
        <v>12.396477269023755</v>
      </c>
      <c r="Q97" s="106">
        <v>22670.677629590642</v>
      </c>
      <c r="R97" s="106">
        <v>9.9525247814060567</v>
      </c>
      <c r="S97" s="106">
        <v>18201.177320235394</v>
      </c>
      <c r="T97" s="106">
        <v>11.743061251838487</v>
      </c>
      <c r="U97" s="106">
        <v>21475.710417362225</v>
      </c>
      <c r="V97" s="106">
        <v>10</v>
      </c>
      <c r="W97" s="106">
        <v>18288</v>
      </c>
      <c r="X97" s="106">
        <v>16.46462671994761</v>
      </c>
      <c r="Y97" s="106">
        <v>30110.509345440187</v>
      </c>
      <c r="Z97" s="106">
        <v>9</v>
      </c>
      <c r="AA97" s="106">
        <v>16459.2</v>
      </c>
      <c r="AB97" s="106">
        <v>51.347854696454355</v>
      </c>
      <c r="AC97" s="106">
        <v>93904.956668875719</v>
      </c>
      <c r="AD97" s="106">
        <v>36.538721593945141</v>
      </c>
      <c r="AE97" s="106">
        <v>66822.014051006874</v>
      </c>
      <c r="AF97" s="106">
        <v>30</v>
      </c>
      <c r="AG97" s="106">
        <v>54864</v>
      </c>
      <c r="AH97" s="106">
        <v>34</v>
      </c>
      <c r="AI97" s="106">
        <v>62179.199999999997</v>
      </c>
      <c r="AJ97" s="106">
        <v>9.0060719231872906</v>
      </c>
      <c r="AK97" s="106">
        <v>16470.304333124917</v>
      </c>
      <c r="AL97" s="106">
        <v>8.7599679346109234</v>
      </c>
      <c r="AM97" s="106">
        <v>16020.229358816456</v>
      </c>
      <c r="AN97" s="106">
        <v>6</v>
      </c>
      <c r="AO97" s="106">
        <v>10972.8</v>
      </c>
      <c r="AP97" s="106">
        <v>7</v>
      </c>
      <c r="AQ97" s="106">
        <v>12801.6</v>
      </c>
      <c r="AR97" s="106">
        <v>43</v>
      </c>
      <c r="AS97" s="106">
        <v>78638.399999999994</v>
      </c>
      <c r="AT97" s="106">
        <v>35.631606285312415</v>
      </c>
      <c r="AU97" s="106">
        <v>65163.081574579344</v>
      </c>
      <c r="AV97" s="106">
        <v>47</v>
      </c>
      <c r="AW97" s="106">
        <v>85953.599999999991</v>
      </c>
      <c r="AX97" s="106">
        <v>32</v>
      </c>
      <c r="AY97" s="106">
        <v>58521.599999999999</v>
      </c>
      <c r="AZ97" s="106">
        <v>22</v>
      </c>
      <c r="BA97" s="106">
        <v>40233.599999999999</v>
      </c>
      <c r="BB97" s="106">
        <v>26</v>
      </c>
      <c r="BC97" s="106">
        <v>47548.799999999996</v>
      </c>
      <c r="BD97" s="106">
        <v>20</v>
      </c>
      <c r="BE97" s="106">
        <v>36576</v>
      </c>
      <c r="BF97" s="106">
        <v>34.508935474766552</v>
      </c>
      <c r="BG97" s="106">
        <v>63109.941196253072</v>
      </c>
      <c r="BH97" s="106">
        <v>28.995456619281835</v>
      </c>
      <c r="BI97" s="106">
        <v>53026.891065342621</v>
      </c>
      <c r="BJ97" s="106">
        <v>44.727026497570627</v>
      </c>
      <c r="BK97" s="106">
        <v>81796.786058757163</v>
      </c>
      <c r="BL97" s="106">
        <v>40.057834472931589</v>
      </c>
      <c r="BM97" s="106">
        <v>73257.767684097285</v>
      </c>
      <c r="BN97" s="106">
        <v>28.56647067761109</v>
      </c>
      <c r="BO97" s="106">
        <v>52242.36157521516</v>
      </c>
      <c r="BP97" s="106">
        <v>24</v>
      </c>
      <c r="BQ97" s="106">
        <v>43891.199999999997</v>
      </c>
      <c r="BR97" s="106">
        <v>27</v>
      </c>
      <c r="BS97" s="106">
        <v>49377.599999999999</v>
      </c>
      <c r="BT97" s="106">
        <v>30</v>
      </c>
      <c r="BU97" s="106">
        <v>54864</v>
      </c>
      <c r="BV97" s="106">
        <v>22</v>
      </c>
      <c r="BW97" s="106">
        <v>40233.599999999999</v>
      </c>
      <c r="BX97" s="106">
        <v>27</v>
      </c>
      <c r="BY97" s="106">
        <v>49377.599999999999</v>
      </c>
      <c r="BZ97" s="106">
        <v>31</v>
      </c>
      <c r="CA97" s="106">
        <v>56692.799999999996</v>
      </c>
      <c r="CB97" s="106">
        <v>24</v>
      </c>
      <c r="CC97" s="106">
        <v>43891.199999999997</v>
      </c>
      <c r="CD97" s="106">
        <v>33</v>
      </c>
      <c r="CE97" s="106">
        <v>60350.400000000001</v>
      </c>
      <c r="CF97" s="106">
        <v>31.644529548485991</v>
      </c>
      <c r="CG97" s="106">
        <v>57871.515638271179</v>
      </c>
      <c r="CH97" s="106">
        <v>21</v>
      </c>
      <c r="CI97" s="106">
        <v>38404.799999999996</v>
      </c>
      <c r="CJ97" s="106">
        <v>22</v>
      </c>
      <c r="CK97" s="106">
        <v>40233.599999999999</v>
      </c>
      <c r="CL97" s="106">
        <v>17</v>
      </c>
      <c r="CM97" s="106">
        <v>31089.599999999999</v>
      </c>
      <c r="CN97" s="106">
        <v>59</v>
      </c>
      <c r="CO97" s="106">
        <v>107899.2</v>
      </c>
      <c r="CP97" s="106">
        <v>94</v>
      </c>
      <c r="CQ97" s="106">
        <v>171907.19999999998</v>
      </c>
      <c r="CR97" s="106">
        <v>100</v>
      </c>
      <c r="CS97" s="106">
        <v>182880</v>
      </c>
      <c r="CT97" s="106">
        <v>75</v>
      </c>
      <c r="CU97" s="106">
        <v>137160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9</v>
      </c>
      <c r="G98" s="106">
        <v>11372.4</v>
      </c>
      <c r="H98" s="106">
        <v>7.0423590209109843</v>
      </c>
      <c r="I98" s="106">
        <v>8898.7248588231196</v>
      </c>
      <c r="J98" s="106">
        <v>11.583656597815562</v>
      </c>
      <c r="K98" s="106">
        <v>14637.108476999743</v>
      </c>
      <c r="L98" s="106">
        <v>14.451231983482593</v>
      </c>
      <c r="M98" s="106">
        <v>18260.576734328602</v>
      </c>
      <c r="N98" s="106">
        <v>16.227651090321586</v>
      </c>
      <c r="O98" s="106">
        <v>20505.259917730356</v>
      </c>
      <c r="P98" s="106">
        <v>13.580224278105828</v>
      </c>
      <c r="Q98" s="106">
        <v>17159.971397814523</v>
      </c>
      <c r="R98" s="106">
        <v>10.987803477013689</v>
      </c>
      <c r="S98" s="106">
        <v>13884.188473554495</v>
      </c>
      <c r="T98" s="106">
        <v>13.912525540211673</v>
      </c>
      <c r="U98" s="106">
        <v>17579.867272611467</v>
      </c>
      <c r="V98" s="106">
        <v>13.637610006618713</v>
      </c>
      <c r="W98" s="106">
        <v>17232.484004363403</v>
      </c>
      <c r="X98" s="106">
        <v>16.735853890308277</v>
      </c>
      <c r="Y98" s="106">
        <v>21147.424975793539</v>
      </c>
      <c r="Z98" s="106">
        <v>10</v>
      </c>
      <c r="AA98" s="106">
        <v>12636</v>
      </c>
      <c r="AB98" s="106">
        <v>54.397548224519262</v>
      </c>
      <c r="AC98" s="106">
        <v>68736.741936502542</v>
      </c>
      <c r="AD98" s="106">
        <v>38.538721593945141</v>
      </c>
      <c r="AE98" s="106">
        <v>48697.528606109074</v>
      </c>
      <c r="AF98" s="106">
        <v>34</v>
      </c>
      <c r="AG98" s="106">
        <v>42962.399999999994</v>
      </c>
      <c r="AH98" s="106">
        <v>37</v>
      </c>
      <c r="AI98" s="106">
        <v>46753.2</v>
      </c>
      <c r="AJ98" s="106">
        <v>10.185727623756449</v>
      </c>
      <c r="AK98" s="106">
        <v>12870.685425378648</v>
      </c>
      <c r="AL98" s="106">
        <v>8.7961568838781083</v>
      </c>
      <c r="AM98" s="106">
        <v>11114.823838468377</v>
      </c>
      <c r="AN98" s="106">
        <v>6</v>
      </c>
      <c r="AO98" s="106">
        <v>7581.5999999999995</v>
      </c>
      <c r="AP98" s="106">
        <v>8</v>
      </c>
      <c r="AQ98" s="106">
        <v>10108.799999999999</v>
      </c>
      <c r="AR98" s="106">
        <v>51</v>
      </c>
      <c r="AS98" s="106">
        <v>64443.6</v>
      </c>
      <c r="AT98" s="106">
        <v>34.608213459930475</v>
      </c>
      <c r="AU98" s="106">
        <v>43730.938527968145</v>
      </c>
      <c r="AV98" s="106">
        <v>53</v>
      </c>
      <c r="AW98" s="106">
        <v>66970.799999999988</v>
      </c>
      <c r="AX98" s="106">
        <v>37</v>
      </c>
      <c r="AY98" s="106">
        <v>46753.2</v>
      </c>
      <c r="AZ98" s="106">
        <v>23</v>
      </c>
      <c r="BA98" s="106">
        <v>29062.799999999999</v>
      </c>
      <c r="BB98" s="106">
        <v>30</v>
      </c>
      <c r="BC98" s="106">
        <v>37908</v>
      </c>
      <c r="BD98" s="106">
        <v>22.646071046566334</v>
      </c>
      <c r="BE98" s="106">
        <v>28615.575374441218</v>
      </c>
      <c r="BF98" s="106">
        <v>35</v>
      </c>
      <c r="BG98" s="106">
        <v>44226</v>
      </c>
      <c r="BH98" s="106">
        <v>36.098434890242025</v>
      </c>
      <c r="BI98" s="106">
        <v>45613.982327309823</v>
      </c>
      <c r="BJ98" s="106">
        <v>41.803555602578058</v>
      </c>
      <c r="BK98" s="106">
        <v>52822.972859417627</v>
      </c>
      <c r="BL98" s="106">
        <v>42.021357422140845</v>
      </c>
      <c r="BM98" s="106">
        <v>53098.187238617167</v>
      </c>
      <c r="BN98" s="106">
        <v>31.56647067761109</v>
      </c>
      <c r="BO98" s="106">
        <v>39887.392348229369</v>
      </c>
      <c r="BP98" s="106">
        <v>23</v>
      </c>
      <c r="BQ98" s="106">
        <v>29062.799999999999</v>
      </c>
      <c r="BR98" s="106">
        <v>26</v>
      </c>
      <c r="BS98" s="106">
        <v>32853.599999999999</v>
      </c>
      <c r="BT98" s="106">
        <v>31</v>
      </c>
      <c r="BU98" s="106">
        <v>39171.599999999999</v>
      </c>
      <c r="BV98" s="106">
        <v>21</v>
      </c>
      <c r="BW98" s="106">
        <v>26535.599999999999</v>
      </c>
      <c r="BX98" s="106">
        <v>29</v>
      </c>
      <c r="BY98" s="106">
        <v>36644.399999999994</v>
      </c>
      <c r="BZ98" s="106">
        <v>35</v>
      </c>
      <c r="CA98" s="106">
        <v>44226</v>
      </c>
      <c r="CB98" s="106">
        <v>24</v>
      </c>
      <c r="CC98" s="106">
        <v>30326.399999999998</v>
      </c>
      <c r="CD98" s="106">
        <v>34</v>
      </c>
      <c r="CE98" s="106">
        <v>42962.399999999994</v>
      </c>
      <c r="CF98" s="106">
        <v>29</v>
      </c>
      <c r="CG98" s="106">
        <v>36644.399999999994</v>
      </c>
      <c r="CH98" s="106">
        <v>21.498492761718879</v>
      </c>
      <c r="CI98" s="106">
        <v>27165.495453707972</v>
      </c>
      <c r="CJ98" s="106">
        <v>23</v>
      </c>
      <c r="CK98" s="106">
        <v>29062.799999999999</v>
      </c>
      <c r="CL98" s="106">
        <v>18</v>
      </c>
      <c r="CM98" s="106">
        <v>22744.799999999999</v>
      </c>
      <c r="CN98" s="106">
        <v>70</v>
      </c>
      <c r="CO98" s="106">
        <v>88452</v>
      </c>
      <c r="CP98" s="106">
        <v>105</v>
      </c>
      <c r="CQ98" s="106">
        <v>132678</v>
      </c>
      <c r="CR98" s="106">
        <v>127</v>
      </c>
      <c r="CS98" s="106">
        <v>160477.19999999998</v>
      </c>
      <c r="CT98" s="106">
        <v>82</v>
      </c>
      <c r="CU98" s="106">
        <v>103615.2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6</v>
      </c>
      <c r="G99" s="106">
        <v>32889.599999999999</v>
      </c>
      <c r="H99" s="106">
        <v>5.0968224371558994</v>
      </c>
      <c r="I99" s="106">
        <v>27938.741871513776</v>
      </c>
      <c r="J99" s="106">
        <v>8.0557710652103758</v>
      </c>
      <c r="K99" s="106">
        <v>44158.514671057193</v>
      </c>
      <c r="L99" s="106">
        <v>10.912202961046201</v>
      </c>
      <c r="M99" s="106">
        <v>59816.331751270853</v>
      </c>
      <c r="N99" s="106">
        <v>12.818434060214392</v>
      </c>
      <c r="O99" s="106">
        <v>70265.528144471202</v>
      </c>
      <c r="P99" s="106">
        <v>10.95548444722678</v>
      </c>
      <c r="Q99" s="106">
        <v>60053.583545918314</v>
      </c>
      <c r="R99" s="106">
        <v>7.5997378253297398</v>
      </c>
      <c r="S99" s="106">
        <v>41658.722863327501</v>
      </c>
      <c r="T99" s="106">
        <v>10.065204098345742</v>
      </c>
      <c r="U99" s="106">
        <v>55173.42278549201</v>
      </c>
      <c r="V99" s="106">
        <v>9.9244572618008853</v>
      </c>
      <c r="W99" s="106">
        <v>54401.904926287731</v>
      </c>
      <c r="X99" s="106">
        <v>12.922172379226271</v>
      </c>
      <c r="Y99" s="106">
        <v>70834.180113966722</v>
      </c>
      <c r="Z99" s="106">
        <v>8</v>
      </c>
      <c r="AA99" s="106">
        <v>43852.799999999996</v>
      </c>
      <c r="AB99" s="106">
        <v>29.298161168389445</v>
      </c>
      <c r="AC99" s="106">
        <v>160600.80026064356</v>
      </c>
      <c r="AD99" s="106">
        <v>20.391797522869194</v>
      </c>
      <c r="AE99" s="106">
        <v>111779.67730135976</v>
      </c>
      <c r="AF99" s="106">
        <v>20</v>
      </c>
      <c r="AG99" s="106">
        <v>109631.99999999999</v>
      </c>
      <c r="AH99" s="106">
        <v>19</v>
      </c>
      <c r="AI99" s="106">
        <v>104150.39999999999</v>
      </c>
      <c r="AJ99" s="106">
        <v>7.7904850825042997</v>
      </c>
      <c r="AK99" s="106">
        <v>42704.323028255567</v>
      </c>
      <c r="AL99" s="106">
        <v>7.6152121375421755</v>
      </c>
      <c r="AM99" s="106">
        <v>41743.546853151187</v>
      </c>
      <c r="AN99" s="106">
        <v>5</v>
      </c>
      <c r="AO99" s="106">
        <v>27407.999999999996</v>
      </c>
      <c r="AP99" s="106">
        <v>6</v>
      </c>
      <c r="AQ99" s="106">
        <v>32889.599999999999</v>
      </c>
      <c r="AR99" s="106">
        <v>29</v>
      </c>
      <c r="AS99" s="106">
        <v>158966.39999999999</v>
      </c>
      <c r="AT99" s="106">
        <v>21.397678031493005</v>
      </c>
      <c r="AU99" s="106">
        <v>117293.51189743204</v>
      </c>
      <c r="AV99" s="106">
        <v>31</v>
      </c>
      <c r="AW99" s="106">
        <v>169929.59999999998</v>
      </c>
      <c r="AX99" s="106">
        <v>25</v>
      </c>
      <c r="AY99" s="106">
        <v>137040</v>
      </c>
      <c r="AZ99" s="106">
        <v>13</v>
      </c>
      <c r="BA99" s="106">
        <v>71260.799999999988</v>
      </c>
      <c r="BB99" s="106">
        <v>20</v>
      </c>
      <c r="BC99" s="106">
        <v>109631.99999999999</v>
      </c>
      <c r="BD99" s="106">
        <v>14.496977728127948</v>
      </c>
      <c r="BE99" s="106">
        <v>79466.633114506156</v>
      </c>
      <c r="BF99" s="106">
        <v>21.370134890739312</v>
      </c>
      <c r="BG99" s="106">
        <v>117142.53141707661</v>
      </c>
      <c r="BH99" s="106">
        <v>20.720847896721331</v>
      </c>
      <c r="BI99" s="106">
        <v>113583.39983066764</v>
      </c>
      <c r="BJ99" s="106">
        <v>26.535703735052039</v>
      </c>
      <c r="BK99" s="106">
        <v>145458.11359406123</v>
      </c>
      <c r="BL99" s="106">
        <v>25.729541015814892</v>
      </c>
      <c r="BM99" s="106">
        <v>141039.0520322909</v>
      </c>
      <c r="BN99" s="106">
        <v>18.433183459349657</v>
      </c>
      <c r="BO99" s="106">
        <v>101043.33845077107</v>
      </c>
      <c r="BP99" s="106">
        <v>16</v>
      </c>
      <c r="BQ99" s="106">
        <v>87705.599999999991</v>
      </c>
      <c r="BR99" s="106">
        <v>18</v>
      </c>
      <c r="BS99" s="106">
        <v>98668.799999999988</v>
      </c>
      <c r="BT99" s="106">
        <v>23</v>
      </c>
      <c r="BU99" s="106">
        <v>126076.79999999999</v>
      </c>
      <c r="BV99" s="106">
        <v>15</v>
      </c>
      <c r="BW99" s="106">
        <v>82223.999999999985</v>
      </c>
      <c r="BX99" s="106">
        <v>19</v>
      </c>
      <c r="BY99" s="106">
        <v>104150.39999999999</v>
      </c>
      <c r="BZ99" s="106">
        <v>23</v>
      </c>
      <c r="CA99" s="106">
        <v>126076.79999999999</v>
      </c>
      <c r="CB99" s="106">
        <v>16</v>
      </c>
      <c r="CC99" s="106">
        <v>87705.599999999991</v>
      </c>
      <c r="CD99" s="106">
        <v>20</v>
      </c>
      <c r="CE99" s="106">
        <v>109631.99999999999</v>
      </c>
      <c r="CF99" s="106">
        <v>22</v>
      </c>
      <c r="CG99" s="106">
        <v>120595.19999999998</v>
      </c>
      <c r="CH99" s="106">
        <v>14</v>
      </c>
      <c r="CI99" s="106">
        <v>76742.399999999994</v>
      </c>
      <c r="CJ99" s="106">
        <v>15</v>
      </c>
      <c r="CK99" s="106">
        <v>82223.999999999985</v>
      </c>
      <c r="CL99" s="106">
        <v>14</v>
      </c>
      <c r="CM99" s="106">
        <v>76742.399999999994</v>
      </c>
      <c r="CN99" s="106">
        <v>36</v>
      </c>
      <c r="CO99" s="106">
        <v>197337.59999999998</v>
      </c>
      <c r="CP99" s="106">
        <v>51</v>
      </c>
      <c r="CQ99" s="106">
        <v>279561.59999999998</v>
      </c>
      <c r="CR99" s="106">
        <v>61</v>
      </c>
      <c r="CS99" s="106">
        <v>334377.59999999998</v>
      </c>
      <c r="CT99" s="106">
        <v>42</v>
      </c>
      <c r="CU99" s="106">
        <v>230227.19999999998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8</v>
      </c>
      <c r="G100" s="106">
        <v>12979.199999999999</v>
      </c>
      <c r="H100" s="106">
        <v>7.8910731675101715</v>
      </c>
      <c r="I100" s="106">
        <v>12802.477106968501</v>
      </c>
      <c r="J100" s="106">
        <v>10.508244378871964</v>
      </c>
      <c r="K100" s="106">
        <v>17048.575680281872</v>
      </c>
      <c r="L100" s="106">
        <v>14.326840670612656</v>
      </c>
      <c r="M100" s="106">
        <v>23243.866304001971</v>
      </c>
      <c r="N100" s="106">
        <v>15.309494496343026</v>
      </c>
      <c r="O100" s="106">
        <v>24838.123870866923</v>
      </c>
      <c r="P100" s="106">
        <v>13.35972786720734</v>
      </c>
      <c r="Q100" s="106">
        <v>21674.822491757186</v>
      </c>
      <c r="R100" s="106">
        <v>11.058360868228952</v>
      </c>
      <c r="S100" s="106">
        <v>17941.084672614652</v>
      </c>
      <c r="T100" s="106">
        <v>11</v>
      </c>
      <c r="U100" s="106">
        <v>17846.399999999998</v>
      </c>
      <c r="V100" s="106">
        <v>12</v>
      </c>
      <c r="W100" s="106">
        <v>19468.8</v>
      </c>
      <c r="X100" s="106">
        <v>16.383258568839409</v>
      </c>
      <c r="Y100" s="106">
        <v>26580.198702085054</v>
      </c>
      <c r="Z100" s="106">
        <v>11</v>
      </c>
      <c r="AA100" s="106">
        <v>17846.399999999998</v>
      </c>
      <c r="AB100" s="106">
        <v>48.397548224519262</v>
      </c>
      <c r="AC100" s="106">
        <v>78520.182239460046</v>
      </c>
      <c r="AD100" s="106">
        <v>37.587696284303789</v>
      </c>
      <c r="AE100" s="106">
        <v>60982.278451654463</v>
      </c>
      <c r="AF100" s="106">
        <v>33</v>
      </c>
      <c r="AG100" s="106">
        <v>53539.199999999997</v>
      </c>
      <c r="AH100" s="106">
        <v>34.649230824301164</v>
      </c>
      <c r="AI100" s="106">
        <v>56214.912089346202</v>
      </c>
      <c r="AJ100" s="106">
        <v>10.077934203414955</v>
      </c>
      <c r="AK100" s="106">
        <v>16350.440451620421</v>
      </c>
      <c r="AL100" s="106">
        <v>9.9047237316796704</v>
      </c>
      <c r="AM100" s="106">
        <v>16069.423782277096</v>
      </c>
      <c r="AN100" s="106">
        <v>6</v>
      </c>
      <c r="AO100" s="106">
        <v>9734.4</v>
      </c>
      <c r="AP100" s="106">
        <v>8</v>
      </c>
      <c r="AQ100" s="106">
        <v>12979.199999999999</v>
      </c>
      <c r="AR100" s="106">
        <v>53</v>
      </c>
      <c r="AS100" s="106">
        <v>85987.199999999997</v>
      </c>
      <c r="AT100" s="106">
        <v>35</v>
      </c>
      <c r="AU100" s="106">
        <v>56783.999999999993</v>
      </c>
      <c r="AV100" s="106">
        <v>52</v>
      </c>
      <c r="AW100" s="106">
        <v>84364.799999999988</v>
      </c>
      <c r="AX100" s="106">
        <v>37</v>
      </c>
      <c r="AY100" s="106">
        <v>60028.799999999996</v>
      </c>
      <c r="AZ100" s="106">
        <v>20.646862236386283</v>
      </c>
      <c r="BA100" s="106">
        <v>33497.469292313101</v>
      </c>
      <c r="BB100" s="106">
        <v>25</v>
      </c>
      <c r="BC100" s="106">
        <v>40560</v>
      </c>
      <c r="BD100" s="106">
        <v>20</v>
      </c>
      <c r="BE100" s="106">
        <v>32447.999999999996</v>
      </c>
      <c r="BF100" s="106">
        <v>35.555202336108962</v>
      </c>
      <c r="BG100" s="106">
        <v>57684.760270103179</v>
      </c>
      <c r="BH100" s="106">
        <v>34.098434890242025</v>
      </c>
      <c r="BI100" s="106">
        <v>55321.30076592866</v>
      </c>
      <c r="BJ100" s="106">
        <v>40.803555602578058</v>
      </c>
      <c r="BK100" s="106">
        <v>66199.688609622637</v>
      </c>
      <c r="BL100" s="106">
        <v>35.984880371350101</v>
      </c>
      <c r="BM100" s="106">
        <v>58381.869914478397</v>
      </c>
      <c r="BN100" s="106">
        <v>27.533148873045732</v>
      </c>
      <c r="BO100" s="106">
        <v>44669.780731629391</v>
      </c>
      <c r="BP100" s="106">
        <v>26</v>
      </c>
      <c r="BQ100" s="106">
        <v>42182.399999999994</v>
      </c>
      <c r="BR100" s="106">
        <v>25</v>
      </c>
      <c r="BS100" s="106">
        <v>40560</v>
      </c>
      <c r="BT100" s="106">
        <v>30</v>
      </c>
      <c r="BU100" s="106">
        <v>48671.999999999993</v>
      </c>
      <c r="BV100" s="106">
        <v>22</v>
      </c>
      <c r="BW100" s="106">
        <v>35692.799999999996</v>
      </c>
      <c r="BX100" s="106">
        <v>29</v>
      </c>
      <c r="BY100" s="106">
        <v>47049.599999999999</v>
      </c>
      <c r="BZ100" s="106">
        <v>31</v>
      </c>
      <c r="CA100" s="106">
        <v>50294.399999999994</v>
      </c>
      <c r="CB100" s="106">
        <v>23</v>
      </c>
      <c r="CC100" s="106">
        <v>37315.199999999997</v>
      </c>
      <c r="CD100" s="106">
        <v>31</v>
      </c>
      <c r="CE100" s="106">
        <v>50294.399999999994</v>
      </c>
      <c r="CF100" s="106">
        <v>27.644529548485991</v>
      </c>
      <c r="CG100" s="106">
        <v>44850.484739463667</v>
      </c>
      <c r="CH100" s="106">
        <v>19</v>
      </c>
      <c r="CI100" s="106">
        <v>30825.599999999999</v>
      </c>
      <c r="CJ100" s="106">
        <v>22</v>
      </c>
      <c r="CK100" s="106">
        <v>35692.799999999996</v>
      </c>
      <c r="CL100" s="106">
        <v>17</v>
      </c>
      <c r="CM100" s="106">
        <v>27580.799999999999</v>
      </c>
      <c r="CN100" s="106">
        <v>63</v>
      </c>
      <c r="CO100" s="106">
        <v>102211.2</v>
      </c>
      <c r="CP100" s="106">
        <v>101</v>
      </c>
      <c r="CQ100" s="106">
        <v>163862.39999999999</v>
      </c>
      <c r="CR100" s="106">
        <v>112</v>
      </c>
      <c r="CS100" s="106">
        <v>181708.79999999999</v>
      </c>
      <c r="CT100" s="106">
        <v>80</v>
      </c>
      <c r="CU100" s="106">
        <v>129791.99999999999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9</v>
      </c>
      <c r="G101" s="106">
        <v>10713.599999999999</v>
      </c>
      <c r="H101" s="106">
        <v>7.8154302408097642</v>
      </c>
      <c r="I101" s="106">
        <v>9303.4881586599422</v>
      </c>
      <c r="J101" s="106">
        <v>11.659068816759161</v>
      </c>
      <c r="K101" s="106">
        <v>13878.955519470104</v>
      </c>
      <c r="L101" s="106">
        <v>12.492695754439239</v>
      </c>
      <c r="M101" s="106">
        <v>14871.305026084468</v>
      </c>
      <c r="N101" s="106">
        <v>18.227651090321586</v>
      </c>
      <c r="O101" s="106">
        <v>21698.195857918814</v>
      </c>
      <c r="P101" s="106">
        <v>14.469976072656584</v>
      </c>
      <c r="Q101" s="106">
        <v>17225.059516890396</v>
      </c>
      <c r="R101" s="106">
        <v>11.093639563836584</v>
      </c>
      <c r="S101" s="106">
        <v>13205.868536791068</v>
      </c>
      <c r="T101" s="106">
        <v>13.154617380744796</v>
      </c>
      <c r="U101" s="106">
        <v>15659.256530038603</v>
      </c>
      <c r="V101" s="106">
        <v>11.664023071241596</v>
      </c>
      <c r="W101" s="106">
        <v>13884.853064005994</v>
      </c>
      <c r="X101" s="106">
        <v>17.681608456236145</v>
      </c>
      <c r="Y101" s="106">
        <v>21048.186706303502</v>
      </c>
      <c r="Z101" s="106">
        <v>10</v>
      </c>
      <c r="AA101" s="106">
        <v>11903.999999999998</v>
      </c>
      <c r="AB101" s="106">
        <v>55.397548224519262</v>
      </c>
      <c r="AC101" s="106">
        <v>65945.241406467729</v>
      </c>
      <c r="AD101" s="106">
        <v>37.587696284303789</v>
      </c>
      <c r="AE101" s="106">
        <v>44744.393656835222</v>
      </c>
      <c r="AF101" s="106">
        <v>37.598431148360824</v>
      </c>
      <c r="AG101" s="106">
        <v>44757.172439008718</v>
      </c>
      <c r="AH101" s="106">
        <v>36</v>
      </c>
      <c r="AI101" s="106">
        <v>42854.399999999994</v>
      </c>
      <c r="AJ101" s="106">
        <v>10.257589903984114</v>
      </c>
      <c r="AK101" s="106">
        <v>12210.635021702687</v>
      </c>
      <c r="AL101" s="106">
        <v>9.8685347824124818</v>
      </c>
      <c r="AM101" s="106">
        <v>11747.503804983817</v>
      </c>
      <c r="AN101" s="106">
        <v>6</v>
      </c>
      <c r="AO101" s="106">
        <v>7142.4</v>
      </c>
      <c r="AP101" s="106">
        <v>8</v>
      </c>
      <c r="AQ101" s="106">
        <v>9523.1999999999989</v>
      </c>
      <c r="AR101" s="106">
        <v>48</v>
      </c>
      <c r="AS101" s="106">
        <v>57139.199999999997</v>
      </c>
      <c r="AT101" s="106">
        <v>36.701784761458242</v>
      </c>
      <c r="AU101" s="106">
        <v>43689.804580039883</v>
      </c>
      <c r="AV101" s="106">
        <v>53</v>
      </c>
      <c r="AW101" s="106">
        <v>63091.19999999999</v>
      </c>
      <c r="AX101" s="106">
        <v>37</v>
      </c>
      <c r="AY101" s="106">
        <v>44044.799999999996</v>
      </c>
      <c r="AZ101" s="106">
        <v>23.646862236386283</v>
      </c>
      <c r="BA101" s="106">
        <v>28149.22480619423</v>
      </c>
      <c r="BB101" s="106">
        <v>26</v>
      </c>
      <c r="BC101" s="106">
        <v>30950.399999999998</v>
      </c>
      <c r="BD101" s="106">
        <v>18.646071046566334</v>
      </c>
      <c r="BE101" s="106">
        <v>22196.28297383256</v>
      </c>
      <c r="BF101" s="106">
        <v>35</v>
      </c>
      <c r="BG101" s="106">
        <v>41663.999999999993</v>
      </c>
      <c r="BH101" s="106">
        <v>31.167087070882154</v>
      </c>
      <c r="BI101" s="106">
        <v>37101.30044917811</v>
      </c>
      <c r="BJ101" s="106">
        <v>43.841820155081777</v>
      </c>
      <c r="BK101" s="106">
        <v>52189.302712609344</v>
      </c>
      <c r="BL101" s="106">
        <v>39.057834472931589</v>
      </c>
      <c r="BM101" s="106">
        <v>46494.44615657776</v>
      </c>
      <c r="BN101" s="106">
        <v>31.599792482176447</v>
      </c>
      <c r="BO101" s="106">
        <v>37616.392970782836</v>
      </c>
      <c r="BP101" s="106">
        <v>24</v>
      </c>
      <c r="BQ101" s="106">
        <v>28569.599999999999</v>
      </c>
      <c r="BR101" s="106">
        <v>25</v>
      </c>
      <c r="BS101" s="106">
        <v>29759.999999999996</v>
      </c>
      <c r="BT101" s="106">
        <v>32</v>
      </c>
      <c r="BU101" s="106">
        <v>38092.799999999996</v>
      </c>
      <c r="BV101" s="106">
        <v>23</v>
      </c>
      <c r="BW101" s="106">
        <v>27379.199999999997</v>
      </c>
      <c r="BX101" s="106">
        <v>33</v>
      </c>
      <c r="BY101" s="106">
        <v>39283.199999999997</v>
      </c>
      <c r="BZ101" s="106">
        <v>36</v>
      </c>
      <c r="CA101" s="106">
        <v>42854.399999999994</v>
      </c>
      <c r="CB101" s="106">
        <v>27</v>
      </c>
      <c r="CC101" s="106">
        <v>32140.799999999996</v>
      </c>
      <c r="CD101" s="106">
        <v>34</v>
      </c>
      <c r="CE101" s="106">
        <v>40473.599999999999</v>
      </c>
      <c r="CF101" s="106">
        <v>29.644529548485991</v>
      </c>
      <c r="CG101" s="106">
        <v>35288.847974517717</v>
      </c>
      <c r="CH101" s="106">
        <v>21</v>
      </c>
      <c r="CI101" s="106">
        <v>24998.399999999998</v>
      </c>
      <c r="CJ101" s="106">
        <v>22</v>
      </c>
      <c r="CK101" s="106">
        <v>26188.799999999996</v>
      </c>
      <c r="CL101" s="106">
        <v>19</v>
      </c>
      <c r="CM101" s="106">
        <v>22617.599999999999</v>
      </c>
      <c r="CN101" s="106">
        <v>74</v>
      </c>
      <c r="CO101" s="106">
        <v>88089.599999999991</v>
      </c>
      <c r="CP101" s="106">
        <v>115</v>
      </c>
      <c r="CQ101" s="106">
        <v>136895.99999999997</v>
      </c>
      <c r="CR101" s="106">
        <v>121</v>
      </c>
      <c r="CS101" s="106">
        <v>144038.39999999999</v>
      </c>
      <c r="CT101" s="106">
        <v>79</v>
      </c>
      <c r="CU101" s="106">
        <v>94041.599999999991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8</v>
      </c>
      <c r="G102" s="106">
        <v>15513.599999999999</v>
      </c>
      <c r="H102" s="106">
        <v>6</v>
      </c>
      <c r="I102" s="106">
        <v>11635.199999999999</v>
      </c>
      <c r="J102" s="106">
        <v>11.470538269400166</v>
      </c>
      <c r="K102" s="106">
        <v>22243.667812020798</v>
      </c>
      <c r="L102" s="106">
        <v>12.285376899656011</v>
      </c>
      <c r="M102" s="106">
        <v>23823.802883812936</v>
      </c>
      <c r="N102" s="106">
        <v>17.145807684300149</v>
      </c>
      <c r="O102" s="106">
        <v>33249.150261394847</v>
      </c>
      <c r="P102" s="106">
        <v>12.322978465390925</v>
      </c>
      <c r="Q102" s="106">
        <v>23896.71984008608</v>
      </c>
      <c r="R102" s="106">
        <v>9.9878034770136885</v>
      </c>
      <c r="S102" s="106">
        <v>19368.348502624944</v>
      </c>
      <c r="T102" s="106">
        <v>10</v>
      </c>
      <c r="U102" s="106">
        <v>19392</v>
      </c>
      <c r="V102" s="106">
        <v>11.452718554258535</v>
      </c>
      <c r="W102" s="106">
        <v>22209.111820418148</v>
      </c>
      <c r="X102" s="106">
        <v>16.518872154019743</v>
      </c>
      <c r="Y102" s="106">
        <v>32033.396881075081</v>
      </c>
      <c r="Z102" s="106">
        <v>9</v>
      </c>
      <c r="AA102" s="106">
        <v>17452.8</v>
      </c>
      <c r="AB102" s="106">
        <v>45.397548224519262</v>
      </c>
      <c r="AC102" s="106">
        <v>88034.925516987743</v>
      </c>
      <c r="AD102" s="106">
        <v>36.587696284303789</v>
      </c>
      <c r="AE102" s="106">
        <v>70950.860634521901</v>
      </c>
      <c r="AF102" s="106">
        <v>32</v>
      </c>
      <c r="AG102" s="106">
        <v>62054.399999999994</v>
      </c>
      <c r="AH102" s="106">
        <v>35</v>
      </c>
      <c r="AI102" s="106">
        <v>67872</v>
      </c>
      <c r="AJ102" s="106">
        <v>10.077934203414955</v>
      </c>
      <c r="AK102" s="106">
        <v>19543.13000726228</v>
      </c>
      <c r="AL102" s="106">
        <v>9.8685347824124818</v>
      </c>
      <c r="AM102" s="106">
        <v>19137.062650054282</v>
      </c>
      <c r="AN102" s="106">
        <v>6</v>
      </c>
      <c r="AO102" s="106">
        <v>11635.199999999999</v>
      </c>
      <c r="AP102" s="106">
        <v>8</v>
      </c>
      <c r="AQ102" s="106">
        <v>15513.599999999999</v>
      </c>
      <c r="AR102" s="106">
        <v>51</v>
      </c>
      <c r="AS102" s="106">
        <v>98899.199999999997</v>
      </c>
      <c r="AT102" s="106">
        <v>31.538034983784652</v>
      </c>
      <c r="AU102" s="106">
        <v>61158.557440555189</v>
      </c>
      <c r="AV102" s="106">
        <v>46</v>
      </c>
      <c r="AW102" s="106">
        <v>89203.199999999997</v>
      </c>
      <c r="AX102" s="106">
        <v>32</v>
      </c>
      <c r="AY102" s="106">
        <v>62054.399999999994</v>
      </c>
      <c r="AZ102" s="106">
        <v>19.646862236386283</v>
      </c>
      <c r="BA102" s="106">
        <v>38099.195248800279</v>
      </c>
      <c r="BB102" s="106">
        <v>24</v>
      </c>
      <c r="BC102" s="106">
        <v>46540.799999999996</v>
      </c>
      <c r="BD102" s="106">
        <v>19.646071046566334</v>
      </c>
      <c r="BE102" s="106">
        <v>38097.660973501428</v>
      </c>
      <c r="BF102" s="106">
        <v>34.508935474766552</v>
      </c>
      <c r="BG102" s="106">
        <v>66919.727672667286</v>
      </c>
      <c r="BH102" s="106">
        <v>30.064108799921961</v>
      </c>
      <c r="BI102" s="106">
        <v>58300.319784808664</v>
      </c>
      <c r="BJ102" s="106">
        <v>42.765291050074346</v>
      </c>
      <c r="BK102" s="106">
        <v>82930.45240430416</v>
      </c>
      <c r="BL102" s="106">
        <v>40.021357422140845</v>
      </c>
      <c r="BM102" s="106">
        <v>77609.416313015521</v>
      </c>
      <c r="BN102" s="106">
        <v>27.533148873045732</v>
      </c>
      <c r="BO102" s="106">
        <v>53392.282294610282</v>
      </c>
      <c r="BP102" s="106">
        <v>24</v>
      </c>
      <c r="BQ102" s="106">
        <v>46540.799999999996</v>
      </c>
      <c r="BR102" s="106">
        <v>26</v>
      </c>
      <c r="BS102" s="106">
        <v>50419.199999999997</v>
      </c>
      <c r="BT102" s="106">
        <v>31</v>
      </c>
      <c r="BU102" s="106">
        <v>60115.199999999997</v>
      </c>
      <c r="BV102" s="106">
        <v>21</v>
      </c>
      <c r="BW102" s="106">
        <v>40723.199999999997</v>
      </c>
      <c r="BX102" s="106">
        <v>31</v>
      </c>
      <c r="BY102" s="106">
        <v>60115.199999999997</v>
      </c>
      <c r="BZ102" s="106">
        <v>31</v>
      </c>
      <c r="CA102" s="106">
        <v>60115.199999999997</v>
      </c>
      <c r="CB102" s="106">
        <v>21</v>
      </c>
      <c r="CC102" s="106">
        <v>40723.199999999997</v>
      </c>
      <c r="CD102" s="106">
        <v>31</v>
      </c>
      <c r="CE102" s="106">
        <v>60115.199999999997</v>
      </c>
      <c r="CF102" s="106">
        <v>31.644529548485991</v>
      </c>
      <c r="CG102" s="106">
        <v>61365.071700424029</v>
      </c>
      <c r="CH102" s="106">
        <v>20</v>
      </c>
      <c r="CI102" s="106">
        <v>38784</v>
      </c>
      <c r="CJ102" s="106">
        <v>23</v>
      </c>
      <c r="CK102" s="106">
        <v>44601.599999999999</v>
      </c>
      <c r="CL102" s="106">
        <v>19</v>
      </c>
      <c r="CM102" s="106">
        <v>36844.799999999996</v>
      </c>
      <c r="CN102" s="106">
        <v>58</v>
      </c>
      <c r="CO102" s="106">
        <v>112473.59999999999</v>
      </c>
      <c r="CP102" s="106">
        <v>95</v>
      </c>
      <c r="CQ102" s="106">
        <v>184223.99999999997</v>
      </c>
      <c r="CR102" s="106">
        <v>97</v>
      </c>
      <c r="CS102" s="106">
        <v>188102.39999999999</v>
      </c>
      <c r="CT102" s="106">
        <v>73</v>
      </c>
      <c r="CU102" s="106">
        <v>141561.59999999998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7</v>
      </c>
      <c r="G103" s="106">
        <v>14196</v>
      </c>
      <c r="H103" s="106">
        <v>6</v>
      </c>
      <c r="I103" s="106">
        <v>12168</v>
      </c>
      <c r="J103" s="106">
        <v>11.583656597815562</v>
      </c>
      <c r="K103" s="106">
        <v>23491.655580369959</v>
      </c>
      <c r="L103" s="106">
        <v>14.409768212525947</v>
      </c>
      <c r="M103" s="106">
        <v>29223.009935002621</v>
      </c>
      <c r="N103" s="106">
        <v>15.186729387310868</v>
      </c>
      <c r="O103" s="106">
        <v>30798.687197466439</v>
      </c>
      <c r="P103" s="106">
        <v>13.322978465390925</v>
      </c>
      <c r="Q103" s="106">
        <v>27019.000327812795</v>
      </c>
      <c r="R103" s="106">
        <v>9.0583608682289523</v>
      </c>
      <c r="S103" s="106">
        <v>18370.355840768316</v>
      </c>
      <c r="T103" s="106">
        <v>12.791479619945111</v>
      </c>
      <c r="U103" s="106">
        <v>25941.120669248685</v>
      </c>
      <c r="V103" s="106">
        <v>12.505544683504301</v>
      </c>
      <c r="W103" s="106">
        <v>25361.24461814672</v>
      </c>
      <c r="X103" s="106">
        <v>17.491749436983675</v>
      </c>
      <c r="Y103" s="106">
        <v>35473.267858202889</v>
      </c>
      <c r="Z103" s="106">
        <v>10</v>
      </c>
      <c r="AA103" s="106">
        <v>20280</v>
      </c>
      <c r="AB103" s="106">
        <v>49.397548224519262</v>
      </c>
      <c r="AC103" s="106">
        <v>100178.22779932506</v>
      </c>
      <c r="AD103" s="106">
        <v>31.489746903586493</v>
      </c>
      <c r="AE103" s="106">
        <v>63861.206720473405</v>
      </c>
      <c r="AF103" s="106">
        <v>29.548561885997419</v>
      </c>
      <c r="AG103" s="106">
        <v>59924.483504802767</v>
      </c>
      <c r="AH103" s="106">
        <v>33</v>
      </c>
      <c r="AI103" s="106">
        <v>66924</v>
      </c>
      <c r="AJ103" s="106">
        <v>10.042003063301122</v>
      </c>
      <c r="AK103" s="106">
        <v>20365.182212374675</v>
      </c>
      <c r="AL103" s="106">
        <v>8.7599679346109234</v>
      </c>
      <c r="AM103" s="106">
        <v>17765.214971390953</v>
      </c>
      <c r="AN103" s="106">
        <v>5</v>
      </c>
      <c r="AO103" s="106">
        <v>10140</v>
      </c>
      <c r="AP103" s="106">
        <v>8</v>
      </c>
      <c r="AQ103" s="106">
        <v>16224</v>
      </c>
      <c r="AR103" s="106">
        <v>48</v>
      </c>
      <c r="AS103" s="106">
        <v>97344</v>
      </c>
      <c r="AT103" s="106">
        <v>30.584820634548535</v>
      </c>
      <c r="AU103" s="106">
        <v>62026.016246864427</v>
      </c>
      <c r="AV103" s="106">
        <v>51</v>
      </c>
      <c r="AW103" s="106">
        <v>103428</v>
      </c>
      <c r="AX103" s="106">
        <v>32</v>
      </c>
      <c r="AY103" s="106">
        <v>64896</v>
      </c>
      <c r="AZ103" s="106">
        <v>18</v>
      </c>
      <c r="BA103" s="106">
        <v>36504</v>
      </c>
      <c r="BB103" s="106">
        <v>26</v>
      </c>
      <c r="BC103" s="106">
        <v>52728</v>
      </c>
      <c r="BD103" s="106">
        <v>20</v>
      </c>
      <c r="BE103" s="106">
        <v>40560</v>
      </c>
      <c r="BF103" s="106">
        <v>30.555202336108966</v>
      </c>
      <c r="BG103" s="106">
        <v>61965.950337628979</v>
      </c>
      <c r="BH103" s="106">
        <v>31.892478348321646</v>
      </c>
      <c r="BI103" s="106">
        <v>64677.946090396297</v>
      </c>
      <c r="BJ103" s="106">
        <v>42.727026497570627</v>
      </c>
      <c r="BK103" s="106">
        <v>86650.409737073234</v>
      </c>
      <c r="BL103" s="106">
        <v>33</v>
      </c>
      <c r="BM103" s="106">
        <v>66924</v>
      </c>
      <c r="BN103" s="106">
        <v>27.599792482176447</v>
      </c>
      <c r="BO103" s="106">
        <v>55972.379153853835</v>
      </c>
      <c r="BP103" s="106">
        <v>25</v>
      </c>
      <c r="BQ103" s="106">
        <v>50700</v>
      </c>
      <c r="BR103" s="106">
        <v>24</v>
      </c>
      <c r="BS103" s="106">
        <v>48672</v>
      </c>
      <c r="BT103" s="106">
        <v>28</v>
      </c>
      <c r="BU103" s="106">
        <v>56784</v>
      </c>
      <c r="BV103" s="106">
        <v>21</v>
      </c>
      <c r="BW103" s="106">
        <v>42588</v>
      </c>
      <c r="BX103" s="106">
        <v>29</v>
      </c>
      <c r="BY103" s="106">
        <v>58812</v>
      </c>
      <c r="BZ103" s="106">
        <v>28</v>
      </c>
      <c r="CA103" s="106">
        <v>56784</v>
      </c>
      <c r="CB103" s="106">
        <v>22</v>
      </c>
      <c r="CC103" s="106">
        <v>44616</v>
      </c>
      <c r="CD103" s="106">
        <v>33</v>
      </c>
      <c r="CE103" s="106">
        <v>66924</v>
      </c>
      <c r="CF103" s="106">
        <v>29</v>
      </c>
      <c r="CG103" s="106">
        <v>58812</v>
      </c>
      <c r="CH103" s="106">
        <v>22</v>
      </c>
      <c r="CI103" s="106">
        <v>44616</v>
      </c>
      <c r="CJ103" s="106">
        <v>22</v>
      </c>
      <c r="CK103" s="106">
        <v>44616</v>
      </c>
      <c r="CL103" s="106">
        <v>20</v>
      </c>
      <c r="CM103" s="106">
        <v>40560</v>
      </c>
      <c r="CN103" s="106">
        <v>60</v>
      </c>
      <c r="CO103" s="106">
        <v>121680</v>
      </c>
      <c r="CP103" s="106">
        <v>88</v>
      </c>
      <c r="CQ103" s="106">
        <v>178464</v>
      </c>
      <c r="CR103" s="106">
        <v>92</v>
      </c>
      <c r="CS103" s="106">
        <v>186576</v>
      </c>
      <c r="CT103" s="106">
        <v>63</v>
      </c>
      <c r="CU103" s="106">
        <v>127764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7</v>
      </c>
      <c r="G104" s="106">
        <v>14506.800000000001</v>
      </c>
      <c r="H104" s="106">
        <v>6.8532517041599679</v>
      </c>
      <c r="I104" s="106">
        <v>14202.678831701118</v>
      </c>
      <c r="J104" s="106">
        <v>11.357419940984768</v>
      </c>
      <c r="K104" s="106">
        <v>23537.117085696835</v>
      </c>
      <c r="L104" s="106">
        <v>12.368304441569302</v>
      </c>
      <c r="M104" s="106">
        <v>25632.074124708222</v>
      </c>
      <c r="N104" s="106">
        <v>17.186729387310869</v>
      </c>
      <c r="O104" s="106">
        <v>35617.777982263047</v>
      </c>
      <c r="P104" s="106">
        <v>13.28622906357451</v>
      </c>
      <c r="Q104" s="106">
        <v>27534.381111351817</v>
      </c>
      <c r="R104" s="106">
        <v>9.9525247814060567</v>
      </c>
      <c r="S104" s="106">
        <v>20625.612356985912</v>
      </c>
      <c r="T104" s="106">
        <v>12.985153092371609</v>
      </c>
      <c r="U104" s="106">
        <v>26910.431268630924</v>
      </c>
      <c r="V104" s="106">
        <v>11.531957748127184</v>
      </c>
      <c r="W104" s="106">
        <v>23898.829237218775</v>
      </c>
      <c r="X104" s="106">
        <v>16.545994871055811</v>
      </c>
      <c r="Y104" s="106">
        <v>34289.919770776061</v>
      </c>
      <c r="Z104" s="106">
        <v>9</v>
      </c>
      <c r="AA104" s="106">
        <v>18651.600000000002</v>
      </c>
      <c r="AB104" s="106">
        <v>49.397548224519262</v>
      </c>
      <c r="AC104" s="106">
        <v>102371.47894049372</v>
      </c>
      <c r="AD104" s="106">
        <v>35.538721593945141</v>
      </c>
      <c r="AE104" s="106">
        <v>73650.44663129191</v>
      </c>
      <c r="AF104" s="106">
        <v>34</v>
      </c>
      <c r="AG104" s="106">
        <v>70461.600000000006</v>
      </c>
      <c r="AH104" s="106">
        <v>34</v>
      </c>
      <c r="AI104" s="106">
        <v>70461.600000000006</v>
      </c>
      <c r="AJ104" s="106">
        <v>9.9701407830734592</v>
      </c>
      <c r="AK104" s="106">
        <v>20662.119758841436</v>
      </c>
      <c r="AL104" s="106">
        <v>8.7961568838781083</v>
      </c>
      <c r="AM104" s="106">
        <v>18229.155526148992</v>
      </c>
      <c r="AN104" s="106">
        <v>6</v>
      </c>
      <c r="AO104" s="106">
        <v>12434.400000000001</v>
      </c>
      <c r="AP104" s="106">
        <v>7</v>
      </c>
      <c r="AQ104" s="106">
        <v>14506.800000000001</v>
      </c>
      <c r="AR104" s="106">
        <v>44</v>
      </c>
      <c r="AS104" s="106">
        <v>91185.600000000006</v>
      </c>
      <c r="AT104" s="106">
        <v>31</v>
      </c>
      <c r="AU104" s="106">
        <v>64244.4</v>
      </c>
      <c r="AV104" s="106">
        <v>47</v>
      </c>
      <c r="AW104" s="106">
        <v>97402.8</v>
      </c>
      <c r="AX104" s="106">
        <v>34</v>
      </c>
      <c r="AY104" s="106">
        <v>70461.600000000006</v>
      </c>
      <c r="AZ104" s="106">
        <v>20</v>
      </c>
      <c r="BA104" s="106">
        <v>41448</v>
      </c>
      <c r="BB104" s="106">
        <v>26</v>
      </c>
      <c r="BC104" s="106">
        <v>53882.400000000001</v>
      </c>
      <c r="BD104" s="106">
        <v>20</v>
      </c>
      <c r="BE104" s="106">
        <v>41448</v>
      </c>
      <c r="BF104" s="106">
        <v>28.462668613424139</v>
      </c>
      <c r="BG104" s="106">
        <v>58986.034434460191</v>
      </c>
      <c r="BH104" s="106">
        <v>30.961130528961771</v>
      </c>
      <c r="BI104" s="106">
        <v>64163.846908220374</v>
      </c>
      <c r="BJ104" s="106">
        <v>41.803555602578058</v>
      </c>
      <c r="BK104" s="106">
        <v>86633.688630782766</v>
      </c>
      <c r="BL104" s="106">
        <v>33.948403320559358</v>
      </c>
      <c r="BM104" s="106">
        <v>70354.67104152721</v>
      </c>
      <c r="BN104" s="106">
        <v>27.56647067761109</v>
      </c>
      <c r="BO104" s="106">
        <v>57128.753832281225</v>
      </c>
      <c r="BP104" s="106">
        <v>22</v>
      </c>
      <c r="BQ104" s="106">
        <v>45592.800000000003</v>
      </c>
      <c r="BR104" s="106">
        <v>24</v>
      </c>
      <c r="BS104" s="106">
        <v>49737.600000000006</v>
      </c>
      <c r="BT104" s="106">
        <v>27</v>
      </c>
      <c r="BU104" s="106">
        <v>55954.8</v>
      </c>
      <c r="BV104" s="106">
        <v>20</v>
      </c>
      <c r="BW104" s="106">
        <v>41448</v>
      </c>
      <c r="BX104" s="106">
        <v>25</v>
      </c>
      <c r="BY104" s="106">
        <v>51810</v>
      </c>
      <c r="BZ104" s="106">
        <v>28</v>
      </c>
      <c r="CA104" s="106">
        <v>58027.200000000004</v>
      </c>
      <c r="CB104" s="106">
        <v>23</v>
      </c>
      <c r="CC104" s="106">
        <v>47665.200000000004</v>
      </c>
      <c r="CD104" s="106">
        <v>28</v>
      </c>
      <c r="CE104" s="106">
        <v>58027.200000000004</v>
      </c>
      <c r="CF104" s="106">
        <v>30</v>
      </c>
      <c r="CG104" s="106">
        <v>62172</v>
      </c>
      <c r="CH104" s="106">
        <v>19</v>
      </c>
      <c r="CI104" s="106">
        <v>39375.599999999999</v>
      </c>
      <c r="CJ104" s="106">
        <v>23</v>
      </c>
      <c r="CK104" s="106">
        <v>47665.200000000004</v>
      </c>
      <c r="CL104" s="106">
        <v>20</v>
      </c>
      <c r="CM104" s="106">
        <v>41448</v>
      </c>
      <c r="CN104" s="106">
        <v>65</v>
      </c>
      <c r="CO104" s="106">
        <v>134706</v>
      </c>
      <c r="CP104" s="106">
        <v>100</v>
      </c>
      <c r="CQ104" s="106">
        <v>207240</v>
      </c>
      <c r="CR104" s="106">
        <v>92</v>
      </c>
      <c r="CS104" s="106">
        <v>190660.80000000002</v>
      </c>
      <c r="CT104" s="106">
        <v>73</v>
      </c>
      <c r="CU104" s="106">
        <v>151285.20000000001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8</v>
      </c>
      <c r="G105" s="106">
        <v>15984</v>
      </c>
      <c r="H105" s="106">
        <v>7.7019658507591542</v>
      </c>
      <c r="I105" s="106">
        <v>15388.52776981679</v>
      </c>
      <c r="J105" s="106">
        <v>10.470538269400166</v>
      </c>
      <c r="K105" s="106">
        <v>20920.135462261533</v>
      </c>
      <c r="L105" s="106">
        <v>12.368304441569302</v>
      </c>
      <c r="M105" s="106">
        <v>24711.872274255467</v>
      </c>
      <c r="N105" s="106">
        <v>15.063964278278709</v>
      </c>
      <c r="O105" s="106">
        <v>30097.800628000859</v>
      </c>
      <c r="P105" s="106">
        <v>13.506725474472999</v>
      </c>
      <c r="Q105" s="106">
        <v>26986.437497997053</v>
      </c>
      <c r="R105" s="106">
        <v>10.02308217262132</v>
      </c>
      <c r="S105" s="106">
        <v>20026.1181808974</v>
      </c>
      <c r="T105" s="106">
        <v>11</v>
      </c>
      <c r="U105" s="106">
        <v>21978</v>
      </c>
      <c r="V105" s="106">
        <v>11.664023071241596</v>
      </c>
      <c r="W105" s="106">
        <v>23304.718096340708</v>
      </c>
      <c r="X105" s="106">
        <v>17.301890417731208</v>
      </c>
      <c r="Y105" s="106">
        <v>34569.177054626954</v>
      </c>
      <c r="Z105" s="106">
        <v>10</v>
      </c>
      <c r="AA105" s="106">
        <v>19980</v>
      </c>
      <c r="AB105" s="106">
        <v>42.397548224519262</v>
      </c>
      <c r="AC105" s="106">
        <v>84710.301352589493</v>
      </c>
      <c r="AD105" s="106">
        <v>32.489746903586493</v>
      </c>
      <c r="AE105" s="106">
        <v>64914.514313365813</v>
      </c>
      <c r="AF105" s="106">
        <v>31</v>
      </c>
      <c r="AG105" s="106">
        <v>61938</v>
      </c>
      <c r="AH105" s="106">
        <v>30</v>
      </c>
      <c r="AI105" s="106">
        <v>59940</v>
      </c>
      <c r="AJ105" s="106">
        <v>9.9701407830734592</v>
      </c>
      <c r="AK105" s="106">
        <v>19920.341284580772</v>
      </c>
      <c r="AL105" s="106">
        <v>8.7237789853437349</v>
      </c>
      <c r="AM105" s="106">
        <v>17430.110412716782</v>
      </c>
      <c r="AN105" s="106">
        <v>6</v>
      </c>
      <c r="AO105" s="106">
        <v>11988</v>
      </c>
      <c r="AP105" s="106">
        <v>8</v>
      </c>
      <c r="AQ105" s="106">
        <v>15984</v>
      </c>
      <c r="AR105" s="106">
        <v>45</v>
      </c>
      <c r="AS105" s="106">
        <v>89910</v>
      </c>
      <c r="AT105" s="106">
        <v>34.584820634548535</v>
      </c>
      <c r="AU105" s="106">
        <v>69100.471627827967</v>
      </c>
      <c r="AV105" s="106">
        <v>52</v>
      </c>
      <c r="AW105" s="106">
        <v>103896</v>
      </c>
      <c r="AX105" s="106">
        <v>34</v>
      </c>
      <c r="AY105" s="106">
        <v>67932</v>
      </c>
      <c r="AZ105" s="106">
        <v>19</v>
      </c>
      <c r="BA105" s="106">
        <v>37962</v>
      </c>
      <c r="BB105" s="106">
        <v>26</v>
      </c>
      <c r="BC105" s="106">
        <v>51948</v>
      </c>
      <c r="BD105" s="106">
        <v>19</v>
      </c>
      <c r="BE105" s="106">
        <v>37962</v>
      </c>
      <c r="BF105" s="106">
        <v>30.508935474766552</v>
      </c>
      <c r="BG105" s="106">
        <v>60956.853078583568</v>
      </c>
      <c r="BH105" s="106">
        <v>32.92680443864171</v>
      </c>
      <c r="BI105" s="106">
        <v>65787.755268406137</v>
      </c>
      <c r="BJ105" s="106">
        <v>41.727026497570627</v>
      </c>
      <c r="BK105" s="106">
        <v>83370.598942146113</v>
      </c>
      <c r="BL105" s="106">
        <v>33.948403320559358</v>
      </c>
      <c r="BM105" s="106">
        <v>67828.909834477599</v>
      </c>
      <c r="BN105" s="106">
        <v>25.599792482176447</v>
      </c>
      <c r="BO105" s="106">
        <v>51148.385379388543</v>
      </c>
      <c r="BP105" s="106">
        <v>24</v>
      </c>
      <c r="BQ105" s="106">
        <v>47952</v>
      </c>
      <c r="BR105" s="106">
        <v>27</v>
      </c>
      <c r="BS105" s="106">
        <v>53946</v>
      </c>
      <c r="BT105" s="106">
        <v>28</v>
      </c>
      <c r="BU105" s="106">
        <v>55944</v>
      </c>
      <c r="BV105" s="106">
        <v>20</v>
      </c>
      <c r="BW105" s="106">
        <v>39960</v>
      </c>
      <c r="BX105" s="106">
        <v>29</v>
      </c>
      <c r="BY105" s="106">
        <v>57942</v>
      </c>
      <c r="BZ105" s="106">
        <v>31</v>
      </c>
      <c r="CA105" s="106">
        <v>61938</v>
      </c>
      <c r="CB105" s="106">
        <v>25</v>
      </c>
      <c r="CC105" s="106">
        <v>49950</v>
      </c>
      <c r="CD105" s="106">
        <v>29</v>
      </c>
      <c r="CE105" s="106">
        <v>57942</v>
      </c>
      <c r="CF105" s="106">
        <v>26.690567373377846</v>
      </c>
      <c r="CG105" s="106">
        <v>53327.753612008935</v>
      </c>
      <c r="CH105" s="106">
        <v>19</v>
      </c>
      <c r="CI105" s="106">
        <v>37962</v>
      </c>
      <c r="CJ105" s="106">
        <v>22</v>
      </c>
      <c r="CK105" s="106">
        <v>43956</v>
      </c>
      <c r="CL105" s="106">
        <v>19</v>
      </c>
      <c r="CM105" s="106">
        <v>37962</v>
      </c>
      <c r="CN105" s="106">
        <v>56</v>
      </c>
      <c r="CO105" s="106">
        <v>111888</v>
      </c>
      <c r="CP105" s="106">
        <v>88</v>
      </c>
      <c r="CQ105" s="106">
        <v>175824</v>
      </c>
      <c r="CR105" s="106">
        <v>109</v>
      </c>
      <c r="CS105" s="106">
        <v>217782</v>
      </c>
      <c r="CT105" s="106">
        <v>69</v>
      </c>
      <c r="CU105" s="106">
        <v>137862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2276</v>
      </c>
      <c r="E109" s="106">
        <f>SUM(L$6:L$19)+SUM(N$6:N$19)+SUM(P$6:P$19)+SUM(R$6:R$19)</f>
        <v>2439</v>
      </c>
      <c r="F109" s="106">
        <f>SUM(T$6:T$19)+SUM(V$6:V$19)+SUM(X$6:X$19)+SUM(Z$6:Z$19)</f>
        <v>641</v>
      </c>
      <c r="G109" s="106">
        <f>SUM(AB$6:AB$19)+SUM(AD$6:AD$19)+SUM(AF$6:AF$19)+SUM(AH$6:AH$19)</f>
        <v>493</v>
      </c>
      <c r="H109" s="106">
        <f>SUM(AJ$6:AJ$19)+SUM(AL$6:AL$19)+SUM(AN$6:AN$19)+SUM(AP$6:AP$19)</f>
        <v>373</v>
      </c>
      <c r="I109" s="106">
        <f>SUM(AR$6:AR$19)+SUM(AT$6:AT$19)+SUM(AV$6:AV$19)+SUM(AX$6:AX$19)</f>
        <v>435</v>
      </c>
      <c r="J109" s="106">
        <f>SUM(AZ$6:AZ$19)+SUM(BB$6:BB$19)+SUM(BD$6:BD$19)+SUM(BF$6:BF$19)</f>
        <v>2465.5239536648182</v>
      </c>
      <c r="K109" s="106">
        <f>SUM(BH$6:BH$19)+SUM(BJ$6:BJ$19)+SUM(BL$6:BL$19)+SUM(BN$6:BN$19)</f>
        <v>1968</v>
      </c>
      <c r="L109" s="106">
        <f>SUM(BP$6:BP$19)+SUM(BR$6:BR$19)+SUM(BT$6:BT$19)+SUM(BV$6:BV$19)</f>
        <v>434</v>
      </c>
      <c r="M109" s="106">
        <f>SUM(BX$6:BX$19)+SUM(BZ$6:BZ$19)+SUM(CB$6:CB$19)+SUM(CD$6:CD$19)</f>
        <v>3727</v>
      </c>
      <c r="N109" s="106">
        <f>SUM(CF$6:CF$19)+SUM(CH$6:CH$19)+SUM(CJ$6:CJ$19)+SUM(CL$6:CL$19)</f>
        <v>1047</v>
      </c>
      <c r="O109" s="106">
        <f>SUM(CN$6:CN$19)+SUM(CP$6:CP$19)+SUM(CR$6:CR$19)+SUM(CT$6:CT$19)</f>
        <v>660</v>
      </c>
    </row>
    <row r="110" spans="2:99" x14ac:dyDescent="0.2">
      <c r="C110" s="105" t="s">
        <v>127</v>
      </c>
      <c r="D110" s="106">
        <f>SUM(D$20:D$36)+SUM(F$20:F$36)+SUM(H$20:H$36)+SUM(J$20:J$36)</f>
        <v>1262</v>
      </c>
      <c r="E110" s="106">
        <f>SUM(L$20:L$36)+SUM(N$20:N$36)+SUM(P$20:P$36)+SUM(R$20:R$36)</f>
        <v>1972</v>
      </c>
      <c r="F110" s="106">
        <f>SUM(T$20:T$36)+SUM(V$20:V$36)+SUM(X$20:X$36)+SUM(Z$20:Z$36)</f>
        <v>1237</v>
      </c>
      <c r="G110" s="106">
        <f>SUM(AB$20:AB$36)+SUM(AD$20:AD$36)+SUM(AF$20:AF$36)+SUM(AH$20:AH$36)</f>
        <v>931</v>
      </c>
      <c r="H110" s="106">
        <f>SUM(AJ$20:AJ$36)+SUM(AL$20:AL$36)+SUM(AN$20:AN$36)+SUM(AP$20:AP$36)</f>
        <v>857</v>
      </c>
      <c r="I110" s="106">
        <f>SUM(AR$20:AR$36)+SUM(AT$20:AT$36)+SUM(AV$20:AV$36)+SUM(AX$20:AX$36)</f>
        <v>966</v>
      </c>
      <c r="J110" s="106">
        <f>SUM(AZ$20:AZ$36)+SUM(BB$20:BB$36)+SUM(BD$20:BD$36)+SUM(BF$20:BF$36)</f>
        <v>929.05267592926111</v>
      </c>
      <c r="K110" s="106">
        <f>SUM(BH$20:BH$36)+SUM(BJ$20:BJ$36)+SUM(BL$20:BL$36)+SUM(BN$20:BN$36)</f>
        <v>1845</v>
      </c>
      <c r="L110" s="106">
        <f>SUM(BP$20:BP$36)+SUM(BR$20:BR$36)+SUM(BT$20:BT$36)+SUM(BV$20:BV$36)</f>
        <v>1223</v>
      </c>
      <c r="M110" s="106">
        <f>SUM(BX$20:BX$36)+SUM(BZ$20:BZ$36)+SUM(CB$20:CB$36)+SUM(CD$20:CD$36)</f>
        <v>2227</v>
      </c>
      <c r="N110" s="106">
        <f>SUM(CF$20:CF$36)+SUM(CH$20:CH$36)+SUM(CJ$20:CJ$36)+SUM(CL$20:CL$36)</f>
        <v>6917</v>
      </c>
      <c r="O110" s="106">
        <f>SUM(CN$20:CN$36)+SUM(CP$20:CP$36)+SUM(CR$20:CR$36)+SUM(CT$20:CT$36)</f>
        <v>3301</v>
      </c>
    </row>
    <row r="111" spans="2:99" x14ac:dyDescent="0.2">
      <c r="C111" s="105" t="s">
        <v>128</v>
      </c>
      <c r="D111" s="106">
        <f>SUM(D$37:D$48)+SUM(F$37:F$48)+SUM(H$37:H$48)+SUM(J$37:J$48)</f>
        <v>1627</v>
      </c>
      <c r="E111" s="106">
        <f>SUM(L$37:L$48)+SUM(N$37:N$48)+SUM(P$37:P$48)+SUM(R$37:R$48)</f>
        <v>1754</v>
      </c>
      <c r="F111" s="106">
        <f>SUM(T$37:T$48)+SUM(V$37:V$48)+SUM(X$37:X$48)+SUM(Z$37:Z$48)</f>
        <v>420</v>
      </c>
      <c r="G111" s="106">
        <f>SUM(AB$37:AB$48)+SUM(AD$37:AD$48)+SUM(AF$37:AF$48)+SUM(AH$37:AH$48)</f>
        <v>455</v>
      </c>
      <c r="H111" s="106">
        <f>SUM(AJ$37:AJ$48)+SUM(AL$37:AL$48)+SUM(AN$37:AN$48)+SUM(AP$37:AP$48)</f>
        <v>446</v>
      </c>
      <c r="I111" s="106">
        <f>SUM(AR$37:AR$48)+SUM(AT$37:AT$48)+SUM(AV$37:AV$48)+SUM(AX$37:AX$48)</f>
        <v>298</v>
      </c>
      <c r="J111" s="106">
        <f>SUM(AZ$37:AZ$48)+SUM(BB$37:BB$48)+SUM(BD$37:BD$48)+SUM(BF$37:BF$48)</f>
        <v>320.6036218826539</v>
      </c>
      <c r="K111" s="106">
        <f>SUM(BH$37:BH$48)+SUM(BJ$37:BJ$48)+SUM(BL$37:BL$48)+SUM(BN$37:BN$48)</f>
        <v>2574</v>
      </c>
      <c r="L111" s="106">
        <f>SUM(BP$37:BP$48)+SUM(BR$37:BR$48)+SUM(BT$37:BT$48)+SUM(BV$37:BV$48)</f>
        <v>993</v>
      </c>
      <c r="M111" s="106">
        <f>SUM(BX$37:BX$48)+SUM(BZ$37:BZ$48)+SUM(CB$37:CB$48)+SUM(CD$37:CD$48)</f>
        <v>316</v>
      </c>
      <c r="N111" s="106">
        <f>SUM(CF$37:CF$48)+SUM(CH$37:CH$48)+SUM(CJ$37:CJ$48)+SUM(CL$37:CL$48)</f>
        <v>1284</v>
      </c>
      <c r="O111" s="106">
        <f>SUM(CN$37:CN$48)+SUM(CP$37:CP$48)+SUM(CR$37:CR$48)+SUM(CT$37:CT$48)</f>
        <v>585</v>
      </c>
    </row>
    <row r="112" spans="2:99" x14ac:dyDescent="0.2">
      <c r="C112" s="105" t="s">
        <v>129</v>
      </c>
      <c r="D112" s="106">
        <f>SUM(D$49:D$70)+SUM(F$49:F$70)+SUM(H$49:H$70)+SUM(J$49:J$70)</f>
        <v>1111</v>
      </c>
      <c r="E112" s="106">
        <f>SUM(L$49:L$70)+SUM(N$49:N$70)+SUM(P$49:P$70)+SUM(R$49:R$70)</f>
        <v>2449.6206418365364</v>
      </c>
      <c r="F112" s="106">
        <f>SUM(T$49:T$70)+SUM(V$49:V$70)+SUM(X$49:X$70)+SUM(Z$49:Z$70)</f>
        <v>1640.3716249167069</v>
      </c>
      <c r="G112" s="106">
        <f>SUM(AB$49:AB$70)+SUM(AD$49:AD$70)+SUM(AF$49:AF$70)+SUM(AH$49:AH$70)</f>
        <v>427.26595498612608</v>
      </c>
      <c r="H112" s="106">
        <f>SUM(AJ$49:AJ$70)+SUM(AL$49:AL$70)+SUM(AN$49:AN$70)+SUM(AP$49:AP$70)</f>
        <v>536.55792048147737</v>
      </c>
      <c r="I112" s="106">
        <f>SUM(AR$49:AR$70)+SUM(AT$49:AT$70)+SUM(AV$49:AV$70)+SUM(AX$49:AX$70)</f>
        <v>777.00394109099796</v>
      </c>
      <c r="J112" s="106">
        <f>SUM(AZ$49:AZ$70)+SUM(BB$49:BB$70)+SUM(BD$49:BD$70)+SUM(BF$49:BF$70)</f>
        <v>2933.6533368534801</v>
      </c>
      <c r="K112" s="106">
        <f>SUM(BH$49:BH$70)+SUM(BJ$49:BJ$70)+SUM(BL$49:BL$70)+SUM(BN$49:BN$70)</f>
        <v>430.33175944277986</v>
      </c>
      <c r="L112" s="106">
        <f>SUM(BP$49:BP$70)+SUM(BR$49:BR$70)+SUM(BT$49:BT$70)+SUM(BV$49:BV$70)</f>
        <v>405.10852916573907</v>
      </c>
      <c r="M112" s="106">
        <f>SUM(BX$49:BX$70)+SUM(BZ$49:BZ$70)+SUM(CB$49:CB$70)+SUM(CD$49:CD$70)</f>
        <v>567</v>
      </c>
      <c r="N112" s="106">
        <f>SUM(CF$49:CF$70)+SUM(CH$49:CH$70)+SUM(CJ$49:CJ$70)+SUM(CL$49:CL$70)</f>
        <v>774.1538596578456</v>
      </c>
      <c r="O112" s="106">
        <f>SUM(CN$49:CN$70)+SUM(CP$49:CP$70)+SUM(CR$49:CR$70)+SUM(CT$49:CT$70)</f>
        <v>2438.7295786669238</v>
      </c>
    </row>
    <row r="113" spans="2:15" x14ac:dyDescent="0.2">
      <c r="C113" s="105" t="s">
        <v>130</v>
      </c>
      <c r="D113" s="106">
        <f>SUM(D$71:D$86)+SUM(F$71:F$86)+SUM(H$71:H$86)+SUM(J$71:J$86)</f>
        <v>514.65419661958413</v>
      </c>
      <c r="E113" s="106">
        <f>SUM(L$71:L$86)+SUM(N$71:N$86)+SUM(P$71:P$86)+SUM(R$71:R$86)</f>
        <v>284.17237539282041</v>
      </c>
      <c r="F113" s="106">
        <f>SUM(T$71:T$86)+SUM(V$71:V$86)+SUM(X$71:X$86)+SUM(Z$71:Z$86)</f>
        <v>1875.7725230757469</v>
      </c>
      <c r="G113" s="106">
        <f>SUM(AB$71:AB$86)+SUM(AD$71:AD$86)+SUM(AF$71:AF$86)+SUM(AH$71:AH$86)</f>
        <v>878.03215635992115</v>
      </c>
      <c r="H113" s="106">
        <f>SUM(AJ$71:AJ$86)+SUM(AL$71:AL$86)+SUM(AN$71:AN$86)+SUM(AP$71:AP$86)</f>
        <v>774.66251995451353</v>
      </c>
      <c r="I113" s="106">
        <f>SUM(AR$71:AR$86)+SUM(AT$71:AT$86)+SUM(AV$71:AV$86)+SUM(AX$71:AX$86)</f>
        <v>1248.1361328520268</v>
      </c>
      <c r="J113" s="106">
        <f>SUM(AZ$71:AZ$86)+SUM(BB$71:BB$86)+SUM(BD$71:BD$86)+SUM(BF$71:BF$86)</f>
        <v>327</v>
      </c>
      <c r="K113" s="106">
        <f>SUM(BH$71:BH$86)+SUM(BJ$71:BJ$86)+SUM(BL$71:BL$86)+SUM(BN$71:BN$86)</f>
        <v>852</v>
      </c>
      <c r="L113" s="106">
        <f>SUM(BP$71:BP$86)+SUM(BR$71:BR$86)+SUM(BT$71:BT$86)+SUM(BV$71:BV$86)</f>
        <v>429.36350509555257</v>
      </c>
      <c r="M113" s="106">
        <f>SUM(BX$71:BX$86)+SUM(BZ$71:BZ$86)+SUM(CB$71:CB$86)+SUM(CD$71:CD$86)</f>
        <v>453.14612866193607</v>
      </c>
      <c r="N113" s="106">
        <f>SUM(CF$71:CF$86)+SUM(CH$71:CH$86)+SUM(CJ$71:CJ$86)+SUM(CL$71:CL$86)</f>
        <v>926</v>
      </c>
      <c r="O113" s="106">
        <f>SUM(CN$71:CN$86)+SUM(CP$71:CP$86)+SUM(CR$71:CR$86)+SUM(CT$71:CT$86)</f>
        <v>376.40730303717612</v>
      </c>
    </row>
    <row r="114" spans="2:15" x14ac:dyDescent="0.2">
      <c r="C114" s="105" t="s">
        <v>131</v>
      </c>
      <c r="D114" s="106">
        <f>SUM(D$87:D$94)+SUM(F$87:F$94)+SUM(H$87:H$94)+SUM(J$87:J$94)</f>
        <v>114.09970719914665</v>
      </c>
      <c r="E114" s="106">
        <f>SUM(L$87:L$94)+SUM(N$87:N$94)+SUM(P$87:P$94)+SUM(R$87:R$94)</f>
        <v>429</v>
      </c>
      <c r="F114" s="106">
        <f>SUM(T$87:T$94)+SUM(V$87:V$94)+SUM(X$87:X$94)+SUM(Z$87:Z$94)</f>
        <v>939</v>
      </c>
      <c r="G114" s="106">
        <f>SUM(AB$87:AB$94)+SUM(AD$87:AD$94)+SUM(AF$87:AF$94)+SUM(AH$87:AH$94)</f>
        <v>338.15826709706744</v>
      </c>
      <c r="H114" s="106">
        <f>SUM(AJ$87:AJ$94)+SUM(AL$87:AL$94)+SUM(AN$87:AN$94)+SUM(AP$87:AP$94)</f>
        <v>395.99841360917196</v>
      </c>
      <c r="I114" s="106">
        <f>SUM(AR$87:AR$94)+SUM(AT$87:AT$94)+SUM(AV$87:AV$94)+SUM(AX$87:AX$94)</f>
        <v>185.04301865046003</v>
      </c>
      <c r="J114" s="106">
        <f>SUM(AZ$87:AZ$94)+SUM(BB$87:BB$94)+SUM(BD$87:BD$94)+SUM(BF$87:BF$94)</f>
        <v>280</v>
      </c>
      <c r="K114" s="106">
        <f>SUM(BH$87:BH$94)+SUM(BJ$87:BJ$94)+SUM(BL$87:BL$94)+SUM(BN$87:BN$94)</f>
        <v>452.38264775111304</v>
      </c>
      <c r="L114" s="106">
        <f>SUM(BP$87:BP$94)+SUM(BR$87:BR$94)+SUM(BT$87:BT$94)+SUM(BV$87:BV$94)</f>
        <v>1143.2626549357396</v>
      </c>
      <c r="M114" s="106">
        <f>SUM(BX$87:BX$94)+SUM(BZ$87:BZ$94)+SUM(CB$87:CB$94)+SUM(CD$87:CD$94)</f>
        <v>737.0920259026999</v>
      </c>
      <c r="N114" s="106">
        <f>SUM(CF$87:CF$94)+SUM(CH$87:CH$94)+SUM(CJ$87:CJ$94)+SUM(CL$87:CL$94)</f>
        <v>328</v>
      </c>
      <c r="O114" s="106">
        <f>SUM(CN$87:CN$94)+SUM(CP$87:CP$94)+SUM(CR$87:CR$94)+SUM(CT$87:CT$94)</f>
        <v>199.83285116072454</v>
      </c>
    </row>
    <row r="115" spans="2:15" x14ac:dyDescent="0.2">
      <c r="C115" s="105" t="s">
        <v>132</v>
      </c>
      <c r="D115" s="106">
        <f>SUM(D$95:D$105)+SUM(F$95:F$105)+SUM(H$95:H$105)+SUM(J$95:J$105)</f>
        <v>281.43438193867172</v>
      </c>
      <c r="E115" s="106">
        <f>SUM(L$95:L$105)+SUM(N$95:N$105)+SUM(P$95:P$105)+SUM(R$95:R$105)</f>
        <v>580.38193615992418</v>
      </c>
      <c r="F115" s="106">
        <f>SUM(T$95:T$105)+SUM(V$95:V$105)+SUM(X$95:X$105)+SUM(Z$95:Z$105)</f>
        <v>556.69335498657301</v>
      </c>
      <c r="G115" s="106">
        <f>SUM(AB$95:AB$105)+SUM(AD$95:AD$105)+SUM(AF$95:AF$105)+SUM(AH$95:AH$105)</f>
        <v>1627.1464119695875</v>
      </c>
      <c r="H115" s="106">
        <f>SUM(AJ$95:AJ$105)+SUM(AL$95:AL$105)+SUM(AN$95:AN$105)+SUM(AP$95:AP$105)</f>
        <v>357.28554977601192</v>
      </c>
      <c r="I115" s="106">
        <f>SUM(AR$95:AR$105)+SUM(AT$95:AT$105)+SUM(AV$95:AV$105)+SUM(AX$95:AX$105)</f>
        <v>1791.6785650763882</v>
      </c>
      <c r="J115" s="106">
        <f>SUM(AZ$95:AZ$105)+SUM(BB$95:BB$105)+SUM(BD$95:BD$105)+SUM(BF$95:BF$105)</f>
        <v>1078.2028632714948</v>
      </c>
      <c r="K115" s="106">
        <f>SUM(BH$95:BH$105)+SUM(BJ$95:BJ$105)+SUM(BL$95:BL$105)+SUM(BN$95:BN$105)</f>
        <v>1510.4239139315714</v>
      </c>
      <c r="L115" s="106">
        <f>SUM(BP$95:BP$105)+SUM(BR$95:BR$105)+SUM(BT$95:BT$105)+SUM(BV$95:BV$105)</f>
        <v>1088</v>
      </c>
      <c r="M115" s="106">
        <f>SUM(BX$95:BX$105)+SUM(BZ$95:BZ$105)+SUM(CB$95:CB$105)+SUM(CD$95:CD$105)</f>
        <v>1253</v>
      </c>
      <c r="N115" s="106">
        <f>SUM(CF$95:CF$105)+SUM(CH$95:CH$105)+SUM(CJ$95:CJ$105)+SUM(CL$95:CL$105)</f>
        <v>987.41170787752662</v>
      </c>
      <c r="O115" s="106">
        <f>SUM(CN$95:CN$105)+SUM(CP$95:CP$105)+SUM(CR$95:CR$105)+SUM(CT$95:CT$105)</f>
        <v>3674</v>
      </c>
    </row>
    <row r="116" spans="2:15" x14ac:dyDescent="0.2">
      <c r="C116" s="105" t="s">
        <v>277</v>
      </c>
      <c r="D116" s="106">
        <f t="shared" ref="D116:O116" si="0">SUM(D$109:D$115)</f>
        <v>7186.1882857574019</v>
      </c>
      <c r="E116" s="106">
        <f t="shared" si="0"/>
        <v>9908.1749533892798</v>
      </c>
      <c r="F116" s="106">
        <f t="shared" si="0"/>
        <v>7309.8375029790277</v>
      </c>
      <c r="G116" s="106">
        <f t="shared" si="0"/>
        <v>5149.6027904127022</v>
      </c>
      <c r="H116" s="106">
        <f t="shared" si="0"/>
        <v>3740.5044038211749</v>
      </c>
      <c r="I116" s="106">
        <f t="shared" si="0"/>
        <v>5700.8616576698732</v>
      </c>
      <c r="J116" s="106">
        <f t="shared" si="0"/>
        <v>8334.0364516017089</v>
      </c>
      <c r="K116" s="106">
        <f t="shared" si="0"/>
        <v>9632.1383211254652</v>
      </c>
      <c r="L116" s="106">
        <f t="shared" si="0"/>
        <v>5715.7346891970319</v>
      </c>
      <c r="M116" s="106">
        <f t="shared" si="0"/>
        <v>9280.2381545646349</v>
      </c>
      <c r="N116" s="106">
        <f t="shared" si="0"/>
        <v>12263.565567535372</v>
      </c>
      <c r="O116" s="106">
        <f t="shared" si="0"/>
        <v>11234.969732864825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5556406.2459796453</v>
      </c>
      <c r="E120" s="106">
        <f>E109*pricing!E24*2000</f>
        <v>6689954.888994108</v>
      </c>
      <c r="F120" s="106">
        <f>F109*pricing!F24*2000</f>
        <v>3532210.9173442349</v>
      </c>
      <c r="G120" s="106">
        <f>G109*pricing!G24*2000</f>
        <v>2749545.4842512868</v>
      </c>
      <c r="H120" s="106">
        <f>H109*pricing!H24*2000</f>
        <v>2586526.2545774472</v>
      </c>
      <c r="I120" s="106">
        <f>I109*pricing!I24*2000</f>
        <v>2808666.1619395642</v>
      </c>
      <c r="J120" s="106">
        <f>J109*pricing!J24*2000</f>
        <v>7056926.7919340963</v>
      </c>
      <c r="K120" s="106">
        <f>K109*pricing!K24*2000</f>
        <v>6368718.0830744924</v>
      </c>
      <c r="L120" s="106">
        <f>L109*pricing!L24*2000</f>
        <v>2730385.4219482075</v>
      </c>
      <c r="M120" s="106">
        <f>M109*pricing!M24*2000</f>
        <v>8428222.0769242346</v>
      </c>
      <c r="N120" s="106">
        <f>N109*pricing!N24*2000</f>
        <v>4800804.1027137665</v>
      </c>
      <c r="O120" s="106">
        <f>O109*pricing!O24*2000</f>
        <v>3911316.7679363261</v>
      </c>
    </row>
    <row r="121" spans="2:15" x14ac:dyDescent="0.2">
      <c r="C121" s="105" t="s">
        <v>127</v>
      </c>
      <c r="D121" s="106">
        <f>D110*pricing!D25*2000</f>
        <v>5577129.2743354402</v>
      </c>
      <c r="E121" s="106">
        <f>E110*pricing!E25*2000</f>
        <v>8403722.7949692421</v>
      </c>
      <c r="F121" s="106">
        <f>F110*pricing!F25*2000</f>
        <v>6464263.1736386763</v>
      </c>
      <c r="G121" s="106">
        <f>G110*pricing!G25*2000</f>
        <v>5685203.6690007588</v>
      </c>
      <c r="H121" s="106">
        <f>H110*pricing!H25*2000</f>
        <v>5466972.9730674168</v>
      </c>
      <c r="I121" s="106">
        <f>I110*pricing!I25*2000</f>
        <v>6213670.0637294855</v>
      </c>
      <c r="J121" s="106">
        <f>J110*pricing!J25*2000</f>
        <v>6015347.3861415554</v>
      </c>
      <c r="K121" s="106">
        <f>K110*pricing!K25*2000</f>
        <v>7941211.6120169908</v>
      </c>
      <c r="L121" s="106">
        <f>L110*pricing!L25*2000</f>
        <v>6251249.2636352563</v>
      </c>
      <c r="M121" s="106">
        <f>M110*pricing!M25*2000</f>
        <v>9600800.8649602663</v>
      </c>
      <c r="N121" s="106">
        <f>N110*pricing!N25*2000</f>
        <v>16814858.126192369</v>
      </c>
      <c r="O121" s="106">
        <f>O110*pricing!O25*2000</f>
        <v>10668743.779569516</v>
      </c>
    </row>
    <row r="122" spans="2:15" x14ac:dyDescent="0.2">
      <c r="C122" s="105" t="s">
        <v>128</v>
      </c>
      <c r="D122" s="106">
        <f>D111*pricing!D26*2000</f>
        <v>4283741.6771824947</v>
      </c>
      <c r="E122" s="106">
        <f>E111*pricing!E26*2000</f>
        <v>5466191.3285019351</v>
      </c>
      <c r="F122" s="106">
        <f>F111*pricing!F26*2000</f>
        <v>2351700.1206347407</v>
      </c>
      <c r="G122" s="106">
        <f>G111*pricing!G26*2000</f>
        <v>2547519.4448162243</v>
      </c>
      <c r="H122" s="106">
        <f>H111*pricing!H26*2000</f>
        <v>2639048.0522543029</v>
      </c>
      <c r="I122" s="106">
        <f>I111*pricing!I26*2000</f>
        <v>2124454.5104101948</v>
      </c>
      <c r="J122" s="106">
        <f>J111*pricing!J26*2000</f>
        <v>1899551.4779746293</v>
      </c>
      <c r="K122" s="106">
        <f>K111*pricing!K26*2000</f>
        <v>5944508.3126021633</v>
      </c>
      <c r="L122" s="106">
        <f>L111*pricing!L26*2000</f>
        <v>4112639.4785719821</v>
      </c>
      <c r="M122" s="106">
        <f>M111*pricing!M26*2000</f>
        <v>2065984.6608443372</v>
      </c>
      <c r="N122" s="106">
        <f>N111*pricing!N26*2000</f>
        <v>4658012.4105004743</v>
      </c>
      <c r="O122" s="106">
        <f>O111*pricing!O26*2000</f>
        <v>2868816.3569405992</v>
      </c>
    </row>
    <row r="123" spans="2:15" x14ac:dyDescent="0.2">
      <c r="C123" s="105" t="s">
        <v>129</v>
      </c>
      <c r="D123" s="106">
        <f>D112*pricing!D27*2000</f>
        <v>4155731.9698540913</v>
      </c>
      <c r="E123" s="106">
        <f>E112*pricing!E27*2000</f>
        <v>7500555.2719540093</v>
      </c>
      <c r="F123" s="106">
        <f>F112*pricing!F27*2000</f>
        <v>6376854.5633868081</v>
      </c>
      <c r="G123" s="106">
        <f>G112*pricing!G27*2000</f>
        <v>2863003.0310299601</v>
      </c>
      <c r="H123" s="106">
        <f>H112*pricing!H27*2000</f>
        <v>3380427.4649008629</v>
      </c>
      <c r="I123" s="106">
        <f>I112*pricing!I27*2000</f>
        <v>4411185.9347038362</v>
      </c>
      <c r="J123" s="106">
        <f>J112*pricing!J27*2000</f>
        <v>7458527.6412445698</v>
      </c>
      <c r="K123" s="106">
        <f>K112*pricing!K27*2000</f>
        <v>2785255.9419051157</v>
      </c>
      <c r="L123" s="106">
        <f>L112*pricing!L27*2000</f>
        <v>2678638.2084139255</v>
      </c>
      <c r="M123" s="106">
        <f>M112*pricing!M27*2000</f>
        <v>3151452.099608365</v>
      </c>
      <c r="N123" s="106">
        <f>N112*pricing!N27*2000</f>
        <v>4041026.4360285634</v>
      </c>
      <c r="O123" s="106">
        <f>O112*pricing!O27*2000</f>
        <v>7502253.1913173888</v>
      </c>
    </row>
    <row r="124" spans="2:15" x14ac:dyDescent="0.2">
      <c r="C124" s="105" t="s">
        <v>130</v>
      </c>
      <c r="D124" s="106">
        <f>D113*pricing!D28*2000</f>
        <v>2628227.987291655</v>
      </c>
      <c r="E124" s="106">
        <f>E113*pricing!E28*2000</f>
        <v>2006426.7415622177</v>
      </c>
      <c r="F124" s="106">
        <f>F113*pricing!F28*2000</f>
        <v>5369500.3396988343</v>
      </c>
      <c r="G124" s="106">
        <f>G113*pricing!G28*2000</f>
        <v>3504390.8935195869</v>
      </c>
      <c r="H124" s="106">
        <f>H113*pricing!H28*2000</f>
        <v>3193694.4771973053</v>
      </c>
      <c r="I124" s="106">
        <f>I113*pricing!I28*2000</f>
        <v>4499138.8433443047</v>
      </c>
      <c r="J124" s="106">
        <f>J113*pricing!J28*2000</f>
        <v>2147943.7690630588</v>
      </c>
      <c r="K124" s="106">
        <f>K113*pricing!K28*2000</f>
        <v>3346600.4831878082</v>
      </c>
      <c r="L124" s="106">
        <f>L113*pricing!L28*2000</f>
        <v>2443546.5104650129</v>
      </c>
      <c r="M124" s="106">
        <f>M113*pricing!M28*2000</f>
        <v>2677491.3182929717</v>
      </c>
      <c r="N124" s="106">
        <f>N113*pricing!N28*2000</f>
        <v>3535162.1725210822</v>
      </c>
      <c r="O124" s="106">
        <f>O113*pricing!O28*2000</f>
        <v>2371539.1361716208</v>
      </c>
    </row>
    <row r="125" spans="2:15" x14ac:dyDescent="0.2">
      <c r="C125" s="105" t="s">
        <v>131</v>
      </c>
      <c r="D125" s="106">
        <f>D114*pricing!D29*2000</f>
        <v>775756.10395986063</v>
      </c>
      <c r="E125" s="106">
        <f>E114*pricing!E29*2000</f>
        <v>1528640.587376958</v>
      </c>
      <c r="F125" s="106">
        <f>F114*pricing!F29*2000</f>
        <v>2418199.5524801565</v>
      </c>
      <c r="G125" s="106">
        <f>G114*pricing!G29*2000</f>
        <v>1630934.7827255507</v>
      </c>
      <c r="H125" s="106">
        <f>H114*pricing!H29*2000</f>
        <v>1656688.0217014255</v>
      </c>
      <c r="I125" s="106">
        <f>I114*pricing!I29*2000</f>
        <v>1123172.0874512028</v>
      </c>
      <c r="J125" s="106">
        <f>J114*pricing!J29*2000</f>
        <v>1473905.6441093287</v>
      </c>
      <c r="K125" s="106">
        <f>K114*pricing!K29*2000</f>
        <v>1618643.717080524</v>
      </c>
      <c r="L125" s="106">
        <f>L114*pricing!L29*2000</f>
        <v>2819531.5368222119</v>
      </c>
      <c r="M125" s="106">
        <f>M114*pricing!M29*2000</f>
        <v>2117744.2507124012</v>
      </c>
      <c r="N125" s="106">
        <f>N114*pricing!N29*2000</f>
        <v>1505956.8526827809</v>
      </c>
      <c r="O125" s="106">
        <f>O114*pricing!O29*2000</f>
        <v>1293980.7183545853</v>
      </c>
    </row>
    <row r="126" spans="2:15" x14ac:dyDescent="0.2">
      <c r="C126" s="105" t="s">
        <v>132</v>
      </c>
      <c r="D126" s="106">
        <f>D115*pricing!D30*2000</f>
        <v>1790466.9191846983</v>
      </c>
      <c r="E126" s="106">
        <f>E115*pricing!E30*2000</f>
        <v>3167076.9388904786</v>
      </c>
      <c r="F126" s="106">
        <f>F115*pricing!F30*2000</f>
        <v>2870518.7150590592</v>
      </c>
      <c r="G126" s="106">
        <f>G115*pricing!G30*2000</f>
        <v>4450142.4233624414</v>
      </c>
      <c r="H126" s="106">
        <f>H115*pricing!H30*2000</f>
        <v>2459760.2930241404</v>
      </c>
      <c r="I126" s="106">
        <f>I115*pricing!I30*2000</f>
        <v>5492265.3574225958</v>
      </c>
      <c r="J126" s="106">
        <f>J115*pricing!J30*2000</f>
        <v>4046658.8378943456</v>
      </c>
      <c r="K126" s="106">
        <f>K115*pricing!K30*2000</f>
        <v>5046166.2703286596</v>
      </c>
      <c r="L126" s="106">
        <f>L115*pricing!L30*2000</f>
        <v>4228393.3183472631</v>
      </c>
      <c r="M126" s="106">
        <f>M115*pricing!M30*2000</f>
        <v>4617323.2626597574</v>
      </c>
      <c r="N126" s="106">
        <f>N115*pricing!N30*2000</f>
        <v>3967490.3560532518</v>
      </c>
      <c r="O126" s="106">
        <f>O115*pricing!O30*2000</f>
        <v>7403829.6035856176</v>
      </c>
    </row>
    <row r="127" spans="2:15" x14ac:dyDescent="0.2">
      <c r="C127" s="105" t="s">
        <v>277</v>
      </c>
      <c r="D127" s="106">
        <f t="shared" ref="D127:O127" si="1">SUM(D$120:D$126)</f>
        <v>24767460.177787889</v>
      </c>
      <c r="E127" s="106">
        <f t="shared" si="1"/>
        <v>34762568.552248955</v>
      </c>
      <c r="F127" s="106">
        <f t="shared" si="1"/>
        <v>29383247.382242508</v>
      </c>
      <c r="G127" s="106">
        <f t="shared" si="1"/>
        <v>23430739.728705809</v>
      </c>
      <c r="H127" s="106">
        <f t="shared" si="1"/>
        <v>21383117.536722902</v>
      </c>
      <c r="I127" s="106">
        <f t="shared" si="1"/>
        <v>26672552.959001184</v>
      </c>
      <c r="J127" s="106">
        <f t="shared" si="1"/>
        <v>30098861.548361585</v>
      </c>
      <c r="K127" s="106">
        <f t="shared" si="1"/>
        <v>33051104.420195751</v>
      </c>
      <c r="L127" s="106">
        <f t="shared" si="1"/>
        <v>25264383.738203861</v>
      </c>
      <c r="M127" s="106">
        <f t="shared" si="1"/>
        <v>32659018.534002338</v>
      </c>
      <c r="N127" s="106">
        <f t="shared" si="1"/>
        <v>39323310.456692293</v>
      </c>
      <c r="O127" s="106">
        <f t="shared" si="1"/>
        <v>36020479.553875655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1138347.5999999999</v>
      </c>
      <c r="E131" s="112">
        <f>SUM(M$6:M$19)+SUM(O$6:O$19)+SUM(Q$6:Q$19)+SUM(S$6:S$19)</f>
        <v>1222576.7999999998</v>
      </c>
      <c r="F131" s="112">
        <f>SUM(U$6:U$19)+SUM(W$6:W$19)+SUM(Y$6:Y$19)+SUM(AA$6:AA$19)</f>
        <v>322096.8</v>
      </c>
      <c r="G131" s="112">
        <f>SUM(AC$6:AC$19)+SUM(AE$6:AE$19)+SUM(AG$6:AG$19)+SUM(AI$6:AI$19)</f>
        <v>248824.79999999996</v>
      </c>
      <c r="H131" s="112">
        <f>SUM(AK$6:AK$19)+SUM(AM$6:AM$19)+SUM(AO$6:AO$19)+SUM(AQ$6:AQ$19)</f>
        <v>189973.2</v>
      </c>
      <c r="I131" s="112">
        <f>SUM(AS$6:AS$19)+SUM(AU$6:AU$19)+SUM(AW$6:AW$19)+SUM(AY$6:AY$19)</f>
        <v>220484.4</v>
      </c>
      <c r="J131" s="112">
        <f>SUM(BA$6:BA$19)+SUM(BC$6:BC$19)+SUM(BE$6:BE$19)+SUM(BG$6:BG$19)</f>
        <v>1236221.2501173832</v>
      </c>
      <c r="K131" s="112">
        <f>SUM(BI$6:BI$19)+SUM(BK$6:BK$19)+SUM(BM$6:BM$19)+SUM(BO$6:BO$19)</f>
        <v>994743.6</v>
      </c>
      <c r="L131" s="112">
        <f>SUM(BQ$6:BQ$19)+SUM(BS$6:BS$19)+SUM(BU$6:BU$19)+SUM(BW$6:BW$19)</f>
        <v>219721.19999999998</v>
      </c>
      <c r="M131" s="112">
        <f>SUM(BY$6:BY$19)+SUM(CA$6:CA$19)+SUM(CC$6:CC$19)+SUM(CE$6:CE$19)</f>
        <v>1875502.8</v>
      </c>
      <c r="N131" s="112">
        <f>SUM(CG$6:CG$19)+SUM(CI$6:CI$19)+SUM(CK$6:CK$19)+SUM(CM$6:CM$19)</f>
        <v>528883.19999999995</v>
      </c>
      <c r="O131" s="112">
        <f>SUM(CO$6:CO$19)+SUM(CQ$6:CQ$19)+SUM(CS$6:CS$19)+SUM(CU$6:CU$19)</f>
        <v>332371.19999999995</v>
      </c>
    </row>
    <row r="132" spans="2:15" x14ac:dyDescent="0.2">
      <c r="C132" s="111" t="s">
        <v>127</v>
      </c>
      <c r="D132" s="112">
        <f>SUM(E$20:E$36)+SUM(G$20:G$36)+SUM(I$20:I$36)+SUM(K$20:K$36)</f>
        <v>539756.4</v>
      </c>
      <c r="E132" s="112">
        <f>SUM(M$20:M$36)+SUM(O$20:O$36)+SUM(Q$20:Q$36)+SUM(S$20:S$36)</f>
        <v>843189.6</v>
      </c>
      <c r="F132" s="112">
        <f>SUM(U$20:U$36)+SUM(W$20:W$36)+SUM(Y$20:Y$36)+SUM(AA$20:AA$36)</f>
        <v>527949.6</v>
      </c>
      <c r="G132" s="112">
        <f>SUM(AC$20:AC$36)+SUM(AE$20:AE$36)+SUM(AG$20:AG$36)+SUM(AI$20:AI$36)</f>
        <v>397857.6</v>
      </c>
      <c r="H132" s="112">
        <f>SUM(AK$20:AK$36)+SUM(AM$20:AM$36)+SUM(AO$20:AO$36)+SUM(AQ$20:AQ$36)</f>
        <v>367769.99999999994</v>
      </c>
      <c r="I132" s="112">
        <f>SUM(AS$20:AS$36)+SUM(AU$20:AU$36)+SUM(AW$20:AW$36)+SUM(AY$20:AY$36)</f>
        <v>415876.79999999993</v>
      </c>
      <c r="J132" s="112">
        <f>SUM(BA$20:BA$36)+SUM(BC$20:BC$36)+SUM(BE$20:BE$36)+SUM(BG$20:BG$36)</f>
        <v>396661.01061587612</v>
      </c>
      <c r="K132" s="112">
        <f>SUM(BI$20:BI$36)+SUM(BK$20:BK$36)+SUM(BM$20:BM$36)+SUM(BO$20:BO$36)</f>
        <v>792382.8</v>
      </c>
      <c r="L132" s="112">
        <f>SUM(BQ$20:BQ$36)+SUM(BS$20:BS$36)+SUM(BU$20:BU$36)+SUM(BW$20:BW$36)</f>
        <v>520690.80000000005</v>
      </c>
      <c r="M132" s="112">
        <f>SUM(BY$20:BY$36)+SUM(CA$20:CA$36)+SUM(CC$20:CC$36)+SUM(CE$20:CE$36)</f>
        <v>944461.2</v>
      </c>
      <c r="N132" s="112">
        <f>SUM(CG$20:CG$36)+SUM(CI$20:CI$36)+SUM(CK$20:CK$36)+SUM(CM$20:CM$36)</f>
        <v>2916514.8000000003</v>
      </c>
      <c r="O132" s="112">
        <f>SUM(CO$20:CO$36)+SUM(CQ$20:CQ$36)+SUM(CS$20:CS$36)+SUM(CU$20:CU$36)</f>
        <v>1415473.1999999997</v>
      </c>
    </row>
    <row r="133" spans="2:15" x14ac:dyDescent="0.2">
      <c r="C133" s="111" t="s">
        <v>128</v>
      </c>
      <c r="D133" s="112">
        <f>SUM(E$37:E$48)+SUM(G$37:G$48)+SUM(I$37:I$48)+SUM(K$37:K$48)</f>
        <v>1701440.4</v>
      </c>
      <c r="E133" s="112">
        <f>SUM(M$37:M$48)+SUM(O$37:O$48)+SUM(Q$37:Q$48)+SUM(S$37:S$48)</f>
        <v>1839200.4</v>
      </c>
      <c r="F133" s="112">
        <f>SUM(U$37:U$48)+SUM(W$37:W$48)+SUM(Y$37:Y$48)+SUM(AA$37:AA$48)</f>
        <v>441445.20000000007</v>
      </c>
      <c r="G133" s="112">
        <f>SUM(AC$37:AC$48)+SUM(AE$37:AE$48)+SUM(AG$37:AG$48)+SUM(AI$37:AI$48)</f>
        <v>479239.2</v>
      </c>
      <c r="H133" s="112">
        <f>SUM(AK$37:AK$48)+SUM(AM$37:AM$48)+SUM(AO$37:AO$48)+SUM(AQ$37:AQ$48)</f>
        <v>470275.2</v>
      </c>
      <c r="I133" s="112">
        <f>SUM(AS$37:AS$48)+SUM(AU$37:AU$48)+SUM(AW$37:AW$48)+SUM(AY$37:AY$48)</f>
        <v>312140.39999999997</v>
      </c>
      <c r="J133" s="112">
        <f>SUM(BA$37:BA$48)+SUM(BC$37:BC$48)+SUM(BE$37:BE$48)+SUM(BG$37:BG$48)</f>
        <v>337974.93779609934</v>
      </c>
      <c r="K133" s="112">
        <f>SUM(BI$37:BI$48)+SUM(BK$37:BK$48)+SUM(BM$37:BM$48)+SUM(BO$37:BO$48)</f>
        <v>2677891.2000000002</v>
      </c>
      <c r="L133" s="112">
        <f>SUM(BQ$37:BQ$48)+SUM(BS$37:BS$48)+SUM(BU$37:BU$48)+SUM(BW$37:BW$48)</f>
        <v>1038770.4</v>
      </c>
      <c r="M133" s="112">
        <f>SUM(BY$37:BY$48)+SUM(CA$37:CA$48)+SUM(CC$37:CC$48)+SUM(CE$37:CE$48)</f>
        <v>331546.8</v>
      </c>
      <c r="N133" s="112">
        <f>SUM(CG$37:CG$48)+SUM(CI$37:CI$48)+SUM(CK$37:CK$48)+SUM(CM$37:CM$48)</f>
        <v>1342743.6</v>
      </c>
      <c r="O133" s="112">
        <f>SUM(CO$37:CO$48)+SUM(CQ$37:CQ$48)+SUM(CS$37:CS$48)+SUM(CU$37:CU$48)</f>
        <v>613792.80000000005</v>
      </c>
    </row>
    <row r="134" spans="2:15" x14ac:dyDescent="0.2">
      <c r="C134" s="111" t="s">
        <v>129</v>
      </c>
      <c r="D134" s="112">
        <f>SUM(E$49:E$70)+SUM(G$49:G$70)+SUM(I$49:I$70)+SUM(K$49:K$70)</f>
        <v>936828</v>
      </c>
      <c r="E134" s="112">
        <f>SUM(M$49:M$70)+SUM(O$49:O$70)+SUM(Q$49:Q$70)+SUM(S$49:S$70)</f>
        <v>2065073.5899401468</v>
      </c>
      <c r="F134" s="112">
        <f>SUM(U$49:U$70)+SUM(W$49:W$70)+SUM(Y$49:Y$70)+SUM(AA$49:AA$70)</f>
        <v>1384979.6943745594</v>
      </c>
      <c r="G134" s="112">
        <f>SUM(AC$49:AC$70)+SUM(AE$49:AE$70)+SUM(AG$49:AG$70)+SUM(AI$49:AI$70)</f>
        <v>364664.79806526902</v>
      </c>
      <c r="H134" s="112">
        <f>SUM(AK$49:AK$70)+SUM(AM$49:AM$70)+SUM(AO$49:AO$70)+SUM(AQ$49:AQ$70)</f>
        <v>456013.84263386298</v>
      </c>
      <c r="I134" s="112">
        <f>SUM(AS$49:AS$70)+SUM(AU$49:AU$70)+SUM(AW$49:AW$70)+SUM(AY$49:AY$70)</f>
        <v>663047.70810331381</v>
      </c>
      <c r="J134" s="112">
        <f>SUM(BA$49:BA$70)+SUM(BC$49:BC$70)+SUM(BE$49:BE$70)+SUM(BG$49:BG$70)</f>
        <v>2461236.3961046115</v>
      </c>
      <c r="K134" s="112">
        <f>SUM(BI$49:BI$70)+SUM(BK$49:BK$70)+SUM(BM$49:BM$70)+SUM(BO$49:BO$70)</f>
        <v>364146.43110424641</v>
      </c>
      <c r="L134" s="112">
        <f>SUM(BQ$49:BQ$70)+SUM(BS$49:BS$70)+SUM(BU$49:BU$70)+SUM(BW$49:BW$70)</f>
        <v>344579.22612641286</v>
      </c>
      <c r="M134" s="112">
        <f>SUM(BY$49:BY$70)+SUM(CA$49:CA$70)+SUM(CC$49:CC$70)+SUM(CE$49:CE$70)</f>
        <v>479744.39999999991</v>
      </c>
      <c r="N134" s="112">
        <f>SUM(CG$49:CG$70)+SUM(CI$49:CI$70)+SUM(CK$49:CK$70)+SUM(CM$49:CM$70)</f>
        <v>658111.45708398405</v>
      </c>
      <c r="O134" s="112">
        <f>SUM(CO$49:CO$70)+SUM(CQ$49:CQ$70)+SUM(CS$49:CS$70)+SUM(CU$49:CU$70)</f>
        <v>2054542.1180592114</v>
      </c>
    </row>
    <row r="135" spans="2:15" x14ac:dyDescent="0.2">
      <c r="C135" s="111" t="s">
        <v>130</v>
      </c>
      <c r="D135" s="112">
        <f>SUM(E$71:E$86)+SUM(G$71:G$86)+SUM(I$71:I$86)+SUM(K$71:K$86)</f>
        <v>286004.94866895868</v>
      </c>
      <c r="E135" s="112">
        <f>SUM(M$71:M$86)+SUM(O$71:O$86)+SUM(Q$71:Q$86)+SUM(S$71:S$86)</f>
        <v>159554.35638953309</v>
      </c>
      <c r="F135" s="112">
        <f>SUM(U$71:U$86)+SUM(W$71:W$86)+SUM(Y$71:Y$86)+SUM(AA$71:AA$86)</f>
        <v>1042395.0177494049</v>
      </c>
      <c r="G135" s="112">
        <f>SUM(AC$71:AC$86)+SUM(AE$71:AE$86)+SUM(AG$71:AG$86)+SUM(AI$71:AI$86)</f>
        <v>490652.20625974506</v>
      </c>
      <c r="H135" s="112">
        <f>SUM(AK$71:AK$86)+SUM(AM$71:AM$86)+SUM(AO$71:AO$86)+SUM(AQ$71:AQ$86)</f>
        <v>430984.647663943</v>
      </c>
      <c r="I135" s="112">
        <f>SUM(AS$71:AS$86)+SUM(AU$71:AU$86)+SUM(AW$71:AW$86)+SUM(AY$71:AY$86)</f>
        <v>693068.20614502719</v>
      </c>
      <c r="J135" s="112">
        <f>SUM(BA$71:BA$86)+SUM(BC$71:BC$86)+SUM(BE$71:BE$86)+SUM(BG$71:BG$86)</f>
        <v>183586.80000000002</v>
      </c>
      <c r="K135" s="112">
        <f>SUM(BI$71:BI$86)+SUM(BK$71:BK$86)+SUM(BM$71:BM$86)+SUM(BO$71:BO$86)</f>
        <v>475706.39999999997</v>
      </c>
      <c r="L135" s="112">
        <f>SUM(BQ$71:BQ$86)+SUM(BS$71:BS$86)+SUM(BU$71:BU$86)+SUM(BW$71:BW$86)</f>
        <v>241939.80012601934</v>
      </c>
      <c r="M135" s="112">
        <f>SUM(BY$71:BY$86)+SUM(CA$71:CA$86)+SUM(CC$71:CC$86)+SUM(CE$71:CE$86)</f>
        <v>253383.93720587</v>
      </c>
      <c r="N135" s="112">
        <f>SUM(CG$71:CG$86)+SUM(CI$71:CI$86)+SUM(CK$71:CK$86)+SUM(CM$71:CM$86)</f>
        <v>515184</v>
      </c>
      <c r="O135" s="112">
        <f>SUM(CO$71:CO$86)+SUM(CQ$71:CQ$86)+SUM(CS$71:CS$86)+SUM(CU$71:CU$86)</f>
        <v>211434.34307254729</v>
      </c>
    </row>
    <row r="136" spans="2:15" x14ac:dyDescent="0.2">
      <c r="C136" s="111" t="s">
        <v>131</v>
      </c>
      <c r="D136" s="112">
        <f>SUM(E$87:E$94)+SUM(G$87:G$94)+SUM(I$87:I$94)+SUM(K$87:K$94)</f>
        <v>231722.62972716754</v>
      </c>
      <c r="E136" s="112">
        <f>SUM(M$87:M$94)+SUM(O$87:O$94)+SUM(Q$87:Q$94)+SUM(S$87:S$94)</f>
        <v>868478.39999999991</v>
      </c>
      <c r="F136" s="112">
        <f>SUM(U$87:U$94)+SUM(W$87:W$94)+SUM(Y$87:Y$94)+SUM(AA$87:AA$94)</f>
        <v>1904810.4</v>
      </c>
      <c r="G136" s="112">
        <f>SUM(AC$87:AC$94)+SUM(AE$87:AE$94)+SUM(AG$87:AG$94)+SUM(AI$87:AI$94)</f>
        <v>686176.45734453958</v>
      </c>
      <c r="H136" s="112">
        <f>SUM(AK$87:AK$94)+SUM(AM$87:AM$94)+SUM(AO$87:AO$94)+SUM(AQ$87:AQ$94)</f>
        <v>805428.5242737442</v>
      </c>
      <c r="I136" s="112">
        <f>SUM(AS$87:AS$94)+SUM(AU$87:AU$94)+SUM(AW$87:AW$94)+SUM(AY$87:AY$94)</f>
        <v>377807.64995687094</v>
      </c>
      <c r="J136" s="112">
        <f>SUM(BA$87:BA$94)+SUM(BC$87:BC$94)+SUM(BE$87:BE$94)+SUM(BG$87:BG$94)</f>
        <v>571192.79999999993</v>
      </c>
      <c r="K136" s="112">
        <f>SUM(BI$87:BI$94)+SUM(BK$87:BK$94)+SUM(BM$87:BM$94)+SUM(BO$87:BO$94)</f>
        <v>917515.63921735273</v>
      </c>
      <c r="L136" s="112">
        <f>SUM(BQ$87:BQ$94)+SUM(BS$87:BS$94)+SUM(BU$87:BU$94)+SUM(BW$87:BW$94)</f>
        <v>2317107.941518419</v>
      </c>
      <c r="M136" s="112">
        <f>SUM(BY$87:BY$94)+SUM(CA$87:CA$94)+SUM(CC$87:CC$94)+SUM(CE$87:CE$94)</f>
        <v>1495266.2858615273</v>
      </c>
      <c r="N136" s="112">
        <f>SUM(CG$87:CG$94)+SUM(CI$87:CI$94)+SUM(CK$87:CK$94)+SUM(CM$87:CM$94)</f>
        <v>664568.39999999991</v>
      </c>
      <c r="O136" s="112">
        <f>SUM(CO$87:CO$94)+SUM(CQ$87:CQ$94)+SUM(CS$87:CS$94)+SUM(CU$87:CU$94)</f>
        <v>407437.59469085862</v>
      </c>
    </row>
    <row r="137" spans="2:15" x14ac:dyDescent="0.2">
      <c r="C137" s="111" t="s">
        <v>132</v>
      </c>
      <c r="D137" s="112">
        <f>SUM(E$95:E$105)+SUM(G$95:G$105)+SUM(I$95:I$105)+SUM(K$95:K$105)</f>
        <v>531328.98244038958</v>
      </c>
      <c r="E137" s="112">
        <f>SUM(M$95:M$105)+SUM(O$95:O$105)+SUM(Q$95:Q$105)+SUM(S$95:S$105)</f>
        <v>1110030.0976149263</v>
      </c>
      <c r="F137" s="112">
        <f>SUM(U$95:U$105)+SUM(W$95:W$105)+SUM(Y$95:Y$105)+SUM(AA$95:AA$105)</f>
        <v>1065033.403588092</v>
      </c>
      <c r="G137" s="112">
        <f>SUM(AC$95:AC$105)+SUM(AE$95:AE$105)+SUM(AG$95:AG$105)+SUM(AI$95:AI$105)</f>
        <v>2985794.8222586391</v>
      </c>
      <c r="H137" s="112">
        <f>SUM(AK$95:AK$105)+SUM(AM$95:AM$105)+SUM(AO$95:AO$105)+SUM(AQ$95:AQ$105)</f>
        <v>687310.90366774995</v>
      </c>
      <c r="I137" s="112">
        <f>SUM(AS$95:AS$105)+SUM(AU$95:AU$105)+SUM(AW$95:AW$105)+SUM(AY$95:AY$105)</f>
        <v>3332281.6292664558</v>
      </c>
      <c r="J137" s="112">
        <f>SUM(BA$95:BA$105)+SUM(BC$95:BC$105)+SUM(BE$95:BE$105)+SUM(BG$95:BG$105)</f>
        <v>2021662.7931597261</v>
      </c>
      <c r="K137" s="112">
        <f>SUM(BI$95:BI$105)+SUM(BK$95:BK$105)+SUM(BM$95:BM$105)+SUM(BO$95:BO$105)</f>
        <v>2817636.3437809628</v>
      </c>
      <c r="L137" s="112">
        <f>SUM(BQ$95:BQ$105)+SUM(BS$95:BS$105)+SUM(BU$95:BU$105)+SUM(BW$95:BW$105)</f>
        <v>2055862.7999999998</v>
      </c>
      <c r="M137" s="112">
        <f>SUM(BY$95:BY$105)+SUM(CA$95:CA$105)+SUM(CC$95:CC$105)+SUM(CE$95:CE$105)</f>
        <v>2339109.6</v>
      </c>
      <c r="N137" s="112">
        <f>SUM(CG$95:CG$105)+SUM(CI$95:CI$105)+SUM(CK$95:CK$105)+SUM(CM$95:CM$105)</f>
        <v>1868102.9458427071</v>
      </c>
      <c r="O137" s="112">
        <f>SUM(CO$95:CO$105)+SUM(CQ$95:CQ$105)+SUM(CS$95:CS$105)+SUM(CU$95:CU$105)</f>
        <v>6648412.7999999998</v>
      </c>
    </row>
    <row r="138" spans="2:15" x14ac:dyDescent="0.2">
      <c r="C138" s="111" t="s">
        <v>277</v>
      </c>
      <c r="D138" s="106">
        <f t="shared" ref="D138:O138" si="2">SUM(D$131:D$137)</f>
        <v>5365428.9608365167</v>
      </c>
      <c r="E138" s="106">
        <f t="shared" si="2"/>
        <v>8108103.2439446049</v>
      </c>
      <c r="F138" s="106">
        <f t="shared" si="2"/>
        <v>6688710.1157120559</v>
      </c>
      <c r="G138" s="106">
        <f t="shared" si="2"/>
        <v>5653209.8839281928</v>
      </c>
      <c r="H138" s="106">
        <f t="shared" si="2"/>
        <v>3407756.3182393</v>
      </c>
      <c r="I138" s="106">
        <f t="shared" si="2"/>
        <v>6014706.7934716679</v>
      </c>
      <c r="J138" s="106">
        <f t="shared" si="2"/>
        <v>7208535.9877936961</v>
      </c>
      <c r="K138" s="106">
        <f t="shared" si="2"/>
        <v>9040022.4141025618</v>
      </c>
      <c r="L138" s="106">
        <f t="shared" si="2"/>
        <v>6738672.1677708505</v>
      </c>
      <c r="M138" s="106">
        <f t="shared" si="2"/>
        <v>7719015.023067398</v>
      </c>
      <c r="N138" s="106">
        <f t="shared" si="2"/>
        <v>8494108.4029266909</v>
      </c>
      <c r="O138" s="106">
        <f t="shared" si="2"/>
        <v>11683464.055822618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271</v>
      </c>
    </row>
    <row r="3" spans="1:99" x14ac:dyDescent="0.2">
      <c r="B3" s="109" t="s">
        <v>272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3</v>
      </c>
      <c r="E6" s="106">
        <v>1735.1999999999998</v>
      </c>
      <c r="F6" s="106">
        <v>3</v>
      </c>
      <c r="G6" s="106">
        <v>1735.1999999999998</v>
      </c>
      <c r="H6" s="106">
        <v>4</v>
      </c>
      <c r="I6" s="106">
        <v>2313.6</v>
      </c>
      <c r="J6" s="106">
        <v>3</v>
      </c>
      <c r="K6" s="106">
        <v>1735.1999999999998</v>
      </c>
      <c r="L6" s="106">
        <v>3</v>
      </c>
      <c r="M6" s="106">
        <v>1735.1999999999998</v>
      </c>
      <c r="N6" s="106">
        <v>3</v>
      </c>
      <c r="O6" s="106">
        <v>1735.1999999999998</v>
      </c>
      <c r="P6" s="106">
        <v>4</v>
      </c>
      <c r="Q6" s="106">
        <v>2313.6</v>
      </c>
      <c r="R6" s="106">
        <v>4</v>
      </c>
      <c r="S6" s="106">
        <v>2313.6</v>
      </c>
      <c r="T6" s="106">
        <v>5</v>
      </c>
      <c r="U6" s="106">
        <v>2892</v>
      </c>
      <c r="V6" s="106">
        <v>4</v>
      </c>
      <c r="W6" s="106">
        <v>2313.6</v>
      </c>
      <c r="X6" s="106">
        <v>4</v>
      </c>
      <c r="Y6" s="106">
        <v>2313.6</v>
      </c>
      <c r="Z6" s="106">
        <v>4</v>
      </c>
      <c r="AA6" s="106">
        <v>2313.6</v>
      </c>
      <c r="AB6" s="106">
        <v>20</v>
      </c>
      <c r="AC6" s="106">
        <v>11568</v>
      </c>
      <c r="AD6" s="106">
        <v>34</v>
      </c>
      <c r="AE6" s="106">
        <v>19665.599999999999</v>
      </c>
      <c r="AF6" s="106">
        <v>36</v>
      </c>
      <c r="AG6" s="106">
        <v>20822.399999999998</v>
      </c>
      <c r="AH6" s="106">
        <v>27</v>
      </c>
      <c r="AI6" s="106">
        <v>15616.8</v>
      </c>
      <c r="AJ6" s="106">
        <v>3</v>
      </c>
      <c r="AK6" s="106">
        <v>1735.1999999999998</v>
      </c>
      <c r="AL6" s="106">
        <v>3</v>
      </c>
      <c r="AM6" s="106">
        <v>1735.1999999999998</v>
      </c>
      <c r="AN6" s="106">
        <v>3</v>
      </c>
      <c r="AO6" s="106">
        <v>1735.1999999999998</v>
      </c>
      <c r="AP6" s="106">
        <v>3</v>
      </c>
      <c r="AQ6" s="106">
        <v>1735.1999999999998</v>
      </c>
      <c r="AR6" s="106">
        <v>9</v>
      </c>
      <c r="AS6" s="106">
        <v>5205.5999999999995</v>
      </c>
      <c r="AT6" s="106">
        <v>11</v>
      </c>
      <c r="AU6" s="106">
        <v>6362.4</v>
      </c>
      <c r="AV6" s="106">
        <v>9</v>
      </c>
      <c r="AW6" s="106">
        <v>5205.5999999999995</v>
      </c>
      <c r="AX6" s="106">
        <v>11</v>
      </c>
      <c r="AY6" s="106">
        <v>6362.4</v>
      </c>
      <c r="AZ6" s="106">
        <v>5</v>
      </c>
      <c r="BA6" s="106">
        <v>2892</v>
      </c>
      <c r="BB6" s="106">
        <v>4</v>
      </c>
      <c r="BC6" s="106">
        <v>2313.6</v>
      </c>
      <c r="BD6" s="106">
        <v>3</v>
      </c>
      <c r="BE6" s="106">
        <v>1735.1999999999998</v>
      </c>
      <c r="BF6" s="106">
        <v>4</v>
      </c>
      <c r="BG6" s="106">
        <v>2313.6</v>
      </c>
      <c r="BH6" s="106">
        <v>7</v>
      </c>
      <c r="BI6" s="106">
        <v>4048.7999999999997</v>
      </c>
      <c r="BJ6" s="106">
        <v>8</v>
      </c>
      <c r="BK6" s="106">
        <v>4627.2</v>
      </c>
      <c r="BL6" s="106">
        <v>5</v>
      </c>
      <c r="BM6" s="106">
        <v>2892</v>
      </c>
      <c r="BN6" s="106">
        <v>8</v>
      </c>
      <c r="BO6" s="106">
        <v>4627.2</v>
      </c>
      <c r="BP6" s="106">
        <v>37</v>
      </c>
      <c r="BQ6" s="106">
        <v>21400.799999999999</v>
      </c>
      <c r="BR6" s="106">
        <v>31</v>
      </c>
      <c r="BS6" s="106">
        <v>17930.399999999998</v>
      </c>
      <c r="BT6" s="106">
        <v>41</v>
      </c>
      <c r="BU6" s="106">
        <v>23714.399999999998</v>
      </c>
      <c r="BV6" s="106">
        <v>48</v>
      </c>
      <c r="BW6" s="106">
        <v>27763.199999999997</v>
      </c>
      <c r="BX6" s="106">
        <v>3</v>
      </c>
      <c r="BY6" s="106">
        <v>1735.1999999999998</v>
      </c>
      <c r="BZ6" s="106">
        <v>3</v>
      </c>
      <c r="CA6" s="106">
        <v>1735.1999999999998</v>
      </c>
      <c r="CB6" s="106">
        <v>5</v>
      </c>
      <c r="CC6" s="106">
        <v>2892</v>
      </c>
      <c r="CD6" s="106">
        <v>5</v>
      </c>
      <c r="CE6" s="106">
        <v>2892</v>
      </c>
      <c r="CF6" s="106">
        <v>33</v>
      </c>
      <c r="CG6" s="106">
        <v>19087.2</v>
      </c>
      <c r="CH6" s="106">
        <v>35</v>
      </c>
      <c r="CI6" s="106">
        <v>20244</v>
      </c>
      <c r="CJ6" s="106">
        <v>38</v>
      </c>
      <c r="CK6" s="106">
        <v>21979.200000000001</v>
      </c>
      <c r="CL6" s="106">
        <v>36</v>
      </c>
      <c r="CM6" s="106">
        <v>20822.399999999998</v>
      </c>
      <c r="CN6" s="106">
        <v>8</v>
      </c>
      <c r="CO6" s="106">
        <v>4627.2</v>
      </c>
      <c r="CP6" s="106">
        <v>6</v>
      </c>
      <c r="CQ6" s="106">
        <v>3470.3999999999996</v>
      </c>
      <c r="CR6" s="106">
        <v>9</v>
      </c>
      <c r="CS6" s="106">
        <v>5205.5999999999995</v>
      </c>
      <c r="CT6" s="106">
        <v>8</v>
      </c>
      <c r="CU6" s="106">
        <v>4627.2</v>
      </c>
    </row>
    <row r="7" spans="1:99" x14ac:dyDescent="0.2">
      <c r="C7" s="105" t="s">
        <v>172</v>
      </c>
      <c r="D7" s="106">
        <v>3</v>
      </c>
      <c r="E7" s="106">
        <v>2365.1999999999998</v>
      </c>
      <c r="F7" s="106">
        <v>2</v>
      </c>
      <c r="G7" s="106">
        <v>1576.8</v>
      </c>
      <c r="H7" s="106">
        <v>3</v>
      </c>
      <c r="I7" s="106">
        <v>2365.1999999999998</v>
      </c>
      <c r="J7" s="106">
        <v>3</v>
      </c>
      <c r="K7" s="106">
        <v>2365.1999999999998</v>
      </c>
      <c r="L7" s="106">
        <v>2</v>
      </c>
      <c r="M7" s="106">
        <v>1576.8</v>
      </c>
      <c r="N7" s="106">
        <v>3</v>
      </c>
      <c r="O7" s="106">
        <v>2365.1999999999998</v>
      </c>
      <c r="P7" s="106">
        <v>3</v>
      </c>
      <c r="Q7" s="106">
        <v>2365.1999999999998</v>
      </c>
      <c r="R7" s="106">
        <v>4</v>
      </c>
      <c r="S7" s="106">
        <v>3153.6</v>
      </c>
      <c r="T7" s="106">
        <v>4</v>
      </c>
      <c r="U7" s="106">
        <v>3153.6</v>
      </c>
      <c r="V7" s="106">
        <v>4</v>
      </c>
      <c r="W7" s="106">
        <v>3153.6</v>
      </c>
      <c r="X7" s="106">
        <v>4</v>
      </c>
      <c r="Y7" s="106">
        <v>3153.6</v>
      </c>
      <c r="Z7" s="106">
        <v>4</v>
      </c>
      <c r="AA7" s="106">
        <v>3153.6</v>
      </c>
      <c r="AB7" s="106">
        <v>20</v>
      </c>
      <c r="AC7" s="106">
        <v>15768</v>
      </c>
      <c r="AD7" s="106">
        <v>33</v>
      </c>
      <c r="AE7" s="106">
        <v>26017.200000000001</v>
      </c>
      <c r="AF7" s="106">
        <v>36</v>
      </c>
      <c r="AG7" s="106">
        <v>28382.399999999998</v>
      </c>
      <c r="AH7" s="106">
        <v>22</v>
      </c>
      <c r="AI7" s="106">
        <v>17344.8</v>
      </c>
      <c r="AJ7" s="106">
        <v>3</v>
      </c>
      <c r="AK7" s="106">
        <v>2365.1999999999998</v>
      </c>
      <c r="AL7" s="106">
        <v>4</v>
      </c>
      <c r="AM7" s="106">
        <v>3153.6</v>
      </c>
      <c r="AN7" s="106">
        <v>3</v>
      </c>
      <c r="AO7" s="106">
        <v>2365.1999999999998</v>
      </c>
      <c r="AP7" s="106">
        <v>3</v>
      </c>
      <c r="AQ7" s="106">
        <v>2365.1999999999998</v>
      </c>
      <c r="AR7" s="106">
        <v>8</v>
      </c>
      <c r="AS7" s="106">
        <v>6307.2</v>
      </c>
      <c r="AT7" s="106">
        <v>10</v>
      </c>
      <c r="AU7" s="106">
        <v>7884</v>
      </c>
      <c r="AV7" s="106">
        <v>8</v>
      </c>
      <c r="AW7" s="106">
        <v>6307.2</v>
      </c>
      <c r="AX7" s="106">
        <v>10</v>
      </c>
      <c r="AY7" s="106">
        <v>7884</v>
      </c>
      <c r="AZ7" s="106">
        <v>4</v>
      </c>
      <c r="BA7" s="106">
        <v>3153.6</v>
      </c>
      <c r="BB7" s="106">
        <v>4</v>
      </c>
      <c r="BC7" s="106">
        <v>3153.6</v>
      </c>
      <c r="BD7" s="106">
        <v>4</v>
      </c>
      <c r="BE7" s="106">
        <v>3153.6</v>
      </c>
      <c r="BF7" s="106">
        <v>4</v>
      </c>
      <c r="BG7" s="106">
        <v>3153.6</v>
      </c>
      <c r="BH7" s="106">
        <v>7</v>
      </c>
      <c r="BI7" s="106">
        <v>5518.8</v>
      </c>
      <c r="BJ7" s="106">
        <v>9</v>
      </c>
      <c r="BK7" s="106">
        <v>7095.5999999999995</v>
      </c>
      <c r="BL7" s="106">
        <v>6</v>
      </c>
      <c r="BM7" s="106">
        <v>4730.3999999999996</v>
      </c>
      <c r="BN7" s="106">
        <v>8</v>
      </c>
      <c r="BO7" s="106">
        <v>6307.2</v>
      </c>
      <c r="BP7" s="106">
        <v>32</v>
      </c>
      <c r="BQ7" s="106">
        <v>25228.799999999999</v>
      </c>
      <c r="BR7" s="106">
        <v>26</v>
      </c>
      <c r="BS7" s="106">
        <v>20498.399999999998</v>
      </c>
      <c r="BT7" s="106">
        <v>36</v>
      </c>
      <c r="BU7" s="106">
        <v>28382.399999999998</v>
      </c>
      <c r="BV7" s="106">
        <v>46</v>
      </c>
      <c r="BW7" s="106">
        <v>36266.400000000001</v>
      </c>
      <c r="BX7" s="106">
        <v>3</v>
      </c>
      <c r="BY7" s="106">
        <v>2365.1999999999998</v>
      </c>
      <c r="BZ7" s="106">
        <v>3</v>
      </c>
      <c r="CA7" s="106">
        <v>2365.1999999999998</v>
      </c>
      <c r="CB7" s="106">
        <v>4</v>
      </c>
      <c r="CC7" s="106">
        <v>3153.6</v>
      </c>
      <c r="CD7" s="106">
        <v>5</v>
      </c>
      <c r="CE7" s="106">
        <v>3942</v>
      </c>
      <c r="CF7" s="106">
        <v>32</v>
      </c>
      <c r="CG7" s="106">
        <v>25228.799999999999</v>
      </c>
      <c r="CH7" s="106">
        <v>35</v>
      </c>
      <c r="CI7" s="106">
        <v>27594</v>
      </c>
      <c r="CJ7" s="106">
        <v>38</v>
      </c>
      <c r="CK7" s="106">
        <v>29959.200000000001</v>
      </c>
      <c r="CL7" s="106">
        <v>33</v>
      </c>
      <c r="CM7" s="106">
        <v>26017.200000000001</v>
      </c>
      <c r="CN7" s="106">
        <v>8</v>
      </c>
      <c r="CO7" s="106">
        <v>6307.2</v>
      </c>
      <c r="CP7" s="106">
        <v>5</v>
      </c>
      <c r="CQ7" s="106">
        <v>3942</v>
      </c>
      <c r="CR7" s="106">
        <v>9</v>
      </c>
      <c r="CS7" s="106">
        <v>7095.5999999999995</v>
      </c>
      <c r="CT7" s="106">
        <v>7</v>
      </c>
      <c r="CU7" s="106">
        <v>5518.8</v>
      </c>
    </row>
    <row r="8" spans="1:99" x14ac:dyDescent="0.2">
      <c r="C8" s="105" t="s">
        <v>173</v>
      </c>
      <c r="D8" s="106">
        <v>3</v>
      </c>
      <c r="E8" s="106">
        <v>928.8</v>
      </c>
      <c r="F8" s="106">
        <v>3</v>
      </c>
      <c r="G8" s="106">
        <v>928.8</v>
      </c>
      <c r="H8" s="106">
        <v>4</v>
      </c>
      <c r="I8" s="106">
        <v>1238.3999999999999</v>
      </c>
      <c r="J8" s="106">
        <v>3</v>
      </c>
      <c r="K8" s="106">
        <v>928.8</v>
      </c>
      <c r="L8" s="106">
        <v>3</v>
      </c>
      <c r="M8" s="106">
        <v>928.8</v>
      </c>
      <c r="N8" s="106">
        <v>3</v>
      </c>
      <c r="O8" s="106">
        <v>928.8</v>
      </c>
      <c r="P8" s="106">
        <v>4</v>
      </c>
      <c r="Q8" s="106">
        <v>1238.3999999999999</v>
      </c>
      <c r="R8" s="106">
        <v>4</v>
      </c>
      <c r="S8" s="106">
        <v>1238.3999999999999</v>
      </c>
      <c r="T8" s="106">
        <v>5</v>
      </c>
      <c r="U8" s="106">
        <v>1547.9999999999998</v>
      </c>
      <c r="V8" s="106">
        <v>4</v>
      </c>
      <c r="W8" s="106">
        <v>1238.3999999999999</v>
      </c>
      <c r="X8" s="106">
        <v>4</v>
      </c>
      <c r="Y8" s="106">
        <v>1238.3999999999999</v>
      </c>
      <c r="Z8" s="106">
        <v>4</v>
      </c>
      <c r="AA8" s="106">
        <v>1238.3999999999999</v>
      </c>
      <c r="AB8" s="106">
        <v>22</v>
      </c>
      <c r="AC8" s="106">
        <v>6811.1999999999989</v>
      </c>
      <c r="AD8" s="106">
        <v>36</v>
      </c>
      <c r="AE8" s="106">
        <v>11145.599999999999</v>
      </c>
      <c r="AF8" s="106">
        <v>34</v>
      </c>
      <c r="AG8" s="106">
        <v>10526.4</v>
      </c>
      <c r="AH8" s="106">
        <v>25</v>
      </c>
      <c r="AI8" s="106">
        <v>7739.9999999999991</v>
      </c>
      <c r="AJ8" s="106">
        <v>3</v>
      </c>
      <c r="AK8" s="106">
        <v>928.8</v>
      </c>
      <c r="AL8" s="106">
        <v>3</v>
      </c>
      <c r="AM8" s="106">
        <v>928.8</v>
      </c>
      <c r="AN8" s="106">
        <v>3</v>
      </c>
      <c r="AO8" s="106">
        <v>928.8</v>
      </c>
      <c r="AP8" s="106">
        <v>3</v>
      </c>
      <c r="AQ8" s="106">
        <v>928.8</v>
      </c>
      <c r="AR8" s="106">
        <v>8</v>
      </c>
      <c r="AS8" s="106">
        <v>2476.7999999999997</v>
      </c>
      <c r="AT8" s="106">
        <v>12</v>
      </c>
      <c r="AU8" s="106">
        <v>3715.2</v>
      </c>
      <c r="AV8" s="106">
        <v>10</v>
      </c>
      <c r="AW8" s="106">
        <v>3095.9999999999995</v>
      </c>
      <c r="AX8" s="106">
        <v>12</v>
      </c>
      <c r="AY8" s="106">
        <v>3715.2</v>
      </c>
      <c r="AZ8" s="106">
        <v>5</v>
      </c>
      <c r="BA8" s="106">
        <v>1547.9999999999998</v>
      </c>
      <c r="BB8" s="106">
        <v>4</v>
      </c>
      <c r="BC8" s="106">
        <v>1238.3999999999999</v>
      </c>
      <c r="BD8" s="106">
        <v>4</v>
      </c>
      <c r="BE8" s="106">
        <v>1238.3999999999999</v>
      </c>
      <c r="BF8" s="106">
        <v>4</v>
      </c>
      <c r="BG8" s="106">
        <v>1238.3999999999999</v>
      </c>
      <c r="BH8" s="106">
        <v>7</v>
      </c>
      <c r="BI8" s="106">
        <v>2167.1999999999998</v>
      </c>
      <c r="BJ8" s="106">
        <v>9</v>
      </c>
      <c r="BK8" s="106">
        <v>2786.3999999999996</v>
      </c>
      <c r="BL8" s="106">
        <v>5</v>
      </c>
      <c r="BM8" s="106">
        <v>1547.9999999999998</v>
      </c>
      <c r="BN8" s="106">
        <v>9</v>
      </c>
      <c r="BO8" s="106">
        <v>2786.3999999999996</v>
      </c>
      <c r="BP8" s="106">
        <v>35</v>
      </c>
      <c r="BQ8" s="106">
        <v>10835.999999999998</v>
      </c>
      <c r="BR8" s="106">
        <v>33</v>
      </c>
      <c r="BS8" s="106">
        <v>10216.799999999999</v>
      </c>
      <c r="BT8" s="106">
        <v>43</v>
      </c>
      <c r="BU8" s="106">
        <v>13312.8</v>
      </c>
      <c r="BV8" s="106">
        <v>51</v>
      </c>
      <c r="BW8" s="106">
        <v>15789.599999999999</v>
      </c>
      <c r="BX8" s="106">
        <v>3</v>
      </c>
      <c r="BY8" s="106">
        <v>928.8</v>
      </c>
      <c r="BZ8" s="106">
        <v>3</v>
      </c>
      <c r="CA8" s="106">
        <v>928.8</v>
      </c>
      <c r="CB8" s="106">
        <v>5</v>
      </c>
      <c r="CC8" s="106">
        <v>1547.9999999999998</v>
      </c>
      <c r="CD8" s="106">
        <v>5</v>
      </c>
      <c r="CE8" s="106">
        <v>1547.9999999999998</v>
      </c>
      <c r="CF8" s="106">
        <v>33</v>
      </c>
      <c r="CG8" s="106">
        <v>10216.799999999999</v>
      </c>
      <c r="CH8" s="106">
        <v>42</v>
      </c>
      <c r="CI8" s="106">
        <v>13003.199999999999</v>
      </c>
      <c r="CJ8" s="106">
        <v>40</v>
      </c>
      <c r="CK8" s="106">
        <v>12383.999999999998</v>
      </c>
      <c r="CL8" s="106">
        <v>37</v>
      </c>
      <c r="CM8" s="106">
        <v>11455.199999999999</v>
      </c>
      <c r="CN8" s="106">
        <v>8</v>
      </c>
      <c r="CO8" s="106">
        <v>2476.7999999999997</v>
      </c>
      <c r="CP8" s="106">
        <v>5</v>
      </c>
      <c r="CQ8" s="106">
        <v>1547.9999999999998</v>
      </c>
      <c r="CR8" s="106">
        <v>8</v>
      </c>
      <c r="CS8" s="106">
        <v>2476.7999999999997</v>
      </c>
      <c r="CT8" s="106">
        <v>9</v>
      </c>
      <c r="CU8" s="106">
        <v>2786.3999999999996</v>
      </c>
    </row>
    <row r="9" spans="1:99" x14ac:dyDescent="0.2">
      <c r="C9" s="105" t="s">
        <v>174</v>
      </c>
      <c r="D9" s="106">
        <v>3</v>
      </c>
      <c r="E9" s="106">
        <v>2106</v>
      </c>
      <c r="F9" s="106">
        <v>2</v>
      </c>
      <c r="G9" s="106">
        <v>1404</v>
      </c>
      <c r="H9" s="106">
        <v>4</v>
      </c>
      <c r="I9" s="106">
        <v>2808</v>
      </c>
      <c r="J9" s="106">
        <v>3</v>
      </c>
      <c r="K9" s="106">
        <v>2106</v>
      </c>
      <c r="L9" s="106">
        <v>3</v>
      </c>
      <c r="M9" s="106">
        <v>2106</v>
      </c>
      <c r="N9" s="106">
        <v>3</v>
      </c>
      <c r="O9" s="106">
        <v>2106</v>
      </c>
      <c r="P9" s="106">
        <v>3</v>
      </c>
      <c r="Q9" s="106">
        <v>2106</v>
      </c>
      <c r="R9" s="106">
        <v>4</v>
      </c>
      <c r="S9" s="106">
        <v>2808</v>
      </c>
      <c r="T9" s="106">
        <v>5</v>
      </c>
      <c r="U9" s="106">
        <v>3510</v>
      </c>
      <c r="V9" s="106">
        <v>4</v>
      </c>
      <c r="W9" s="106">
        <v>2808</v>
      </c>
      <c r="X9" s="106">
        <v>4</v>
      </c>
      <c r="Y9" s="106">
        <v>2808</v>
      </c>
      <c r="Z9" s="106">
        <v>4</v>
      </c>
      <c r="AA9" s="106">
        <v>2808</v>
      </c>
      <c r="AB9" s="106">
        <v>20</v>
      </c>
      <c r="AC9" s="106">
        <v>14040</v>
      </c>
      <c r="AD9" s="106">
        <v>33</v>
      </c>
      <c r="AE9" s="106">
        <v>23166</v>
      </c>
      <c r="AF9" s="106">
        <v>38</v>
      </c>
      <c r="AG9" s="106">
        <v>26676</v>
      </c>
      <c r="AH9" s="106">
        <v>24</v>
      </c>
      <c r="AI9" s="106">
        <v>16848</v>
      </c>
      <c r="AJ9" s="106">
        <v>3</v>
      </c>
      <c r="AK9" s="106">
        <v>2106</v>
      </c>
      <c r="AL9" s="106">
        <v>3</v>
      </c>
      <c r="AM9" s="106">
        <v>2106</v>
      </c>
      <c r="AN9" s="106">
        <v>3</v>
      </c>
      <c r="AO9" s="106">
        <v>2106</v>
      </c>
      <c r="AP9" s="106">
        <v>4</v>
      </c>
      <c r="AQ9" s="106">
        <v>2808</v>
      </c>
      <c r="AR9" s="106">
        <v>8</v>
      </c>
      <c r="AS9" s="106">
        <v>5616</v>
      </c>
      <c r="AT9" s="106">
        <v>11</v>
      </c>
      <c r="AU9" s="106">
        <v>7722</v>
      </c>
      <c r="AV9" s="106">
        <v>9</v>
      </c>
      <c r="AW9" s="106">
        <v>6318</v>
      </c>
      <c r="AX9" s="106">
        <v>12</v>
      </c>
      <c r="AY9" s="106">
        <v>8424</v>
      </c>
      <c r="AZ9" s="106">
        <v>4</v>
      </c>
      <c r="BA9" s="106">
        <v>2808</v>
      </c>
      <c r="BB9" s="106">
        <v>4</v>
      </c>
      <c r="BC9" s="106">
        <v>2808</v>
      </c>
      <c r="BD9" s="106">
        <v>4</v>
      </c>
      <c r="BE9" s="106">
        <v>2808</v>
      </c>
      <c r="BF9" s="106">
        <v>4</v>
      </c>
      <c r="BG9" s="106">
        <v>2808</v>
      </c>
      <c r="BH9" s="106">
        <v>7</v>
      </c>
      <c r="BI9" s="106">
        <v>4914</v>
      </c>
      <c r="BJ9" s="106">
        <v>8</v>
      </c>
      <c r="BK9" s="106">
        <v>5616</v>
      </c>
      <c r="BL9" s="106">
        <v>6</v>
      </c>
      <c r="BM9" s="106">
        <v>4212</v>
      </c>
      <c r="BN9" s="106">
        <v>8</v>
      </c>
      <c r="BO9" s="106">
        <v>5616</v>
      </c>
      <c r="BP9" s="106">
        <v>35</v>
      </c>
      <c r="BQ9" s="106">
        <v>24570</v>
      </c>
      <c r="BR9" s="106">
        <v>30</v>
      </c>
      <c r="BS9" s="106">
        <v>21060</v>
      </c>
      <c r="BT9" s="106">
        <v>35</v>
      </c>
      <c r="BU9" s="106">
        <v>24570</v>
      </c>
      <c r="BV9" s="106">
        <v>40</v>
      </c>
      <c r="BW9" s="106">
        <v>28080</v>
      </c>
      <c r="BX9" s="106">
        <v>3</v>
      </c>
      <c r="BY9" s="106">
        <v>2106</v>
      </c>
      <c r="BZ9" s="106">
        <v>3</v>
      </c>
      <c r="CA9" s="106">
        <v>2106</v>
      </c>
      <c r="CB9" s="106">
        <v>5</v>
      </c>
      <c r="CC9" s="106">
        <v>3510</v>
      </c>
      <c r="CD9" s="106">
        <v>5</v>
      </c>
      <c r="CE9" s="106">
        <v>3510</v>
      </c>
      <c r="CF9" s="106">
        <v>28</v>
      </c>
      <c r="CG9" s="106">
        <v>19656</v>
      </c>
      <c r="CH9" s="106">
        <v>36</v>
      </c>
      <c r="CI9" s="106">
        <v>25272</v>
      </c>
      <c r="CJ9" s="106">
        <v>40</v>
      </c>
      <c r="CK9" s="106">
        <v>28080</v>
      </c>
      <c r="CL9" s="106">
        <v>32</v>
      </c>
      <c r="CM9" s="106">
        <v>22464</v>
      </c>
      <c r="CN9" s="106">
        <v>7</v>
      </c>
      <c r="CO9" s="106">
        <v>4914</v>
      </c>
      <c r="CP9" s="106">
        <v>6</v>
      </c>
      <c r="CQ9" s="106">
        <v>4212</v>
      </c>
      <c r="CR9" s="106">
        <v>8</v>
      </c>
      <c r="CS9" s="106">
        <v>5616</v>
      </c>
      <c r="CT9" s="106">
        <v>7</v>
      </c>
      <c r="CU9" s="106">
        <v>4914</v>
      </c>
    </row>
    <row r="10" spans="1:99" x14ac:dyDescent="0.2">
      <c r="C10" s="105" t="s">
        <v>175</v>
      </c>
      <c r="D10" s="106">
        <v>3</v>
      </c>
      <c r="E10" s="106">
        <v>1634.3999999999999</v>
      </c>
      <c r="F10" s="106">
        <v>2</v>
      </c>
      <c r="G10" s="106">
        <v>1089.5999999999999</v>
      </c>
      <c r="H10" s="106">
        <v>3</v>
      </c>
      <c r="I10" s="106">
        <v>1634.3999999999999</v>
      </c>
      <c r="J10" s="106">
        <v>3</v>
      </c>
      <c r="K10" s="106">
        <v>1634.3999999999999</v>
      </c>
      <c r="L10" s="106">
        <v>3</v>
      </c>
      <c r="M10" s="106">
        <v>1634.3999999999999</v>
      </c>
      <c r="N10" s="106">
        <v>3</v>
      </c>
      <c r="O10" s="106">
        <v>1634.3999999999999</v>
      </c>
      <c r="P10" s="106">
        <v>3</v>
      </c>
      <c r="Q10" s="106">
        <v>1634.3999999999999</v>
      </c>
      <c r="R10" s="106">
        <v>4</v>
      </c>
      <c r="S10" s="106">
        <v>2179.1999999999998</v>
      </c>
      <c r="T10" s="106">
        <v>5</v>
      </c>
      <c r="U10" s="106">
        <v>2724</v>
      </c>
      <c r="V10" s="106">
        <v>4</v>
      </c>
      <c r="W10" s="106">
        <v>2179.1999999999998</v>
      </c>
      <c r="X10" s="106">
        <v>4</v>
      </c>
      <c r="Y10" s="106">
        <v>2179.1999999999998</v>
      </c>
      <c r="Z10" s="106">
        <v>4</v>
      </c>
      <c r="AA10" s="106">
        <v>2179.1999999999998</v>
      </c>
      <c r="AB10" s="106">
        <v>19</v>
      </c>
      <c r="AC10" s="106">
        <v>10351.199999999999</v>
      </c>
      <c r="AD10" s="106">
        <v>34</v>
      </c>
      <c r="AE10" s="106">
        <v>18523.199999999997</v>
      </c>
      <c r="AF10" s="106">
        <v>36</v>
      </c>
      <c r="AG10" s="106">
        <v>19612.8</v>
      </c>
      <c r="AH10" s="106">
        <v>27</v>
      </c>
      <c r="AI10" s="106">
        <v>14709.599999999999</v>
      </c>
      <c r="AJ10" s="106">
        <v>3</v>
      </c>
      <c r="AK10" s="106">
        <v>1634.3999999999999</v>
      </c>
      <c r="AL10" s="106">
        <v>3</v>
      </c>
      <c r="AM10" s="106">
        <v>1634.3999999999999</v>
      </c>
      <c r="AN10" s="106">
        <v>3</v>
      </c>
      <c r="AO10" s="106">
        <v>1634.3999999999999</v>
      </c>
      <c r="AP10" s="106">
        <v>3</v>
      </c>
      <c r="AQ10" s="106">
        <v>1634.3999999999999</v>
      </c>
      <c r="AR10" s="106">
        <v>9</v>
      </c>
      <c r="AS10" s="106">
        <v>4903.2</v>
      </c>
      <c r="AT10" s="106">
        <v>11</v>
      </c>
      <c r="AU10" s="106">
        <v>5992.7999999999993</v>
      </c>
      <c r="AV10" s="106">
        <v>9</v>
      </c>
      <c r="AW10" s="106">
        <v>4903.2</v>
      </c>
      <c r="AX10" s="106">
        <v>11</v>
      </c>
      <c r="AY10" s="106">
        <v>5992.7999999999993</v>
      </c>
      <c r="AZ10" s="106">
        <v>4</v>
      </c>
      <c r="BA10" s="106">
        <v>2179.1999999999998</v>
      </c>
      <c r="BB10" s="106">
        <v>4</v>
      </c>
      <c r="BC10" s="106">
        <v>2179.1999999999998</v>
      </c>
      <c r="BD10" s="106">
        <v>3</v>
      </c>
      <c r="BE10" s="106">
        <v>1634.3999999999999</v>
      </c>
      <c r="BF10" s="106">
        <v>4</v>
      </c>
      <c r="BG10" s="106">
        <v>2179.1999999999998</v>
      </c>
      <c r="BH10" s="106">
        <v>7</v>
      </c>
      <c r="BI10" s="106">
        <v>3813.5999999999995</v>
      </c>
      <c r="BJ10" s="106">
        <v>9</v>
      </c>
      <c r="BK10" s="106">
        <v>4903.2</v>
      </c>
      <c r="BL10" s="106">
        <v>6</v>
      </c>
      <c r="BM10" s="106">
        <v>3268.7999999999997</v>
      </c>
      <c r="BN10" s="106">
        <v>8</v>
      </c>
      <c r="BO10" s="106">
        <v>4358.3999999999996</v>
      </c>
      <c r="BP10" s="106">
        <v>32</v>
      </c>
      <c r="BQ10" s="106">
        <v>17433.599999999999</v>
      </c>
      <c r="BR10" s="106">
        <v>27</v>
      </c>
      <c r="BS10" s="106">
        <v>14709.599999999999</v>
      </c>
      <c r="BT10" s="106">
        <v>42</v>
      </c>
      <c r="BU10" s="106">
        <v>22881.599999999999</v>
      </c>
      <c r="BV10" s="106">
        <v>44</v>
      </c>
      <c r="BW10" s="106">
        <v>23971.199999999997</v>
      </c>
      <c r="BX10" s="106">
        <v>3</v>
      </c>
      <c r="BY10" s="106">
        <v>1634.3999999999999</v>
      </c>
      <c r="BZ10" s="106">
        <v>3</v>
      </c>
      <c r="CA10" s="106">
        <v>1634.3999999999999</v>
      </c>
      <c r="CB10" s="106">
        <v>5</v>
      </c>
      <c r="CC10" s="106">
        <v>2724</v>
      </c>
      <c r="CD10" s="106">
        <v>5</v>
      </c>
      <c r="CE10" s="106">
        <v>2724</v>
      </c>
      <c r="CF10" s="106">
        <v>30</v>
      </c>
      <c r="CG10" s="106">
        <v>16343.999999999998</v>
      </c>
      <c r="CH10" s="106">
        <v>39</v>
      </c>
      <c r="CI10" s="106">
        <v>21247.199999999997</v>
      </c>
      <c r="CJ10" s="106">
        <v>37</v>
      </c>
      <c r="CK10" s="106">
        <v>20157.599999999999</v>
      </c>
      <c r="CL10" s="106">
        <v>35</v>
      </c>
      <c r="CM10" s="106">
        <v>19068</v>
      </c>
      <c r="CN10" s="106">
        <v>8</v>
      </c>
      <c r="CO10" s="106">
        <v>4358.3999999999996</v>
      </c>
      <c r="CP10" s="106">
        <v>6</v>
      </c>
      <c r="CQ10" s="106">
        <v>3268.7999999999997</v>
      </c>
      <c r="CR10" s="106">
        <v>9</v>
      </c>
      <c r="CS10" s="106">
        <v>4903.2</v>
      </c>
      <c r="CT10" s="106">
        <v>8</v>
      </c>
      <c r="CU10" s="106">
        <v>4358.3999999999996</v>
      </c>
    </row>
    <row r="11" spans="1:99" x14ac:dyDescent="0.2">
      <c r="C11" s="105" t="s">
        <v>176</v>
      </c>
      <c r="D11" s="106">
        <v>3</v>
      </c>
      <c r="E11" s="106">
        <v>1598.3999999999999</v>
      </c>
      <c r="F11" s="106">
        <v>2</v>
      </c>
      <c r="G11" s="106">
        <v>1065.5999999999999</v>
      </c>
      <c r="H11" s="106">
        <v>4</v>
      </c>
      <c r="I11" s="106">
        <v>2131.1999999999998</v>
      </c>
      <c r="J11" s="106">
        <v>3</v>
      </c>
      <c r="K11" s="106">
        <v>1598.3999999999999</v>
      </c>
      <c r="L11" s="106">
        <v>3</v>
      </c>
      <c r="M11" s="106">
        <v>1598.3999999999999</v>
      </c>
      <c r="N11" s="106">
        <v>3</v>
      </c>
      <c r="O11" s="106">
        <v>1598.3999999999999</v>
      </c>
      <c r="P11" s="106">
        <v>3</v>
      </c>
      <c r="Q11" s="106">
        <v>1598.3999999999999</v>
      </c>
      <c r="R11" s="106">
        <v>3</v>
      </c>
      <c r="S11" s="106">
        <v>1598.3999999999999</v>
      </c>
      <c r="T11" s="106">
        <v>5</v>
      </c>
      <c r="U11" s="106">
        <v>2664</v>
      </c>
      <c r="V11" s="106">
        <v>4</v>
      </c>
      <c r="W11" s="106">
        <v>2131.1999999999998</v>
      </c>
      <c r="X11" s="106">
        <v>4</v>
      </c>
      <c r="Y11" s="106">
        <v>2131.1999999999998</v>
      </c>
      <c r="Z11" s="106">
        <v>4</v>
      </c>
      <c r="AA11" s="106">
        <v>2131.1999999999998</v>
      </c>
      <c r="AB11" s="106">
        <v>21</v>
      </c>
      <c r="AC11" s="106">
        <v>11188.8</v>
      </c>
      <c r="AD11" s="106">
        <v>32</v>
      </c>
      <c r="AE11" s="106">
        <v>17049.599999999999</v>
      </c>
      <c r="AF11" s="106">
        <v>32</v>
      </c>
      <c r="AG11" s="106">
        <v>17049.599999999999</v>
      </c>
      <c r="AH11" s="106">
        <v>26</v>
      </c>
      <c r="AI11" s="106">
        <v>13852.8</v>
      </c>
      <c r="AJ11" s="106">
        <v>3</v>
      </c>
      <c r="AK11" s="106">
        <v>1598.3999999999999</v>
      </c>
      <c r="AL11" s="106">
        <v>3</v>
      </c>
      <c r="AM11" s="106">
        <v>1598.3999999999999</v>
      </c>
      <c r="AN11" s="106">
        <v>3</v>
      </c>
      <c r="AO11" s="106">
        <v>1598.3999999999999</v>
      </c>
      <c r="AP11" s="106">
        <v>4</v>
      </c>
      <c r="AQ11" s="106">
        <v>2131.1999999999998</v>
      </c>
      <c r="AR11" s="106">
        <v>9</v>
      </c>
      <c r="AS11" s="106">
        <v>4795.2</v>
      </c>
      <c r="AT11" s="106">
        <v>12</v>
      </c>
      <c r="AU11" s="106">
        <v>6393.5999999999995</v>
      </c>
      <c r="AV11" s="106">
        <v>8</v>
      </c>
      <c r="AW11" s="106">
        <v>4262.3999999999996</v>
      </c>
      <c r="AX11" s="106">
        <v>11</v>
      </c>
      <c r="AY11" s="106">
        <v>5860.7999999999993</v>
      </c>
      <c r="AZ11" s="106">
        <v>4</v>
      </c>
      <c r="BA11" s="106">
        <v>2131.1999999999998</v>
      </c>
      <c r="BB11" s="106">
        <v>4</v>
      </c>
      <c r="BC11" s="106">
        <v>2131.1999999999998</v>
      </c>
      <c r="BD11" s="106">
        <v>4</v>
      </c>
      <c r="BE11" s="106">
        <v>2131.1999999999998</v>
      </c>
      <c r="BF11" s="106">
        <v>4</v>
      </c>
      <c r="BG11" s="106">
        <v>2131.1999999999998</v>
      </c>
      <c r="BH11" s="106">
        <v>7</v>
      </c>
      <c r="BI11" s="106">
        <v>3729.5999999999995</v>
      </c>
      <c r="BJ11" s="106">
        <v>9</v>
      </c>
      <c r="BK11" s="106">
        <v>4795.2</v>
      </c>
      <c r="BL11" s="106">
        <v>5</v>
      </c>
      <c r="BM11" s="106">
        <v>2664</v>
      </c>
      <c r="BN11" s="106">
        <v>10</v>
      </c>
      <c r="BO11" s="106">
        <v>5328</v>
      </c>
      <c r="BP11" s="106">
        <v>36</v>
      </c>
      <c r="BQ11" s="106">
        <v>19180.8</v>
      </c>
      <c r="BR11" s="106">
        <v>30</v>
      </c>
      <c r="BS11" s="106">
        <v>15983.999999999998</v>
      </c>
      <c r="BT11" s="106">
        <v>42</v>
      </c>
      <c r="BU11" s="106">
        <v>22377.599999999999</v>
      </c>
      <c r="BV11" s="106">
        <v>48</v>
      </c>
      <c r="BW11" s="106">
        <v>25574.399999999998</v>
      </c>
      <c r="BX11" s="106">
        <v>3</v>
      </c>
      <c r="BY11" s="106">
        <v>1598.3999999999999</v>
      </c>
      <c r="BZ11" s="106">
        <v>3</v>
      </c>
      <c r="CA11" s="106">
        <v>1598.3999999999999</v>
      </c>
      <c r="CB11" s="106">
        <v>5</v>
      </c>
      <c r="CC11" s="106">
        <v>2664</v>
      </c>
      <c r="CD11" s="106">
        <v>5</v>
      </c>
      <c r="CE11" s="106">
        <v>2664</v>
      </c>
      <c r="CF11" s="106">
        <v>33</v>
      </c>
      <c r="CG11" s="106">
        <v>17582.399999999998</v>
      </c>
      <c r="CH11" s="106">
        <v>36</v>
      </c>
      <c r="CI11" s="106">
        <v>19180.8</v>
      </c>
      <c r="CJ11" s="106">
        <v>36</v>
      </c>
      <c r="CK11" s="106">
        <v>19180.8</v>
      </c>
      <c r="CL11" s="106">
        <v>35</v>
      </c>
      <c r="CM11" s="106">
        <v>18648</v>
      </c>
      <c r="CN11" s="106">
        <v>8</v>
      </c>
      <c r="CO11" s="106">
        <v>4262.3999999999996</v>
      </c>
      <c r="CP11" s="106">
        <v>5</v>
      </c>
      <c r="CQ11" s="106">
        <v>2664</v>
      </c>
      <c r="CR11" s="106">
        <v>8</v>
      </c>
      <c r="CS11" s="106">
        <v>4262.3999999999996</v>
      </c>
      <c r="CT11" s="106">
        <v>9</v>
      </c>
      <c r="CU11" s="106">
        <v>4795.2</v>
      </c>
    </row>
    <row r="12" spans="1:99" x14ac:dyDescent="0.2">
      <c r="C12" s="105" t="s">
        <v>177</v>
      </c>
      <c r="D12" s="106">
        <v>3</v>
      </c>
      <c r="E12" s="106">
        <v>1688.3999999999999</v>
      </c>
      <c r="F12" s="106">
        <v>2</v>
      </c>
      <c r="G12" s="106">
        <v>1125.5999999999999</v>
      </c>
      <c r="H12" s="106">
        <v>4</v>
      </c>
      <c r="I12" s="106">
        <v>2251.1999999999998</v>
      </c>
      <c r="J12" s="106">
        <v>3</v>
      </c>
      <c r="K12" s="106">
        <v>1688.3999999999999</v>
      </c>
      <c r="L12" s="106">
        <v>2</v>
      </c>
      <c r="M12" s="106">
        <v>1125.5999999999999</v>
      </c>
      <c r="N12" s="106">
        <v>3</v>
      </c>
      <c r="O12" s="106">
        <v>1688.3999999999999</v>
      </c>
      <c r="P12" s="106">
        <v>3</v>
      </c>
      <c r="Q12" s="106">
        <v>1688.3999999999999</v>
      </c>
      <c r="R12" s="106">
        <v>4</v>
      </c>
      <c r="S12" s="106">
        <v>2251.1999999999998</v>
      </c>
      <c r="T12" s="106">
        <v>5</v>
      </c>
      <c r="U12" s="106">
        <v>2814</v>
      </c>
      <c r="V12" s="106">
        <v>4</v>
      </c>
      <c r="W12" s="106">
        <v>2251.1999999999998</v>
      </c>
      <c r="X12" s="106">
        <v>4</v>
      </c>
      <c r="Y12" s="106">
        <v>2251.1999999999998</v>
      </c>
      <c r="Z12" s="106">
        <v>4</v>
      </c>
      <c r="AA12" s="106">
        <v>2251.1999999999998</v>
      </c>
      <c r="AB12" s="106">
        <v>19</v>
      </c>
      <c r="AC12" s="106">
        <v>10693.199999999999</v>
      </c>
      <c r="AD12" s="106">
        <v>29</v>
      </c>
      <c r="AE12" s="106">
        <v>16321.199999999999</v>
      </c>
      <c r="AF12" s="106">
        <v>34</v>
      </c>
      <c r="AG12" s="106">
        <v>19135.199999999997</v>
      </c>
      <c r="AH12" s="106">
        <v>26</v>
      </c>
      <c r="AI12" s="106">
        <v>14632.8</v>
      </c>
      <c r="AJ12" s="106">
        <v>3</v>
      </c>
      <c r="AK12" s="106">
        <v>1688.3999999999999</v>
      </c>
      <c r="AL12" s="106">
        <v>3</v>
      </c>
      <c r="AM12" s="106">
        <v>1688.3999999999999</v>
      </c>
      <c r="AN12" s="106">
        <v>3</v>
      </c>
      <c r="AO12" s="106">
        <v>1688.3999999999999</v>
      </c>
      <c r="AP12" s="106">
        <v>4</v>
      </c>
      <c r="AQ12" s="106">
        <v>2251.1999999999998</v>
      </c>
      <c r="AR12" s="106">
        <v>9</v>
      </c>
      <c r="AS12" s="106">
        <v>5065.2</v>
      </c>
      <c r="AT12" s="106">
        <v>10</v>
      </c>
      <c r="AU12" s="106">
        <v>5628</v>
      </c>
      <c r="AV12" s="106">
        <v>10</v>
      </c>
      <c r="AW12" s="106">
        <v>5628</v>
      </c>
      <c r="AX12" s="106">
        <v>12</v>
      </c>
      <c r="AY12" s="106">
        <v>6753.5999999999995</v>
      </c>
      <c r="AZ12" s="106">
        <v>4</v>
      </c>
      <c r="BA12" s="106">
        <v>2251.1999999999998</v>
      </c>
      <c r="BB12" s="106">
        <v>5</v>
      </c>
      <c r="BC12" s="106">
        <v>2814</v>
      </c>
      <c r="BD12" s="106">
        <v>4</v>
      </c>
      <c r="BE12" s="106">
        <v>2251.1999999999998</v>
      </c>
      <c r="BF12" s="106">
        <v>4</v>
      </c>
      <c r="BG12" s="106">
        <v>2251.1999999999998</v>
      </c>
      <c r="BH12" s="106">
        <v>6</v>
      </c>
      <c r="BI12" s="106">
        <v>3376.7999999999997</v>
      </c>
      <c r="BJ12" s="106">
        <v>9</v>
      </c>
      <c r="BK12" s="106">
        <v>5065.2</v>
      </c>
      <c r="BL12" s="106">
        <v>5</v>
      </c>
      <c r="BM12" s="106">
        <v>2814</v>
      </c>
      <c r="BN12" s="106">
        <v>10</v>
      </c>
      <c r="BO12" s="106">
        <v>5628</v>
      </c>
      <c r="BP12" s="106">
        <v>33</v>
      </c>
      <c r="BQ12" s="106">
        <v>18572.399999999998</v>
      </c>
      <c r="BR12" s="106">
        <v>29</v>
      </c>
      <c r="BS12" s="106">
        <v>16321.199999999999</v>
      </c>
      <c r="BT12" s="106">
        <v>39</v>
      </c>
      <c r="BU12" s="106">
        <v>21949.199999999997</v>
      </c>
      <c r="BV12" s="106">
        <v>46</v>
      </c>
      <c r="BW12" s="106">
        <v>25888.799999999999</v>
      </c>
      <c r="BX12" s="106">
        <v>3</v>
      </c>
      <c r="BY12" s="106">
        <v>1688.3999999999999</v>
      </c>
      <c r="BZ12" s="106">
        <v>3</v>
      </c>
      <c r="CA12" s="106">
        <v>1688.3999999999999</v>
      </c>
      <c r="CB12" s="106">
        <v>5</v>
      </c>
      <c r="CC12" s="106">
        <v>2814</v>
      </c>
      <c r="CD12" s="106">
        <v>5</v>
      </c>
      <c r="CE12" s="106">
        <v>2814</v>
      </c>
      <c r="CF12" s="106">
        <v>32</v>
      </c>
      <c r="CG12" s="106">
        <v>18009.599999999999</v>
      </c>
      <c r="CH12" s="106">
        <v>42</v>
      </c>
      <c r="CI12" s="106">
        <v>23637.599999999999</v>
      </c>
      <c r="CJ12" s="106">
        <v>41</v>
      </c>
      <c r="CK12" s="106">
        <v>23074.799999999999</v>
      </c>
      <c r="CL12" s="106">
        <v>32</v>
      </c>
      <c r="CM12" s="106">
        <v>18009.599999999999</v>
      </c>
      <c r="CN12" s="106">
        <v>7</v>
      </c>
      <c r="CO12" s="106">
        <v>3939.5999999999995</v>
      </c>
      <c r="CP12" s="106">
        <v>6</v>
      </c>
      <c r="CQ12" s="106">
        <v>3376.7999999999997</v>
      </c>
      <c r="CR12" s="106">
        <v>9</v>
      </c>
      <c r="CS12" s="106">
        <v>5065.2</v>
      </c>
      <c r="CT12" s="106">
        <v>8</v>
      </c>
      <c r="CU12" s="106">
        <v>4502.3999999999996</v>
      </c>
    </row>
    <row r="13" spans="1:99" x14ac:dyDescent="0.2">
      <c r="C13" s="105" t="s">
        <v>178</v>
      </c>
      <c r="D13" s="106">
        <v>3</v>
      </c>
      <c r="E13" s="106">
        <v>255.60000000000002</v>
      </c>
      <c r="F13" s="106">
        <v>3</v>
      </c>
      <c r="G13" s="106">
        <v>255.60000000000002</v>
      </c>
      <c r="H13" s="106">
        <v>4</v>
      </c>
      <c r="I13" s="106">
        <v>340.8</v>
      </c>
      <c r="J13" s="106">
        <v>4</v>
      </c>
      <c r="K13" s="106">
        <v>340.8</v>
      </c>
      <c r="L13" s="106">
        <v>3</v>
      </c>
      <c r="M13" s="106">
        <v>255.60000000000002</v>
      </c>
      <c r="N13" s="106">
        <v>3</v>
      </c>
      <c r="O13" s="106">
        <v>255.60000000000002</v>
      </c>
      <c r="P13" s="106">
        <v>3</v>
      </c>
      <c r="Q13" s="106">
        <v>255.60000000000002</v>
      </c>
      <c r="R13" s="106">
        <v>4</v>
      </c>
      <c r="S13" s="106">
        <v>340.8</v>
      </c>
      <c r="T13" s="106">
        <v>5</v>
      </c>
      <c r="U13" s="106">
        <v>426</v>
      </c>
      <c r="V13" s="106">
        <v>4</v>
      </c>
      <c r="W13" s="106">
        <v>340.8</v>
      </c>
      <c r="X13" s="106">
        <v>4</v>
      </c>
      <c r="Y13" s="106">
        <v>340.8</v>
      </c>
      <c r="Z13" s="106">
        <v>4</v>
      </c>
      <c r="AA13" s="106">
        <v>340.8</v>
      </c>
      <c r="AB13" s="106">
        <v>21</v>
      </c>
      <c r="AC13" s="106">
        <v>1789.2</v>
      </c>
      <c r="AD13" s="106">
        <v>37</v>
      </c>
      <c r="AE13" s="106">
        <v>3152.4</v>
      </c>
      <c r="AF13" s="106">
        <v>37</v>
      </c>
      <c r="AG13" s="106">
        <v>3152.4</v>
      </c>
      <c r="AH13" s="106">
        <v>28</v>
      </c>
      <c r="AI13" s="106">
        <v>2385.6</v>
      </c>
      <c r="AJ13" s="106">
        <v>3</v>
      </c>
      <c r="AK13" s="106">
        <v>255.60000000000002</v>
      </c>
      <c r="AL13" s="106">
        <v>4</v>
      </c>
      <c r="AM13" s="106">
        <v>340.8</v>
      </c>
      <c r="AN13" s="106">
        <v>3</v>
      </c>
      <c r="AO13" s="106">
        <v>255.60000000000002</v>
      </c>
      <c r="AP13" s="106">
        <v>4</v>
      </c>
      <c r="AQ13" s="106">
        <v>340.8</v>
      </c>
      <c r="AR13" s="106">
        <v>9</v>
      </c>
      <c r="AS13" s="106">
        <v>766.80000000000007</v>
      </c>
      <c r="AT13" s="106">
        <v>11</v>
      </c>
      <c r="AU13" s="106">
        <v>937.2</v>
      </c>
      <c r="AV13" s="106">
        <v>9</v>
      </c>
      <c r="AW13" s="106">
        <v>766.80000000000007</v>
      </c>
      <c r="AX13" s="106">
        <v>11</v>
      </c>
      <c r="AY13" s="106">
        <v>937.2</v>
      </c>
      <c r="AZ13" s="106">
        <v>5</v>
      </c>
      <c r="BA13" s="106">
        <v>426</v>
      </c>
      <c r="BB13" s="106">
        <v>5</v>
      </c>
      <c r="BC13" s="106">
        <v>426</v>
      </c>
      <c r="BD13" s="106">
        <v>4</v>
      </c>
      <c r="BE13" s="106">
        <v>340.8</v>
      </c>
      <c r="BF13" s="106">
        <v>4</v>
      </c>
      <c r="BG13" s="106">
        <v>340.8</v>
      </c>
      <c r="BH13" s="106">
        <v>7</v>
      </c>
      <c r="BI13" s="106">
        <v>596.4</v>
      </c>
      <c r="BJ13" s="106">
        <v>10</v>
      </c>
      <c r="BK13" s="106">
        <v>852</v>
      </c>
      <c r="BL13" s="106">
        <v>6</v>
      </c>
      <c r="BM13" s="106">
        <v>511.20000000000005</v>
      </c>
      <c r="BN13" s="106">
        <v>9</v>
      </c>
      <c r="BO13" s="106">
        <v>766.80000000000007</v>
      </c>
      <c r="BP13" s="106">
        <v>35</v>
      </c>
      <c r="BQ13" s="106">
        <v>2982</v>
      </c>
      <c r="BR13" s="106">
        <v>35</v>
      </c>
      <c r="BS13" s="106">
        <v>2982</v>
      </c>
      <c r="BT13" s="106">
        <v>44</v>
      </c>
      <c r="BU13" s="106">
        <v>3748.8</v>
      </c>
      <c r="BV13" s="106">
        <v>48</v>
      </c>
      <c r="BW13" s="106">
        <v>4089.6000000000004</v>
      </c>
      <c r="BX13" s="106">
        <v>3</v>
      </c>
      <c r="BY13" s="106">
        <v>255.60000000000002</v>
      </c>
      <c r="BZ13" s="106">
        <v>3</v>
      </c>
      <c r="CA13" s="106">
        <v>255.60000000000002</v>
      </c>
      <c r="CB13" s="106">
        <v>5</v>
      </c>
      <c r="CC13" s="106">
        <v>426</v>
      </c>
      <c r="CD13" s="106">
        <v>5</v>
      </c>
      <c r="CE13" s="106">
        <v>426</v>
      </c>
      <c r="CF13" s="106">
        <v>34</v>
      </c>
      <c r="CG13" s="106">
        <v>2896.8</v>
      </c>
      <c r="CH13" s="106">
        <v>43</v>
      </c>
      <c r="CI13" s="106">
        <v>3663.6</v>
      </c>
      <c r="CJ13" s="106">
        <v>41</v>
      </c>
      <c r="CK13" s="106">
        <v>3493.2000000000003</v>
      </c>
      <c r="CL13" s="106">
        <v>39</v>
      </c>
      <c r="CM13" s="106">
        <v>3322.8</v>
      </c>
      <c r="CN13" s="106">
        <v>8</v>
      </c>
      <c r="CO13" s="106">
        <v>681.6</v>
      </c>
      <c r="CP13" s="106">
        <v>6</v>
      </c>
      <c r="CQ13" s="106">
        <v>511.20000000000005</v>
      </c>
      <c r="CR13" s="106">
        <v>8</v>
      </c>
      <c r="CS13" s="106">
        <v>681.6</v>
      </c>
      <c r="CT13" s="106">
        <v>7</v>
      </c>
      <c r="CU13" s="106">
        <v>596.4</v>
      </c>
    </row>
    <row r="14" spans="1:99" x14ac:dyDescent="0.2">
      <c r="C14" s="105" t="s">
        <v>179</v>
      </c>
      <c r="D14" s="106">
        <v>3</v>
      </c>
      <c r="E14" s="106">
        <v>1465.1999999999998</v>
      </c>
      <c r="F14" s="106">
        <v>2</v>
      </c>
      <c r="G14" s="106">
        <v>976.8</v>
      </c>
      <c r="H14" s="106">
        <v>4</v>
      </c>
      <c r="I14" s="106">
        <v>1953.6</v>
      </c>
      <c r="J14" s="106">
        <v>3</v>
      </c>
      <c r="K14" s="106">
        <v>1465.1999999999998</v>
      </c>
      <c r="L14" s="106">
        <v>2</v>
      </c>
      <c r="M14" s="106">
        <v>976.8</v>
      </c>
      <c r="N14" s="106">
        <v>3</v>
      </c>
      <c r="O14" s="106">
        <v>1465.1999999999998</v>
      </c>
      <c r="P14" s="106">
        <v>4</v>
      </c>
      <c r="Q14" s="106">
        <v>1953.6</v>
      </c>
      <c r="R14" s="106">
        <v>4</v>
      </c>
      <c r="S14" s="106">
        <v>1953.6</v>
      </c>
      <c r="T14" s="106">
        <v>5</v>
      </c>
      <c r="U14" s="106">
        <v>2442</v>
      </c>
      <c r="V14" s="106">
        <v>4</v>
      </c>
      <c r="W14" s="106">
        <v>1953.6</v>
      </c>
      <c r="X14" s="106">
        <v>4</v>
      </c>
      <c r="Y14" s="106">
        <v>1953.6</v>
      </c>
      <c r="Z14" s="106">
        <v>4</v>
      </c>
      <c r="AA14" s="106">
        <v>1953.6</v>
      </c>
      <c r="AB14" s="106">
        <v>18</v>
      </c>
      <c r="AC14" s="106">
        <v>8791.1999999999989</v>
      </c>
      <c r="AD14" s="106">
        <v>35</v>
      </c>
      <c r="AE14" s="106">
        <v>17094</v>
      </c>
      <c r="AF14" s="106">
        <v>34</v>
      </c>
      <c r="AG14" s="106">
        <v>16605.599999999999</v>
      </c>
      <c r="AH14" s="106">
        <v>24</v>
      </c>
      <c r="AI14" s="106">
        <v>11721.599999999999</v>
      </c>
      <c r="AJ14" s="106">
        <v>3</v>
      </c>
      <c r="AK14" s="106">
        <v>1465.1999999999998</v>
      </c>
      <c r="AL14" s="106">
        <v>4</v>
      </c>
      <c r="AM14" s="106">
        <v>1953.6</v>
      </c>
      <c r="AN14" s="106">
        <v>3</v>
      </c>
      <c r="AO14" s="106">
        <v>1465.1999999999998</v>
      </c>
      <c r="AP14" s="106">
        <v>4</v>
      </c>
      <c r="AQ14" s="106">
        <v>1953.6</v>
      </c>
      <c r="AR14" s="106">
        <v>9</v>
      </c>
      <c r="AS14" s="106">
        <v>4395.5999999999995</v>
      </c>
      <c r="AT14" s="106">
        <v>11</v>
      </c>
      <c r="AU14" s="106">
        <v>5372.4</v>
      </c>
      <c r="AV14" s="106">
        <v>9</v>
      </c>
      <c r="AW14" s="106">
        <v>4395.5999999999995</v>
      </c>
      <c r="AX14" s="106">
        <v>11</v>
      </c>
      <c r="AY14" s="106">
        <v>5372.4</v>
      </c>
      <c r="AZ14" s="106">
        <v>5</v>
      </c>
      <c r="BA14" s="106">
        <v>2442</v>
      </c>
      <c r="BB14" s="106">
        <v>5</v>
      </c>
      <c r="BC14" s="106">
        <v>2442</v>
      </c>
      <c r="BD14" s="106">
        <v>4</v>
      </c>
      <c r="BE14" s="106">
        <v>1953.6</v>
      </c>
      <c r="BF14" s="106">
        <v>4</v>
      </c>
      <c r="BG14" s="106">
        <v>1953.6</v>
      </c>
      <c r="BH14" s="106">
        <v>7</v>
      </c>
      <c r="BI14" s="106">
        <v>3418.7999999999997</v>
      </c>
      <c r="BJ14" s="106">
        <v>9</v>
      </c>
      <c r="BK14" s="106">
        <v>4395.5999999999995</v>
      </c>
      <c r="BL14" s="106">
        <v>5</v>
      </c>
      <c r="BM14" s="106">
        <v>2442</v>
      </c>
      <c r="BN14" s="106">
        <v>10</v>
      </c>
      <c r="BO14" s="106">
        <v>4884</v>
      </c>
      <c r="BP14" s="106">
        <v>33</v>
      </c>
      <c r="BQ14" s="106">
        <v>16117.199999999999</v>
      </c>
      <c r="BR14" s="106">
        <v>30</v>
      </c>
      <c r="BS14" s="106">
        <v>14652</v>
      </c>
      <c r="BT14" s="106">
        <v>35</v>
      </c>
      <c r="BU14" s="106">
        <v>17094</v>
      </c>
      <c r="BV14" s="106">
        <v>48</v>
      </c>
      <c r="BW14" s="106">
        <v>23443.199999999997</v>
      </c>
      <c r="BX14" s="106">
        <v>3</v>
      </c>
      <c r="BY14" s="106">
        <v>1465.1999999999998</v>
      </c>
      <c r="BZ14" s="106">
        <v>3</v>
      </c>
      <c r="CA14" s="106">
        <v>1465.1999999999998</v>
      </c>
      <c r="CB14" s="106">
        <v>5</v>
      </c>
      <c r="CC14" s="106">
        <v>2442</v>
      </c>
      <c r="CD14" s="106">
        <v>5</v>
      </c>
      <c r="CE14" s="106">
        <v>2442</v>
      </c>
      <c r="CF14" s="106">
        <v>34</v>
      </c>
      <c r="CG14" s="106">
        <v>16605.599999999999</v>
      </c>
      <c r="CH14" s="106">
        <v>40</v>
      </c>
      <c r="CI14" s="106">
        <v>19536</v>
      </c>
      <c r="CJ14" s="106">
        <v>43</v>
      </c>
      <c r="CK14" s="106">
        <v>21001.200000000001</v>
      </c>
      <c r="CL14" s="106">
        <v>32</v>
      </c>
      <c r="CM14" s="106">
        <v>15628.8</v>
      </c>
      <c r="CN14" s="106">
        <v>8</v>
      </c>
      <c r="CO14" s="106">
        <v>3907.2</v>
      </c>
      <c r="CP14" s="106">
        <v>6</v>
      </c>
      <c r="CQ14" s="106">
        <v>2930.3999999999996</v>
      </c>
      <c r="CR14" s="106">
        <v>9</v>
      </c>
      <c r="CS14" s="106">
        <v>4395.5999999999995</v>
      </c>
      <c r="CT14" s="106">
        <v>7</v>
      </c>
      <c r="CU14" s="106">
        <v>3418.7999999999997</v>
      </c>
    </row>
    <row r="15" spans="1:99" x14ac:dyDescent="0.2">
      <c r="C15" s="105" t="s">
        <v>180</v>
      </c>
      <c r="D15" s="106">
        <v>3</v>
      </c>
      <c r="E15" s="106">
        <v>2289.6</v>
      </c>
      <c r="F15" s="106">
        <v>2</v>
      </c>
      <c r="G15" s="106">
        <v>1526.3999999999999</v>
      </c>
      <c r="H15" s="106">
        <v>3</v>
      </c>
      <c r="I15" s="106">
        <v>2289.6</v>
      </c>
      <c r="J15" s="106">
        <v>3</v>
      </c>
      <c r="K15" s="106">
        <v>2289.6</v>
      </c>
      <c r="L15" s="106">
        <v>3</v>
      </c>
      <c r="M15" s="106">
        <v>2289.6</v>
      </c>
      <c r="N15" s="106">
        <v>3</v>
      </c>
      <c r="O15" s="106">
        <v>2289.6</v>
      </c>
      <c r="P15" s="106">
        <v>3</v>
      </c>
      <c r="Q15" s="106">
        <v>2289.6</v>
      </c>
      <c r="R15" s="106">
        <v>4</v>
      </c>
      <c r="S15" s="106">
        <v>3052.7999999999997</v>
      </c>
      <c r="T15" s="106">
        <v>5</v>
      </c>
      <c r="U15" s="106">
        <v>3815.9999999999995</v>
      </c>
      <c r="V15" s="106">
        <v>4</v>
      </c>
      <c r="W15" s="106">
        <v>3052.7999999999997</v>
      </c>
      <c r="X15" s="106">
        <v>4</v>
      </c>
      <c r="Y15" s="106">
        <v>3052.7999999999997</v>
      </c>
      <c r="Z15" s="106">
        <v>4</v>
      </c>
      <c r="AA15" s="106">
        <v>3052.7999999999997</v>
      </c>
      <c r="AB15" s="106">
        <v>20</v>
      </c>
      <c r="AC15" s="106">
        <v>15263.999999999998</v>
      </c>
      <c r="AD15" s="106">
        <v>33</v>
      </c>
      <c r="AE15" s="106">
        <v>25185.599999999999</v>
      </c>
      <c r="AF15" s="106">
        <v>32</v>
      </c>
      <c r="AG15" s="106">
        <v>24422.399999999998</v>
      </c>
      <c r="AH15" s="106">
        <v>24</v>
      </c>
      <c r="AI15" s="106">
        <v>18316.8</v>
      </c>
      <c r="AJ15" s="106">
        <v>3</v>
      </c>
      <c r="AK15" s="106">
        <v>2289.6</v>
      </c>
      <c r="AL15" s="106">
        <v>3</v>
      </c>
      <c r="AM15" s="106">
        <v>2289.6</v>
      </c>
      <c r="AN15" s="106">
        <v>3</v>
      </c>
      <c r="AO15" s="106">
        <v>2289.6</v>
      </c>
      <c r="AP15" s="106">
        <v>4</v>
      </c>
      <c r="AQ15" s="106">
        <v>3052.7999999999997</v>
      </c>
      <c r="AR15" s="106">
        <v>8</v>
      </c>
      <c r="AS15" s="106">
        <v>6105.5999999999995</v>
      </c>
      <c r="AT15" s="106">
        <v>10</v>
      </c>
      <c r="AU15" s="106">
        <v>7631.9999999999991</v>
      </c>
      <c r="AV15" s="106">
        <v>9</v>
      </c>
      <c r="AW15" s="106">
        <v>6868.7999999999993</v>
      </c>
      <c r="AX15" s="106">
        <v>11</v>
      </c>
      <c r="AY15" s="106">
        <v>8395.1999999999989</v>
      </c>
      <c r="AZ15" s="106">
        <v>5</v>
      </c>
      <c r="BA15" s="106">
        <v>3815.9999999999995</v>
      </c>
      <c r="BB15" s="106">
        <v>4</v>
      </c>
      <c r="BC15" s="106">
        <v>3052.7999999999997</v>
      </c>
      <c r="BD15" s="106">
        <v>3</v>
      </c>
      <c r="BE15" s="106">
        <v>2289.6</v>
      </c>
      <c r="BF15" s="106">
        <v>4</v>
      </c>
      <c r="BG15" s="106">
        <v>3052.7999999999997</v>
      </c>
      <c r="BH15" s="106">
        <v>7</v>
      </c>
      <c r="BI15" s="106">
        <v>5342.4</v>
      </c>
      <c r="BJ15" s="106">
        <v>8</v>
      </c>
      <c r="BK15" s="106">
        <v>6105.5999999999995</v>
      </c>
      <c r="BL15" s="106">
        <v>5</v>
      </c>
      <c r="BM15" s="106">
        <v>3815.9999999999995</v>
      </c>
      <c r="BN15" s="106">
        <v>8</v>
      </c>
      <c r="BO15" s="106">
        <v>6105.5999999999995</v>
      </c>
      <c r="BP15" s="106">
        <v>33</v>
      </c>
      <c r="BQ15" s="106">
        <v>25185.599999999999</v>
      </c>
      <c r="BR15" s="106">
        <v>29</v>
      </c>
      <c r="BS15" s="106">
        <v>22132.799999999999</v>
      </c>
      <c r="BT15" s="106">
        <v>35</v>
      </c>
      <c r="BU15" s="106">
        <v>26711.999999999996</v>
      </c>
      <c r="BV15" s="106">
        <v>46</v>
      </c>
      <c r="BW15" s="106">
        <v>35107.199999999997</v>
      </c>
      <c r="BX15" s="106">
        <v>3</v>
      </c>
      <c r="BY15" s="106">
        <v>2289.6</v>
      </c>
      <c r="BZ15" s="106">
        <v>3</v>
      </c>
      <c r="CA15" s="106">
        <v>2289.6</v>
      </c>
      <c r="CB15" s="106">
        <v>4</v>
      </c>
      <c r="CC15" s="106">
        <v>3052.7999999999997</v>
      </c>
      <c r="CD15" s="106">
        <v>5</v>
      </c>
      <c r="CE15" s="106">
        <v>3815.9999999999995</v>
      </c>
      <c r="CF15" s="106">
        <v>28</v>
      </c>
      <c r="CG15" s="106">
        <v>21369.599999999999</v>
      </c>
      <c r="CH15" s="106">
        <v>35</v>
      </c>
      <c r="CI15" s="106">
        <v>26711.999999999996</v>
      </c>
      <c r="CJ15" s="106">
        <v>40</v>
      </c>
      <c r="CK15" s="106">
        <v>30527.999999999996</v>
      </c>
      <c r="CL15" s="106">
        <v>30</v>
      </c>
      <c r="CM15" s="106">
        <v>22895.999999999996</v>
      </c>
      <c r="CN15" s="106">
        <v>7</v>
      </c>
      <c r="CO15" s="106">
        <v>5342.4</v>
      </c>
      <c r="CP15" s="106">
        <v>6</v>
      </c>
      <c r="CQ15" s="106">
        <v>4579.2</v>
      </c>
      <c r="CR15" s="106">
        <v>8</v>
      </c>
      <c r="CS15" s="106">
        <v>6105.5999999999995</v>
      </c>
      <c r="CT15" s="106">
        <v>8</v>
      </c>
      <c r="CU15" s="106">
        <v>6105.5999999999995</v>
      </c>
    </row>
    <row r="16" spans="1:99" x14ac:dyDescent="0.2">
      <c r="C16" s="105" t="s">
        <v>181</v>
      </c>
      <c r="D16" s="106">
        <v>3</v>
      </c>
      <c r="E16" s="106">
        <v>1022.4000000000001</v>
      </c>
      <c r="F16" s="106">
        <v>3</v>
      </c>
      <c r="G16" s="106">
        <v>1022.4000000000001</v>
      </c>
      <c r="H16" s="106">
        <v>4</v>
      </c>
      <c r="I16" s="106">
        <v>1363.2</v>
      </c>
      <c r="J16" s="106">
        <v>3</v>
      </c>
      <c r="K16" s="106">
        <v>1022.4000000000001</v>
      </c>
      <c r="L16" s="106">
        <v>3</v>
      </c>
      <c r="M16" s="106">
        <v>1022.4000000000001</v>
      </c>
      <c r="N16" s="106">
        <v>3</v>
      </c>
      <c r="O16" s="106">
        <v>1022.4000000000001</v>
      </c>
      <c r="P16" s="106">
        <v>3</v>
      </c>
      <c r="Q16" s="106">
        <v>1022.4000000000001</v>
      </c>
      <c r="R16" s="106">
        <v>4</v>
      </c>
      <c r="S16" s="106">
        <v>1363.2</v>
      </c>
      <c r="T16" s="106">
        <v>5</v>
      </c>
      <c r="U16" s="106">
        <v>1704</v>
      </c>
      <c r="V16" s="106">
        <v>4</v>
      </c>
      <c r="W16" s="106">
        <v>1363.2</v>
      </c>
      <c r="X16" s="106">
        <v>4</v>
      </c>
      <c r="Y16" s="106">
        <v>1363.2</v>
      </c>
      <c r="Z16" s="106">
        <v>4</v>
      </c>
      <c r="AA16" s="106">
        <v>1363.2</v>
      </c>
      <c r="AB16" s="106">
        <v>20</v>
      </c>
      <c r="AC16" s="106">
        <v>6816</v>
      </c>
      <c r="AD16" s="106">
        <v>34</v>
      </c>
      <c r="AE16" s="106">
        <v>11587.2</v>
      </c>
      <c r="AF16" s="106">
        <v>40</v>
      </c>
      <c r="AG16" s="106">
        <v>13632</v>
      </c>
      <c r="AH16" s="106">
        <v>28</v>
      </c>
      <c r="AI16" s="106">
        <v>9542.4</v>
      </c>
      <c r="AJ16" s="106">
        <v>3</v>
      </c>
      <c r="AK16" s="106">
        <v>1022.4000000000001</v>
      </c>
      <c r="AL16" s="106">
        <v>4</v>
      </c>
      <c r="AM16" s="106">
        <v>1363.2</v>
      </c>
      <c r="AN16" s="106">
        <v>3</v>
      </c>
      <c r="AO16" s="106">
        <v>1022.4000000000001</v>
      </c>
      <c r="AP16" s="106">
        <v>3</v>
      </c>
      <c r="AQ16" s="106">
        <v>1022.4000000000001</v>
      </c>
      <c r="AR16" s="106">
        <v>9</v>
      </c>
      <c r="AS16" s="106">
        <v>3067.2000000000003</v>
      </c>
      <c r="AT16" s="106">
        <v>12</v>
      </c>
      <c r="AU16" s="106">
        <v>4089.6000000000004</v>
      </c>
      <c r="AV16" s="106">
        <v>9</v>
      </c>
      <c r="AW16" s="106">
        <v>3067.2000000000003</v>
      </c>
      <c r="AX16" s="106">
        <v>12</v>
      </c>
      <c r="AY16" s="106">
        <v>4089.6000000000004</v>
      </c>
      <c r="AZ16" s="106">
        <v>5</v>
      </c>
      <c r="BA16" s="106">
        <v>1704</v>
      </c>
      <c r="BB16" s="106">
        <v>4</v>
      </c>
      <c r="BC16" s="106">
        <v>1363.2</v>
      </c>
      <c r="BD16" s="106">
        <v>4</v>
      </c>
      <c r="BE16" s="106">
        <v>1363.2</v>
      </c>
      <c r="BF16" s="106">
        <v>4</v>
      </c>
      <c r="BG16" s="106">
        <v>1363.2</v>
      </c>
      <c r="BH16" s="106">
        <v>7</v>
      </c>
      <c r="BI16" s="106">
        <v>2385.6</v>
      </c>
      <c r="BJ16" s="106">
        <v>9</v>
      </c>
      <c r="BK16" s="106">
        <v>3067.2000000000003</v>
      </c>
      <c r="BL16" s="106">
        <v>5</v>
      </c>
      <c r="BM16" s="106">
        <v>1704</v>
      </c>
      <c r="BN16" s="106">
        <v>8</v>
      </c>
      <c r="BO16" s="106">
        <v>2726.4</v>
      </c>
      <c r="BP16" s="106">
        <v>35</v>
      </c>
      <c r="BQ16" s="106">
        <v>11928</v>
      </c>
      <c r="BR16" s="106">
        <v>32</v>
      </c>
      <c r="BS16" s="106">
        <v>10905.6</v>
      </c>
      <c r="BT16" s="106">
        <v>43</v>
      </c>
      <c r="BU16" s="106">
        <v>14654.4</v>
      </c>
      <c r="BV16" s="106">
        <v>47</v>
      </c>
      <c r="BW16" s="106">
        <v>16017.6</v>
      </c>
      <c r="BX16" s="106">
        <v>3</v>
      </c>
      <c r="BY16" s="106">
        <v>1022.4000000000001</v>
      </c>
      <c r="BZ16" s="106">
        <v>3</v>
      </c>
      <c r="CA16" s="106">
        <v>1022.4000000000001</v>
      </c>
      <c r="CB16" s="106">
        <v>6</v>
      </c>
      <c r="CC16" s="106">
        <v>2044.8000000000002</v>
      </c>
      <c r="CD16" s="106">
        <v>5</v>
      </c>
      <c r="CE16" s="106">
        <v>1704</v>
      </c>
      <c r="CF16" s="106">
        <v>30</v>
      </c>
      <c r="CG16" s="106">
        <v>10224</v>
      </c>
      <c r="CH16" s="106">
        <v>37</v>
      </c>
      <c r="CI16" s="106">
        <v>12609.6</v>
      </c>
      <c r="CJ16" s="106">
        <v>44</v>
      </c>
      <c r="CK16" s="106">
        <v>14995.2</v>
      </c>
      <c r="CL16" s="106">
        <v>38</v>
      </c>
      <c r="CM16" s="106">
        <v>12950.4</v>
      </c>
      <c r="CN16" s="106">
        <v>9</v>
      </c>
      <c r="CO16" s="106">
        <v>3067.2000000000003</v>
      </c>
      <c r="CP16" s="106">
        <v>6</v>
      </c>
      <c r="CQ16" s="106">
        <v>2044.8000000000002</v>
      </c>
      <c r="CR16" s="106">
        <v>8</v>
      </c>
      <c r="CS16" s="106">
        <v>2726.4</v>
      </c>
      <c r="CT16" s="106">
        <v>7</v>
      </c>
      <c r="CU16" s="106">
        <v>2385.6</v>
      </c>
    </row>
    <row r="17" spans="2:99" x14ac:dyDescent="0.2">
      <c r="C17" s="105" t="s">
        <v>182</v>
      </c>
      <c r="D17" s="106">
        <v>3</v>
      </c>
      <c r="E17" s="106">
        <v>1267.1999999999998</v>
      </c>
      <c r="F17" s="106">
        <v>2</v>
      </c>
      <c r="G17" s="106">
        <v>844.8</v>
      </c>
      <c r="H17" s="106">
        <v>4</v>
      </c>
      <c r="I17" s="106">
        <v>1689.6</v>
      </c>
      <c r="J17" s="106">
        <v>3</v>
      </c>
      <c r="K17" s="106">
        <v>1267.1999999999998</v>
      </c>
      <c r="L17" s="106">
        <v>3</v>
      </c>
      <c r="M17" s="106">
        <v>1267.1999999999998</v>
      </c>
      <c r="N17" s="106">
        <v>3</v>
      </c>
      <c r="O17" s="106">
        <v>1267.1999999999998</v>
      </c>
      <c r="P17" s="106">
        <v>3</v>
      </c>
      <c r="Q17" s="106">
        <v>1267.1999999999998</v>
      </c>
      <c r="R17" s="106">
        <v>3</v>
      </c>
      <c r="S17" s="106">
        <v>1267.1999999999998</v>
      </c>
      <c r="T17" s="106">
        <v>5</v>
      </c>
      <c r="U17" s="106">
        <v>2112</v>
      </c>
      <c r="V17" s="106">
        <v>4</v>
      </c>
      <c r="W17" s="106">
        <v>1689.6</v>
      </c>
      <c r="X17" s="106">
        <v>4</v>
      </c>
      <c r="Y17" s="106">
        <v>1689.6</v>
      </c>
      <c r="Z17" s="106">
        <v>4</v>
      </c>
      <c r="AA17" s="106">
        <v>1689.6</v>
      </c>
      <c r="AB17" s="106">
        <v>19</v>
      </c>
      <c r="AC17" s="106">
        <v>8025.5999999999995</v>
      </c>
      <c r="AD17" s="106">
        <v>33</v>
      </c>
      <c r="AE17" s="106">
        <v>13939.199999999999</v>
      </c>
      <c r="AF17" s="106">
        <v>35</v>
      </c>
      <c r="AG17" s="106">
        <v>14784</v>
      </c>
      <c r="AH17" s="106">
        <v>27</v>
      </c>
      <c r="AI17" s="106">
        <v>11404.8</v>
      </c>
      <c r="AJ17" s="106">
        <v>3</v>
      </c>
      <c r="AK17" s="106">
        <v>1267.1999999999998</v>
      </c>
      <c r="AL17" s="106">
        <v>3</v>
      </c>
      <c r="AM17" s="106">
        <v>1267.1999999999998</v>
      </c>
      <c r="AN17" s="106">
        <v>3</v>
      </c>
      <c r="AO17" s="106">
        <v>1267.1999999999998</v>
      </c>
      <c r="AP17" s="106">
        <v>4</v>
      </c>
      <c r="AQ17" s="106">
        <v>1689.6</v>
      </c>
      <c r="AR17" s="106">
        <v>10</v>
      </c>
      <c r="AS17" s="106">
        <v>4224</v>
      </c>
      <c r="AT17" s="106">
        <v>10</v>
      </c>
      <c r="AU17" s="106">
        <v>4224</v>
      </c>
      <c r="AV17" s="106">
        <v>9</v>
      </c>
      <c r="AW17" s="106">
        <v>3801.6</v>
      </c>
      <c r="AX17" s="106">
        <v>11</v>
      </c>
      <c r="AY17" s="106">
        <v>4646.3999999999996</v>
      </c>
      <c r="AZ17" s="106">
        <v>5</v>
      </c>
      <c r="BA17" s="106">
        <v>2112</v>
      </c>
      <c r="BB17" s="106">
        <v>5</v>
      </c>
      <c r="BC17" s="106">
        <v>2112</v>
      </c>
      <c r="BD17" s="106">
        <v>4</v>
      </c>
      <c r="BE17" s="106">
        <v>1689.6</v>
      </c>
      <c r="BF17" s="106">
        <v>4</v>
      </c>
      <c r="BG17" s="106">
        <v>1689.6</v>
      </c>
      <c r="BH17" s="106">
        <v>6</v>
      </c>
      <c r="BI17" s="106">
        <v>2534.3999999999996</v>
      </c>
      <c r="BJ17" s="106">
        <v>9</v>
      </c>
      <c r="BK17" s="106">
        <v>3801.6</v>
      </c>
      <c r="BL17" s="106">
        <v>5</v>
      </c>
      <c r="BM17" s="106">
        <v>2112</v>
      </c>
      <c r="BN17" s="106">
        <v>9</v>
      </c>
      <c r="BO17" s="106">
        <v>3801.6</v>
      </c>
      <c r="BP17" s="106">
        <v>39</v>
      </c>
      <c r="BQ17" s="106">
        <v>16473.599999999999</v>
      </c>
      <c r="BR17" s="106">
        <v>29</v>
      </c>
      <c r="BS17" s="106">
        <v>12249.599999999999</v>
      </c>
      <c r="BT17" s="106">
        <v>39</v>
      </c>
      <c r="BU17" s="106">
        <v>16473.599999999999</v>
      </c>
      <c r="BV17" s="106">
        <v>45</v>
      </c>
      <c r="BW17" s="106">
        <v>19008</v>
      </c>
      <c r="BX17" s="106">
        <v>3</v>
      </c>
      <c r="BY17" s="106">
        <v>1267.1999999999998</v>
      </c>
      <c r="BZ17" s="106">
        <v>3</v>
      </c>
      <c r="CA17" s="106">
        <v>1267.1999999999998</v>
      </c>
      <c r="CB17" s="106">
        <v>5</v>
      </c>
      <c r="CC17" s="106">
        <v>2112</v>
      </c>
      <c r="CD17" s="106">
        <v>5</v>
      </c>
      <c r="CE17" s="106">
        <v>2112</v>
      </c>
      <c r="CF17" s="106">
        <v>35</v>
      </c>
      <c r="CG17" s="106">
        <v>14784</v>
      </c>
      <c r="CH17" s="106">
        <v>36</v>
      </c>
      <c r="CI17" s="106">
        <v>15206.4</v>
      </c>
      <c r="CJ17" s="106">
        <v>41</v>
      </c>
      <c r="CK17" s="106">
        <v>17318.399999999998</v>
      </c>
      <c r="CL17" s="106">
        <v>33</v>
      </c>
      <c r="CM17" s="106">
        <v>13939.199999999999</v>
      </c>
      <c r="CN17" s="106">
        <v>8</v>
      </c>
      <c r="CO17" s="106">
        <v>3379.2</v>
      </c>
      <c r="CP17" s="106">
        <v>6</v>
      </c>
      <c r="CQ17" s="106">
        <v>2534.3999999999996</v>
      </c>
      <c r="CR17" s="106">
        <v>9</v>
      </c>
      <c r="CS17" s="106">
        <v>3801.6</v>
      </c>
      <c r="CT17" s="106">
        <v>8</v>
      </c>
      <c r="CU17" s="106">
        <v>3379.2</v>
      </c>
    </row>
    <row r="18" spans="2:99" x14ac:dyDescent="0.2">
      <c r="C18" s="105" t="s">
        <v>183</v>
      </c>
      <c r="D18" s="106">
        <v>3</v>
      </c>
      <c r="E18" s="106">
        <v>1958.3999999999999</v>
      </c>
      <c r="F18" s="106">
        <v>3</v>
      </c>
      <c r="G18" s="106">
        <v>1958.3999999999999</v>
      </c>
      <c r="H18" s="106">
        <v>3</v>
      </c>
      <c r="I18" s="106">
        <v>1958.3999999999999</v>
      </c>
      <c r="J18" s="106">
        <v>3</v>
      </c>
      <c r="K18" s="106">
        <v>1958.3999999999999</v>
      </c>
      <c r="L18" s="106">
        <v>3</v>
      </c>
      <c r="M18" s="106">
        <v>1958.3999999999999</v>
      </c>
      <c r="N18" s="106">
        <v>3</v>
      </c>
      <c r="O18" s="106">
        <v>1958.3999999999999</v>
      </c>
      <c r="P18" s="106">
        <v>3</v>
      </c>
      <c r="Q18" s="106">
        <v>1958.3999999999999</v>
      </c>
      <c r="R18" s="106">
        <v>4</v>
      </c>
      <c r="S18" s="106">
        <v>2611.1999999999998</v>
      </c>
      <c r="T18" s="106">
        <v>5</v>
      </c>
      <c r="U18" s="106">
        <v>3264</v>
      </c>
      <c r="V18" s="106">
        <v>4</v>
      </c>
      <c r="W18" s="106">
        <v>2611.1999999999998</v>
      </c>
      <c r="X18" s="106">
        <v>4</v>
      </c>
      <c r="Y18" s="106">
        <v>2611.1999999999998</v>
      </c>
      <c r="Z18" s="106">
        <v>4</v>
      </c>
      <c r="AA18" s="106">
        <v>2611.1999999999998</v>
      </c>
      <c r="AB18" s="106">
        <v>20</v>
      </c>
      <c r="AC18" s="106">
        <v>13056</v>
      </c>
      <c r="AD18" s="106">
        <v>31</v>
      </c>
      <c r="AE18" s="106">
        <v>20236.8</v>
      </c>
      <c r="AF18" s="106">
        <v>34</v>
      </c>
      <c r="AG18" s="106">
        <v>22195.199999999997</v>
      </c>
      <c r="AH18" s="106">
        <v>24</v>
      </c>
      <c r="AI18" s="106">
        <v>15667.199999999999</v>
      </c>
      <c r="AJ18" s="106">
        <v>3</v>
      </c>
      <c r="AK18" s="106">
        <v>1958.3999999999999</v>
      </c>
      <c r="AL18" s="106">
        <v>3</v>
      </c>
      <c r="AM18" s="106">
        <v>1958.3999999999999</v>
      </c>
      <c r="AN18" s="106">
        <v>3</v>
      </c>
      <c r="AO18" s="106">
        <v>1958.3999999999999</v>
      </c>
      <c r="AP18" s="106">
        <v>4</v>
      </c>
      <c r="AQ18" s="106">
        <v>2611.1999999999998</v>
      </c>
      <c r="AR18" s="106">
        <v>9</v>
      </c>
      <c r="AS18" s="106">
        <v>5875.2</v>
      </c>
      <c r="AT18" s="106">
        <v>10</v>
      </c>
      <c r="AU18" s="106">
        <v>6528</v>
      </c>
      <c r="AV18" s="106">
        <v>9</v>
      </c>
      <c r="AW18" s="106">
        <v>5875.2</v>
      </c>
      <c r="AX18" s="106">
        <v>11</v>
      </c>
      <c r="AY18" s="106">
        <v>7180.7999999999993</v>
      </c>
      <c r="AZ18" s="106">
        <v>4</v>
      </c>
      <c r="BA18" s="106">
        <v>2611.1999999999998</v>
      </c>
      <c r="BB18" s="106">
        <v>4</v>
      </c>
      <c r="BC18" s="106">
        <v>2611.1999999999998</v>
      </c>
      <c r="BD18" s="106">
        <v>3</v>
      </c>
      <c r="BE18" s="106">
        <v>1958.3999999999999</v>
      </c>
      <c r="BF18" s="106">
        <v>4</v>
      </c>
      <c r="BG18" s="106">
        <v>2611.1999999999998</v>
      </c>
      <c r="BH18" s="106">
        <v>7</v>
      </c>
      <c r="BI18" s="106">
        <v>4569.5999999999995</v>
      </c>
      <c r="BJ18" s="106">
        <v>9</v>
      </c>
      <c r="BK18" s="106">
        <v>5875.2</v>
      </c>
      <c r="BL18" s="106">
        <v>5</v>
      </c>
      <c r="BM18" s="106">
        <v>3264</v>
      </c>
      <c r="BN18" s="106">
        <v>8</v>
      </c>
      <c r="BO18" s="106">
        <v>5222.3999999999996</v>
      </c>
      <c r="BP18" s="106">
        <v>34</v>
      </c>
      <c r="BQ18" s="106">
        <v>22195.199999999997</v>
      </c>
      <c r="BR18" s="106">
        <v>31</v>
      </c>
      <c r="BS18" s="106">
        <v>20236.8</v>
      </c>
      <c r="BT18" s="106">
        <v>39</v>
      </c>
      <c r="BU18" s="106">
        <v>25459.199999999997</v>
      </c>
      <c r="BV18" s="106">
        <v>43</v>
      </c>
      <c r="BW18" s="106">
        <v>28070.399999999998</v>
      </c>
      <c r="BX18" s="106">
        <v>3</v>
      </c>
      <c r="BY18" s="106">
        <v>1958.3999999999999</v>
      </c>
      <c r="BZ18" s="106">
        <v>3</v>
      </c>
      <c r="CA18" s="106">
        <v>1958.3999999999999</v>
      </c>
      <c r="CB18" s="106">
        <v>5</v>
      </c>
      <c r="CC18" s="106">
        <v>3264</v>
      </c>
      <c r="CD18" s="106">
        <v>5</v>
      </c>
      <c r="CE18" s="106">
        <v>3264</v>
      </c>
      <c r="CF18" s="106">
        <v>31</v>
      </c>
      <c r="CG18" s="106">
        <v>20236.8</v>
      </c>
      <c r="CH18" s="106">
        <v>35</v>
      </c>
      <c r="CI18" s="106">
        <v>22848</v>
      </c>
      <c r="CJ18" s="106">
        <v>43</v>
      </c>
      <c r="CK18" s="106">
        <v>28070.399999999998</v>
      </c>
      <c r="CL18" s="106">
        <v>34</v>
      </c>
      <c r="CM18" s="106">
        <v>22195.199999999997</v>
      </c>
      <c r="CN18" s="106">
        <v>7</v>
      </c>
      <c r="CO18" s="106">
        <v>4569.5999999999995</v>
      </c>
      <c r="CP18" s="106">
        <v>6</v>
      </c>
      <c r="CQ18" s="106">
        <v>3916.7999999999997</v>
      </c>
      <c r="CR18" s="106">
        <v>8</v>
      </c>
      <c r="CS18" s="106">
        <v>5222.3999999999996</v>
      </c>
      <c r="CT18" s="106">
        <v>8</v>
      </c>
      <c r="CU18" s="106">
        <v>5222.3999999999996</v>
      </c>
    </row>
    <row r="19" spans="2:99" x14ac:dyDescent="0.2">
      <c r="C19" s="105" t="s">
        <v>184</v>
      </c>
      <c r="D19" s="106">
        <v>3</v>
      </c>
      <c r="E19" s="106">
        <v>990</v>
      </c>
      <c r="F19" s="106">
        <v>3</v>
      </c>
      <c r="G19" s="106">
        <v>990</v>
      </c>
      <c r="H19" s="106">
        <v>4</v>
      </c>
      <c r="I19" s="106">
        <v>1320</v>
      </c>
      <c r="J19" s="106">
        <v>3</v>
      </c>
      <c r="K19" s="106">
        <v>990</v>
      </c>
      <c r="L19" s="106">
        <v>2</v>
      </c>
      <c r="M19" s="106">
        <v>660</v>
      </c>
      <c r="N19" s="106">
        <v>3</v>
      </c>
      <c r="O19" s="106">
        <v>990</v>
      </c>
      <c r="P19" s="106">
        <v>3</v>
      </c>
      <c r="Q19" s="106">
        <v>990</v>
      </c>
      <c r="R19" s="106">
        <v>4</v>
      </c>
      <c r="S19" s="106">
        <v>1320</v>
      </c>
      <c r="T19" s="106">
        <v>5</v>
      </c>
      <c r="U19" s="106">
        <v>1650</v>
      </c>
      <c r="V19" s="106">
        <v>4</v>
      </c>
      <c r="W19" s="106">
        <v>1320</v>
      </c>
      <c r="X19" s="106">
        <v>4</v>
      </c>
      <c r="Y19" s="106">
        <v>1320</v>
      </c>
      <c r="Z19" s="106">
        <v>5</v>
      </c>
      <c r="AA19" s="106">
        <v>1650</v>
      </c>
      <c r="AB19" s="106">
        <v>20</v>
      </c>
      <c r="AC19" s="106">
        <v>6600</v>
      </c>
      <c r="AD19" s="106">
        <v>30</v>
      </c>
      <c r="AE19" s="106">
        <v>9900</v>
      </c>
      <c r="AF19" s="106">
        <v>35</v>
      </c>
      <c r="AG19" s="106">
        <v>11550</v>
      </c>
      <c r="AH19" s="106">
        <v>26</v>
      </c>
      <c r="AI19" s="106">
        <v>8580</v>
      </c>
      <c r="AJ19" s="106">
        <v>3</v>
      </c>
      <c r="AK19" s="106">
        <v>990</v>
      </c>
      <c r="AL19" s="106">
        <v>4</v>
      </c>
      <c r="AM19" s="106">
        <v>1320</v>
      </c>
      <c r="AN19" s="106">
        <v>3</v>
      </c>
      <c r="AO19" s="106">
        <v>990</v>
      </c>
      <c r="AP19" s="106">
        <v>4</v>
      </c>
      <c r="AQ19" s="106">
        <v>1320</v>
      </c>
      <c r="AR19" s="106">
        <v>10</v>
      </c>
      <c r="AS19" s="106">
        <v>3300</v>
      </c>
      <c r="AT19" s="106">
        <v>12</v>
      </c>
      <c r="AU19" s="106">
        <v>3960</v>
      </c>
      <c r="AV19" s="106">
        <v>10</v>
      </c>
      <c r="AW19" s="106">
        <v>3300</v>
      </c>
      <c r="AX19" s="106">
        <v>11</v>
      </c>
      <c r="AY19" s="106">
        <v>3630</v>
      </c>
      <c r="AZ19" s="106">
        <v>5</v>
      </c>
      <c r="BA19" s="106">
        <v>1650</v>
      </c>
      <c r="BB19" s="106">
        <v>5</v>
      </c>
      <c r="BC19" s="106">
        <v>1650</v>
      </c>
      <c r="BD19" s="106">
        <v>4</v>
      </c>
      <c r="BE19" s="106">
        <v>1320</v>
      </c>
      <c r="BF19" s="106">
        <v>4</v>
      </c>
      <c r="BG19" s="106">
        <v>1320</v>
      </c>
      <c r="BH19" s="106">
        <v>7</v>
      </c>
      <c r="BI19" s="106">
        <v>2310</v>
      </c>
      <c r="BJ19" s="106">
        <v>9</v>
      </c>
      <c r="BK19" s="106">
        <v>2970</v>
      </c>
      <c r="BL19" s="106">
        <v>5</v>
      </c>
      <c r="BM19" s="106">
        <v>1650</v>
      </c>
      <c r="BN19" s="106">
        <v>9</v>
      </c>
      <c r="BO19" s="106">
        <v>2970</v>
      </c>
      <c r="BP19" s="106">
        <v>36</v>
      </c>
      <c r="BQ19" s="106">
        <v>11880</v>
      </c>
      <c r="BR19" s="106">
        <v>33</v>
      </c>
      <c r="BS19" s="106">
        <v>10890</v>
      </c>
      <c r="BT19" s="106">
        <v>40</v>
      </c>
      <c r="BU19" s="106">
        <v>13200</v>
      </c>
      <c r="BV19" s="106">
        <v>50</v>
      </c>
      <c r="BW19" s="106">
        <v>16500</v>
      </c>
      <c r="BX19" s="106">
        <v>3</v>
      </c>
      <c r="BY19" s="106">
        <v>990</v>
      </c>
      <c r="BZ19" s="106">
        <v>3</v>
      </c>
      <c r="CA19" s="106">
        <v>990</v>
      </c>
      <c r="CB19" s="106">
        <v>5</v>
      </c>
      <c r="CC19" s="106">
        <v>1650</v>
      </c>
      <c r="CD19" s="106">
        <v>5</v>
      </c>
      <c r="CE19" s="106">
        <v>1650</v>
      </c>
      <c r="CF19" s="106">
        <v>33</v>
      </c>
      <c r="CG19" s="106">
        <v>10890</v>
      </c>
      <c r="CH19" s="106">
        <v>37</v>
      </c>
      <c r="CI19" s="106">
        <v>12210</v>
      </c>
      <c r="CJ19" s="106">
        <v>45</v>
      </c>
      <c r="CK19" s="106">
        <v>14850</v>
      </c>
      <c r="CL19" s="106">
        <v>33</v>
      </c>
      <c r="CM19" s="106">
        <v>10890</v>
      </c>
      <c r="CN19" s="106">
        <v>8</v>
      </c>
      <c r="CO19" s="106">
        <v>2640</v>
      </c>
      <c r="CP19" s="106">
        <v>6</v>
      </c>
      <c r="CQ19" s="106">
        <v>1980</v>
      </c>
      <c r="CR19" s="106">
        <v>8</v>
      </c>
      <c r="CS19" s="106">
        <v>2640</v>
      </c>
      <c r="CT19" s="106">
        <v>7</v>
      </c>
      <c r="CU19" s="106">
        <v>2310</v>
      </c>
    </row>
    <row r="20" spans="2:99" x14ac:dyDescent="0.2">
      <c r="B20" s="105" t="s">
        <v>127</v>
      </c>
      <c r="C20" s="105" t="s">
        <v>185</v>
      </c>
      <c r="D20" s="106">
        <v>4</v>
      </c>
      <c r="E20" s="106">
        <v>1147.2</v>
      </c>
      <c r="F20" s="106">
        <v>3</v>
      </c>
      <c r="G20" s="106">
        <v>860.40000000000009</v>
      </c>
      <c r="H20" s="106">
        <v>3</v>
      </c>
      <c r="I20" s="106">
        <v>860.40000000000009</v>
      </c>
      <c r="J20" s="106">
        <v>4</v>
      </c>
      <c r="K20" s="106">
        <v>1147.2</v>
      </c>
      <c r="L20" s="106">
        <v>17</v>
      </c>
      <c r="M20" s="106">
        <v>4875.6000000000004</v>
      </c>
      <c r="N20" s="106">
        <v>22</v>
      </c>
      <c r="O20" s="106">
        <v>6309.6</v>
      </c>
      <c r="P20" s="106">
        <v>15</v>
      </c>
      <c r="Q20" s="106">
        <v>4302</v>
      </c>
      <c r="R20" s="106">
        <v>16</v>
      </c>
      <c r="S20" s="106">
        <v>4588.8</v>
      </c>
      <c r="T20" s="106">
        <v>3</v>
      </c>
      <c r="U20" s="106">
        <v>860.40000000000009</v>
      </c>
      <c r="V20" s="106">
        <v>4</v>
      </c>
      <c r="W20" s="106">
        <v>1147.2</v>
      </c>
      <c r="X20" s="106">
        <v>3</v>
      </c>
      <c r="Y20" s="106">
        <v>860.40000000000009</v>
      </c>
      <c r="Z20" s="106">
        <v>4</v>
      </c>
      <c r="AA20" s="106">
        <v>1147.2</v>
      </c>
      <c r="AB20" s="106">
        <v>2</v>
      </c>
      <c r="AC20" s="106">
        <v>573.6</v>
      </c>
      <c r="AD20" s="106">
        <v>3</v>
      </c>
      <c r="AE20" s="106">
        <v>860.40000000000009</v>
      </c>
      <c r="AF20" s="106">
        <v>4</v>
      </c>
      <c r="AG20" s="106">
        <v>1147.2</v>
      </c>
      <c r="AH20" s="106">
        <v>3</v>
      </c>
      <c r="AI20" s="106">
        <v>860.40000000000009</v>
      </c>
      <c r="AJ20" s="106">
        <v>12</v>
      </c>
      <c r="AK20" s="106">
        <v>3441.6000000000004</v>
      </c>
      <c r="AL20" s="106">
        <v>13</v>
      </c>
      <c r="AM20" s="106">
        <v>3728.4</v>
      </c>
      <c r="AN20" s="106">
        <v>10</v>
      </c>
      <c r="AO20" s="106">
        <v>2868</v>
      </c>
      <c r="AP20" s="106">
        <v>12</v>
      </c>
      <c r="AQ20" s="106">
        <v>3441.6000000000004</v>
      </c>
      <c r="AR20" s="106">
        <v>28</v>
      </c>
      <c r="AS20" s="106">
        <v>8030.4000000000005</v>
      </c>
      <c r="AT20" s="106">
        <v>38</v>
      </c>
      <c r="AU20" s="106">
        <v>10898.4</v>
      </c>
      <c r="AV20" s="106">
        <v>20</v>
      </c>
      <c r="AW20" s="106">
        <v>5736</v>
      </c>
      <c r="AX20" s="106">
        <v>31</v>
      </c>
      <c r="AY20" s="106">
        <v>8890.8000000000011</v>
      </c>
      <c r="AZ20" s="106">
        <v>3</v>
      </c>
      <c r="BA20" s="106">
        <v>860.40000000000009</v>
      </c>
      <c r="BB20" s="106">
        <v>3</v>
      </c>
      <c r="BC20" s="106">
        <v>860.40000000000009</v>
      </c>
      <c r="BD20" s="106">
        <v>3</v>
      </c>
      <c r="BE20" s="106">
        <v>860.40000000000009</v>
      </c>
      <c r="BF20" s="106">
        <v>2</v>
      </c>
      <c r="BG20" s="106">
        <v>573.6</v>
      </c>
      <c r="BH20" s="106">
        <v>16</v>
      </c>
      <c r="BI20" s="106">
        <v>4588.8</v>
      </c>
      <c r="BJ20" s="106">
        <v>14</v>
      </c>
      <c r="BK20" s="106">
        <v>4015.2000000000003</v>
      </c>
      <c r="BL20" s="106">
        <v>13</v>
      </c>
      <c r="BM20" s="106">
        <v>3728.4</v>
      </c>
      <c r="BN20" s="106">
        <v>14</v>
      </c>
      <c r="BO20" s="106">
        <v>4015.2000000000003</v>
      </c>
      <c r="BP20" s="106">
        <v>2</v>
      </c>
      <c r="BQ20" s="106">
        <v>573.6</v>
      </c>
      <c r="BR20" s="106">
        <v>3</v>
      </c>
      <c r="BS20" s="106">
        <v>860.40000000000009</v>
      </c>
      <c r="BT20" s="106">
        <v>4</v>
      </c>
      <c r="BU20" s="106">
        <v>1147.2</v>
      </c>
      <c r="BV20" s="106">
        <v>3</v>
      </c>
      <c r="BW20" s="106">
        <v>860.40000000000009</v>
      </c>
      <c r="BX20" s="106">
        <v>20</v>
      </c>
      <c r="BY20" s="106">
        <v>5736</v>
      </c>
      <c r="BZ20" s="106">
        <v>17</v>
      </c>
      <c r="CA20" s="106">
        <v>4875.6000000000004</v>
      </c>
      <c r="CB20" s="106">
        <v>16</v>
      </c>
      <c r="CC20" s="106">
        <v>4588.8</v>
      </c>
      <c r="CD20" s="106">
        <v>24</v>
      </c>
      <c r="CE20" s="106">
        <v>6883.2000000000007</v>
      </c>
      <c r="CF20" s="106">
        <v>30</v>
      </c>
      <c r="CG20" s="106">
        <v>8604</v>
      </c>
      <c r="CH20" s="106">
        <v>28</v>
      </c>
      <c r="CI20" s="106">
        <v>8030.4000000000005</v>
      </c>
      <c r="CJ20" s="106">
        <v>31</v>
      </c>
      <c r="CK20" s="106">
        <v>8890.8000000000011</v>
      </c>
      <c r="CL20" s="106">
        <v>23</v>
      </c>
      <c r="CM20" s="106">
        <v>6596.4000000000005</v>
      </c>
      <c r="CN20" s="106">
        <v>20</v>
      </c>
      <c r="CO20" s="106">
        <v>5736</v>
      </c>
      <c r="CP20" s="106">
        <v>18</v>
      </c>
      <c r="CQ20" s="106">
        <v>5162.4000000000005</v>
      </c>
      <c r="CR20" s="106">
        <v>16</v>
      </c>
      <c r="CS20" s="106">
        <v>4588.8</v>
      </c>
      <c r="CT20" s="106">
        <v>26</v>
      </c>
      <c r="CU20" s="106">
        <v>7456.8</v>
      </c>
    </row>
    <row r="21" spans="2:99" x14ac:dyDescent="0.2">
      <c r="C21" s="105" t="s">
        <v>186</v>
      </c>
      <c r="D21" s="106">
        <v>4</v>
      </c>
      <c r="E21" s="106">
        <v>249.6</v>
      </c>
      <c r="F21" s="106">
        <v>3</v>
      </c>
      <c r="G21" s="106">
        <v>187.2</v>
      </c>
      <c r="H21" s="106">
        <v>3</v>
      </c>
      <c r="I21" s="106">
        <v>187.2</v>
      </c>
      <c r="J21" s="106">
        <v>4</v>
      </c>
      <c r="K21" s="106">
        <v>249.6</v>
      </c>
      <c r="L21" s="106">
        <v>16</v>
      </c>
      <c r="M21" s="106">
        <v>998.4</v>
      </c>
      <c r="N21" s="106">
        <v>20</v>
      </c>
      <c r="O21" s="106">
        <v>1248</v>
      </c>
      <c r="P21" s="106">
        <v>15</v>
      </c>
      <c r="Q21" s="106">
        <v>936</v>
      </c>
      <c r="R21" s="106">
        <v>18</v>
      </c>
      <c r="S21" s="106">
        <v>1123.2</v>
      </c>
      <c r="T21" s="106">
        <v>3</v>
      </c>
      <c r="U21" s="106">
        <v>187.2</v>
      </c>
      <c r="V21" s="106">
        <v>4</v>
      </c>
      <c r="W21" s="106">
        <v>249.6</v>
      </c>
      <c r="X21" s="106">
        <v>3</v>
      </c>
      <c r="Y21" s="106">
        <v>187.2</v>
      </c>
      <c r="Z21" s="106">
        <v>4</v>
      </c>
      <c r="AA21" s="106">
        <v>249.6</v>
      </c>
      <c r="AB21" s="106">
        <v>2</v>
      </c>
      <c r="AC21" s="106">
        <v>124.8</v>
      </c>
      <c r="AD21" s="106">
        <v>4</v>
      </c>
      <c r="AE21" s="106">
        <v>249.6</v>
      </c>
      <c r="AF21" s="106">
        <v>4</v>
      </c>
      <c r="AG21" s="106">
        <v>249.6</v>
      </c>
      <c r="AH21" s="106">
        <v>3</v>
      </c>
      <c r="AI21" s="106">
        <v>187.2</v>
      </c>
      <c r="AJ21" s="106">
        <v>12</v>
      </c>
      <c r="AK21" s="106">
        <v>748.8</v>
      </c>
      <c r="AL21" s="106">
        <v>13</v>
      </c>
      <c r="AM21" s="106">
        <v>811.19999999999993</v>
      </c>
      <c r="AN21" s="106">
        <v>11</v>
      </c>
      <c r="AO21" s="106">
        <v>686.4</v>
      </c>
      <c r="AP21" s="106">
        <v>11</v>
      </c>
      <c r="AQ21" s="106">
        <v>686.4</v>
      </c>
      <c r="AR21" s="106">
        <v>27</v>
      </c>
      <c r="AS21" s="106">
        <v>1684.8</v>
      </c>
      <c r="AT21" s="106">
        <v>41</v>
      </c>
      <c r="AU21" s="106">
        <v>2558.4</v>
      </c>
      <c r="AV21" s="106">
        <v>22</v>
      </c>
      <c r="AW21" s="106">
        <v>1372.8</v>
      </c>
      <c r="AX21" s="106">
        <v>29</v>
      </c>
      <c r="AY21" s="106">
        <v>1809.6</v>
      </c>
      <c r="AZ21" s="106">
        <v>4</v>
      </c>
      <c r="BA21" s="106">
        <v>249.6</v>
      </c>
      <c r="BB21" s="106">
        <v>3</v>
      </c>
      <c r="BC21" s="106">
        <v>187.2</v>
      </c>
      <c r="BD21" s="106">
        <v>4</v>
      </c>
      <c r="BE21" s="106">
        <v>249.6</v>
      </c>
      <c r="BF21" s="106">
        <v>2</v>
      </c>
      <c r="BG21" s="106">
        <v>124.8</v>
      </c>
      <c r="BH21" s="106">
        <v>17</v>
      </c>
      <c r="BI21" s="106">
        <v>1060.8</v>
      </c>
      <c r="BJ21" s="106">
        <v>16</v>
      </c>
      <c r="BK21" s="106">
        <v>998.4</v>
      </c>
      <c r="BL21" s="106">
        <v>14</v>
      </c>
      <c r="BM21" s="106">
        <v>873.6</v>
      </c>
      <c r="BN21" s="106">
        <v>16</v>
      </c>
      <c r="BO21" s="106">
        <v>998.4</v>
      </c>
      <c r="BP21" s="106">
        <v>2</v>
      </c>
      <c r="BQ21" s="106">
        <v>124.8</v>
      </c>
      <c r="BR21" s="106">
        <v>3</v>
      </c>
      <c r="BS21" s="106">
        <v>187.2</v>
      </c>
      <c r="BT21" s="106">
        <v>4</v>
      </c>
      <c r="BU21" s="106">
        <v>249.6</v>
      </c>
      <c r="BV21" s="106">
        <v>3</v>
      </c>
      <c r="BW21" s="106">
        <v>187.2</v>
      </c>
      <c r="BX21" s="106">
        <v>17</v>
      </c>
      <c r="BY21" s="106">
        <v>1060.8</v>
      </c>
      <c r="BZ21" s="106">
        <v>20</v>
      </c>
      <c r="CA21" s="106">
        <v>1248</v>
      </c>
      <c r="CB21" s="106">
        <v>16</v>
      </c>
      <c r="CC21" s="106">
        <v>998.4</v>
      </c>
      <c r="CD21" s="106">
        <v>25</v>
      </c>
      <c r="CE21" s="106">
        <v>1560</v>
      </c>
      <c r="CF21" s="106">
        <v>28</v>
      </c>
      <c r="CG21" s="106">
        <v>1747.2</v>
      </c>
      <c r="CH21" s="106">
        <v>25</v>
      </c>
      <c r="CI21" s="106">
        <v>1560</v>
      </c>
      <c r="CJ21" s="106">
        <v>33</v>
      </c>
      <c r="CK21" s="106">
        <v>2059.1999999999998</v>
      </c>
      <c r="CL21" s="106">
        <v>23</v>
      </c>
      <c r="CM21" s="106">
        <v>1435.2</v>
      </c>
      <c r="CN21" s="106">
        <v>20</v>
      </c>
      <c r="CO21" s="106">
        <v>1248</v>
      </c>
      <c r="CP21" s="106">
        <v>19</v>
      </c>
      <c r="CQ21" s="106">
        <v>1185.5999999999999</v>
      </c>
      <c r="CR21" s="106">
        <v>17</v>
      </c>
      <c r="CS21" s="106">
        <v>1060.8</v>
      </c>
      <c r="CT21" s="106">
        <v>30</v>
      </c>
      <c r="CU21" s="106">
        <v>1872</v>
      </c>
    </row>
    <row r="22" spans="2:99" x14ac:dyDescent="0.2">
      <c r="C22" s="105" t="s">
        <v>187</v>
      </c>
      <c r="D22" s="106">
        <v>4</v>
      </c>
      <c r="E22" s="106">
        <v>748.8</v>
      </c>
      <c r="F22" s="106">
        <v>4</v>
      </c>
      <c r="G22" s="106">
        <v>748.8</v>
      </c>
      <c r="H22" s="106">
        <v>3</v>
      </c>
      <c r="I22" s="106">
        <v>561.59999999999991</v>
      </c>
      <c r="J22" s="106">
        <v>4</v>
      </c>
      <c r="K22" s="106">
        <v>748.8</v>
      </c>
      <c r="L22" s="106">
        <v>16</v>
      </c>
      <c r="M22" s="106">
        <v>2995.2</v>
      </c>
      <c r="N22" s="106">
        <v>19</v>
      </c>
      <c r="O22" s="106">
        <v>3556.7999999999997</v>
      </c>
      <c r="P22" s="106">
        <v>15</v>
      </c>
      <c r="Q22" s="106">
        <v>2808</v>
      </c>
      <c r="R22" s="106">
        <v>16</v>
      </c>
      <c r="S22" s="106">
        <v>2995.2</v>
      </c>
      <c r="T22" s="106">
        <v>3</v>
      </c>
      <c r="U22" s="106">
        <v>561.59999999999991</v>
      </c>
      <c r="V22" s="106">
        <v>4</v>
      </c>
      <c r="W22" s="106">
        <v>748.8</v>
      </c>
      <c r="X22" s="106">
        <v>3</v>
      </c>
      <c r="Y22" s="106">
        <v>561.59999999999991</v>
      </c>
      <c r="Z22" s="106">
        <v>3</v>
      </c>
      <c r="AA22" s="106">
        <v>561.59999999999991</v>
      </c>
      <c r="AB22" s="106">
        <v>3</v>
      </c>
      <c r="AC22" s="106">
        <v>561.59999999999991</v>
      </c>
      <c r="AD22" s="106">
        <v>3</v>
      </c>
      <c r="AE22" s="106">
        <v>561.59999999999991</v>
      </c>
      <c r="AF22" s="106">
        <v>4</v>
      </c>
      <c r="AG22" s="106">
        <v>748.8</v>
      </c>
      <c r="AH22" s="106">
        <v>3</v>
      </c>
      <c r="AI22" s="106">
        <v>561.59999999999991</v>
      </c>
      <c r="AJ22" s="106">
        <v>12</v>
      </c>
      <c r="AK22" s="106">
        <v>2246.3999999999996</v>
      </c>
      <c r="AL22" s="106">
        <v>13</v>
      </c>
      <c r="AM22" s="106">
        <v>2433.6</v>
      </c>
      <c r="AN22" s="106">
        <v>11</v>
      </c>
      <c r="AO22" s="106">
        <v>2059.1999999999998</v>
      </c>
      <c r="AP22" s="106">
        <v>11</v>
      </c>
      <c r="AQ22" s="106">
        <v>2059.1999999999998</v>
      </c>
      <c r="AR22" s="106">
        <v>30</v>
      </c>
      <c r="AS22" s="106">
        <v>5616</v>
      </c>
      <c r="AT22" s="106">
        <v>40</v>
      </c>
      <c r="AU22" s="106">
        <v>7488</v>
      </c>
      <c r="AV22" s="106">
        <v>22</v>
      </c>
      <c r="AW22" s="106">
        <v>4118.3999999999996</v>
      </c>
      <c r="AX22" s="106">
        <v>29</v>
      </c>
      <c r="AY22" s="106">
        <v>5428.7999999999993</v>
      </c>
      <c r="AZ22" s="106">
        <v>3</v>
      </c>
      <c r="BA22" s="106">
        <v>561.59999999999991</v>
      </c>
      <c r="BB22" s="106">
        <v>3</v>
      </c>
      <c r="BC22" s="106">
        <v>561.59999999999991</v>
      </c>
      <c r="BD22" s="106">
        <v>4</v>
      </c>
      <c r="BE22" s="106">
        <v>748.8</v>
      </c>
      <c r="BF22" s="106">
        <v>2</v>
      </c>
      <c r="BG22" s="106">
        <v>374.4</v>
      </c>
      <c r="BH22" s="106">
        <v>16</v>
      </c>
      <c r="BI22" s="106">
        <v>2995.2</v>
      </c>
      <c r="BJ22" s="106">
        <v>14</v>
      </c>
      <c r="BK22" s="106">
        <v>2620.7999999999997</v>
      </c>
      <c r="BL22" s="106">
        <v>12</v>
      </c>
      <c r="BM22" s="106">
        <v>2246.3999999999996</v>
      </c>
      <c r="BN22" s="106">
        <v>15</v>
      </c>
      <c r="BO22" s="106">
        <v>2808</v>
      </c>
      <c r="BP22" s="106">
        <v>2</v>
      </c>
      <c r="BQ22" s="106">
        <v>374.4</v>
      </c>
      <c r="BR22" s="106">
        <v>3</v>
      </c>
      <c r="BS22" s="106">
        <v>561.59999999999991</v>
      </c>
      <c r="BT22" s="106">
        <v>3</v>
      </c>
      <c r="BU22" s="106">
        <v>561.59999999999991</v>
      </c>
      <c r="BV22" s="106">
        <v>3</v>
      </c>
      <c r="BW22" s="106">
        <v>561.59999999999991</v>
      </c>
      <c r="BX22" s="106">
        <v>18</v>
      </c>
      <c r="BY22" s="106">
        <v>3369.6</v>
      </c>
      <c r="BZ22" s="106">
        <v>18</v>
      </c>
      <c r="CA22" s="106">
        <v>3369.6</v>
      </c>
      <c r="CB22" s="106">
        <v>14</v>
      </c>
      <c r="CC22" s="106">
        <v>2620.7999999999997</v>
      </c>
      <c r="CD22" s="106">
        <v>24</v>
      </c>
      <c r="CE22" s="106">
        <v>4492.7999999999993</v>
      </c>
      <c r="CF22" s="106">
        <v>31</v>
      </c>
      <c r="CG22" s="106">
        <v>5803.2</v>
      </c>
      <c r="CH22" s="106">
        <v>25</v>
      </c>
      <c r="CI22" s="106">
        <v>4680</v>
      </c>
      <c r="CJ22" s="106">
        <v>27</v>
      </c>
      <c r="CK22" s="106">
        <v>5054.3999999999996</v>
      </c>
      <c r="CL22" s="106">
        <v>25</v>
      </c>
      <c r="CM22" s="106">
        <v>4680</v>
      </c>
      <c r="CN22" s="106">
        <v>21</v>
      </c>
      <c r="CO22" s="106">
        <v>3931.2</v>
      </c>
      <c r="CP22" s="106">
        <v>16</v>
      </c>
      <c r="CQ22" s="106">
        <v>2995.2</v>
      </c>
      <c r="CR22" s="106">
        <v>16</v>
      </c>
      <c r="CS22" s="106">
        <v>2995.2</v>
      </c>
      <c r="CT22" s="106">
        <v>26</v>
      </c>
      <c r="CU22" s="106">
        <v>4867.2</v>
      </c>
    </row>
    <row r="23" spans="2:99" x14ac:dyDescent="0.2">
      <c r="C23" s="105" t="s">
        <v>188</v>
      </c>
      <c r="D23" s="106">
        <v>4</v>
      </c>
      <c r="E23" s="106">
        <v>1176</v>
      </c>
      <c r="F23" s="106">
        <v>3</v>
      </c>
      <c r="G23" s="106">
        <v>882</v>
      </c>
      <c r="H23" s="106">
        <v>3</v>
      </c>
      <c r="I23" s="106">
        <v>882</v>
      </c>
      <c r="J23" s="106">
        <v>4</v>
      </c>
      <c r="K23" s="106">
        <v>1176</v>
      </c>
      <c r="L23" s="106">
        <v>15</v>
      </c>
      <c r="M23" s="106">
        <v>4410</v>
      </c>
      <c r="N23" s="106">
        <v>22</v>
      </c>
      <c r="O23" s="106">
        <v>6468</v>
      </c>
      <c r="P23" s="106">
        <v>15</v>
      </c>
      <c r="Q23" s="106">
        <v>4410</v>
      </c>
      <c r="R23" s="106">
        <v>17</v>
      </c>
      <c r="S23" s="106">
        <v>4998</v>
      </c>
      <c r="T23" s="106">
        <v>3</v>
      </c>
      <c r="U23" s="106">
        <v>882</v>
      </c>
      <c r="V23" s="106">
        <v>4</v>
      </c>
      <c r="W23" s="106">
        <v>1176</v>
      </c>
      <c r="X23" s="106">
        <v>3</v>
      </c>
      <c r="Y23" s="106">
        <v>882</v>
      </c>
      <c r="Z23" s="106">
        <v>4</v>
      </c>
      <c r="AA23" s="106">
        <v>1176</v>
      </c>
      <c r="AB23" s="106">
        <v>3</v>
      </c>
      <c r="AC23" s="106">
        <v>882</v>
      </c>
      <c r="AD23" s="106">
        <v>3</v>
      </c>
      <c r="AE23" s="106">
        <v>882</v>
      </c>
      <c r="AF23" s="106">
        <v>4</v>
      </c>
      <c r="AG23" s="106">
        <v>1176</v>
      </c>
      <c r="AH23" s="106">
        <v>3</v>
      </c>
      <c r="AI23" s="106">
        <v>882</v>
      </c>
      <c r="AJ23" s="106">
        <v>11</v>
      </c>
      <c r="AK23" s="106">
        <v>3234</v>
      </c>
      <c r="AL23" s="106">
        <v>13</v>
      </c>
      <c r="AM23" s="106">
        <v>3822</v>
      </c>
      <c r="AN23" s="106">
        <v>11</v>
      </c>
      <c r="AO23" s="106">
        <v>3234</v>
      </c>
      <c r="AP23" s="106">
        <v>11</v>
      </c>
      <c r="AQ23" s="106">
        <v>3234</v>
      </c>
      <c r="AR23" s="106">
        <v>27</v>
      </c>
      <c r="AS23" s="106">
        <v>7938</v>
      </c>
      <c r="AT23" s="106">
        <v>43</v>
      </c>
      <c r="AU23" s="106">
        <v>12642</v>
      </c>
      <c r="AV23" s="106">
        <v>23</v>
      </c>
      <c r="AW23" s="106">
        <v>6762</v>
      </c>
      <c r="AX23" s="106">
        <v>27</v>
      </c>
      <c r="AY23" s="106">
        <v>7938</v>
      </c>
      <c r="AZ23" s="106">
        <v>4</v>
      </c>
      <c r="BA23" s="106">
        <v>1176</v>
      </c>
      <c r="BB23" s="106">
        <v>3</v>
      </c>
      <c r="BC23" s="106">
        <v>882</v>
      </c>
      <c r="BD23" s="106">
        <v>3</v>
      </c>
      <c r="BE23" s="106">
        <v>882</v>
      </c>
      <c r="BF23" s="106">
        <v>2</v>
      </c>
      <c r="BG23" s="106">
        <v>588</v>
      </c>
      <c r="BH23" s="106">
        <v>17</v>
      </c>
      <c r="BI23" s="106">
        <v>4998</v>
      </c>
      <c r="BJ23" s="106">
        <v>14</v>
      </c>
      <c r="BK23" s="106">
        <v>4116</v>
      </c>
      <c r="BL23" s="106">
        <v>11</v>
      </c>
      <c r="BM23" s="106">
        <v>3234</v>
      </c>
      <c r="BN23" s="106">
        <v>13</v>
      </c>
      <c r="BO23" s="106">
        <v>3822</v>
      </c>
      <c r="BP23" s="106">
        <v>2</v>
      </c>
      <c r="BQ23" s="106">
        <v>588</v>
      </c>
      <c r="BR23" s="106">
        <v>3</v>
      </c>
      <c r="BS23" s="106">
        <v>882</v>
      </c>
      <c r="BT23" s="106">
        <v>4</v>
      </c>
      <c r="BU23" s="106">
        <v>1176</v>
      </c>
      <c r="BV23" s="106">
        <v>2</v>
      </c>
      <c r="BW23" s="106">
        <v>588</v>
      </c>
      <c r="BX23" s="106">
        <v>20</v>
      </c>
      <c r="BY23" s="106">
        <v>5880</v>
      </c>
      <c r="BZ23" s="106">
        <v>20</v>
      </c>
      <c r="CA23" s="106">
        <v>5880</v>
      </c>
      <c r="CB23" s="106">
        <v>16</v>
      </c>
      <c r="CC23" s="106">
        <v>4704</v>
      </c>
      <c r="CD23" s="106">
        <v>23</v>
      </c>
      <c r="CE23" s="106">
        <v>6762</v>
      </c>
      <c r="CF23" s="106">
        <v>30</v>
      </c>
      <c r="CG23" s="106">
        <v>8820</v>
      </c>
      <c r="CH23" s="106">
        <v>27</v>
      </c>
      <c r="CI23" s="106">
        <v>7938</v>
      </c>
      <c r="CJ23" s="106">
        <v>26</v>
      </c>
      <c r="CK23" s="106">
        <v>7644</v>
      </c>
      <c r="CL23" s="106">
        <v>24</v>
      </c>
      <c r="CM23" s="106">
        <v>7056</v>
      </c>
      <c r="CN23" s="106">
        <v>19</v>
      </c>
      <c r="CO23" s="106">
        <v>5586</v>
      </c>
      <c r="CP23" s="106">
        <v>18</v>
      </c>
      <c r="CQ23" s="106">
        <v>5292</v>
      </c>
      <c r="CR23" s="106">
        <v>16</v>
      </c>
      <c r="CS23" s="106">
        <v>4704</v>
      </c>
      <c r="CT23" s="106">
        <v>30</v>
      </c>
      <c r="CU23" s="106">
        <v>8820</v>
      </c>
    </row>
    <row r="24" spans="2:99" x14ac:dyDescent="0.2">
      <c r="C24" s="105" t="s">
        <v>189</v>
      </c>
      <c r="D24" s="106">
        <v>4</v>
      </c>
      <c r="E24" s="106">
        <v>1468.8</v>
      </c>
      <c r="F24" s="106">
        <v>3</v>
      </c>
      <c r="G24" s="106">
        <v>1101.5999999999999</v>
      </c>
      <c r="H24" s="106">
        <v>3</v>
      </c>
      <c r="I24" s="106">
        <v>1101.5999999999999</v>
      </c>
      <c r="J24" s="106">
        <v>4</v>
      </c>
      <c r="K24" s="106">
        <v>1468.8</v>
      </c>
      <c r="L24" s="106">
        <v>16</v>
      </c>
      <c r="M24" s="106">
        <v>5875.2</v>
      </c>
      <c r="N24" s="106">
        <v>19</v>
      </c>
      <c r="O24" s="106">
        <v>6976.8</v>
      </c>
      <c r="P24" s="106">
        <v>15</v>
      </c>
      <c r="Q24" s="106">
        <v>5508</v>
      </c>
      <c r="R24" s="106">
        <v>16</v>
      </c>
      <c r="S24" s="106">
        <v>5875.2</v>
      </c>
      <c r="T24" s="106">
        <v>3</v>
      </c>
      <c r="U24" s="106">
        <v>1101.5999999999999</v>
      </c>
      <c r="V24" s="106">
        <v>4</v>
      </c>
      <c r="W24" s="106">
        <v>1468.8</v>
      </c>
      <c r="X24" s="106">
        <v>3</v>
      </c>
      <c r="Y24" s="106">
        <v>1101.5999999999999</v>
      </c>
      <c r="Z24" s="106">
        <v>4</v>
      </c>
      <c r="AA24" s="106">
        <v>1468.8</v>
      </c>
      <c r="AB24" s="106">
        <v>2</v>
      </c>
      <c r="AC24" s="106">
        <v>734.4</v>
      </c>
      <c r="AD24" s="106">
        <v>3</v>
      </c>
      <c r="AE24" s="106">
        <v>1101.5999999999999</v>
      </c>
      <c r="AF24" s="106">
        <v>4</v>
      </c>
      <c r="AG24" s="106">
        <v>1468.8</v>
      </c>
      <c r="AH24" s="106">
        <v>3</v>
      </c>
      <c r="AI24" s="106">
        <v>1101.5999999999999</v>
      </c>
      <c r="AJ24" s="106">
        <v>12</v>
      </c>
      <c r="AK24" s="106">
        <v>4406.3999999999996</v>
      </c>
      <c r="AL24" s="106">
        <v>13</v>
      </c>
      <c r="AM24" s="106">
        <v>4773.5999999999995</v>
      </c>
      <c r="AN24" s="106">
        <v>12</v>
      </c>
      <c r="AO24" s="106">
        <v>4406.3999999999996</v>
      </c>
      <c r="AP24" s="106">
        <v>10</v>
      </c>
      <c r="AQ24" s="106">
        <v>3672</v>
      </c>
      <c r="AR24" s="106">
        <v>28</v>
      </c>
      <c r="AS24" s="106">
        <v>10281.6</v>
      </c>
      <c r="AT24" s="106">
        <v>39</v>
      </c>
      <c r="AU24" s="106">
        <v>14320.8</v>
      </c>
      <c r="AV24" s="106">
        <v>21</v>
      </c>
      <c r="AW24" s="106">
        <v>7711.2</v>
      </c>
      <c r="AX24" s="106">
        <v>27</v>
      </c>
      <c r="AY24" s="106">
        <v>9914.4</v>
      </c>
      <c r="AZ24" s="106">
        <v>3</v>
      </c>
      <c r="BA24" s="106">
        <v>1101.5999999999999</v>
      </c>
      <c r="BB24" s="106">
        <v>3</v>
      </c>
      <c r="BC24" s="106">
        <v>1101.5999999999999</v>
      </c>
      <c r="BD24" s="106">
        <v>4</v>
      </c>
      <c r="BE24" s="106">
        <v>1468.8</v>
      </c>
      <c r="BF24" s="106">
        <v>2</v>
      </c>
      <c r="BG24" s="106">
        <v>734.4</v>
      </c>
      <c r="BH24" s="106">
        <v>17</v>
      </c>
      <c r="BI24" s="106">
        <v>6242.4</v>
      </c>
      <c r="BJ24" s="106">
        <v>14</v>
      </c>
      <c r="BK24" s="106">
        <v>5140.8</v>
      </c>
      <c r="BL24" s="106">
        <v>12</v>
      </c>
      <c r="BM24" s="106">
        <v>4406.3999999999996</v>
      </c>
      <c r="BN24" s="106">
        <v>15</v>
      </c>
      <c r="BO24" s="106">
        <v>5508</v>
      </c>
      <c r="BP24" s="106">
        <v>2</v>
      </c>
      <c r="BQ24" s="106">
        <v>734.4</v>
      </c>
      <c r="BR24" s="106">
        <v>3</v>
      </c>
      <c r="BS24" s="106">
        <v>1101.5999999999999</v>
      </c>
      <c r="BT24" s="106">
        <v>4</v>
      </c>
      <c r="BU24" s="106">
        <v>1468.8</v>
      </c>
      <c r="BV24" s="106">
        <v>3</v>
      </c>
      <c r="BW24" s="106">
        <v>1101.5999999999999</v>
      </c>
      <c r="BX24" s="106">
        <v>18</v>
      </c>
      <c r="BY24" s="106">
        <v>6609.5999999999995</v>
      </c>
      <c r="BZ24" s="106">
        <v>19</v>
      </c>
      <c r="CA24" s="106">
        <v>6976.8</v>
      </c>
      <c r="CB24" s="106">
        <v>16</v>
      </c>
      <c r="CC24" s="106">
        <v>5875.2</v>
      </c>
      <c r="CD24" s="106">
        <v>25</v>
      </c>
      <c r="CE24" s="106">
        <v>9180</v>
      </c>
      <c r="CF24" s="106">
        <v>29</v>
      </c>
      <c r="CG24" s="106">
        <v>10648.8</v>
      </c>
      <c r="CH24" s="106">
        <v>24</v>
      </c>
      <c r="CI24" s="106">
        <v>8812.7999999999993</v>
      </c>
      <c r="CJ24" s="106">
        <v>28</v>
      </c>
      <c r="CK24" s="106">
        <v>10281.6</v>
      </c>
      <c r="CL24" s="106">
        <v>24</v>
      </c>
      <c r="CM24" s="106">
        <v>8812.7999999999993</v>
      </c>
      <c r="CN24" s="106">
        <v>21</v>
      </c>
      <c r="CO24" s="106">
        <v>7711.2</v>
      </c>
      <c r="CP24" s="106">
        <v>16</v>
      </c>
      <c r="CQ24" s="106">
        <v>5875.2</v>
      </c>
      <c r="CR24" s="106">
        <v>15</v>
      </c>
      <c r="CS24" s="106">
        <v>5508</v>
      </c>
      <c r="CT24" s="106">
        <v>25</v>
      </c>
      <c r="CU24" s="106">
        <v>9180</v>
      </c>
    </row>
    <row r="25" spans="2:99" x14ac:dyDescent="0.2">
      <c r="C25" s="105" t="s">
        <v>190</v>
      </c>
      <c r="D25" s="106">
        <v>4</v>
      </c>
      <c r="E25" s="106">
        <v>2121.6</v>
      </c>
      <c r="F25" s="106">
        <v>3</v>
      </c>
      <c r="G25" s="106">
        <v>1591.1999999999998</v>
      </c>
      <c r="H25" s="106">
        <v>3</v>
      </c>
      <c r="I25" s="106">
        <v>1591.1999999999998</v>
      </c>
      <c r="J25" s="106">
        <v>4</v>
      </c>
      <c r="K25" s="106">
        <v>2121.6</v>
      </c>
      <c r="L25" s="106">
        <v>14</v>
      </c>
      <c r="M25" s="106">
        <v>7425.5999999999995</v>
      </c>
      <c r="N25" s="106">
        <v>20</v>
      </c>
      <c r="O25" s="106">
        <v>10608</v>
      </c>
      <c r="P25" s="106">
        <v>15</v>
      </c>
      <c r="Q25" s="106">
        <v>7956</v>
      </c>
      <c r="R25" s="106">
        <v>17</v>
      </c>
      <c r="S25" s="106">
        <v>9016.7999999999993</v>
      </c>
      <c r="T25" s="106">
        <v>3</v>
      </c>
      <c r="U25" s="106">
        <v>1591.1999999999998</v>
      </c>
      <c r="V25" s="106">
        <v>4</v>
      </c>
      <c r="W25" s="106">
        <v>2121.6</v>
      </c>
      <c r="X25" s="106">
        <v>3</v>
      </c>
      <c r="Y25" s="106">
        <v>1591.1999999999998</v>
      </c>
      <c r="Z25" s="106">
        <v>4</v>
      </c>
      <c r="AA25" s="106">
        <v>2121.6</v>
      </c>
      <c r="AB25" s="106">
        <v>2</v>
      </c>
      <c r="AC25" s="106">
        <v>1060.8</v>
      </c>
      <c r="AD25" s="106">
        <v>3</v>
      </c>
      <c r="AE25" s="106">
        <v>1591.1999999999998</v>
      </c>
      <c r="AF25" s="106">
        <v>4</v>
      </c>
      <c r="AG25" s="106">
        <v>2121.6</v>
      </c>
      <c r="AH25" s="106">
        <v>3</v>
      </c>
      <c r="AI25" s="106">
        <v>1591.1999999999998</v>
      </c>
      <c r="AJ25" s="106">
        <v>10</v>
      </c>
      <c r="AK25" s="106">
        <v>5304</v>
      </c>
      <c r="AL25" s="106">
        <v>13</v>
      </c>
      <c r="AM25" s="106">
        <v>6895.2</v>
      </c>
      <c r="AN25" s="106">
        <v>10</v>
      </c>
      <c r="AO25" s="106">
        <v>5304</v>
      </c>
      <c r="AP25" s="106">
        <v>10</v>
      </c>
      <c r="AQ25" s="106">
        <v>5304</v>
      </c>
      <c r="AR25" s="106">
        <v>27</v>
      </c>
      <c r="AS25" s="106">
        <v>14320.8</v>
      </c>
      <c r="AT25" s="106">
        <v>35</v>
      </c>
      <c r="AU25" s="106">
        <v>18564</v>
      </c>
      <c r="AV25" s="106">
        <v>23</v>
      </c>
      <c r="AW25" s="106">
        <v>12199.199999999999</v>
      </c>
      <c r="AX25" s="106">
        <v>27</v>
      </c>
      <c r="AY25" s="106">
        <v>14320.8</v>
      </c>
      <c r="AZ25" s="106">
        <v>4</v>
      </c>
      <c r="BA25" s="106">
        <v>2121.6</v>
      </c>
      <c r="BB25" s="106">
        <v>3</v>
      </c>
      <c r="BC25" s="106">
        <v>1591.1999999999998</v>
      </c>
      <c r="BD25" s="106">
        <v>3</v>
      </c>
      <c r="BE25" s="106">
        <v>1591.1999999999998</v>
      </c>
      <c r="BF25" s="106">
        <v>2</v>
      </c>
      <c r="BG25" s="106">
        <v>1060.8</v>
      </c>
      <c r="BH25" s="106">
        <v>17</v>
      </c>
      <c r="BI25" s="106">
        <v>9016.7999999999993</v>
      </c>
      <c r="BJ25" s="106">
        <v>14</v>
      </c>
      <c r="BK25" s="106">
        <v>7425.5999999999995</v>
      </c>
      <c r="BL25" s="106">
        <v>11</v>
      </c>
      <c r="BM25" s="106">
        <v>5834.4</v>
      </c>
      <c r="BN25" s="106">
        <v>12</v>
      </c>
      <c r="BO25" s="106">
        <v>6364.7999999999993</v>
      </c>
      <c r="BP25" s="106">
        <v>2</v>
      </c>
      <c r="BQ25" s="106">
        <v>1060.8</v>
      </c>
      <c r="BR25" s="106">
        <v>3</v>
      </c>
      <c r="BS25" s="106">
        <v>1591.1999999999998</v>
      </c>
      <c r="BT25" s="106">
        <v>3</v>
      </c>
      <c r="BU25" s="106">
        <v>1591.1999999999998</v>
      </c>
      <c r="BV25" s="106">
        <v>3</v>
      </c>
      <c r="BW25" s="106">
        <v>1591.1999999999998</v>
      </c>
      <c r="BX25" s="106">
        <v>17</v>
      </c>
      <c r="BY25" s="106">
        <v>9016.7999999999993</v>
      </c>
      <c r="BZ25" s="106">
        <v>19</v>
      </c>
      <c r="CA25" s="106">
        <v>10077.6</v>
      </c>
      <c r="CB25" s="106">
        <v>15</v>
      </c>
      <c r="CC25" s="106">
        <v>7956</v>
      </c>
      <c r="CD25" s="106">
        <v>24</v>
      </c>
      <c r="CE25" s="106">
        <v>12729.599999999999</v>
      </c>
      <c r="CF25" s="106">
        <v>30</v>
      </c>
      <c r="CG25" s="106">
        <v>15912</v>
      </c>
      <c r="CH25" s="106">
        <v>26</v>
      </c>
      <c r="CI25" s="106">
        <v>13790.4</v>
      </c>
      <c r="CJ25" s="106">
        <v>25</v>
      </c>
      <c r="CK25" s="106">
        <v>13260</v>
      </c>
      <c r="CL25" s="106">
        <v>22</v>
      </c>
      <c r="CM25" s="106">
        <v>11668.8</v>
      </c>
      <c r="CN25" s="106">
        <v>21</v>
      </c>
      <c r="CO25" s="106">
        <v>11138.4</v>
      </c>
      <c r="CP25" s="106">
        <v>17</v>
      </c>
      <c r="CQ25" s="106">
        <v>9016.7999999999993</v>
      </c>
      <c r="CR25" s="106">
        <v>14</v>
      </c>
      <c r="CS25" s="106">
        <v>7425.5999999999995</v>
      </c>
      <c r="CT25" s="106">
        <v>25</v>
      </c>
      <c r="CU25" s="106">
        <v>13260</v>
      </c>
    </row>
    <row r="26" spans="2:99" x14ac:dyDescent="0.2">
      <c r="C26" s="105" t="s">
        <v>191</v>
      </c>
      <c r="D26" s="106">
        <v>4</v>
      </c>
      <c r="E26" s="106">
        <v>1944</v>
      </c>
      <c r="F26" s="106">
        <v>3</v>
      </c>
      <c r="G26" s="106">
        <v>1458</v>
      </c>
      <c r="H26" s="106">
        <v>3</v>
      </c>
      <c r="I26" s="106">
        <v>1458</v>
      </c>
      <c r="J26" s="106">
        <v>4</v>
      </c>
      <c r="K26" s="106">
        <v>1944</v>
      </c>
      <c r="L26" s="106">
        <v>14</v>
      </c>
      <c r="M26" s="106">
        <v>6804</v>
      </c>
      <c r="N26" s="106">
        <v>21</v>
      </c>
      <c r="O26" s="106">
        <v>10206</v>
      </c>
      <c r="P26" s="106">
        <v>15</v>
      </c>
      <c r="Q26" s="106">
        <v>7290</v>
      </c>
      <c r="R26" s="106">
        <v>15</v>
      </c>
      <c r="S26" s="106">
        <v>7290</v>
      </c>
      <c r="T26" s="106">
        <v>3</v>
      </c>
      <c r="U26" s="106">
        <v>1458</v>
      </c>
      <c r="V26" s="106">
        <v>4</v>
      </c>
      <c r="W26" s="106">
        <v>1944</v>
      </c>
      <c r="X26" s="106">
        <v>3</v>
      </c>
      <c r="Y26" s="106">
        <v>1458</v>
      </c>
      <c r="Z26" s="106">
        <v>3</v>
      </c>
      <c r="AA26" s="106">
        <v>1458</v>
      </c>
      <c r="AB26" s="106">
        <v>3</v>
      </c>
      <c r="AC26" s="106">
        <v>1458</v>
      </c>
      <c r="AD26" s="106">
        <v>3</v>
      </c>
      <c r="AE26" s="106">
        <v>1458</v>
      </c>
      <c r="AF26" s="106">
        <v>4</v>
      </c>
      <c r="AG26" s="106">
        <v>1944</v>
      </c>
      <c r="AH26" s="106">
        <v>3</v>
      </c>
      <c r="AI26" s="106">
        <v>1458</v>
      </c>
      <c r="AJ26" s="106">
        <v>11</v>
      </c>
      <c r="AK26" s="106">
        <v>5346</v>
      </c>
      <c r="AL26" s="106">
        <v>12</v>
      </c>
      <c r="AM26" s="106">
        <v>5832</v>
      </c>
      <c r="AN26" s="106">
        <v>11</v>
      </c>
      <c r="AO26" s="106">
        <v>5346</v>
      </c>
      <c r="AP26" s="106">
        <v>11</v>
      </c>
      <c r="AQ26" s="106">
        <v>5346</v>
      </c>
      <c r="AR26" s="106">
        <v>24</v>
      </c>
      <c r="AS26" s="106">
        <v>11664</v>
      </c>
      <c r="AT26" s="106">
        <v>39</v>
      </c>
      <c r="AU26" s="106">
        <v>18954</v>
      </c>
      <c r="AV26" s="106">
        <v>21</v>
      </c>
      <c r="AW26" s="106">
        <v>10206</v>
      </c>
      <c r="AX26" s="106">
        <v>26</v>
      </c>
      <c r="AY26" s="106">
        <v>12636</v>
      </c>
      <c r="AZ26" s="106">
        <v>3</v>
      </c>
      <c r="BA26" s="106">
        <v>1458</v>
      </c>
      <c r="BB26" s="106">
        <v>3</v>
      </c>
      <c r="BC26" s="106">
        <v>1458</v>
      </c>
      <c r="BD26" s="106">
        <v>4</v>
      </c>
      <c r="BE26" s="106">
        <v>1944</v>
      </c>
      <c r="BF26" s="106">
        <v>2</v>
      </c>
      <c r="BG26" s="106">
        <v>972</v>
      </c>
      <c r="BH26" s="106">
        <v>15</v>
      </c>
      <c r="BI26" s="106">
        <v>7290</v>
      </c>
      <c r="BJ26" s="106">
        <v>15</v>
      </c>
      <c r="BK26" s="106">
        <v>7290</v>
      </c>
      <c r="BL26" s="106">
        <v>12</v>
      </c>
      <c r="BM26" s="106">
        <v>5832</v>
      </c>
      <c r="BN26" s="106">
        <v>14</v>
      </c>
      <c r="BO26" s="106">
        <v>6804</v>
      </c>
      <c r="BP26" s="106">
        <v>2</v>
      </c>
      <c r="BQ26" s="106">
        <v>972</v>
      </c>
      <c r="BR26" s="106">
        <v>3</v>
      </c>
      <c r="BS26" s="106">
        <v>1458</v>
      </c>
      <c r="BT26" s="106">
        <v>4</v>
      </c>
      <c r="BU26" s="106">
        <v>1944</v>
      </c>
      <c r="BV26" s="106">
        <v>3</v>
      </c>
      <c r="BW26" s="106">
        <v>1458</v>
      </c>
      <c r="BX26" s="106">
        <v>18</v>
      </c>
      <c r="BY26" s="106">
        <v>8748</v>
      </c>
      <c r="BZ26" s="106">
        <v>17</v>
      </c>
      <c r="CA26" s="106">
        <v>8262</v>
      </c>
      <c r="CB26" s="106">
        <v>15</v>
      </c>
      <c r="CC26" s="106">
        <v>7290</v>
      </c>
      <c r="CD26" s="106">
        <v>22</v>
      </c>
      <c r="CE26" s="106">
        <v>10692</v>
      </c>
      <c r="CF26" s="106">
        <v>26</v>
      </c>
      <c r="CG26" s="106">
        <v>12636</v>
      </c>
      <c r="CH26" s="106">
        <v>24</v>
      </c>
      <c r="CI26" s="106">
        <v>11664</v>
      </c>
      <c r="CJ26" s="106">
        <v>27</v>
      </c>
      <c r="CK26" s="106">
        <v>13122</v>
      </c>
      <c r="CL26" s="106">
        <v>24</v>
      </c>
      <c r="CM26" s="106">
        <v>11664</v>
      </c>
      <c r="CN26" s="106">
        <v>20</v>
      </c>
      <c r="CO26" s="106">
        <v>9720</v>
      </c>
      <c r="CP26" s="106">
        <v>15</v>
      </c>
      <c r="CQ26" s="106">
        <v>7290</v>
      </c>
      <c r="CR26" s="106">
        <v>14</v>
      </c>
      <c r="CS26" s="106">
        <v>6804</v>
      </c>
      <c r="CT26" s="106">
        <v>26</v>
      </c>
      <c r="CU26" s="106">
        <v>12636</v>
      </c>
    </row>
    <row r="27" spans="2:99" x14ac:dyDescent="0.2">
      <c r="C27" s="105" t="s">
        <v>192</v>
      </c>
      <c r="D27" s="106">
        <v>4</v>
      </c>
      <c r="E27" s="106">
        <v>1708.8</v>
      </c>
      <c r="F27" s="106">
        <v>3</v>
      </c>
      <c r="G27" s="106">
        <v>1281.5999999999999</v>
      </c>
      <c r="H27" s="106">
        <v>3</v>
      </c>
      <c r="I27" s="106">
        <v>1281.5999999999999</v>
      </c>
      <c r="J27" s="106">
        <v>4</v>
      </c>
      <c r="K27" s="106">
        <v>1708.8</v>
      </c>
      <c r="L27" s="106">
        <v>15</v>
      </c>
      <c r="M27" s="106">
        <v>6408</v>
      </c>
      <c r="N27" s="106">
        <v>20</v>
      </c>
      <c r="O27" s="106">
        <v>8544</v>
      </c>
      <c r="P27" s="106">
        <v>14</v>
      </c>
      <c r="Q27" s="106">
        <v>5980.8</v>
      </c>
      <c r="R27" s="106">
        <v>17</v>
      </c>
      <c r="S27" s="106">
        <v>7262.4</v>
      </c>
      <c r="T27" s="106">
        <v>3</v>
      </c>
      <c r="U27" s="106">
        <v>1281.5999999999999</v>
      </c>
      <c r="V27" s="106">
        <v>4</v>
      </c>
      <c r="W27" s="106">
        <v>1708.8</v>
      </c>
      <c r="X27" s="106">
        <v>3</v>
      </c>
      <c r="Y27" s="106">
        <v>1281.5999999999999</v>
      </c>
      <c r="Z27" s="106">
        <v>4</v>
      </c>
      <c r="AA27" s="106">
        <v>1708.8</v>
      </c>
      <c r="AB27" s="106">
        <v>2</v>
      </c>
      <c r="AC27" s="106">
        <v>854.4</v>
      </c>
      <c r="AD27" s="106">
        <v>4</v>
      </c>
      <c r="AE27" s="106">
        <v>1708.8</v>
      </c>
      <c r="AF27" s="106">
        <v>4</v>
      </c>
      <c r="AG27" s="106">
        <v>1708.8</v>
      </c>
      <c r="AH27" s="106">
        <v>4</v>
      </c>
      <c r="AI27" s="106">
        <v>1708.8</v>
      </c>
      <c r="AJ27" s="106">
        <v>12</v>
      </c>
      <c r="AK27" s="106">
        <v>5126.3999999999996</v>
      </c>
      <c r="AL27" s="106">
        <v>13</v>
      </c>
      <c r="AM27" s="106">
        <v>5553.5999999999995</v>
      </c>
      <c r="AN27" s="106">
        <v>10</v>
      </c>
      <c r="AO27" s="106">
        <v>4272</v>
      </c>
      <c r="AP27" s="106">
        <v>12</v>
      </c>
      <c r="AQ27" s="106">
        <v>5126.3999999999996</v>
      </c>
      <c r="AR27" s="106">
        <v>28</v>
      </c>
      <c r="AS27" s="106">
        <v>11961.6</v>
      </c>
      <c r="AT27" s="106">
        <v>35</v>
      </c>
      <c r="AU27" s="106">
        <v>14952</v>
      </c>
      <c r="AV27" s="106">
        <v>22</v>
      </c>
      <c r="AW27" s="106">
        <v>9398.4</v>
      </c>
      <c r="AX27" s="106">
        <v>29</v>
      </c>
      <c r="AY27" s="106">
        <v>12388.8</v>
      </c>
      <c r="AZ27" s="106">
        <v>4</v>
      </c>
      <c r="BA27" s="106">
        <v>1708.8</v>
      </c>
      <c r="BB27" s="106">
        <v>3</v>
      </c>
      <c r="BC27" s="106">
        <v>1281.5999999999999</v>
      </c>
      <c r="BD27" s="106">
        <v>4</v>
      </c>
      <c r="BE27" s="106">
        <v>1708.8</v>
      </c>
      <c r="BF27" s="106">
        <v>2</v>
      </c>
      <c r="BG27" s="106">
        <v>854.4</v>
      </c>
      <c r="BH27" s="106">
        <v>17</v>
      </c>
      <c r="BI27" s="106">
        <v>7262.4</v>
      </c>
      <c r="BJ27" s="106">
        <v>13</v>
      </c>
      <c r="BK27" s="106">
        <v>5553.5999999999995</v>
      </c>
      <c r="BL27" s="106">
        <v>13</v>
      </c>
      <c r="BM27" s="106">
        <v>5553.5999999999995</v>
      </c>
      <c r="BN27" s="106">
        <v>15</v>
      </c>
      <c r="BO27" s="106">
        <v>6408</v>
      </c>
      <c r="BP27" s="106">
        <v>2</v>
      </c>
      <c r="BQ27" s="106">
        <v>854.4</v>
      </c>
      <c r="BR27" s="106">
        <v>3</v>
      </c>
      <c r="BS27" s="106">
        <v>1281.5999999999999</v>
      </c>
      <c r="BT27" s="106">
        <v>3</v>
      </c>
      <c r="BU27" s="106">
        <v>1281.5999999999999</v>
      </c>
      <c r="BV27" s="106">
        <v>3</v>
      </c>
      <c r="BW27" s="106">
        <v>1281.5999999999999</v>
      </c>
      <c r="BX27" s="106">
        <v>19</v>
      </c>
      <c r="BY27" s="106">
        <v>8116.8</v>
      </c>
      <c r="BZ27" s="106">
        <v>19</v>
      </c>
      <c r="CA27" s="106">
        <v>8116.8</v>
      </c>
      <c r="CB27" s="106">
        <v>15</v>
      </c>
      <c r="CC27" s="106">
        <v>6408</v>
      </c>
      <c r="CD27" s="106">
        <v>22</v>
      </c>
      <c r="CE27" s="106">
        <v>9398.4</v>
      </c>
      <c r="CF27" s="106">
        <v>26</v>
      </c>
      <c r="CG27" s="106">
        <v>11107.199999999999</v>
      </c>
      <c r="CH27" s="106">
        <v>27</v>
      </c>
      <c r="CI27" s="106">
        <v>11534.4</v>
      </c>
      <c r="CJ27" s="106">
        <v>30</v>
      </c>
      <c r="CK27" s="106">
        <v>12816</v>
      </c>
      <c r="CL27" s="106">
        <v>23</v>
      </c>
      <c r="CM27" s="106">
        <v>9825.6</v>
      </c>
      <c r="CN27" s="106">
        <v>18</v>
      </c>
      <c r="CO27" s="106">
        <v>7689.5999999999995</v>
      </c>
      <c r="CP27" s="106">
        <v>17</v>
      </c>
      <c r="CQ27" s="106">
        <v>7262.4</v>
      </c>
      <c r="CR27" s="106">
        <v>14</v>
      </c>
      <c r="CS27" s="106">
        <v>5980.8</v>
      </c>
      <c r="CT27" s="106">
        <v>27</v>
      </c>
      <c r="CU27" s="106">
        <v>11534.4</v>
      </c>
    </row>
    <row r="28" spans="2:99" x14ac:dyDescent="0.2">
      <c r="C28" s="105" t="s">
        <v>193</v>
      </c>
      <c r="D28" s="106">
        <v>4</v>
      </c>
      <c r="E28" s="106">
        <v>2952</v>
      </c>
      <c r="F28" s="106">
        <v>3</v>
      </c>
      <c r="G28" s="106">
        <v>2214</v>
      </c>
      <c r="H28" s="106">
        <v>2</v>
      </c>
      <c r="I28" s="106">
        <v>1476</v>
      </c>
      <c r="J28" s="106">
        <v>4</v>
      </c>
      <c r="K28" s="106">
        <v>2952</v>
      </c>
      <c r="L28" s="106">
        <v>13</v>
      </c>
      <c r="M28" s="106">
        <v>9594</v>
      </c>
      <c r="N28" s="106">
        <v>21</v>
      </c>
      <c r="O28" s="106">
        <v>15498</v>
      </c>
      <c r="P28" s="106">
        <v>13</v>
      </c>
      <c r="Q28" s="106">
        <v>9594</v>
      </c>
      <c r="R28" s="106">
        <v>14</v>
      </c>
      <c r="S28" s="106">
        <v>10332</v>
      </c>
      <c r="T28" s="106">
        <v>3</v>
      </c>
      <c r="U28" s="106">
        <v>2214</v>
      </c>
      <c r="V28" s="106">
        <v>4</v>
      </c>
      <c r="W28" s="106">
        <v>2952</v>
      </c>
      <c r="X28" s="106">
        <v>3</v>
      </c>
      <c r="Y28" s="106">
        <v>2214</v>
      </c>
      <c r="Z28" s="106">
        <v>3</v>
      </c>
      <c r="AA28" s="106">
        <v>2214</v>
      </c>
      <c r="AB28" s="106">
        <v>2</v>
      </c>
      <c r="AC28" s="106">
        <v>1476</v>
      </c>
      <c r="AD28" s="106">
        <v>3</v>
      </c>
      <c r="AE28" s="106">
        <v>2214</v>
      </c>
      <c r="AF28" s="106">
        <v>3</v>
      </c>
      <c r="AG28" s="106">
        <v>2214</v>
      </c>
      <c r="AH28" s="106">
        <v>3</v>
      </c>
      <c r="AI28" s="106">
        <v>2214</v>
      </c>
      <c r="AJ28" s="106">
        <v>10</v>
      </c>
      <c r="AK28" s="106">
        <v>7380</v>
      </c>
      <c r="AL28" s="106">
        <v>12</v>
      </c>
      <c r="AM28" s="106">
        <v>8856</v>
      </c>
      <c r="AN28" s="106">
        <v>10</v>
      </c>
      <c r="AO28" s="106">
        <v>7380</v>
      </c>
      <c r="AP28" s="106">
        <v>11</v>
      </c>
      <c r="AQ28" s="106">
        <v>8118</v>
      </c>
      <c r="AR28" s="106">
        <v>24</v>
      </c>
      <c r="AS28" s="106">
        <v>17712</v>
      </c>
      <c r="AT28" s="106">
        <v>39</v>
      </c>
      <c r="AU28" s="106">
        <v>28782</v>
      </c>
      <c r="AV28" s="106">
        <v>19</v>
      </c>
      <c r="AW28" s="106">
        <v>14022</v>
      </c>
      <c r="AX28" s="106">
        <v>26</v>
      </c>
      <c r="AY28" s="106">
        <v>19188</v>
      </c>
      <c r="AZ28" s="106">
        <v>3</v>
      </c>
      <c r="BA28" s="106">
        <v>2214</v>
      </c>
      <c r="BB28" s="106">
        <v>3</v>
      </c>
      <c r="BC28" s="106">
        <v>2214</v>
      </c>
      <c r="BD28" s="106">
        <v>3</v>
      </c>
      <c r="BE28" s="106">
        <v>2214</v>
      </c>
      <c r="BF28" s="106">
        <v>2</v>
      </c>
      <c r="BG28" s="106">
        <v>1476</v>
      </c>
      <c r="BH28" s="106">
        <v>14</v>
      </c>
      <c r="BI28" s="106">
        <v>10332</v>
      </c>
      <c r="BJ28" s="106">
        <v>14</v>
      </c>
      <c r="BK28" s="106">
        <v>10332</v>
      </c>
      <c r="BL28" s="106">
        <v>13</v>
      </c>
      <c r="BM28" s="106">
        <v>9594</v>
      </c>
      <c r="BN28" s="106">
        <v>13</v>
      </c>
      <c r="BO28" s="106">
        <v>9594</v>
      </c>
      <c r="BP28" s="106">
        <v>2</v>
      </c>
      <c r="BQ28" s="106">
        <v>1476</v>
      </c>
      <c r="BR28" s="106">
        <v>3</v>
      </c>
      <c r="BS28" s="106">
        <v>2214</v>
      </c>
      <c r="BT28" s="106">
        <v>3</v>
      </c>
      <c r="BU28" s="106">
        <v>2214</v>
      </c>
      <c r="BV28" s="106">
        <v>2</v>
      </c>
      <c r="BW28" s="106">
        <v>1476</v>
      </c>
      <c r="BX28" s="106">
        <v>16</v>
      </c>
      <c r="BY28" s="106">
        <v>11808</v>
      </c>
      <c r="BZ28" s="106">
        <v>18</v>
      </c>
      <c r="CA28" s="106">
        <v>13284</v>
      </c>
      <c r="CB28" s="106">
        <v>14</v>
      </c>
      <c r="CC28" s="106">
        <v>10332</v>
      </c>
      <c r="CD28" s="106">
        <v>24</v>
      </c>
      <c r="CE28" s="106">
        <v>17712</v>
      </c>
      <c r="CF28" s="106">
        <v>29</v>
      </c>
      <c r="CG28" s="106">
        <v>21402</v>
      </c>
      <c r="CH28" s="106">
        <v>25</v>
      </c>
      <c r="CI28" s="106">
        <v>18450</v>
      </c>
      <c r="CJ28" s="106">
        <v>25</v>
      </c>
      <c r="CK28" s="106">
        <v>18450</v>
      </c>
      <c r="CL28" s="106">
        <v>22</v>
      </c>
      <c r="CM28" s="106">
        <v>16236</v>
      </c>
      <c r="CN28" s="106">
        <v>20</v>
      </c>
      <c r="CO28" s="106">
        <v>14760</v>
      </c>
      <c r="CP28" s="106">
        <v>16</v>
      </c>
      <c r="CQ28" s="106">
        <v>11808</v>
      </c>
      <c r="CR28" s="106">
        <v>13</v>
      </c>
      <c r="CS28" s="106">
        <v>9594</v>
      </c>
      <c r="CT28" s="106">
        <v>25</v>
      </c>
      <c r="CU28" s="106">
        <v>18450</v>
      </c>
    </row>
    <row r="29" spans="2:99" x14ac:dyDescent="0.2">
      <c r="C29" s="105" t="s">
        <v>194</v>
      </c>
      <c r="D29" s="106">
        <v>4</v>
      </c>
      <c r="E29" s="106">
        <v>1353.6</v>
      </c>
      <c r="F29" s="106">
        <v>3</v>
      </c>
      <c r="G29" s="106">
        <v>1015.1999999999999</v>
      </c>
      <c r="H29" s="106">
        <v>3</v>
      </c>
      <c r="I29" s="106">
        <v>1015.1999999999999</v>
      </c>
      <c r="J29" s="106">
        <v>4</v>
      </c>
      <c r="K29" s="106">
        <v>1353.6</v>
      </c>
      <c r="L29" s="106">
        <v>17</v>
      </c>
      <c r="M29" s="106">
        <v>5752.7999999999993</v>
      </c>
      <c r="N29" s="106">
        <v>21</v>
      </c>
      <c r="O29" s="106">
        <v>7106.4</v>
      </c>
      <c r="P29" s="106">
        <v>15</v>
      </c>
      <c r="Q29" s="106">
        <v>5076</v>
      </c>
      <c r="R29" s="106">
        <v>16</v>
      </c>
      <c r="S29" s="106">
        <v>5414.4</v>
      </c>
      <c r="T29" s="106">
        <v>3</v>
      </c>
      <c r="U29" s="106">
        <v>1015.1999999999999</v>
      </c>
      <c r="V29" s="106">
        <v>4</v>
      </c>
      <c r="W29" s="106">
        <v>1353.6</v>
      </c>
      <c r="X29" s="106">
        <v>3</v>
      </c>
      <c r="Y29" s="106">
        <v>1015.1999999999999</v>
      </c>
      <c r="Z29" s="106">
        <v>4</v>
      </c>
      <c r="AA29" s="106">
        <v>1353.6</v>
      </c>
      <c r="AB29" s="106">
        <v>2</v>
      </c>
      <c r="AC29" s="106">
        <v>676.8</v>
      </c>
      <c r="AD29" s="106">
        <v>3</v>
      </c>
      <c r="AE29" s="106">
        <v>1015.1999999999999</v>
      </c>
      <c r="AF29" s="106">
        <v>4</v>
      </c>
      <c r="AG29" s="106">
        <v>1353.6</v>
      </c>
      <c r="AH29" s="106">
        <v>4</v>
      </c>
      <c r="AI29" s="106">
        <v>1353.6</v>
      </c>
      <c r="AJ29" s="106">
        <v>11</v>
      </c>
      <c r="AK29" s="106">
        <v>3722.3999999999996</v>
      </c>
      <c r="AL29" s="106">
        <v>13</v>
      </c>
      <c r="AM29" s="106">
        <v>4399.2</v>
      </c>
      <c r="AN29" s="106">
        <v>12</v>
      </c>
      <c r="AO29" s="106">
        <v>4060.7999999999997</v>
      </c>
      <c r="AP29" s="106">
        <v>10</v>
      </c>
      <c r="AQ29" s="106">
        <v>3384</v>
      </c>
      <c r="AR29" s="106">
        <v>28</v>
      </c>
      <c r="AS29" s="106">
        <v>9475.1999999999989</v>
      </c>
      <c r="AT29" s="106">
        <v>36</v>
      </c>
      <c r="AU29" s="106">
        <v>12182.4</v>
      </c>
      <c r="AV29" s="106">
        <v>22</v>
      </c>
      <c r="AW29" s="106">
        <v>7444.7999999999993</v>
      </c>
      <c r="AX29" s="106">
        <v>28</v>
      </c>
      <c r="AY29" s="106">
        <v>9475.1999999999989</v>
      </c>
      <c r="AZ29" s="106">
        <v>4</v>
      </c>
      <c r="BA29" s="106">
        <v>1353.6</v>
      </c>
      <c r="BB29" s="106">
        <v>3</v>
      </c>
      <c r="BC29" s="106">
        <v>1015.1999999999999</v>
      </c>
      <c r="BD29" s="106">
        <v>4</v>
      </c>
      <c r="BE29" s="106">
        <v>1353.6</v>
      </c>
      <c r="BF29" s="106">
        <v>2</v>
      </c>
      <c r="BG29" s="106">
        <v>676.8</v>
      </c>
      <c r="BH29" s="106">
        <v>15</v>
      </c>
      <c r="BI29" s="106">
        <v>5076</v>
      </c>
      <c r="BJ29" s="106">
        <v>13</v>
      </c>
      <c r="BK29" s="106">
        <v>4399.2</v>
      </c>
      <c r="BL29" s="106">
        <v>13</v>
      </c>
      <c r="BM29" s="106">
        <v>4399.2</v>
      </c>
      <c r="BN29" s="106">
        <v>14</v>
      </c>
      <c r="BO29" s="106">
        <v>4737.5999999999995</v>
      </c>
      <c r="BP29" s="106">
        <v>2</v>
      </c>
      <c r="BQ29" s="106">
        <v>676.8</v>
      </c>
      <c r="BR29" s="106">
        <v>3</v>
      </c>
      <c r="BS29" s="106">
        <v>1015.1999999999999</v>
      </c>
      <c r="BT29" s="106">
        <v>4</v>
      </c>
      <c r="BU29" s="106">
        <v>1353.6</v>
      </c>
      <c r="BV29" s="106">
        <v>3</v>
      </c>
      <c r="BW29" s="106">
        <v>1015.1999999999999</v>
      </c>
      <c r="BX29" s="106">
        <v>17</v>
      </c>
      <c r="BY29" s="106">
        <v>5752.7999999999993</v>
      </c>
      <c r="BZ29" s="106">
        <v>18</v>
      </c>
      <c r="CA29" s="106">
        <v>6091.2</v>
      </c>
      <c r="CB29" s="106">
        <v>15</v>
      </c>
      <c r="CC29" s="106">
        <v>5076</v>
      </c>
      <c r="CD29" s="106">
        <v>23</v>
      </c>
      <c r="CE29" s="106">
        <v>7783.2</v>
      </c>
      <c r="CF29" s="106">
        <v>26</v>
      </c>
      <c r="CG29" s="106">
        <v>8798.4</v>
      </c>
      <c r="CH29" s="106">
        <v>24</v>
      </c>
      <c r="CI29" s="106">
        <v>8121.5999999999995</v>
      </c>
      <c r="CJ29" s="106">
        <v>27</v>
      </c>
      <c r="CK29" s="106">
        <v>9136.7999999999993</v>
      </c>
      <c r="CL29" s="106">
        <v>21</v>
      </c>
      <c r="CM29" s="106">
        <v>7106.4</v>
      </c>
      <c r="CN29" s="106">
        <v>21</v>
      </c>
      <c r="CO29" s="106">
        <v>7106.4</v>
      </c>
      <c r="CP29" s="106">
        <v>17</v>
      </c>
      <c r="CQ29" s="106">
        <v>5752.7999999999993</v>
      </c>
      <c r="CR29" s="106">
        <v>16</v>
      </c>
      <c r="CS29" s="106">
        <v>5414.4</v>
      </c>
      <c r="CT29" s="106">
        <v>30</v>
      </c>
      <c r="CU29" s="106">
        <v>10152</v>
      </c>
    </row>
    <row r="30" spans="2:99" x14ac:dyDescent="0.2">
      <c r="C30" s="105" t="s">
        <v>195</v>
      </c>
      <c r="D30" s="106">
        <v>4</v>
      </c>
      <c r="E30" s="106">
        <v>556.79999999999995</v>
      </c>
      <c r="F30" s="106">
        <v>3</v>
      </c>
      <c r="G30" s="106">
        <v>417.59999999999997</v>
      </c>
      <c r="H30" s="106">
        <v>3</v>
      </c>
      <c r="I30" s="106">
        <v>417.59999999999997</v>
      </c>
      <c r="J30" s="106">
        <v>4</v>
      </c>
      <c r="K30" s="106">
        <v>556.79999999999995</v>
      </c>
      <c r="L30" s="106">
        <v>14</v>
      </c>
      <c r="M30" s="106">
        <v>1948.7999999999997</v>
      </c>
      <c r="N30" s="106">
        <v>23</v>
      </c>
      <c r="O30" s="106">
        <v>3201.6</v>
      </c>
      <c r="P30" s="106">
        <v>16</v>
      </c>
      <c r="Q30" s="106">
        <v>2227.1999999999998</v>
      </c>
      <c r="R30" s="106">
        <v>18</v>
      </c>
      <c r="S30" s="106">
        <v>2505.6</v>
      </c>
      <c r="T30" s="106">
        <v>3</v>
      </c>
      <c r="U30" s="106">
        <v>417.59999999999997</v>
      </c>
      <c r="V30" s="106">
        <v>4</v>
      </c>
      <c r="W30" s="106">
        <v>556.79999999999995</v>
      </c>
      <c r="X30" s="106">
        <v>3</v>
      </c>
      <c r="Y30" s="106">
        <v>417.59999999999997</v>
      </c>
      <c r="Z30" s="106">
        <v>4</v>
      </c>
      <c r="AA30" s="106">
        <v>556.79999999999995</v>
      </c>
      <c r="AB30" s="106">
        <v>2</v>
      </c>
      <c r="AC30" s="106">
        <v>278.39999999999998</v>
      </c>
      <c r="AD30" s="106">
        <v>3</v>
      </c>
      <c r="AE30" s="106">
        <v>417.59999999999997</v>
      </c>
      <c r="AF30" s="106">
        <v>4</v>
      </c>
      <c r="AG30" s="106">
        <v>556.79999999999995</v>
      </c>
      <c r="AH30" s="106">
        <v>4</v>
      </c>
      <c r="AI30" s="106">
        <v>556.79999999999995</v>
      </c>
      <c r="AJ30" s="106">
        <v>11</v>
      </c>
      <c r="AK30" s="106">
        <v>1531.1999999999998</v>
      </c>
      <c r="AL30" s="106">
        <v>14</v>
      </c>
      <c r="AM30" s="106">
        <v>1948.7999999999997</v>
      </c>
      <c r="AN30" s="106">
        <v>11</v>
      </c>
      <c r="AO30" s="106">
        <v>1531.1999999999998</v>
      </c>
      <c r="AP30" s="106">
        <v>11</v>
      </c>
      <c r="AQ30" s="106">
        <v>1531.1999999999998</v>
      </c>
      <c r="AR30" s="106">
        <v>31</v>
      </c>
      <c r="AS30" s="106">
        <v>4315.2</v>
      </c>
      <c r="AT30" s="106">
        <v>40</v>
      </c>
      <c r="AU30" s="106">
        <v>5568</v>
      </c>
      <c r="AV30" s="106">
        <v>23</v>
      </c>
      <c r="AW30" s="106">
        <v>3201.6</v>
      </c>
      <c r="AX30" s="106">
        <v>32</v>
      </c>
      <c r="AY30" s="106">
        <v>4454.3999999999996</v>
      </c>
      <c r="AZ30" s="106">
        <v>4</v>
      </c>
      <c r="BA30" s="106">
        <v>556.79999999999995</v>
      </c>
      <c r="BB30" s="106">
        <v>3</v>
      </c>
      <c r="BC30" s="106">
        <v>417.59999999999997</v>
      </c>
      <c r="BD30" s="106">
        <v>4</v>
      </c>
      <c r="BE30" s="106">
        <v>556.79999999999995</v>
      </c>
      <c r="BF30" s="106">
        <v>2</v>
      </c>
      <c r="BG30" s="106">
        <v>278.39999999999998</v>
      </c>
      <c r="BH30" s="106">
        <v>15</v>
      </c>
      <c r="BI30" s="106">
        <v>2088</v>
      </c>
      <c r="BJ30" s="106">
        <v>15</v>
      </c>
      <c r="BK30" s="106">
        <v>2088</v>
      </c>
      <c r="BL30" s="106">
        <v>13</v>
      </c>
      <c r="BM30" s="106">
        <v>1809.6</v>
      </c>
      <c r="BN30" s="106">
        <v>15</v>
      </c>
      <c r="BO30" s="106">
        <v>2088</v>
      </c>
      <c r="BP30" s="106">
        <v>2</v>
      </c>
      <c r="BQ30" s="106">
        <v>278.39999999999998</v>
      </c>
      <c r="BR30" s="106">
        <v>3</v>
      </c>
      <c r="BS30" s="106">
        <v>417.59999999999997</v>
      </c>
      <c r="BT30" s="106">
        <v>3</v>
      </c>
      <c r="BU30" s="106">
        <v>417.59999999999997</v>
      </c>
      <c r="BV30" s="106">
        <v>2</v>
      </c>
      <c r="BW30" s="106">
        <v>278.39999999999998</v>
      </c>
      <c r="BX30" s="106">
        <v>20</v>
      </c>
      <c r="BY30" s="106">
        <v>2784</v>
      </c>
      <c r="BZ30" s="106">
        <v>17</v>
      </c>
      <c r="CA30" s="106">
        <v>2366.3999999999996</v>
      </c>
      <c r="CB30" s="106">
        <v>14</v>
      </c>
      <c r="CC30" s="106">
        <v>1948.7999999999997</v>
      </c>
      <c r="CD30" s="106">
        <v>27</v>
      </c>
      <c r="CE30" s="106">
        <v>3758.3999999999996</v>
      </c>
      <c r="CF30" s="106">
        <v>33</v>
      </c>
      <c r="CG30" s="106">
        <v>4593.5999999999995</v>
      </c>
      <c r="CH30" s="106">
        <v>28</v>
      </c>
      <c r="CI30" s="106">
        <v>3897.5999999999995</v>
      </c>
      <c r="CJ30" s="106">
        <v>28</v>
      </c>
      <c r="CK30" s="106">
        <v>3897.5999999999995</v>
      </c>
      <c r="CL30" s="106">
        <v>24</v>
      </c>
      <c r="CM30" s="106">
        <v>3340.7999999999997</v>
      </c>
      <c r="CN30" s="106">
        <v>21</v>
      </c>
      <c r="CO30" s="106">
        <v>2923.2</v>
      </c>
      <c r="CP30" s="106">
        <v>16</v>
      </c>
      <c r="CQ30" s="106">
        <v>2227.1999999999998</v>
      </c>
      <c r="CR30" s="106">
        <v>17</v>
      </c>
      <c r="CS30" s="106">
        <v>2366.3999999999996</v>
      </c>
      <c r="CT30" s="106">
        <v>26</v>
      </c>
      <c r="CU30" s="106">
        <v>3619.2</v>
      </c>
    </row>
    <row r="31" spans="2:99" x14ac:dyDescent="0.2">
      <c r="C31" s="105" t="s">
        <v>196</v>
      </c>
      <c r="D31" s="106">
        <v>4</v>
      </c>
      <c r="E31" s="106">
        <v>1363.2</v>
      </c>
      <c r="F31" s="106">
        <v>3</v>
      </c>
      <c r="G31" s="106">
        <v>1022.4000000000001</v>
      </c>
      <c r="H31" s="106">
        <v>2</v>
      </c>
      <c r="I31" s="106">
        <v>681.6</v>
      </c>
      <c r="J31" s="106">
        <v>4</v>
      </c>
      <c r="K31" s="106">
        <v>1363.2</v>
      </c>
      <c r="L31" s="106">
        <v>17</v>
      </c>
      <c r="M31" s="106">
        <v>5793.6</v>
      </c>
      <c r="N31" s="106">
        <v>18</v>
      </c>
      <c r="O31" s="106">
        <v>6134.4000000000005</v>
      </c>
      <c r="P31" s="106">
        <v>13</v>
      </c>
      <c r="Q31" s="106">
        <v>4430.4000000000005</v>
      </c>
      <c r="R31" s="106">
        <v>17</v>
      </c>
      <c r="S31" s="106">
        <v>5793.6</v>
      </c>
      <c r="T31" s="106">
        <v>3</v>
      </c>
      <c r="U31" s="106">
        <v>1022.4000000000001</v>
      </c>
      <c r="V31" s="106">
        <v>4</v>
      </c>
      <c r="W31" s="106">
        <v>1363.2</v>
      </c>
      <c r="X31" s="106">
        <v>3</v>
      </c>
      <c r="Y31" s="106">
        <v>1022.4000000000001</v>
      </c>
      <c r="Z31" s="106">
        <v>4</v>
      </c>
      <c r="AA31" s="106">
        <v>1363.2</v>
      </c>
      <c r="AB31" s="106">
        <v>2</v>
      </c>
      <c r="AC31" s="106">
        <v>681.6</v>
      </c>
      <c r="AD31" s="106">
        <v>3</v>
      </c>
      <c r="AE31" s="106">
        <v>1022.4000000000001</v>
      </c>
      <c r="AF31" s="106">
        <v>4</v>
      </c>
      <c r="AG31" s="106">
        <v>1363.2</v>
      </c>
      <c r="AH31" s="106">
        <v>3</v>
      </c>
      <c r="AI31" s="106">
        <v>1022.4000000000001</v>
      </c>
      <c r="AJ31" s="106">
        <v>11</v>
      </c>
      <c r="AK31" s="106">
        <v>3748.8</v>
      </c>
      <c r="AL31" s="106">
        <v>12</v>
      </c>
      <c r="AM31" s="106">
        <v>4089.6000000000004</v>
      </c>
      <c r="AN31" s="106">
        <v>12</v>
      </c>
      <c r="AO31" s="106">
        <v>4089.6000000000004</v>
      </c>
      <c r="AP31" s="106">
        <v>11</v>
      </c>
      <c r="AQ31" s="106">
        <v>3748.8</v>
      </c>
      <c r="AR31" s="106">
        <v>27</v>
      </c>
      <c r="AS31" s="106">
        <v>9201.6</v>
      </c>
      <c r="AT31" s="106">
        <v>36</v>
      </c>
      <c r="AU31" s="106">
        <v>12268.800000000001</v>
      </c>
      <c r="AV31" s="106">
        <v>22</v>
      </c>
      <c r="AW31" s="106">
        <v>7497.6</v>
      </c>
      <c r="AX31" s="106">
        <v>29</v>
      </c>
      <c r="AY31" s="106">
        <v>9883.2000000000007</v>
      </c>
      <c r="AZ31" s="106">
        <v>3</v>
      </c>
      <c r="BA31" s="106">
        <v>1022.4000000000001</v>
      </c>
      <c r="BB31" s="106">
        <v>3</v>
      </c>
      <c r="BC31" s="106">
        <v>1022.4000000000001</v>
      </c>
      <c r="BD31" s="106">
        <v>3</v>
      </c>
      <c r="BE31" s="106">
        <v>1022.4000000000001</v>
      </c>
      <c r="BF31" s="106">
        <v>2</v>
      </c>
      <c r="BG31" s="106">
        <v>681.6</v>
      </c>
      <c r="BH31" s="106">
        <v>16</v>
      </c>
      <c r="BI31" s="106">
        <v>5452.8</v>
      </c>
      <c r="BJ31" s="106">
        <v>14</v>
      </c>
      <c r="BK31" s="106">
        <v>4771.2</v>
      </c>
      <c r="BL31" s="106">
        <v>11</v>
      </c>
      <c r="BM31" s="106">
        <v>3748.8</v>
      </c>
      <c r="BN31" s="106">
        <v>14</v>
      </c>
      <c r="BO31" s="106">
        <v>4771.2</v>
      </c>
      <c r="BP31" s="106">
        <v>2</v>
      </c>
      <c r="BQ31" s="106">
        <v>681.6</v>
      </c>
      <c r="BR31" s="106">
        <v>3</v>
      </c>
      <c r="BS31" s="106">
        <v>1022.4000000000001</v>
      </c>
      <c r="BT31" s="106">
        <v>4</v>
      </c>
      <c r="BU31" s="106">
        <v>1363.2</v>
      </c>
      <c r="BV31" s="106">
        <v>2</v>
      </c>
      <c r="BW31" s="106">
        <v>681.6</v>
      </c>
      <c r="BX31" s="106">
        <v>19</v>
      </c>
      <c r="BY31" s="106">
        <v>6475.2</v>
      </c>
      <c r="BZ31" s="106">
        <v>18</v>
      </c>
      <c r="CA31" s="106">
        <v>6134.4000000000005</v>
      </c>
      <c r="CB31" s="106">
        <v>15</v>
      </c>
      <c r="CC31" s="106">
        <v>5112</v>
      </c>
      <c r="CD31" s="106">
        <v>27</v>
      </c>
      <c r="CE31" s="106">
        <v>9201.6</v>
      </c>
      <c r="CF31" s="106">
        <v>28</v>
      </c>
      <c r="CG31" s="106">
        <v>9542.4</v>
      </c>
      <c r="CH31" s="106">
        <v>26</v>
      </c>
      <c r="CI31" s="106">
        <v>8860.8000000000011</v>
      </c>
      <c r="CJ31" s="106">
        <v>31</v>
      </c>
      <c r="CK31" s="106">
        <v>10564.800000000001</v>
      </c>
      <c r="CL31" s="106">
        <v>22</v>
      </c>
      <c r="CM31" s="106">
        <v>7497.6</v>
      </c>
      <c r="CN31" s="106">
        <v>20</v>
      </c>
      <c r="CO31" s="106">
        <v>6816</v>
      </c>
      <c r="CP31" s="106">
        <v>18</v>
      </c>
      <c r="CQ31" s="106">
        <v>6134.4000000000005</v>
      </c>
      <c r="CR31" s="106">
        <v>14</v>
      </c>
      <c r="CS31" s="106">
        <v>4771.2</v>
      </c>
      <c r="CT31" s="106">
        <v>27</v>
      </c>
      <c r="CU31" s="106">
        <v>9201.6</v>
      </c>
    </row>
    <row r="32" spans="2:99" x14ac:dyDescent="0.2">
      <c r="C32" s="105" t="s">
        <v>197</v>
      </c>
      <c r="D32" s="106">
        <v>4</v>
      </c>
      <c r="E32" s="106">
        <v>3360</v>
      </c>
      <c r="F32" s="106">
        <v>3</v>
      </c>
      <c r="G32" s="106">
        <v>2520</v>
      </c>
      <c r="H32" s="106">
        <v>2</v>
      </c>
      <c r="I32" s="106">
        <v>1680</v>
      </c>
      <c r="J32" s="106">
        <v>4</v>
      </c>
      <c r="K32" s="106">
        <v>3360</v>
      </c>
      <c r="L32" s="106">
        <v>15</v>
      </c>
      <c r="M32" s="106">
        <v>12600</v>
      </c>
      <c r="N32" s="106">
        <v>19</v>
      </c>
      <c r="O32" s="106">
        <v>15960</v>
      </c>
      <c r="P32" s="106">
        <v>12</v>
      </c>
      <c r="Q32" s="106">
        <v>10080</v>
      </c>
      <c r="R32" s="106">
        <v>15</v>
      </c>
      <c r="S32" s="106">
        <v>12600</v>
      </c>
      <c r="T32" s="106">
        <v>3</v>
      </c>
      <c r="U32" s="106">
        <v>2520</v>
      </c>
      <c r="V32" s="106">
        <v>4</v>
      </c>
      <c r="W32" s="106">
        <v>3360</v>
      </c>
      <c r="X32" s="106">
        <v>3</v>
      </c>
      <c r="Y32" s="106">
        <v>2520</v>
      </c>
      <c r="Z32" s="106">
        <v>3</v>
      </c>
      <c r="AA32" s="106">
        <v>2520</v>
      </c>
      <c r="AB32" s="106">
        <v>2</v>
      </c>
      <c r="AC32" s="106">
        <v>1680</v>
      </c>
      <c r="AD32" s="106">
        <v>3</v>
      </c>
      <c r="AE32" s="106">
        <v>2520</v>
      </c>
      <c r="AF32" s="106">
        <v>3</v>
      </c>
      <c r="AG32" s="106">
        <v>2520</v>
      </c>
      <c r="AH32" s="106">
        <v>3</v>
      </c>
      <c r="AI32" s="106">
        <v>2520</v>
      </c>
      <c r="AJ32" s="106">
        <v>12</v>
      </c>
      <c r="AK32" s="106">
        <v>10080</v>
      </c>
      <c r="AL32" s="106">
        <v>13</v>
      </c>
      <c r="AM32" s="106">
        <v>10920</v>
      </c>
      <c r="AN32" s="106">
        <v>10</v>
      </c>
      <c r="AO32" s="106">
        <v>8400</v>
      </c>
      <c r="AP32" s="106">
        <v>11</v>
      </c>
      <c r="AQ32" s="106">
        <v>9240</v>
      </c>
      <c r="AR32" s="106">
        <v>27</v>
      </c>
      <c r="AS32" s="106">
        <v>22680</v>
      </c>
      <c r="AT32" s="106">
        <v>38</v>
      </c>
      <c r="AU32" s="106">
        <v>31920</v>
      </c>
      <c r="AV32" s="106">
        <v>20</v>
      </c>
      <c r="AW32" s="106">
        <v>16800</v>
      </c>
      <c r="AX32" s="106">
        <v>28</v>
      </c>
      <c r="AY32" s="106">
        <v>23520</v>
      </c>
      <c r="AZ32" s="106">
        <v>3</v>
      </c>
      <c r="BA32" s="106">
        <v>2520</v>
      </c>
      <c r="BB32" s="106">
        <v>3</v>
      </c>
      <c r="BC32" s="106">
        <v>2520</v>
      </c>
      <c r="BD32" s="106">
        <v>4</v>
      </c>
      <c r="BE32" s="106">
        <v>3360</v>
      </c>
      <c r="BF32" s="106">
        <v>2</v>
      </c>
      <c r="BG32" s="106">
        <v>1680</v>
      </c>
      <c r="BH32" s="106">
        <v>16</v>
      </c>
      <c r="BI32" s="106">
        <v>13440</v>
      </c>
      <c r="BJ32" s="106">
        <v>12</v>
      </c>
      <c r="BK32" s="106">
        <v>10080</v>
      </c>
      <c r="BL32" s="106">
        <v>12</v>
      </c>
      <c r="BM32" s="106">
        <v>10080</v>
      </c>
      <c r="BN32" s="106">
        <v>13</v>
      </c>
      <c r="BO32" s="106">
        <v>10920</v>
      </c>
      <c r="BP32" s="106">
        <v>2</v>
      </c>
      <c r="BQ32" s="106">
        <v>1680</v>
      </c>
      <c r="BR32" s="106">
        <v>3</v>
      </c>
      <c r="BS32" s="106">
        <v>2520</v>
      </c>
      <c r="BT32" s="106">
        <v>4</v>
      </c>
      <c r="BU32" s="106">
        <v>3360</v>
      </c>
      <c r="BV32" s="106">
        <v>2</v>
      </c>
      <c r="BW32" s="106">
        <v>1680</v>
      </c>
      <c r="BX32" s="106">
        <v>17</v>
      </c>
      <c r="BY32" s="106">
        <v>14280</v>
      </c>
      <c r="BZ32" s="106">
        <v>18</v>
      </c>
      <c r="CA32" s="106">
        <v>15120</v>
      </c>
      <c r="CB32" s="106">
        <v>13</v>
      </c>
      <c r="CC32" s="106">
        <v>10920</v>
      </c>
      <c r="CD32" s="106">
        <v>23</v>
      </c>
      <c r="CE32" s="106">
        <v>19320</v>
      </c>
      <c r="CF32" s="106">
        <v>28</v>
      </c>
      <c r="CG32" s="106">
        <v>23520</v>
      </c>
      <c r="CH32" s="106">
        <v>24</v>
      </c>
      <c r="CI32" s="106">
        <v>20160</v>
      </c>
      <c r="CJ32" s="106">
        <v>25</v>
      </c>
      <c r="CK32" s="106">
        <v>21000</v>
      </c>
      <c r="CL32" s="106">
        <v>22</v>
      </c>
      <c r="CM32" s="106">
        <v>18480</v>
      </c>
      <c r="CN32" s="106">
        <v>20</v>
      </c>
      <c r="CO32" s="106">
        <v>16800</v>
      </c>
      <c r="CP32" s="106">
        <v>16</v>
      </c>
      <c r="CQ32" s="106">
        <v>13440</v>
      </c>
      <c r="CR32" s="106">
        <v>14</v>
      </c>
      <c r="CS32" s="106">
        <v>11760</v>
      </c>
      <c r="CT32" s="106">
        <v>24</v>
      </c>
      <c r="CU32" s="106">
        <v>20160</v>
      </c>
    </row>
    <row r="33" spans="2:99" x14ac:dyDescent="0.2">
      <c r="C33" s="105" t="s">
        <v>198</v>
      </c>
      <c r="D33" s="106">
        <v>4</v>
      </c>
      <c r="E33" s="106">
        <v>1896</v>
      </c>
      <c r="F33" s="106">
        <v>3</v>
      </c>
      <c r="G33" s="106">
        <v>1422</v>
      </c>
      <c r="H33" s="106">
        <v>3</v>
      </c>
      <c r="I33" s="106">
        <v>1422</v>
      </c>
      <c r="J33" s="106">
        <v>4</v>
      </c>
      <c r="K33" s="106">
        <v>1896</v>
      </c>
      <c r="L33" s="106">
        <v>14</v>
      </c>
      <c r="M33" s="106">
        <v>6636</v>
      </c>
      <c r="N33" s="106">
        <v>21</v>
      </c>
      <c r="O33" s="106">
        <v>9954</v>
      </c>
      <c r="P33" s="106">
        <v>13</v>
      </c>
      <c r="Q33" s="106">
        <v>6162</v>
      </c>
      <c r="R33" s="106">
        <v>16</v>
      </c>
      <c r="S33" s="106">
        <v>7584</v>
      </c>
      <c r="T33" s="106">
        <v>3</v>
      </c>
      <c r="U33" s="106">
        <v>1422</v>
      </c>
      <c r="V33" s="106">
        <v>4</v>
      </c>
      <c r="W33" s="106">
        <v>1896</v>
      </c>
      <c r="X33" s="106">
        <v>3</v>
      </c>
      <c r="Y33" s="106">
        <v>1422</v>
      </c>
      <c r="Z33" s="106">
        <v>3</v>
      </c>
      <c r="AA33" s="106">
        <v>1422</v>
      </c>
      <c r="AB33" s="106">
        <v>2</v>
      </c>
      <c r="AC33" s="106">
        <v>948</v>
      </c>
      <c r="AD33" s="106">
        <v>4</v>
      </c>
      <c r="AE33" s="106">
        <v>1896</v>
      </c>
      <c r="AF33" s="106">
        <v>4</v>
      </c>
      <c r="AG33" s="106">
        <v>1896</v>
      </c>
      <c r="AH33" s="106">
        <v>4</v>
      </c>
      <c r="AI33" s="106">
        <v>1896</v>
      </c>
      <c r="AJ33" s="106">
        <v>11</v>
      </c>
      <c r="AK33" s="106">
        <v>5214</v>
      </c>
      <c r="AL33" s="106">
        <v>12</v>
      </c>
      <c r="AM33" s="106">
        <v>5688</v>
      </c>
      <c r="AN33" s="106">
        <v>11</v>
      </c>
      <c r="AO33" s="106">
        <v>5214</v>
      </c>
      <c r="AP33" s="106">
        <v>12</v>
      </c>
      <c r="AQ33" s="106">
        <v>5688</v>
      </c>
      <c r="AR33" s="106">
        <v>24</v>
      </c>
      <c r="AS33" s="106">
        <v>11376</v>
      </c>
      <c r="AT33" s="106">
        <v>35</v>
      </c>
      <c r="AU33" s="106">
        <v>16590</v>
      </c>
      <c r="AV33" s="106">
        <v>22</v>
      </c>
      <c r="AW33" s="106">
        <v>10428</v>
      </c>
      <c r="AX33" s="106">
        <v>27</v>
      </c>
      <c r="AY33" s="106">
        <v>12798</v>
      </c>
      <c r="AZ33" s="106">
        <v>3</v>
      </c>
      <c r="BA33" s="106">
        <v>1422</v>
      </c>
      <c r="BB33" s="106">
        <v>3</v>
      </c>
      <c r="BC33" s="106">
        <v>1422</v>
      </c>
      <c r="BD33" s="106">
        <v>3</v>
      </c>
      <c r="BE33" s="106">
        <v>1422</v>
      </c>
      <c r="BF33" s="106">
        <v>2</v>
      </c>
      <c r="BG33" s="106">
        <v>948</v>
      </c>
      <c r="BH33" s="106">
        <v>15</v>
      </c>
      <c r="BI33" s="106">
        <v>7110</v>
      </c>
      <c r="BJ33" s="106">
        <v>13</v>
      </c>
      <c r="BK33" s="106">
        <v>6162</v>
      </c>
      <c r="BL33" s="106">
        <v>13</v>
      </c>
      <c r="BM33" s="106">
        <v>6162</v>
      </c>
      <c r="BN33" s="106">
        <v>15</v>
      </c>
      <c r="BO33" s="106">
        <v>7110</v>
      </c>
      <c r="BP33" s="106">
        <v>2</v>
      </c>
      <c r="BQ33" s="106">
        <v>948</v>
      </c>
      <c r="BR33" s="106">
        <v>3</v>
      </c>
      <c r="BS33" s="106">
        <v>1422</v>
      </c>
      <c r="BT33" s="106">
        <v>3</v>
      </c>
      <c r="BU33" s="106">
        <v>1422</v>
      </c>
      <c r="BV33" s="106">
        <v>3</v>
      </c>
      <c r="BW33" s="106">
        <v>1422</v>
      </c>
      <c r="BX33" s="106">
        <v>18</v>
      </c>
      <c r="BY33" s="106">
        <v>8532</v>
      </c>
      <c r="BZ33" s="106">
        <v>18</v>
      </c>
      <c r="CA33" s="106">
        <v>8532</v>
      </c>
      <c r="CB33" s="106">
        <v>14</v>
      </c>
      <c r="CC33" s="106">
        <v>6636</v>
      </c>
      <c r="CD33" s="106">
        <v>23</v>
      </c>
      <c r="CE33" s="106">
        <v>10902</v>
      </c>
      <c r="CF33" s="106">
        <v>30</v>
      </c>
      <c r="CG33" s="106">
        <v>14220</v>
      </c>
      <c r="CH33" s="106">
        <v>25</v>
      </c>
      <c r="CI33" s="106">
        <v>11850</v>
      </c>
      <c r="CJ33" s="106">
        <v>27</v>
      </c>
      <c r="CK33" s="106">
        <v>12798</v>
      </c>
      <c r="CL33" s="106">
        <v>24</v>
      </c>
      <c r="CM33" s="106">
        <v>11376</v>
      </c>
      <c r="CN33" s="106">
        <v>18</v>
      </c>
      <c r="CO33" s="106">
        <v>8532</v>
      </c>
      <c r="CP33" s="106">
        <v>16</v>
      </c>
      <c r="CQ33" s="106">
        <v>7584</v>
      </c>
      <c r="CR33" s="106">
        <v>16</v>
      </c>
      <c r="CS33" s="106">
        <v>7584</v>
      </c>
      <c r="CT33" s="106">
        <v>30</v>
      </c>
      <c r="CU33" s="106">
        <v>14220</v>
      </c>
    </row>
    <row r="34" spans="2:99" x14ac:dyDescent="0.2">
      <c r="C34" s="105" t="s">
        <v>199</v>
      </c>
      <c r="D34" s="106">
        <v>4</v>
      </c>
      <c r="E34" s="106">
        <v>2193.6</v>
      </c>
      <c r="F34" s="106">
        <v>3</v>
      </c>
      <c r="G34" s="106">
        <v>1645.1999999999998</v>
      </c>
      <c r="H34" s="106">
        <v>2</v>
      </c>
      <c r="I34" s="106">
        <v>1096.8</v>
      </c>
      <c r="J34" s="106">
        <v>4</v>
      </c>
      <c r="K34" s="106">
        <v>2193.6</v>
      </c>
      <c r="L34" s="106">
        <v>15</v>
      </c>
      <c r="M34" s="106">
        <v>8226</v>
      </c>
      <c r="N34" s="106">
        <v>18</v>
      </c>
      <c r="O34" s="106">
        <v>9871.1999999999989</v>
      </c>
      <c r="P34" s="106">
        <v>12</v>
      </c>
      <c r="Q34" s="106">
        <v>6580.7999999999993</v>
      </c>
      <c r="R34" s="106">
        <v>16</v>
      </c>
      <c r="S34" s="106">
        <v>8774.4</v>
      </c>
      <c r="T34" s="106">
        <v>3</v>
      </c>
      <c r="U34" s="106">
        <v>1645.1999999999998</v>
      </c>
      <c r="V34" s="106">
        <v>4</v>
      </c>
      <c r="W34" s="106">
        <v>2193.6</v>
      </c>
      <c r="X34" s="106">
        <v>3</v>
      </c>
      <c r="Y34" s="106">
        <v>1645.1999999999998</v>
      </c>
      <c r="Z34" s="106">
        <v>4</v>
      </c>
      <c r="AA34" s="106">
        <v>2193.6</v>
      </c>
      <c r="AB34" s="106">
        <v>2</v>
      </c>
      <c r="AC34" s="106">
        <v>1096.8</v>
      </c>
      <c r="AD34" s="106">
        <v>3</v>
      </c>
      <c r="AE34" s="106">
        <v>1645.1999999999998</v>
      </c>
      <c r="AF34" s="106">
        <v>4</v>
      </c>
      <c r="AG34" s="106">
        <v>2193.6</v>
      </c>
      <c r="AH34" s="106">
        <v>3</v>
      </c>
      <c r="AI34" s="106">
        <v>1645.1999999999998</v>
      </c>
      <c r="AJ34" s="106">
        <v>12</v>
      </c>
      <c r="AK34" s="106">
        <v>6580.7999999999993</v>
      </c>
      <c r="AL34" s="106">
        <v>12</v>
      </c>
      <c r="AM34" s="106">
        <v>6580.7999999999993</v>
      </c>
      <c r="AN34" s="106">
        <v>11</v>
      </c>
      <c r="AO34" s="106">
        <v>6032.4</v>
      </c>
      <c r="AP34" s="106">
        <v>10</v>
      </c>
      <c r="AQ34" s="106">
        <v>5484</v>
      </c>
      <c r="AR34" s="106">
        <v>28</v>
      </c>
      <c r="AS34" s="106">
        <v>15355.199999999999</v>
      </c>
      <c r="AT34" s="106">
        <v>36</v>
      </c>
      <c r="AU34" s="106">
        <v>19742.399999999998</v>
      </c>
      <c r="AV34" s="106">
        <v>21</v>
      </c>
      <c r="AW34" s="106">
        <v>11516.4</v>
      </c>
      <c r="AX34" s="106">
        <v>31</v>
      </c>
      <c r="AY34" s="106">
        <v>17000.399999999998</v>
      </c>
      <c r="AZ34" s="106">
        <v>3</v>
      </c>
      <c r="BA34" s="106">
        <v>1645.1999999999998</v>
      </c>
      <c r="BB34" s="106">
        <v>3</v>
      </c>
      <c r="BC34" s="106">
        <v>1645.1999999999998</v>
      </c>
      <c r="BD34" s="106">
        <v>3</v>
      </c>
      <c r="BE34" s="106">
        <v>1645.1999999999998</v>
      </c>
      <c r="BF34" s="106">
        <v>2</v>
      </c>
      <c r="BG34" s="106">
        <v>1096.8</v>
      </c>
      <c r="BH34" s="106">
        <v>15</v>
      </c>
      <c r="BI34" s="106">
        <v>8226</v>
      </c>
      <c r="BJ34" s="106">
        <v>14</v>
      </c>
      <c r="BK34" s="106">
        <v>7677.5999999999995</v>
      </c>
      <c r="BL34" s="106">
        <v>12</v>
      </c>
      <c r="BM34" s="106">
        <v>6580.7999999999993</v>
      </c>
      <c r="BN34" s="106">
        <v>13</v>
      </c>
      <c r="BO34" s="106">
        <v>7129.2</v>
      </c>
      <c r="BP34" s="106">
        <v>2</v>
      </c>
      <c r="BQ34" s="106">
        <v>1096.8</v>
      </c>
      <c r="BR34" s="106">
        <v>3</v>
      </c>
      <c r="BS34" s="106">
        <v>1645.1999999999998</v>
      </c>
      <c r="BT34" s="106">
        <v>4</v>
      </c>
      <c r="BU34" s="106">
        <v>2193.6</v>
      </c>
      <c r="BV34" s="106">
        <v>2</v>
      </c>
      <c r="BW34" s="106">
        <v>1096.8</v>
      </c>
      <c r="BX34" s="106">
        <v>19</v>
      </c>
      <c r="BY34" s="106">
        <v>10419.6</v>
      </c>
      <c r="BZ34" s="106">
        <v>19</v>
      </c>
      <c r="CA34" s="106">
        <v>10419.6</v>
      </c>
      <c r="CB34" s="106">
        <v>14</v>
      </c>
      <c r="CC34" s="106">
        <v>7677.5999999999995</v>
      </c>
      <c r="CD34" s="106">
        <v>24</v>
      </c>
      <c r="CE34" s="106">
        <v>13161.599999999999</v>
      </c>
      <c r="CF34" s="106">
        <v>26</v>
      </c>
      <c r="CG34" s="106">
        <v>14258.4</v>
      </c>
      <c r="CH34" s="106">
        <v>25</v>
      </c>
      <c r="CI34" s="106">
        <v>13710</v>
      </c>
      <c r="CJ34" s="106">
        <v>28</v>
      </c>
      <c r="CK34" s="106">
        <v>15355.199999999999</v>
      </c>
      <c r="CL34" s="106">
        <v>20</v>
      </c>
      <c r="CM34" s="106">
        <v>10968</v>
      </c>
      <c r="CN34" s="106">
        <v>17</v>
      </c>
      <c r="CO34" s="106">
        <v>9322.7999999999993</v>
      </c>
      <c r="CP34" s="106">
        <v>17</v>
      </c>
      <c r="CQ34" s="106">
        <v>9322.7999999999993</v>
      </c>
      <c r="CR34" s="106">
        <v>15</v>
      </c>
      <c r="CS34" s="106">
        <v>8226</v>
      </c>
      <c r="CT34" s="106">
        <v>29</v>
      </c>
      <c r="CU34" s="106">
        <v>15903.599999999999</v>
      </c>
    </row>
    <row r="35" spans="2:99" x14ac:dyDescent="0.2">
      <c r="C35" s="105" t="s">
        <v>200</v>
      </c>
      <c r="D35" s="106">
        <v>4</v>
      </c>
      <c r="E35" s="106">
        <v>2011.1999999999996</v>
      </c>
      <c r="F35" s="106">
        <v>3</v>
      </c>
      <c r="G35" s="106">
        <v>1508.3999999999996</v>
      </c>
      <c r="H35" s="106">
        <v>2</v>
      </c>
      <c r="I35" s="106">
        <v>1005.5999999999998</v>
      </c>
      <c r="J35" s="106">
        <v>4</v>
      </c>
      <c r="K35" s="106">
        <v>2011.1999999999996</v>
      </c>
      <c r="L35" s="106">
        <v>16</v>
      </c>
      <c r="M35" s="106">
        <v>8044.7999999999984</v>
      </c>
      <c r="N35" s="106">
        <v>21</v>
      </c>
      <c r="O35" s="106">
        <v>10558.799999999997</v>
      </c>
      <c r="P35" s="106">
        <v>13</v>
      </c>
      <c r="Q35" s="106">
        <v>6536.3999999999987</v>
      </c>
      <c r="R35" s="106">
        <v>15</v>
      </c>
      <c r="S35" s="106">
        <v>7541.9999999999982</v>
      </c>
      <c r="T35" s="106">
        <v>3</v>
      </c>
      <c r="U35" s="106">
        <v>1508.3999999999996</v>
      </c>
      <c r="V35" s="106">
        <v>4</v>
      </c>
      <c r="W35" s="106">
        <v>2011.1999999999996</v>
      </c>
      <c r="X35" s="106">
        <v>3</v>
      </c>
      <c r="Y35" s="106">
        <v>1508.3999999999996</v>
      </c>
      <c r="Z35" s="106">
        <v>3</v>
      </c>
      <c r="AA35" s="106">
        <v>1508.3999999999996</v>
      </c>
      <c r="AB35" s="106">
        <v>2</v>
      </c>
      <c r="AC35" s="106">
        <v>1005.5999999999998</v>
      </c>
      <c r="AD35" s="106">
        <v>3</v>
      </c>
      <c r="AE35" s="106">
        <v>1508.3999999999996</v>
      </c>
      <c r="AF35" s="106">
        <v>4</v>
      </c>
      <c r="AG35" s="106">
        <v>2011.1999999999996</v>
      </c>
      <c r="AH35" s="106">
        <v>3</v>
      </c>
      <c r="AI35" s="106">
        <v>1508.3999999999996</v>
      </c>
      <c r="AJ35" s="106">
        <v>12</v>
      </c>
      <c r="AK35" s="106">
        <v>6033.5999999999985</v>
      </c>
      <c r="AL35" s="106">
        <v>12</v>
      </c>
      <c r="AM35" s="106">
        <v>6033.5999999999985</v>
      </c>
      <c r="AN35" s="106">
        <v>11</v>
      </c>
      <c r="AO35" s="106">
        <v>5530.7999999999993</v>
      </c>
      <c r="AP35" s="106">
        <v>10</v>
      </c>
      <c r="AQ35" s="106">
        <v>5027.9999999999991</v>
      </c>
      <c r="AR35" s="106">
        <v>26</v>
      </c>
      <c r="AS35" s="106">
        <v>13072.799999999997</v>
      </c>
      <c r="AT35" s="106">
        <v>37</v>
      </c>
      <c r="AU35" s="106">
        <v>18603.599999999995</v>
      </c>
      <c r="AV35" s="106">
        <v>19</v>
      </c>
      <c r="AW35" s="106">
        <v>9553.1999999999989</v>
      </c>
      <c r="AX35" s="106">
        <v>29</v>
      </c>
      <c r="AY35" s="106">
        <v>14581.199999999997</v>
      </c>
      <c r="AZ35" s="106">
        <v>3</v>
      </c>
      <c r="BA35" s="106">
        <v>1508.3999999999996</v>
      </c>
      <c r="BB35" s="106">
        <v>3</v>
      </c>
      <c r="BC35" s="106">
        <v>1508.3999999999996</v>
      </c>
      <c r="BD35" s="106">
        <v>3</v>
      </c>
      <c r="BE35" s="106">
        <v>1508.3999999999996</v>
      </c>
      <c r="BF35" s="106">
        <v>2</v>
      </c>
      <c r="BG35" s="106">
        <v>1005.5999999999998</v>
      </c>
      <c r="BH35" s="106">
        <v>17</v>
      </c>
      <c r="BI35" s="106">
        <v>8547.5999999999985</v>
      </c>
      <c r="BJ35" s="106">
        <v>14</v>
      </c>
      <c r="BK35" s="106">
        <v>7039.1999999999989</v>
      </c>
      <c r="BL35" s="106">
        <v>11</v>
      </c>
      <c r="BM35" s="106">
        <v>5530.7999999999993</v>
      </c>
      <c r="BN35" s="106">
        <v>13</v>
      </c>
      <c r="BO35" s="106">
        <v>6536.3999999999987</v>
      </c>
      <c r="BP35" s="106">
        <v>2</v>
      </c>
      <c r="BQ35" s="106">
        <v>1005.5999999999998</v>
      </c>
      <c r="BR35" s="106">
        <v>3</v>
      </c>
      <c r="BS35" s="106">
        <v>1508.3999999999996</v>
      </c>
      <c r="BT35" s="106">
        <v>3</v>
      </c>
      <c r="BU35" s="106">
        <v>1508.3999999999996</v>
      </c>
      <c r="BV35" s="106">
        <v>2</v>
      </c>
      <c r="BW35" s="106">
        <v>1005.5999999999998</v>
      </c>
      <c r="BX35" s="106">
        <v>19</v>
      </c>
      <c r="BY35" s="106">
        <v>9553.1999999999989</v>
      </c>
      <c r="BZ35" s="106">
        <v>18</v>
      </c>
      <c r="CA35" s="106">
        <v>9050.3999999999978</v>
      </c>
      <c r="CB35" s="106">
        <v>13</v>
      </c>
      <c r="CC35" s="106">
        <v>6536.3999999999987</v>
      </c>
      <c r="CD35" s="106">
        <v>25</v>
      </c>
      <c r="CE35" s="106">
        <v>12569.999999999998</v>
      </c>
      <c r="CF35" s="106">
        <v>31</v>
      </c>
      <c r="CG35" s="106">
        <v>15586.799999999997</v>
      </c>
      <c r="CH35" s="106">
        <v>27</v>
      </c>
      <c r="CI35" s="106">
        <v>13575.599999999997</v>
      </c>
      <c r="CJ35" s="106">
        <v>26</v>
      </c>
      <c r="CK35" s="106">
        <v>13072.799999999997</v>
      </c>
      <c r="CL35" s="106">
        <v>23</v>
      </c>
      <c r="CM35" s="106">
        <v>11564.399999999998</v>
      </c>
      <c r="CN35" s="106">
        <v>18</v>
      </c>
      <c r="CO35" s="106">
        <v>9050.3999999999978</v>
      </c>
      <c r="CP35" s="106">
        <v>16</v>
      </c>
      <c r="CQ35" s="106">
        <v>8044.7999999999984</v>
      </c>
      <c r="CR35" s="106">
        <v>13</v>
      </c>
      <c r="CS35" s="106">
        <v>6536.3999999999987</v>
      </c>
      <c r="CT35" s="106">
        <v>29</v>
      </c>
      <c r="CU35" s="106">
        <v>14581.199999999997</v>
      </c>
    </row>
    <row r="36" spans="2:99" x14ac:dyDescent="0.2">
      <c r="C36" s="105" t="s">
        <v>201</v>
      </c>
      <c r="D36" s="106">
        <v>4</v>
      </c>
      <c r="E36" s="106">
        <v>3043.2</v>
      </c>
      <c r="F36" s="106">
        <v>3</v>
      </c>
      <c r="G36" s="106">
        <v>2282.3999999999996</v>
      </c>
      <c r="H36" s="106">
        <v>3</v>
      </c>
      <c r="I36" s="106">
        <v>2282.3999999999996</v>
      </c>
      <c r="J36" s="106">
        <v>4</v>
      </c>
      <c r="K36" s="106">
        <v>3043.2</v>
      </c>
      <c r="L36" s="106">
        <v>14</v>
      </c>
      <c r="M36" s="106">
        <v>10651.199999999999</v>
      </c>
      <c r="N36" s="106">
        <v>18</v>
      </c>
      <c r="O36" s="106">
        <v>13694.4</v>
      </c>
      <c r="P36" s="106">
        <v>13</v>
      </c>
      <c r="Q36" s="106">
        <v>9890.4</v>
      </c>
      <c r="R36" s="106">
        <v>16</v>
      </c>
      <c r="S36" s="106">
        <v>12172.8</v>
      </c>
      <c r="T36" s="106">
        <v>3</v>
      </c>
      <c r="U36" s="106">
        <v>2282.3999999999996</v>
      </c>
      <c r="V36" s="106">
        <v>4</v>
      </c>
      <c r="W36" s="106">
        <v>3043.2</v>
      </c>
      <c r="X36" s="106">
        <v>3</v>
      </c>
      <c r="Y36" s="106">
        <v>2282.3999999999996</v>
      </c>
      <c r="Z36" s="106">
        <v>3</v>
      </c>
      <c r="AA36" s="106">
        <v>2282.3999999999996</v>
      </c>
      <c r="AB36" s="106">
        <v>2</v>
      </c>
      <c r="AC36" s="106">
        <v>1521.6</v>
      </c>
      <c r="AD36" s="106">
        <v>3</v>
      </c>
      <c r="AE36" s="106">
        <v>2282.3999999999996</v>
      </c>
      <c r="AF36" s="106">
        <v>4</v>
      </c>
      <c r="AG36" s="106">
        <v>3043.2</v>
      </c>
      <c r="AH36" s="106">
        <v>3</v>
      </c>
      <c r="AI36" s="106">
        <v>2282.3999999999996</v>
      </c>
      <c r="AJ36" s="106">
        <v>11</v>
      </c>
      <c r="AK36" s="106">
        <v>8368.7999999999993</v>
      </c>
      <c r="AL36" s="106">
        <v>12</v>
      </c>
      <c r="AM36" s="106">
        <v>9129.5999999999985</v>
      </c>
      <c r="AN36" s="106">
        <v>9</v>
      </c>
      <c r="AO36" s="106">
        <v>6847.2</v>
      </c>
      <c r="AP36" s="106">
        <v>10</v>
      </c>
      <c r="AQ36" s="106">
        <v>7608</v>
      </c>
      <c r="AR36" s="106">
        <v>24</v>
      </c>
      <c r="AS36" s="106">
        <v>18259.199999999997</v>
      </c>
      <c r="AT36" s="106">
        <v>33</v>
      </c>
      <c r="AU36" s="106">
        <v>25106.399999999998</v>
      </c>
      <c r="AV36" s="106">
        <v>21</v>
      </c>
      <c r="AW36" s="106">
        <v>15976.8</v>
      </c>
      <c r="AX36" s="106">
        <v>27</v>
      </c>
      <c r="AY36" s="106">
        <v>20541.599999999999</v>
      </c>
      <c r="AZ36" s="106">
        <v>4</v>
      </c>
      <c r="BA36" s="106">
        <v>3043.2</v>
      </c>
      <c r="BB36" s="106">
        <v>2</v>
      </c>
      <c r="BC36" s="106">
        <v>1521.6</v>
      </c>
      <c r="BD36" s="106">
        <v>3</v>
      </c>
      <c r="BE36" s="106">
        <v>2282.3999999999996</v>
      </c>
      <c r="BF36" s="106">
        <v>2</v>
      </c>
      <c r="BG36" s="106">
        <v>1521.6</v>
      </c>
      <c r="BH36" s="106">
        <v>15</v>
      </c>
      <c r="BI36" s="106">
        <v>11412</v>
      </c>
      <c r="BJ36" s="106">
        <v>14</v>
      </c>
      <c r="BK36" s="106">
        <v>10651.199999999999</v>
      </c>
      <c r="BL36" s="106">
        <v>11</v>
      </c>
      <c r="BM36" s="106">
        <v>8368.7999999999993</v>
      </c>
      <c r="BN36" s="106">
        <v>14</v>
      </c>
      <c r="BO36" s="106">
        <v>10651.199999999999</v>
      </c>
      <c r="BP36" s="106">
        <v>2</v>
      </c>
      <c r="BQ36" s="106">
        <v>1521.6</v>
      </c>
      <c r="BR36" s="106">
        <v>3</v>
      </c>
      <c r="BS36" s="106">
        <v>2282.3999999999996</v>
      </c>
      <c r="BT36" s="106">
        <v>4</v>
      </c>
      <c r="BU36" s="106">
        <v>3043.2</v>
      </c>
      <c r="BV36" s="106">
        <v>3</v>
      </c>
      <c r="BW36" s="106">
        <v>2282.3999999999996</v>
      </c>
      <c r="BX36" s="106">
        <v>16</v>
      </c>
      <c r="BY36" s="106">
        <v>12172.8</v>
      </c>
      <c r="BZ36" s="106">
        <v>15</v>
      </c>
      <c r="CA36" s="106">
        <v>11412</v>
      </c>
      <c r="CB36" s="106">
        <v>12</v>
      </c>
      <c r="CC36" s="106">
        <v>9129.5999999999985</v>
      </c>
      <c r="CD36" s="106">
        <v>21</v>
      </c>
      <c r="CE36" s="106">
        <v>15976.8</v>
      </c>
      <c r="CF36" s="106">
        <v>29</v>
      </c>
      <c r="CG36" s="106">
        <v>22063.199999999997</v>
      </c>
      <c r="CH36" s="106">
        <v>24</v>
      </c>
      <c r="CI36" s="106">
        <v>18259.199999999997</v>
      </c>
      <c r="CJ36" s="106">
        <v>25</v>
      </c>
      <c r="CK36" s="106">
        <v>19020</v>
      </c>
      <c r="CL36" s="106">
        <v>21</v>
      </c>
      <c r="CM36" s="106">
        <v>15976.8</v>
      </c>
      <c r="CN36" s="106">
        <v>19</v>
      </c>
      <c r="CO36" s="106">
        <v>14455.199999999999</v>
      </c>
      <c r="CP36" s="106">
        <v>15</v>
      </c>
      <c r="CQ36" s="106">
        <v>11412</v>
      </c>
      <c r="CR36" s="106">
        <v>15</v>
      </c>
      <c r="CS36" s="106">
        <v>11412</v>
      </c>
      <c r="CT36" s="106">
        <v>24</v>
      </c>
      <c r="CU36" s="106">
        <v>18259.199999999997</v>
      </c>
    </row>
    <row r="37" spans="2:99" x14ac:dyDescent="0.2">
      <c r="B37" s="105" t="s">
        <v>128</v>
      </c>
      <c r="C37" s="105" t="s">
        <v>202</v>
      </c>
      <c r="D37" s="106">
        <v>9</v>
      </c>
      <c r="E37" s="106">
        <v>7743.5999999999995</v>
      </c>
      <c r="F37" s="106">
        <v>12</v>
      </c>
      <c r="G37" s="106">
        <v>10324.799999999999</v>
      </c>
      <c r="H37" s="106">
        <v>12</v>
      </c>
      <c r="I37" s="106">
        <v>10324.799999999999</v>
      </c>
      <c r="J37" s="106">
        <v>13</v>
      </c>
      <c r="K37" s="106">
        <v>11185.199999999999</v>
      </c>
      <c r="L37" s="106">
        <v>92</v>
      </c>
      <c r="M37" s="106">
        <v>79156.800000000003</v>
      </c>
      <c r="N37" s="106">
        <v>54</v>
      </c>
      <c r="O37" s="106">
        <v>46461.599999999999</v>
      </c>
      <c r="P37" s="106">
        <v>91</v>
      </c>
      <c r="Q37" s="106">
        <v>78296.399999999994</v>
      </c>
      <c r="R37" s="106">
        <v>47</v>
      </c>
      <c r="S37" s="106">
        <v>40438.799999999996</v>
      </c>
      <c r="T37" s="106">
        <v>5</v>
      </c>
      <c r="U37" s="106">
        <v>4302</v>
      </c>
      <c r="V37" s="106">
        <v>6</v>
      </c>
      <c r="W37" s="106">
        <v>5162.3999999999996</v>
      </c>
      <c r="X37" s="106">
        <v>6</v>
      </c>
      <c r="Y37" s="106">
        <v>5162.3999999999996</v>
      </c>
      <c r="Z37" s="106">
        <v>4</v>
      </c>
      <c r="AA37" s="106">
        <v>3441.6</v>
      </c>
      <c r="AB37" s="106">
        <v>59</v>
      </c>
      <c r="AC37" s="106">
        <v>50763.6</v>
      </c>
      <c r="AD37" s="106">
        <v>83</v>
      </c>
      <c r="AE37" s="106">
        <v>71413.2</v>
      </c>
      <c r="AF37" s="106">
        <v>68</v>
      </c>
      <c r="AG37" s="106">
        <v>58507.199999999997</v>
      </c>
      <c r="AH37" s="106">
        <v>86</v>
      </c>
      <c r="AI37" s="106">
        <v>73994.399999999994</v>
      </c>
      <c r="AJ37" s="106">
        <v>68</v>
      </c>
      <c r="AK37" s="106">
        <v>58507.199999999997</v>
      </c>
      <c r="AL37" s="106">
        <v>74</v>
      </c>
      <c r="AM37" s="106">
        <v>63669.599999999999</v>
      </c>
      <c r="AN37" s="106">
        <v>36</v>
      </c>
      <c r="AO37" s="106">
        <v>30974.399999999998</v>
      </c>
      <c r="AP37" s="106">
        <v>58</v>
      </c>
      <c r="AQ37" s="106">
        <v>49903.199999999997</v>
      </c>
      <c r="AR37" s="106">
        <v>26</v>
      </c>
      <c r="AS37" s="106">
        <v>22370.399999999998</v>
      </c>
      <c r="AT37" s="106">
        <v>19</v>
      </c>
      <c r="AU37" s="106">
        <v>16347.6</v>
      </c>
      <c r="AV37" s="106">
        <v>16</v>
      </c>
      <c r="AW37" s="106">
        <v>13766.4</v>
      </c>
      <c r="AX37" s="106">
        <v>20</v>
      </c>
      <c r="AY37" s="106">
        <v>17208</v>
      </c>
      <c r="AZ37" s="106">
        <v>6</v>
      </c>
      <c r="BA37" s="106">
        <v>5162.3999999999996</v>
      </c>
      <c r="BB37" s="106">
        <v>5</v>
      </c>
      <c r="BC37" s="106">
        <v>4302</v>
      </c>
      <c r="BD37" s="106">
        <v>5</v>
      </c>
      <c r="BE37" s="106">
        <v>4302</v>
      </c>
      <c r="BF37" s="106">
        <v>6</v>
      </c>
      <c r="BG37" s="106">
        <v>5162.3999999999996</v>
      </c>
      <c r="BH37" s="106">
        <v>74</v>
      </c>
      <c r="BI37" s="106">
        <v>63669.599999999999</v>
      </c>
      <c r="BJ37" s="106">
        <v>78</v>
      </c>
      <c r="BK37" s="106">
        <v>67111.199999999997</v>
      </c>
      <c r="BL37" s="106">
        <v>55</v>
      </c>
      <c r="BM37" s="106">
        <v>47322</v>
      </c>
      <c r="BN37" s="106">
        <v>59</v>
      </c>
      <c r="BO37" s="106">
        <v>50763.6</v>
      </c>
      <c r="BP37" s="106">
        <v>23</v>
      </c>
      <c r="BQ37" s="106">
        <v>19789.2</v>
      </c>
      <c r="BR37" s="106">
        <v>24</v>
      </c>
      <c r="BS37" s="106">
        <v>20649.599999999999</v>
      </c>
      <c r="BT37" s="106">
        <v>24</v>
      </c>
      <c r="BU37" s="106">
        <v>20649.599999999999</v>
      </c>
      <c r="BV37" s="106">
        <v>27</v>
      </c>
      <c r="BW37" s="106">
        <v>23230.799999999999</v>
      </c>
      <c r="BX37" s="106">
        <v>8</v>
      </c>
      <c r="BY37" s="106">
        <v>6883.2</v>
      </c>
      <c r="BZ37" s="106">
        <v>8</v>
      </c>
      <c r="CA37" s="106">
        <v>6883.2</v>
      </c>
      <c r="CB37" s="106">
        <v>9</v>
      </c>
      <c r="CC37" s="106">
        <v>7743.5999999999995</v>
      </c>
      <c r="CD37" s="106">
        <v>9</v>
      </c>
      <c r="CE37" s="106">
        <v>7743.5999999999995</v>
      </c>
      <c r="CF37" s="106">
        <v>7</v>
      </c>
      <c r="CG37" s="106">
        <v>6022.8</v>
      </c>
      <c r="CH37" s="106">
        <v>5</v>
      </c>
      <c r="CI37" s="106">
        <v>4302</v>
      </c>
      <c r="CJ37" s="106">
        <v>4</v>
      </c>
      <c r="CK37" s="106">
        <v>3441.6</v>
      </c>
      <c r="CL37" s="106">
        <v>5</v>
      </c>
      <c r="CM37" s="106">
        <v>4302</v>
      </c>
      <c r="CN37" s="106">
        <v>6</v>
      </c>
      <c r="CO37" s="106">
        <v>5162.3999999999996</v>
      </c>
      <c r="CP37" s="106">
        <v>6</v>
      </c>
      <c r="CQ37" s="106">
        <v>5162.3999999999996</v>
      </c>
      <c r="CR37" s="106">
        <v>7</v>
      </c>
      <c r="CS37" s="106">
        <v>6022.8</v>
      </c>
      <c r="CT37" s="106">
        <v>5</v>
      </c>
      <c r="CU37" s="106">
        <v>4302</v>
      </c>
    </row>
    <row r="38" spans="2:99" x14ac:dyDescent="0.2">
      <c r="C38" s="105" t="s">
        <v>203</v>
      </c>
      <c r="D38" s="106">
        <v>7</v>
      </c>
      <c r="E38" s="106">
        <v>8694</v>
      </c>
      <c r="F38" s="106">
        <v>13</v>
      </c>
      <c r="G38" s="106">
        <v>16146</v>
      </c>
      <c r="H38" s="106">
        <v>12</v>
      </c>
      <c r="I38" s="106">
        <v>14904</v>
      </c>
      <c r="J38" s="106">
        <v>13</v>
      </c>
      <c r="K38" s="106">
        <v>16146</v>
      </c>
      <c r="L38" s="106">
        <v>74</v>
      </c>
      <c r="M38" s="106">
        <v>91908</v>
      </c>
      <c r="N38" s="106">
        <v>51</v>
      </c>
      <c r="O38" s="106">
        <v>63342</v>
      </c>
      <c r="P38" s="106">
        <v>87</v>
      </c>
      <c r="Q38" s="106">
        <v>108054</v>
      </c>
      <c r="R38" s="106">
        <v>47</v>
      </c>
      <c r="S38" s="106">
        <v>58374</v>
      </c>
      <c r="T38" s="106">
        <v>5</v>
      </c>
      <c r="U38" s="106">
        <v>6210</v>
      </c>
      <c r="V38" s="106">
        <v>6</v>
      </c>
      <c r="W38" s="106">
        <v>7452</v>
      </c>
      <c r="X38" s="106">
        <v>6</v>
      </c>
      <c r="Y38" s="106">
        <v>7452</v>
      </c>
      <c r="Z38" s="106">
        <v>4</v>
      </c>
      <c r="AA38" s="106">
        <v>4968</v>
      </c>
      <c r="AB38" s="106">
        <v>54</v>
      </c>
      <c r="AC38" s="106">
        <v>67068</v>
      </c>
      <c r="AD38" s="106">
        <v>76</v>
      </c>
      <c r="AE38" s="106">
        <v>94392</v>
      </c>
      <c r="AF38" s="106">
        <v>55</v>
      </c>
      <c r="AG38" s="106">
        <v>68310</v>
      </c>
      <c r="AH38" s="106">
        <v>84</v>
      </c>
      <c r="AI38" s="106">
        <v>104328</v>
      </c>
      <c r="AJ38" s="106">
        <v>62</v>
      </c>
      <c r="AK38" s="106">
        <v>77004</v>
      </c>
      <c r="AL38" s="106">
        <v>65</v>
      </c>
      <c r="AM38" s="106">
        <v>80730</v>
      </c>
      <c r="AN38" s="106">
        <v>34</v>
      </c>
      <c r="AO38" s="106">
        <v>42228</v>
      </c>
      <c r="AP38" s="106">
        <v>63</v>
      </c>
      <c r="AQ38" s="106">
        <v>78246</v>
      </c>
      <c r="AR38" s="106">
        <v>24</v>
      </c>
      <c r="AS38" s="106">
        <v>29808</v>
      </c>
      <c r="AT38" s="106">
        <v>18</v>
      </c>
      <c r="AU38" s="106">
        <v>22356</v>
      </c>
      <c r="AV38" s="106">
        <v>15</v>
      </c>
      <c r="AW38" s="106">
        <v>18630</v>
      </c>
      <c r="AX38" s="106">
        <v>18</v>
      </c>
      <c r="AY38" s="106">
        <v>22356</v>
      </c>
      <c r="AZ38" s="106">
        <v>6</v>
      </c>
      <c r="BA38" s="106">
        <v>7452</v>
      </c>
      <c r="BB38" s="106">
        <v>5</v>
      </c>
      <c r="BC38" s="106">
        <v>6210</v>
      </c>
      <c r="BD38" s="106">
        <v>6</v>
      </c>
      <c r="BE38" s="106">
        <v>7452</v>
      </c>
      <c r="BF38" s="106">
        <v>5</v>
      </c>
      <c r="BG38" s="106">
        <v>6210</v>
      </c>
      <c r="BH38" s="106">
        <v>71</v>
      </c>
      <c r="BI38" s="106">
        <v>88182</v>
      </c>
      <c r="BJ38" s="106">
        <v>71</v>
      </c>
      <c r="BK38" s="106">
        <v>88182</v>
      </c>
      <c r="BL38" s="106">
        <v>50</v>
      </c>
      <c r="BM38" s="106">
        <v>62100</v>
      </c>
      <c r="BN38" s="106">
        <v>64</v>
      </c>
      <c r="BO38" s="106">
        <v>79488</v>
      </c>
      <c r="BP38" s="106">
        <v>22</v>
      </c>
      <c r="BQ38" s="106">
        <v>27324</v>
      </c>
      <c r="BR38" s="106">
        <v>24</v>
      </c>
      <c r="BS38" s="106">
        <v>29808</v>
      </c>
      <c r="BT38" s="106">
        <v>25</v>
      </c>
      <c r="BU38" s="106">
        <v>31050</v>
      </c>
      <c r="BV38" s="106">
        <v>28</v>
      </c>
      <c r="BW38" s="106">
        <v>34776</v>
      </c>
      <c r="BX38" s="106">
        <v>6</v>
      </c>
      <c r="BY38" s="106">
        <v>7452</v>
      </c>
      <c r="BZ38" s="106">
        <v>6</v>
      </c>
      <c r="CA38" s="106">
        <v>7452</v>
      </c>
      <c r="CB38" s="106">
        <v>9</v>
      </c>
      <c r="CC38" s="106">
        <v>11178</v>
      </c>
      <c r="CD38" s="106">
        <v>8</v>
      </c>
      <c r="CE38" s="106">
        <v>9936</v>
      </c>
      <c r="CF38" s="106">
        <v>5</v>
      </c>
      <c r="CG38" s="106">
        <v>6210</v>
      </c>
      <c r="CH38" s="106">
        <v>5</v>
      </c>
      <c r="CI38" s="106">
        <v>6210</v>
      </c>
      <c r="CJ38" s="106">
        <v>4</v>
      </c>
      <c r="CK38" s="106">
        <v>4968</v>
      </c>
      <c r="CL38" s="106">
        <v>5</v>
      </c>
      <c r="CM38" s="106">
        <v>6210</v>
      </c>
      <c r="CN38" s="106">
        <v>7</v>
      </c>
      <c r="CO38" s="106">
        <v>8694</v>
      </c>
      <c r="CP38" s="106">
        <v>6</v>
      </c>
      <c r="CQ38" s="106">
        <v>7452</v>
      </c>
      <c r="CR38" s="106">
        <v>7</v>
      </c>
      <c r="CS38" s="106">
        <v>8694</v>
      </c>
      <c r="CT38" s="106">
        <v>5</v>
      </c>
      <c r="CU38" s="106">
        <v>6210</v>
      </c>
    </row>
    <row r="39" spans="2:99" x14ac:dyDescent="0.2">
      <c r="C39" s="105" t="s">
        <v>204</v>
      </c>
      <c r="D39" s="106">
        <v>7</v>
      </c>
      <c r="E39" s="106">
        <v>9962.4</v>
      </c>
      <c r="F39" s="106">
        <v>13</v>
      </c>
      <c r="G39" s="106">
        <v>18501.600000000002</v>
      </c>
      <c r="H39" s="106">
        <v>13</v>
      </c>
      <c r="I39" s="106">
        <v>18501.600000000002</v>
      </c>
      <c r="J39" s="106">
        <v>12</v>
      </c>
      <c r="K39" s="106">
        <v>17078.400000000001</v>
      </c>
      <c r="L39" s="106">
        <v>71</v>
      </c>
      <c r="M39" s="106">
        <v>101047.2</v>
      </c>
      <c r="N39" s="106">
        <v>49</v>
      </c>
      <c r="O39" s="106">
        <v>69736.800000000003</v>
      </c>
      <c r="P39" s="106">
        <v>80</v>
      </c>
      <c r="Q39" s="106">
        <v>113856</v>
      </c>
      <c r="R39" s="106">
        <v>44</v>
      </c>
      <c r="S39" s="106">
        <v>62620.800000000003</v>
      </c>
      <c r="T39" s="106">
        <v>4</v>
      </c>
      <c r="U39" s="106">
        <v>5692.8</v>
      </c>
      <c r="V39" s="106">
        <v>5</v>
      </c>
      <c r="W39" s="106">
        <v>7116</v>
      </c>
      <c r="X39" s="106">
        <v>6</v>
      </c>
      <c r="Y39" s="106">
        <v>8539.2000000000007</v>
      </c>
      <c r="Z39" s="106">
        <v>4</v>
      </c>
      <c r="AA39" s="106">
        <v>5692.8</v>
      </c>
      <c r="AB39" s="106">
        <v>54</v>
      </c>
      <c r="AC39" s="106">
        <v>76852.800000000003</v>
      </c>
      <c r="AD39" s="106">
        <v>65</v>
      </c>
      <c r="AE39" s="106">
        <v>92508</v>
      </c>
      <c r="AF39" s="106">
        <v>51</v>
      </c>
      <c r="AG39" s="106">
        <v>72583.199999999997</v>
      </c>
      <c r="AH39" s="106">
        <v>76</v>
      </c>
      <c r="AI39" s="106">
        <v>108163.2</v>
      </c>
      <c r="AJ39" s="106">
        <v>58</v>
      </c>
      <c r="AK39" s="106">
        <v>82545.600000000006</v>
      </c>
      <c r="AL39" s="106">
        <v>65</v>
      </c>
      <c r="AM39" s="106">
        <v>92508</v>
      </c>
      <c r="AN39" s="106">
        <v>37</v>
      </c>
      <c r="AO39" s="106">
        <v>52658.400000000001</v>
      </c>
      <c r="AP39" s="106">
        <v>53</v>
      </c>
      <c r="AQ39" s="106">
        <v>75429.600000000006</v>
      </c>
      <c r="AR39" s="106">
        <v>24</v>
      </c>
      <c r="AS39" s="106">
        <v>34156.800000000003</v>
      </c>
      <c r="AT39" s="106">
        <v>17</v>
      </c>
      <c r="AU39" s="106">
        <v>24194.400000000001</v>
      </c>
      <c r="AV39" s="106">
        <v>15</v>
      </c>
      <c r="AW39" s="106">
        <v>21348</v>
      </c>
      <c r="AX39" s="106">
        <v>18</v>
      </c>
      <c r="AY39" s="106">
        <v>25617.600000000002</v>
      </c>
      <c r="AZ39" s="106">
        <v>6</v>
      </c>
      <c r="BA39" s="106">
        <v>8539.2000000000007</v>
      </c>
      <c r="BB39" s="106">
        <v>5</v>
      </c>
      <c r="BC39" s="106">
        <v>7116</v>
      </c>
      <c r="BD39" s="106">
        <v>5</v>
      </c>
      <c r="BE39" s="106">
        <v>7116</v>
      </c>
      <c r="BF39" s="106">
        <v>6</v>
      </c>
      <c r="BG39" s="106">
        <v>8539.2000000000007</v>
      </c>
      <c r="BH39" s="106">
        <v>72</v>
      </c>
      <c r="BI39" s="106">
        <v>102470.40000000001</v>
      </c>
      <c r="BJ39" s="106">
        <v>70</v>
      </c>
      <c r="BK39" s="106">
        <v>99624</v>
      </c>
      <c r="BL39" s="106">
        <v>56</v>
      </c>
      <c r="BM39" s="106">
        <v>79699.199999999997</v>
      </c>
      <c r="BN39" s="106">
        <v>60</v>
      </c>
      <c r="BO39" s="106">
        <v>85392</v>
      </c>
      <c r="BP39" s="106">
        <v>18</v>
      </c>
      <c r="BQ39" s="106">
        <v>25617.600000000002</v>
      </c>
      <c r="BR39" s="106">
        <v>24</v>
      </c>
      <c r="BS39" s="106">
        <v>34156.800000000003</v>
      </c>
      <c r="BT39" s="106">
        <v>24</v>
      </c>
      <c r="BU39" s="106">
        <v>34156.800000000003</v>
      </c>
      <c r="BV39" s="106">
        <v>26</v>
      </c>
      <c r="BW39" s="106">
        <v>37003.200000000004</v>
      </c>
      <c r="BX39" s="106">
        <v>7</v>
      </c>
      <c r="BY39" s="106">
        <v>9962.4</v>
      </c>
      <c r="BZ39" s="106">
        <v>7</v>
      </c>
      <c r="CA39" s="106">
        <v>9962.4</v>
      </c>
      <c r="CB39" s="106">
        <v>10</v>
      </c>
      <c r="CC39" s="106">
        <v>14232</v>
      </c>
      <c r="CD39" s="106">
        <v>7</v>
      </c>
      <c r="CE39" s="106">
        <v>9962.4</v>
      </c>
      <c r="CF39" s="106">
        <v>6</v>
      </c>
      <c r="CG39" s="106">
        <v>8539.2000000000007</v>
      </c>
      <c r="CH39" s="106">
        <v>5</v>
      </c>
      <c r="CI39" s="106">
        <v>7116</v>
      </c>
      <c r="CJ39" s="106">
        <v>4</v>
      </c>
      <c r="CK39" s="106">
        <v>5692.8</v>
      </c>
      <c r="CL39" s="106">
        <v>5</v>
      </c>
      <c r="CM39" s="106">
        <v>7116</v>
      </c>
      <c r="CN39" s="106">
        <v>6</v>
      </c>
      <c r="CO39" s="106">
        <v>8539.2000000000007</v>
      </c>
      <c r="CP39" s="106">
        <v>6</v>
      </c>
      <c r="CQ39" s="106">
        <v>8539.2000000000007</v>
      </c>
      <c r="CR39" s="106">
        <v>7</v>
      </c>
      <c r="CS39" s="106">
        <v>9962.4</v>
      </c>
      <c r="CT39" s="106">
        <v>5</v>
      </c>
      <c r="CU39" s="106">
        <v>7116</v>
      </c>
    </row>
    <row r="40" spans="2:99" x14ac:dyDescent="0.2">
      <c r="C40" s="105" t="s">
        <v>205</v>
      </c>
      <c r="D40" s="106">
        <v>9</v>
      </c>
      <c r="E40" s="106">
        <v>6523.2</v>
      </c>
      <c r="F40" s="106">
        <v>12</v>
      </c>
      <c r="G40" s="106">
        <v>8697.5999999999985</v>
      </c>
      <c r="H40" s="106">
        <v>13</v>
      </c>
      <c r="I40" s="106">
        <v>9422.4</v>
      </c>
      <c r="J40" s="106">
        <v>12</v>
      </c>
      <c r="K40" s="106">
        <v>8697.5999999999985</v>
      </c>
      <c r="L40" s="106">
        <v>84</v>
      </c>
      <c r="M40" s="106">
        <v>60883.199999999997</v>
      </c>
      <c r="N40" s="106">
        <v>60</v>
      </c>
      <c r="O40" s="106">
        <v>43488</v>
      </c>
      <c r="P40" s="106">
        <v>91</v>
      </c>
      <c r="Q40" s="106">
        <v>65956.800000000003</v>
      </c>
      <c r="R40" s="106">
        <v>47</v>
      </c>
      <c r="S40" s="106">
        <v>34065.599999999999</v>
      </c>
      <c r="T40" s="106">
        <v>5</v>
      </c>
      <c r="U40" s="106">
        <v>3624</v>
      </c>
      <c r="V40" s="106">
        <v>6</v>
      </c>
      <c r="W40" s="106">
        <v>4348.7999999999993</v>
      </c>
      <c r="X40" s="106">
        <v>6</v>
      </c>
      <c r="Y40" s="106">
        <v>4348.7999999999993</v>
      </c>
      <c r="Z40" s="106">
        <v>4</v>
      </c>
      <c r="AA40" s="106">
        <v>2899.2</v>
      </c>
      <c r="AB40" s="106">
        <v>58</v>
      </c>
      <c r="AC40" s="106">
        <v>42038.399999999994</v>
      </c>
      <c r="AD40" s="106">
        <v>87</v>
      </c>
      <c r="AE40" s="106">
        <v>63057.599999999999</v>
      </c>
      <c r="AF40" s="106">
        <v>59</v>
      </c>
      <c r="AG40" s="106">
        <v>42763.199999999997</v>
      </c>
      <c r="AH40" s="106">
        <v>81</v>
      </c>
      <c r="AI40" s="106">
        <v>58708.799999999996</v>
      </c>
      <c r="AJ40" s="106">
        <v>72</v>
      </c>
      <c r="AK40" s="106">
        <v>52185.599999999999</v>
      </c>
      <c r="AL40" s="106">
        <v>66</v>
      </c>
      <c r="AM40" s="106">
        <v>47836.799999999996</v>
      </c>
      <c r="AN40" s="106">
        <v>45</v>
      </c>
      <c r="AO40" s="106">
        <v>32615.999999999996</v>
      </c>
      <c r="AP40" s="106">
        <v>64</v>
      </c>
      <c r="AQ40" s="106">
        <v>46387.199999999997</v>
      </c>
      <c r="AR40" s="106">
        <v>22</v>
      </c>
      <c r="AS40" s="106">
        <v>15945.599999999999</v>
      </c>
      <c r="AT40" s="106">
        <v>20</v>
      </c>
      <c r="AU40" s="106">
        <v>14496</v>
      </c>
      <c r="AV40" s="106">
        <v>16</v>
      </c>
      <c r="AW40" s="106">
        <v>11596.8</v>
      </c>
      <c r="AX40" s="106">
        <v>20</v>
      </c>
      <c r="AY40" s="106">
        <v>14496</v>
      </c>
      <c r="AZ40" s="106">
        <v>5</v>
      </c>
      <c r="BA40" s="106">
        <v>3624</v>
      </c>
      <c r="BB40" s="106">
        <v>5</v>
      </c>
      <c r="BC40" s="106">
        <v>3624</v>
      </c>
      <c r="BD40" s="106">
        <v>6</v>
      </c>
      <c r="BE40" s="106">
        <v>4348.7999999999993</v>
      </c>
      <c r="BF40" s="106">
        <v>6</v>
      </c>
      <c r="BG40" s="106">
        <v>4348.7999999999993</v>
      </c>
      <c r="BH40" s="106">
        <v>79</v>
      </c>
      <c r="BI40" s="106">
        <v>57259.199999999997</v>
      </c>
      <c r="BJ40" s="106">
        <v>79</v>
      </c>
      <c r="BK40" s="106">
        <v>57259.199999999997</v>
      </c>
      <c r="BL40" s="106">
        <v>64</v>
      </c>
      <c r="BM40" s="106">
        <v>46387.199999999997</v>
      </c>
      <c r="BN40" s="106">
        <v>63</v>
      </c>
      <c r="BO40" s="106">
        <v>45662.399999999994</v>
      </c>
      <c r="BP40" s="106">
        <v>24</v>
      </c>
      <c r="BQ40" s="106">
        <v>17395.199999999997</v>
      </c>
      <c r="BR40" s="106">
        <v>26</v>
      </c>
      <c r="BS40" s="106">
        <v>18844.8</v>
      </c>
      <c r="BT40" s="106">
        <v>26</v>
      </c>
      <c r="BU40" s="106">
        <v>18844.8</v>
      </c>
      <c r="BV40" s="106">
        <v>29</v>
      </c>
      <c r="BW40" s="106">
        <v>21019.199999999997</v>
      </c>
      <c r="BX40" s="106">
        <v>8</v>
      </c>
      <c r="BY40" s="106">
        <v>5798.4</v>
      </c>
      <c r="BZ40" s="106">
        <v>7</v>
      </c>
      <c r="CA40" s="106">
        <v>5073.5999999999995</v>
      </c>
      <c r="CB40" s="106">
        <v>9</v>
      </c>
      <c r="CC40" s="106">
        <v>6523.2</v>
      </c>
      <c r="CD40" s="106">
        <v>8</v>
      </c>
      <c r="CE40" s="106">
        <v>5798.4</v>
      </c>
      <c r="CF40" s="106">
        <v>6</v>
      </c>
      <c r="CG40" s="106">
        <v>4348.7999999999993</v>
      </c>
      <c r="CH40" s="106">
        <v>6</v>
      </c>
      <c r="CI40" s="106">
        <v>4348.7999999999993</v>
      </c>
      <c r="CJ40" s="106">
        <v>4</v>
      </c>
      <c r="CK40" s="106">
        <v>2899.2</v>
      </c>
      <c r="CL40" s="106">
        <v>5</v>
      </c>
      <c r="CM40" s="106">
        <v>3624</v>
      </c>
      <c r="CN40" s="106">
        <v>6</v>
      </c>
      <c r="CO40" s="106">
        <v>4348.7999999999993</v>
      </c>
      <c r="CP40" s="106">
        <v>6</v>
      </c>
      <c r="CQ40" s="106">
        <v>4348.7999999999993</v>
      </c>
      <c r="CR40" s="106">
        <v>7</v>
      </c>
      <c r="CS40" s="106">
        <v>5073.5999999999995</v>
      </c>
      <c r="CT40" s="106">
        <v>5</v>
      </c>
      <c r="CU40" s="106">
        <v>3624</v>
      </c>
    </row>
    <row r="41" spans="2:99" x14ac:dyDescent="0.2">
      <c r="C41" s="105" t="s">
        <v>206</v>
      </c>
      <c r="D41" s="106">
        <v>9</v>
      </c>
      <c r="E41" s="106">
        <v>5940</v>
      </c>
      <c r="F41" s="106">
        <v>14</v>
      </c>
      <c r="G41" s="106">
        <v>9240</v>
      </c>
      <c r="H41" s="106">
        <v>14</v>
      </c>
      <c r="I41" s="106">
        <v>9240</v>
      </c>
      <c r="J41" s="106">
        <v>14</v>
      </c>
      <c r="K41" s="106">
        <v>9240</v>
      </c>
      <c r="L41" s="106">
        <v>84</v>
      </c>
      <c r="M41" s="106">
        <v>55440</v>
      </c>
      <c r="N41" s="106">
        <v>55</v>
      </c>
      <c r="O41" s="106">
        <v>36300</v>
      </c>
      <c r="P41" s="106">
        <v>99</v>
      </c>
      <c r="Q41" s="106">
        <v>65340</v>
      </c>
      <c r="R41" s="106">
        <v>53</v>
      </c>
      <c r="S41" s="106">
        <v>34980</v>
      </c>
      <c r="T41" s="106">
        <v>5</v>
      </c>
      <c r="U41" s="106">
        <v>3300</v>
      </c>
      <c r="V41" s="106">
        <v>6</v>
      </c>
      <c r="W41" s="106">
        <v>3960</v>
      </c>
      <c r="X41" s="106">
        <v>6</v>
      </c>
      <c r="Y41" s="106">
        <v>3960</v>
      </c>
      <c r="Z41" s="106">
        <v>4</v>
      </c>
      <c r="AA41" s="106">
        <v>2640</v>
      </c>
      <c r="AB41" s="106">
        <v>62</v>
      </c>
      <c r="AC41" s="106">
        <v>40920</v>
      </c>
      <c r="AD41" s="106">
        <v>86</v>
      </c>
      <c r="AE41" s="106">
        <v>56760</v>
      </c>
      <c r="AF41" s="106">
        <v>60</v>
      </c>
      <c r="AG41" s="106">
        <v>39600</v>
      </c>
      <c r="AH41" s="106">
        <v>83</v>
      </c>
      <c r="AI41" s="106">
        <v>54780</v>
      </c>
      <c r="AJ41" s="106">
        <v>67</v>
      </c>
      <c r="AK41" s="106">
        <v>44220</v>
      </c>
      <c r="AL41" s="106">
        <v>65</v>
      </c>
      <c r="AM41" s="106">
        <v>42900</v>
      </c>
      <c r="AN41" s="106">
        <v>40</v>
      </c>
      <c r="AO41" s="106">
        <v>26400</v>
      </c>
      <c r="AP41" s="106">
        <v>61</v>
      </c>
      <c r="AQ41" s="106">
        <v>40260</v>
      </c>
      <c r="AR41" s="106">
        <v>23</v>
      </c>
      <c r="AS41" s="106">
        <v>15180</v>
      </c>
      <c r="AT41" s="106">
        <v>21</v>
      </c>
      <c r="AU41" s="106">
        <v>13860</v>
      </c>
      <c r="AV41" s="106">
        <v>18</v>
      </c>
      <c r="AW41" s="106">
        <v>11880</v>
      </c>
      <c r="AX41" s="106">
        <v>19</v>
      </c>
      <c r="AY41" s="106">
        <v>12540</v>
      </c>
      <c r="AZ41" s="106">
        <v>7</v>
      </c>
      <c r="BA41" s="106">
        <v>4620</v>
      </c>
      <c r="BB41" s="106">
        <v>5</v>
      </c>
      <c r="BC41" s="106">
        <v>3300</v>
      </c>
      <c r="BD41" s="106">
        <v>5</v>
      </c>
      <c r="BE41" s="106">
        <v>3300</v>
      </c>
      <c r="BF41" s="106">
        <v>6</v>
      </c>
      <c r="BG41" s="106">
        <v>3960</v>
      </c>
      <c r="BH41" s="106">
        <v>82</v>
      </c>
      <c r="BI41" s="106">
        <v>54120</v>
      </c>
      <c r="BJ41" s="106">
        <v>70</v>
      </c>
      <c r="BK41" s="106">
        <v>46200</v>
      </c>
      <c r="BL41" s="106">
        <v>60</v>
      </c>
      <c r="BM41" s="106">
        <v>39600</v>
      </c>
      <c r="BN41" s="106">
        <v>64</v>
      </c>
      <c r="BO41" s="106">
        <v>42240</v>
      </c>
      <c r="BP41" s="106">
        <v>23</v>
      </c>
      <c r="BQ41" s="106">
        <v>15180</v>
      </c>
      <c r="BR41" s="106">
        <v>28</v>
      </c>
      <c r="BS41" s="106">
        <v>18480</v>
      </c>
      <c r="BT41" s="106">
        <v>25</v>
      </c>
      <c r="BU41" s="106">
        <v>16500</v>
      </c>
      <c r="BV41" s="106">
        <v>33</v>
      </c>
      <c r="BW41" s="106">
        <v>21780</v>
      </c>
      <c r="BX41" s="106">
        <v>8</v>
      </c>
      <c r="BY41" s="106">
        <v>5280</v>
      </c>
      <c r="BZ41" s="106">
        <v>7</v>
      </c>
      <c r="CA41" s="106">
        <v>4620</v>
      </c>
      <c r="CB41" s="106">
        <v>10</v>
      </c>
      <c r="CC41" s="106">
        <v>6600</v>
      </c>
      <c r="CD41" s="106">
        <v>8</v>
      </c>
      <c r="CE41" s="106">
        <v>5280</v>
      </c>
      <c r="CF41" s="106">
        <v>7</v>
      </c>
      <c r="CG41" s="106">
        <v>4620</v>
      </c>
      <c r="CH41" s="106">
        <v>5</v>
      </c>
      <c r="CI41" s="106">
        <v>3300</v>
      </c>
      <c r="CJ41" s="106">
        <v>4</v>
      </c>
      <c r="CK41" s="106">
        <v>2640</v>
      </c>
      <c r="CL41" s="106">
        <v>5</v>
      </c>
      <c r="CM41" s="106">
        <v>3300</v>
      </c>
      <c r="CN41" s="106">
        <v>7</v>
      </c>
      <c r="CO41" s="106">
        <v>4620</v>
      </c>
      <c r="CP41" s="106">
        <v>6</v>
      </c>
      <c r="CQ41" s="106">
        <v>3960</v>
      </c>
      <c r="CR41" s="106">
        <v>7</v>
      </c>
      <c r="CS41" s="106">
        <v>4620</v>
      </c>
      <c r="CT41" s="106">
        <v>5</v>
      </c>
      <c r="CU41" s="106">
        <v>3300</v>
      </c>
    </row>
    <row r="42" spans="2:99" x14ac:dyDescent="0.2">
      <c r="C42" s="105" t="s">
        <v>207</v>
      </c>
      <c r="D42" s="106">
        <v>8</v>
      </c>
      <c r="E42" s="106">
        <v>6768</v>
      </c>
      <c r="F42" s="106">
        <v>12</v>
      </c>
      <c r="G42" s="106">
        <v>10152</v>
      </c>
      <c r="H42" s="106">
        <v>12</v>
      </c>
      <c r="I42" s="106">
        <v>10152</v>
      </c>
      <c r="J42" s="106">
        <v>13</v>
      </c>
      <c r="K42" s="106">
        <v>10998</v>
      </c>
      <c r="L42" s="106">
        <v>83</v>
      </c>
      <c r="M42" s="106">
        <v>70218</v>
      </c>
      <c r="N42" s="106">
        <v>54</v>
      </c>
      <c r="O42" s="106">
        <v>45684</v>
      </c>
      <c r="P42" s="106">
        <v>94</v>
      </c>
      <c r="Q42" s="106">
        <v>79524</v>
      </c>
      <c r="R42" s="106">
        <v>51</v>
      </c>
      <c r="S42" s="106">
        <v>43146</v>
      </c>
      <c r="T42" s="106">
        <v>5</v>
      </c>
      <c r="U42" s="106">
        <v>4230</v>
      </c>
      <c r="V42" s="106">
        <v>6</v>
      </c>
      <c r="W42" s="106">
        <v>5076</v>
      </c>
      <c r="X42" s="106">
        <v>6</v>
      </c>
      <c r="Y42" s="106">
        <v>5076</v>
      </c>
      <c r="Z42" s="106">
        <v>4</v>
      </c>
      <c r="AA42" s="106">
        <v>3384</v>
      </c>
      <c r="AB42" s="106">
        <v>60</v>
      </c>
      <c r="AC42" s="106">
        <v>50760</v>
      </c>
      <c r="AD42" s="106">
        <v>74</v>
      </c>
      <c r="AE42" s="106">
        <v>62604</v>
      </c>
      <c r="AF42" s="106">
        <v>59</v>
      </c>
      <c r="AG42" s="106">
        <v>49914</v>
      </c>
      <c r="AH42" s="106">
        <v>79</v>
      </c>
      <c r="AI42" s="106">
        <v>66834</v>
      </c>
      <c r="AJ42" s="106">
        <v>70</v>
      </c>
      <c r="AK42" s="106">
        <v>59220</v>
      </c>
      <c r="AL42" s="106">
        <v>66</v>
      </c>
      <c r="AM42" s="106">
        <v>55836</v>
      </c>
      <c r="AN42" s="106">
        <v>43</v>
      </c>
      <c r="AO42" s="106">
        <v>36378</v>
      </c>
      <c r="AP42" s="106">
        <v>62</v>
      </c>
      <c r="AQ42" s="106">
        <v>52452</v>
      </c>
      <c r="AR42" s="106">
        <v>24</v>
      </c>
      <c r="AS42" s="106">
        <v>20304</v>
      </c>
      <c r="AT42" s="106">
        <v>19</v>
      </c>
      <c r="AU42" s="106">
        <v>16074</v>
      </c>
      <c r="AV42" s="106">
        <v>14</v>
      </c>
      <c r="AW42" s="106">
        <v>11844</v>
      </c>
      <c r="AX42" s="106">
        <v>18</v>
      </c>
      <c r="AY42" s="106">
        <v>15228</v>
      </c>
      <c r="AZ42" s="106">
        <v>6</v>
      </c>
      <c r="BA42" s="106">
        <v>5076</v>
      </c>
      <c r="BB42" s="106">
        <v>5</v>
      </c>
      <c r="BC42" s="106">
        <v>4230</v>
      </c>
      <c r="BD42" s="106">
        <v>6</v>
      </c>
      <c r="BE42" s="106">
        <v>5076</v>
      </c>
      <c r="BF42" s="106">
        <v>5</v>
      </c>
      <c r="BG42" s="106">
        <v>4230</v>
      </c>
      <c r="BH42" s="106">
        <v>73</v>
      </c>
      <c r="BI42" s="106">
        <v>61758</v>
      </c>
      <c r="BJ42" s="106">
        <v>74</v>
      </c>
      <c r="BK42" s="106">
        <v>62604</v>
      </c>
      <c r="BL42" s="106">
        <v>62</v>
      </c>
      <c r="BM42" s="106">
        <v>52452</v>
      </c>
      <c r="BN42" s="106">
        <v>63</v>
      </c>
      <c r="BO42" s="106">
        <v>53298</v>
      </c>
      <c r="BP42" s="106">
        <v>21</v>
      </c>
      <c r="BQ42" s="106">
        <v>17766</v>
      </c>
      <c r="BR42" s="106">
        <v>24</v>
      </c>
      <c r="BS42" s="106">
        <v>20304</v>
      </c>
      <c r="BT42" s="106">
        <v>26</v>
      </c>
      <c r="BU42" s="106">
        <v>21996</v>
      </c>
      <c r="BV42" s="106">
        <v>28</v>
      </c>
      <c r="BW42" s="106">
        <v>23688</v>
      </c>
      <c r="BX42" s="106">
        <v>6</v>
      </c>
      <c r="BY42" s="106">
        <v>5076</v>
      </c>
      <c r="BZ42" s="106">
        <v>8</v>
      </c>
      <c r="CA42" s="106">
        <v>6768</v>
      </c>
      <c r="CB42" s="106">
        <v>10</v>
      </c>
      <c r="CC42" s="106">
        <v>8460</v>
      </c>
      <c r="CD42" s="106">
        <v>8</v>
      </c>
      <c r="CE42" s="106">
        <v>6768</v>
      </c>
      <c r="CF42" s="106">
        <v>6</v>
      </c>
      <c r="CG42" s="106">
        <v>5076</v>
      </c>
      <c r="CH42" s="106">
        <v>5</v>
      </c>
      <c r="CI42" s="106">
        <v>4230</v>
      </c>
      <c r="CJ42" s="106">
        <v>4</v>
      </c>
      <c r="CK42" s="106">
        <v>3384</v>
      </c>
      <c r="CL42" s="106">
        <v>5</v>
      </c>
      <c r="CM42" s="106">
        <v>4230</v>
      </c>
      <c r="CN42" s="106">
        <v>6</v>
      </c>
      <c r="CO42" s="106">
        <v>5076</v>
      </c>
      <c r="CP42" s="106">
        <v>6</v>
      </c>
      <c r="CQ42" s="106">
        <v>5076</v>
      </c>
      <c r="CR42" s="106">
        <v>7</v>
      </c>
      <c r="CS42" s="106">
        <v>5922</v>
      </c>
      <c r="CT42" s="106">
        <v>5</v>
      </c>
      <c r="CU42" s="106">
        <v>4230</v>
      </c>
    </row>
    <row r="43" spans="2:99" x14ac:dyDescent="0.2">
      <c r="C43" s="105" t="s">
        <v>208</v>
      </c>
      <c r="D43" s="106">
        <v>7</v>
      </c>
      <c r="E43" s="106">
        <v>7156.8</v>
      </c>
      <c r="F43" s="106">
        <v>11</v>
      </c>
      <c r="G43" s="106">
        <v>11246.4</v>
      </c>
      <c r="H43" s="106">
        <v>13</v>
      </c>
      <c r="I43" s="106">
        <v>13291.199999999999</v>
      </c>
      <c r="J43" s="106">
        <v>14</v>
      </c>
      <c r="K43" s="106">
        <v>14313.6</v>
      </c>
      <c r="L43" s="106">
        <v>85</v>
      </c>
      <c r="M43" s="106">
        <v>86904</v>
      </c>
      <c r="N43" s="106">
        <v>54</v>
      </c>
      <c r="O43" s="106">
        <v>55209.599999999999</v>
      </c>
      <c r="P43" s="106">
        <v>83</v>
      </c>
      <c r="Q43" s="106">
        <v>84859.199999999997</v>
      </c>
      <c r="R43" s="106">
        <v>44</v>
      </c>
      <c r="S43" s="106">
        <v>44985.599999999999</v>
      </c>
      <c r="T43" s="106">
        <v>5</v>
      </c>
      <c r="U43" s="106">
        <v>5112</v>
      </c>
      <c r="V43" s="106">
        <v>6</v>
      </c>
      <c r="W43" s="106">
        <v>6134.4</v>
      </c>
      <c r="X43" s="106">
        <v>6</v>
      </c>
      <c r="Y43" s="106">
        <v>6134.4</v>
      </c>
      <c r="Z43" s="106">
        <v>4</v>
      </c>
      <c r="AA43" s="106">
        <v>4089.6</v>
      </c>
      <c r="AB43" s="106">
        <v>57</v>
      </c>
      <c r="AC43" s="106">
        <v>58276.799999999996</v>
      </c>
      <c r="AD43" s="106">
        <v>68</v>
      </c>
      <c r="AE43" s="106">
        <v>69523.199999999997</v>
      </c>
      <c r="AF43" s="106">
        <v>65</v>
      </c>
      <c r="AG43" s="106">
        <v>66456</v>
      </c>
      <c r="AH43" s="106">
        <v>86</v>
      </c>
      <c r="AI43" s="106">
        <v>87926.399999999994</v>
      </c>
      <c r="AJ43" s="106">
        <v>64</v>
      </c>
      <c r="AK43" s="106">
        <v>65433.599999999999</v>
      </c>
      <c r="AL43" s="106">
        <v>69</v>
      </c>
      <c r="AM43" s="106">
        <v>70545.599999999991</v>
      </c>
      <c r="AN43" s="106">
        <v>36</v>
      </c>
      <c r="AO43" s="106">
        <v>36806.400000000001</v>
      </c>
      <c r="AP43" s="106">
        <v>63</v>
      </c>
      <c r="AQ43" s="106">
        <v>64411.199999999997</v>
      </c>
      <c r="AR43" s="106">
        <v>23</v>
      </c>
      <c r="AS43" s="106">
        <v>23515.200000000001</v>
      </c>
      <c r="AT43" s="106">
        <v>21</v>
      </c>
      <c r="AU43" s="106">
        <v>21470.399999999998</v>
      </c>
      <c r="AV43" s="106">
        <v>16</v>
      </c>
      <c r="AW43" s="106">
        <v>16358.4</v>
      </c>
      <c r="AX43" s="106">
        <v>17</v>
      </c>
      <c r="AY43" s="106">
        <v>17380.8</v>
      </c>
      <c r="AZ43" s="106">
        <v>5</v>
      </c>
      <c r="BA43" s="106">
        <v>5112</v>
      </c>
      <c r="BB43" s="106">
        <v>5</v>
      </c>
      <c r="BC43" s="106">
        <v>5112</v>
      </c>
      <c r="BD43" s="106">
        <v>6</v>
      </c>
      <c r="BE43" s="106">
        <v>6134.4</v>
      </c>
      <c r="BF43" s="106">
        <v>6</v>
      </c>
      <c r="BG43" s="106">
        <v>6134.4</v>
      </c>
      <c r="BH43" s="106">
        <v>74</v>
      </c>
      <c r="BI43" s="106">
        <v>75657.599999999991</v>
      </c>
      <c r="BJ43" s="106">
        <v>70</v>
      </c>
      <c r="BK43" s="106">
        <v>71568</v>
      </c>
      <c r="BL43" s="106">
        <v>61</v>
      </c>
      <c r="BM43" s="106">
        <v>62366.400000000001</v>
      </c>
      <c r="BN43" s="106">
        <v>58</v>
      </c>
      <c r="BO43" s="106">
        <v>59299.199999999997</v>
      </c>
      <c r="BP43" s="106">
        <v>22</v>
      </c>
      <c r="BQ43" s="106">
        <v>22492.799999999999</v>
      </c>
      <c r="BR43" s="106">
        <v>26</v>
      </c>
      <c r="BS43" s="106">
        <v>26582.399999999998</v>
      </c>
      <c r="BT43" s="106">
        <v>26</v>
      </c>
      <c r="BU43" s="106">
        <v>26582.399999999998</v>
      </c>
      <c r="BV43" s="106">
        <v>29</v>
      </c>
      <c r="BW43" s="106">
        <v>29649.599999999999</v>
      </c>
      <c r="BX43" s="106">
        <v>7</v>
      </c>
      <c r="BY43" s="106">
        <v>7156.8</v>
      </c>
      <c r="BZ43" s="106">
        <v>7</v>
      </c>
      <c r="CA43" s="106">
        <v>7156.8</v>
      </c>
      <c r="CB43" s="106">
        <v>10</v>
      </c>
      <c r="CC43" s="106">
        <v>10224</v>
      </c>
      <c r="CD43" s="106">
        <v>8</v>
      </c>
      <c r="CE43" s="106">
        <v>8179.2</v>
      </c>
      <c r="CF43" s="106">
        <v>5</v>
      </c>
      <c r="CG43" s="106">
        <v>5112</v>
      </c>
      <c r="CH43" s="106">
        <v>5</v>
      </c>
      <c r="CI43" s="106">
        <v>5112</v>
      </c>
      <c r="CJ43" s="106">
        <v>4</v>
      </c>
      <c r="CK43" s="106">
        <v>4089.6</v>
      </c>
      <c r="CL43" s="106">
        <v>5</v>
      </c>
      <c r="CM43" s="106">
        <v>5112</v>
      </c>
      <c r="CN43" s="106">
        <v>7</v>
      </c>
      <c r="CO43" s="106">
        <v>7156.8</v>
      </c>
      <c r="CP43" s="106">
        <v>6</v>
      </c>
      <c r="CQ43" s="106">
        <v>6134.4</v>
      </c>
      <c r="CR43" s="106">
        <v>6</v>
      </c>
      <c r="CS43" s="106">
        <v>6134.4</v>
      </c>
      <c r="CT43" s="106">
        <v>5</v>
      </c>
      <c r="CU43" s="106">
        <v>5112</v>
      </c>
    </row>
    <row r="44" spans="2:99" x14ac:dyDescent="0.2">
      <c r="C44" s="105" t="s">
        <v>209</v>
      </c>
      <c r="D44" s="106">
        <v>8</v>
      </c>
      <c r="E44" s="106">
        <v>8179.2</v>
      </c>
      <c r="F44" s="106">
        <v>13</v>
      </c>
      <c r="G44" s="106">
        <v>13291.199999999999</v>
      </c>
      <c r="H44" s="106">
        <v>12</v>
      </c>
      <c r="I44" s="106">
        <v>12268.8</v>
      </c>
      <c r="J44" s="106">
        <v>14</v>
      </c>
      <c r="K44" s="106">
        <v>14313.6</v>
      </c>
      <c r="L44" s="106">
        <v>79</v>
      </c>
      <c r="M44" s="106">
        <v>80769.599999999991</v>
      </c>
      <c r="N44" s="106">
        <v>49</v>
      </c>
      <c r="O44" s="106">
        <v>50097.599999999999</v>
      </c>
      <c r="P44" s="106">
        <v>90</v>
      </c>
      <c r="Q44" s="106">
        <v>92016</v>
      </c>
      <c r="R44" s="106">
        <v>47</v>
      </c>
      <c r="S44" s="106">
        <v>48052.799999999996</v>
      </c>
      <c r="T44" s="106">
        <v>4</v>
      </c>
      <c r="U44" s="106">
        <v>4089.6</v>
      </c>
      <c r="V44" s="106">
        <v>5</v>
      </c>
      <c r="W44" s="106">
        <v>5112</v>
      </c>
      <c r="X44" s="106">
        <v>6</v>
      </c>
      <c r="Y44" s="106">
        <v>6134.4</v>
      </c>
      <c r="Z44" s="106">
        <v>4</v>
      </c>
      <c r="AA44" s="106">
        <v>4089.6</v>
      </c>
      <c r="AB44" s="106">
        <v>61</v>
      </c>
      <c r="AC44" s="106">
        <v>62366.400000000001</v>
      </c>
      <c r="AD44" s="106">
        <v>69</v>
      </c>
      <c r="AE44" s="106">
        <v>70545.599999999991</v>
      </c>
      <c r="AF44" s="106">
        <v>61</v>
      </c>
      <c r="AG44" s="106">
        <v>62366.400000000001</v>
      </c>
      <c r="AH44" s="106">
        <v>86</v>
      </c>
      <c r="AI44" s="106">
        <v>87926.399999999994</v>
      </c>
      <c r="AJ44" s="106">
        <v>66</v>
      </c>
      <c r="AK44" s="106">
        <v>67478.399999999994</v>
      </c>
      <c r="AL44" s="106">
        <v>71</v>
      </c>
      <c r="AM44" s="106">
        <v>72590.399999999994</v>
      </c>
      <c r="AN44" s="106">
        <v>36</v>
      </c>
      <c r="AO44" s="106">
        <v>36806.400000000001</v>
      </c>
      <c r="AP44" s="106">
        <v>60</v>
      </c>
      <c r="AQ44" s="106">
        <v>61344</v>
      </c>
      <c r="AR44" s="106">
        <v>22</v>
      </c>
      <c r="AS44" s="106">
        <v>22492.799999999999</v>
      </c>
      <c r="AT44" s="106">
        <v>20</v>
      </c>
      <c r="AU44" s="106">
        <v>20448</v>
      </c>
      <c r="AV44" s="106">
        <v>16</v>
      </c>
      <c r="AW44" s="106">
        <v>16358.4</v>
      </c>
      <c r="AX44" s="106">
        <v>19</v>
      </c>
      <c r="AY44" s="106">
        <v>19425.599999999999</v>
      </c>
      <c r="AZ44" s="106">
        <v>5</v>
      </c>
      <c r="BA44" s="106">
        <v>5112</v>
      </c>
      <c r="BB44" s="106">
        <v>5</v>
      </c>
      <c r="BC44" s="106">
        <v>5112</v>
      </c>
      <c r="BD44" s="106">
        <v>6</v>
      </c>
      <c r="BE44" s="106">
        <v>6134.4</v>
      </c>
      <c r="BF44" s="106">
        <v>6</v>
      </c>
      <c r="BG44" s="106">
        <v>6134.4</v>
      </c>
      <c r="BH44" s="106">
        <v>75</v>
      </c>
      <c r="BI44" s="106">
        <v>76680</v>
      </c>
      <c r="BJ44" s="106">
        <v>73</v>
      </c>
      <c r="BK44" s="106">
        <v>74635.199999999997</v>
      </c>
      <c r="BL44" s="106">
        <v>57</v>
      </c>
      <c r="BM44" s="106">
        <v>58276.799999999996</v>
      </c>
      <c r="BN44" s="106">
        <v>67</v>
      </c>
      <c r="BO44" s="106">
        <v>68500.800000000003</v>
      </c>
      <c r="BP44" s="106">
        <v>22</v>
      </c>
      <c r="BQ44" s="106">
        <v>22492.799999999999</v>
      </c>
      <c r="BR44" s="106">
        <v>23</v>
      </c>
      <c r="BS44" s="106">
        <v>23515.200000000001</v>
      </c>
      <c r="BT44" s="106">
        <v>26</v>
      </c>
      <c r="BU44" s="106">
        <v>26582.399999999998</v>
      </c>
      <c r="BV44" s="106">
        <v>31</v>
      </c>
      <c r="BW44" s="106">
        <v>31694.399999999998</v>
      </c>
      <c r="BX44" s="106">
        <v>8</v>
      </c>
      <c r="BY44" s="106">
        <v>8179.2</v>
      </c>
      <c r="BZ44" s="106">
        <v>7</v>
      </c>
      <c r="CA44" s="106">
        <v>7156.8</v>
      </c>
      <c r="CB44" s="106">
        <v>10</v>
      </c>
      <c r="CC44" s="106">
        <v>10224</v>
      </c>
      <c r="CD44" s="106">
        <v>8</v>
      </c>
      <c r="CE44" s="106">
        <v>8179.2</v>
      </c>
      <c r="CF44" s="106">
        <v>6</v>
      </c>
      <c r="CG44" s="106">
        <v>6134.4</v>
      </c>
      <c r="CH44" s="106">
        <v>5</v>
      </c>
      <c r="CI44" s="106">
        <v>5112</v>
      </c>
      <c r="CJ44" s="106">
        <v>4</v>
      </c>
      <c r="CK44" s="106">
        <v>4089.6</v>
      </c>
      <c r="CL44" s="106">
        <v>5</v>
      </c>
      <c r="CM44" s="106">
        <v>5112</v>
      </c>
      <c r="CN44" s="106">
        <v>7</v>
      </c>
      <c r="CO44" s="106">
        <v>7156.8</v>
      </c>
      <c r="CP44" s="106">
        <v>6</v>
      </c>
      <c r="CQ44" s="106">
        <v>6134.4</v>
      </c>
      <c r="CR44" s="106">
        <v>7</v>
      </c>
      <c r="CS44" s="106">
        <v>7156.8</v>
      </c>
      <c r="CT44" s="106">
        <v>5</v>
      </c>
      <c r="CU44" s="106">
        <v>5112</v>
      </c>
    </row>
    <row r="45" spans="2:99" x14ac:dyDescent="0.2">
      <c r="C45" s="105" t="s">
        <v>210</v>
      </c>
      <c r="D45" s="106">
        <v>8</v>
      </c>
      <c r="E45" s="106">
        <v>9993.6</v>
      </c>
      <c r="F45" s="106">
        <v>13</v>
      </c>
      <c r="G45" s="106">
        <v>16239.6</v>
      </c>
      <c r="H45" s="106">
        <v>13</v>
      </c>
      <c r="I45" s="106">
        <v>16239.6</v>
      </c>
      <c r="J45" s="106">
        <v>13</v>
      </c>
      <c r="K45" s="106">
        <v>16239.6</v>
      </c>
      <c r="L45" s="106">
        <v>81</v>
      </c>
      <c r="M45" s="106">
        <v>101185.2</v>
      </c>
      <c r="N45" s="106">
        <v>50</v>
      </c>
      <c r="O45" s="106">
        <v>62460</v>
      </c>
      <c r="P45" s="106">
        <v>90</v>
      </c>
      <c r="Q45" s="106">
        <v>112428</v>
      </c>
      <c r="R45" s="106">
        <v>43</v>
      </c>
      <c r="S45" s="106">
        <v>53715.6</v>
      </c>
      <c r="T45" s="106">
        <v>5</v>
      </c>
      <c r="U45" s="106">
        <v>6246</v>
      </c>
      <c r="V45" s="106">
        <v>6</v>
      </c>
      <c r="W45" s="106">
        <v>7495.2000000000007</v>
      </c>
      <c r="X45" s="106">
        <v>6</v>
      </c>
      <c r="Y45" s="106">
        <v>7495.2000000000007</v>
      </c>
      <c r="Z45" s="106">
        <v>5</v>
      </c>
      <c r="AA45" s="106">
        <v>6246</v>
      </c>
      <c r="AB45" s="106">
        <v>55</v>
      </c>
      <c r="AC45" s="106">
        <v>68706</v>
      </c>
      <c r="AD45" s="106">
        <v>76</v>
      </c>
      <c r="AE45" s="106">
        <v>94939.199999999997</v>
      </c>
      <c r="AF45" s="106">
        <v>63</v>
      </c>
      <c r="AG45" s="106">
        <v>78699.600000000006</v>
      </c>
      <c r="AH45" s="106">
        <v>83</v>
      </c>
      <c r="AI45" s="106">
        <v>103683.6</v>
      </c>
      <c r="AJ45" s="106">
        <v>59</v>
      </c>
      <c r="AK45" s="106">
        <v>73702.8</v>
      </c>
      <c r="AL45" s="106">
        <v>62</v>
      </c>
      <c r="AM45" s="106">
        <v>77450.400000000009</v>
      </c>
      <c r="AN45" s="106">
        <v>33</v>
      </c>
      <c r="AO45" s="106">
        <v>41223.599999999999</v>
      </c>
      <c r="AP45" s="106">
        <v>55</v>
      </c>
      <c r="AQ45" s="106">
        <v>68706</v>
      </c>
      <c r="AR45" s="106">
        <v>22</v>
      </c>
      <c r="AS45" s="106">
        <v>27482.400000000001</v>
      </c>
      <c r="AT45" s="106">
        <v>18</v>
      </c>
      <c r="AU45" s="106">
        <v>22485.600000000002</v>
      </c>
      <c r="AV45" s="106">
        <v>14</v>
      </c>
      <c r="AW45" s="106">
        <v>17488.8</v>
      </c>
      <c r="AX45" s="106">
        <v>20</v>
      </c>
      <c r="AY45" s="106">
        <v>24984</v>
      </c>
      <c r="AZ45" s="106">
        <v>6</v>
      </c>
      <c r="BA45" s="106">
        <v>7495.2000000000007</v>
      </c>
      <c r="BB45" s="106">
        <v>5</v>
      </c>
      <c r="BC45" s="106">
        <v>6246</v>
      </c>
      <c r="BD45" s="106">
        <v>6</v>
      </c>
      <c r="BE45" s="106">
        <v>7495.2000000000007</v>
      </c>
      <c r="BF45" s="106">
        <v>6</v>
      </c>
      <c r="BG45" s="106">
        <v>7495.2000000000007</v>
      </c>
      <c r="BH45" s="106">
        <v>67</v>
      </c>
      <c r="BI45" s="106">
        <v>83696.400000000009</v>
      </c>
      <c r="BJ45" s="106">
        <v>63</v>
      </c>
      <c r="BK45" s="106">
        <v>78699.600000000006</v>
      </c>
      <c r="BL45" s="106">
        <v>51</v>
      </c>
      <c r="BM45" s="106">
        <v>63709.200000000004</v>
      </c>
      <c r="BN45" s="106">
        <v>57</v>
      </c>
      <c r="BO45" s="106">
        <v>71204.400000000009</v>
      </c>
      <c r="BP45" s="106">
        <v>22</v>
      </c>
      <c r="BQ45" s="106">
        <v>27482.400000000001</v>
      </c>
      <c r="BR45" s="106">
        <v>22</v>
      </c>
      <c r="BS45" s="106">
        <v>27482.400000000001</v>
      </c>
      <c r="BT45" s="106">
        <v>26</v>
      </c>
      <c r="BU45" s="106">
        <v>32479.200000000001</v>
      </c>
      <c r="BV45" s="106">
        <v>25</v>
      </c>
      <c r="BW45" s="106">
        <v>31230</v>
      </c>
      <c r="BX45" s="106">
        <v>6</v>
      </c>
      <c r="BY45" s="106">
        <v>7495.2000000000007</v>
      </c>
      <c r="BZ45" s="106">
        <v>7</v>
      </c>
      <c r="CA45" s="106">
        <v>8744.4</v>
      </c>
      <c r="CB45" s="106">
        <v>9</v>
      </c>
      <c r="CC45" s="106">
        <v>11242.800000000001</v>
      </c>
      <c r="CD45" s="106">
        <v>9</v>
      </c>
      <c r="CE45" s="106">
        <v>11242.800000000001</v>
      </c>
      <c r="CF45" s="106">
        <v>6</v>
      </c>
      <c r="CG45" s="106">
        <v>7495.2000000000007</v>
      </c>
      <c r="CH45" s="106">
        <v>5</v>
      </c>
      <c r="CI45" s="106">
        <v>6246</v>
      </c>
      <c r="CJ45" s="106">
        <v>4</v>
      </c>
      <c r="CK45" s="106">
        <v>4996.8</v>
      </c>
      <c r="CL45" s="106">
        <v>5</v>
      </c>
      <c r="CM45" s="106">
        <v>6246</v>
      </c>
      <c r="CN45" s="106">
        <v>7</v>
      </c>
      <c r="CO45" s="106">
        <v>8744.4</v>
      </c>
      <c r="CP45" s="106">
        <v>6</v>
      </c>
      <c r="CQ45" s="106">
        <v>7495.2000000000007</v>
      </c>
      <c r="CR45" s="106">
        <v>6</v>
      </c>
      <c r="CS45" s="106">
        <v>7495.2000000000007</v>
      </c>
      <c r="CT45" s="106">
        <v>5</v>
      </c>
      <c r="CU45" s="106">
        <v>6246</v>
      </c>
    </row>
    <row r="46" spans="2:99" x14ac:dyDescent="0.2">
      <c r="C46" s="105" t="s">
        <v>211</v>
      </c>
      <c r="D46" s="106">
        <v>7</v>
      </c>
      <c r="E46" s="106">
        <v>8484</v>
      </c>
      <c r="F46" s="106">
        <v>13</v>
      </c>
      <c r="G46" s="106">
        <v>15756</v>
      </c>
      <c r="H46" s="106">
        <v>13</v>
      </c>
      <c r="I46" s="106">
        <v>15756</v>
      </c>
      <c r="J46" s="106">
        <v>12</v>
      </c>
      <c r="K46" s="106">
        <v>14544</v>
      </c>
      <c r="L46" s="106">
        <v>74</v>
      </c>
      <c r="M46" s="106">
        <v>89688</v>
      </c>
      <c r="N46" s="106">
        <v>54</v>
      </c>
      <c r="O46" s="106">
        <v>65448</v>
      </c>
      <c r="P46" s="106">
        <v>86</v>
      </c>
      <c r="Q46" s="106">
        <v>104232</v>
      </c>
      <c r="R46" s="106">
        <v>42</v>
      </c>
      <c r="S46" s="106">
        <v>50904</v>
      </c>
      <c r="T46" s="106">
        <v>5</v>
      </c>
      <c r="U46" s="106">
        <v>6060</v>
      </c>
      <c r="V46" s="106">
        <v>5</v>
      </c>
      <c r="W46" s="106">
        <v>6060</v>
      </c>
      <c r="X46" s="106">
        <v>6</v>
      </c>
      <c r="Y46" s="106">
        <v>7272</v>
      </c>
      <c r="Z46" s="106">
        <v>4</v>
      </c>
      <c r="AA46" s="106">
        <v>4848</v>
      </c>
      <c r="AB46" s="106">
        <v>56</v>
      </c>
      <c r="AC46" s="106">
        <v>67872</v>
      </c>
      <c r="AD46" s="106">
        <v>69</v>
      </c>
      <c r="AE46" s="106">
        <v>83628</v>
      </c>
      <c r="AF46" s="106">
        <v>53</v>
      </c>
      <c r="AG46" s="106">
        <v>64236</v>
      </c>
      <c r="AH46" s="106">
        <v>75</v>
      </c>
      <c r="AI46" s="106">
        <v>90900</v>
      </c>
      <c r="AJ46" s="106">
        <v>61</v>
      </c>
      <c r="AK46" s="106">
        <v>73932</v>
      </c>
      <c r="AL46" s="106">
        <v>67</v>
      </c>
      <c r="AM46" s="106">
        <v>81204</v>
      </c>
      <c r="AN46" s="106">
        <v>34</v>
      </c>
      <c r="AO46" s="106">
        <v>41208</v>
      </c>
      <c r="AP46" s="106">
        <v>53</v>
      </c>
      <c r="AQ46" s="106">
        <v>64236</v>
      </c>
      <c r="AR46" s="106">
        <v>24</v>
      </c>
      <c r="AS46" s="106">
        <v>29088</v>
      </c>
      <c r="AT46" s="106">
        <v>20</v>
      </c>
      <c r="AU46" s="106">
        <v>24240</v>
      </c>
      <c r="AV46" s="106">
        <v>16</v>
      </c>
      <c r="AW46" s="106">
        <v>19392</v>
      </c>
      <c r="AX46" s="106">
        <v>17</v>
      </c>
      <c r="AY46" s="106">
        <v>20604</v>
      </c>
      <c r="AZ46" s="106">
        <v>6</v>
      </c>
      <c r="BA46" s="106">
        <v>7272</v>
      </c>
      <c r="BB46" s="106">
        <v>5</v>
      </c>
      <c r="BC46" s="106">
        <v>6060</v>
      </c>
      <c r="BD46" s="106">
        <v>6</v>
      </c>
      <c r="BE46" s="106">
        <v>7272</v>
      </c>
      <c r="BF46" s="106">
        <v>5</v>
      </c>
      <c r="BG46" s="106">
        <v>6060</v>
      </c>
      <c r="BH46" s="106">
        <v>67</v>
      </c>
      <c r="BI46" s="106">
        <v>81204</v>
      </c>
      <c r="BJ46" s="106">
        <v>69</v>
      </c>
      <c r="BK46" s="106">
        <v>83628</v>
      </c>
      <c r="BL46" s="106">
        <v>54</v>
      </c>
      <c r="BM46" s="106">
        <v>65448</v>
      </c>
      <c r="BN46" s="106">
        <v>56</v>
      </c>
      <c r="BO46" s="106">
        <v>67872</v>
      </c>
      <c r="BP46" s="106">
        <v>19</v>
      </c>
      <c r="BQ46" s="106">
        <v>23028</v>
      </c>
      <c r="BR46" s="106">
        <v>23</v>
      </c>
      <c r="BS46" s="106">
        <v>27876</v>
      </c>
      <c r="BT46" s="106">
        <v>26</v>
      </c>
      <c r="BU46" s="106">
        <v>31512</v>
      </c>
      <c r="BV46" s="106">
        <v>29</v>
      </c>
      <c r="BW46" s="106">
        <v>35148</v>
      </c>
      <c r="BX46" s="106">
        <v>7</v>
      </c>
      <c r="BY46" s="106">
        <v>8484</v>
      </c>
      <c r="BZ46" s="106">
        <v>6</v>
      </c>
      <c r="CA46" s="106">
        <v>7272</v>
      </c>
      <c r="CB46" s="106">
        <v>10</v>
      </c>
      <c r="CC46" s="106">
        <v>12120</v>
      </c>
      <c r="CD46" s="106">
        <v>7</v>
      </c>
      <c r="CE46" s="106">
        <v>8484</v>
      </c>
      <c r="CF46" s="106">
        <v>6</v>
      </c>
      <c r="CG46" s="106">
        <v>7272</v>
      </c>
      <c r="CH46" s="106">
        <v>5</v>
      </c>
      <c r="CI46" s="106">
        <v>6060</v>
      </c>
      <c r="CJ46" s="106">
        <v>4</v>
      </c>
      <c r="CK46" s="106">
        <v>4848</v>
      </c>
      <c r="CL46" s="106">
        <v>5</v>
      </c>
      <c r="CM46" s="106">
        <v>6060</v>
      </c>
      <c r="CN46" s="106">
        <v>7</v>
      </c>
      <c r="CO46" s="106">
        <v>8484</v>
      </c>
      <c r="CP46" s="106">
        <v>6</v>
      </c>
      <c r="CQ46" s="106">
        <v>7272</v>
      </c>
      <c r="CR46" s="106">
        <v>7</v>
      </c>
      <c r="CS46" s="106">
        <v>8484</v>
      </c>
      <c r="CT46" s="106">
        <v>5</v>
      </c>
      <c r="CU46" s="106">
        <v>6060</v>
      </c>
    </row>
    <row r="47" spans="2:99" x14ac:dyDescent="0.2">
      <c r="C47" s="105" t="s">
        <v>212</v>
      </c>
      <c r="D47" s="106">
        <v>8</v>
      </c>
      <c r="E47" s="106">
        <v>12220.8</v>
      </c>
      <c r="F47" s="106">
        <v>12</v>
      </c>
      <c r="G47" s="106">
        <v>18331.199999999997</v>
      </c>
      <c r="H47" s="106">
        <v>12</v>
      </c>
      <c r="I47" s="106">
        <v>18331.199999999997</v>
      </c>
      <c r="J47" s="106">
        <v>13</v>
      </c>
      <c r="K47" s="106">
        <v>19858.8</v>
      </c>
      <c r="L47" s="106">
        <v>75</v>
      </c>
      <c r="M47" s="106">
        <v>114570</v>
      </c>
      <c r="N47" s="106">
        <v>46</v>
      </c>
      <c r="O47" s="106">
        <v>70269.599999999991</v>
      </c>
      <c r="P47" s="106">
        <v>87</v>
      </c>
      <c r="Q47" s="106">
        <v>132901.19999999998</v>
      </c>
      <c r="R47" s="106">
        <v>41</v>
      </c>
      <c r="S47" s="106">
        <v>62631.6</v>
      </c>
      <c r="T47" s="106">
        <v>5</v>
      </c>
      <c r="U47" s="106">
        <v>7638</v>
      </c>
      <c r="V47" s="106">
        <v>5</v>
      </c>
      <c r="W47" s="106">
        <v>7638</v>
      </c>
      <c r="X47" s="106">
        <v>5</v>
      </c>
      <c r="Y47" s="106">
        <v>7638</v>
      </c>
      <c r="Z47" s="106">
        <v>4</v>
      </c>
      <c r="AA47" s="106">
        <v>6110.4</v>
      </c>
      <c r="AB47" s="106">
        <v>47</v>
      </c>
      <c r="AC47" s="106">
        <v>71797.2</v>
      </c>
      <c r="AD47" s="106">
        <v>63</v>
      </c>
      <c r="AE47" s="106">
        <v>96238.799999999988</v>
      </c>
      <c r="AF47" s="106">
        <v>52</v>
      </c>
      <c r="AG47" s="106">
        <v>79435.199999999997</v>
      </c>
      <c r="AH47" s="106">
        <v>76</v>
      </c>
      <c r="AI47" s="106">
        <v>116097.59999999999</v>
      </c>
      <c r="AJ47" s="106">
        <v>66</v>
      </c>
      <c r="AK47" s="106">
        <v>100821.59999999999</v>
      </c>
      <c r="AL47" s="106">
        <v>58</v>
      </c>
      <c r="AM47" s="106">
        <v>88600.799999999988</v>
      </c>
      <c r="AN47" s="106">
        <v>35</v>
      </c>
      <c r="AO47" s="106">
        <v>53466</v>
      </c>
      <c r="AP47" s="106">
        <v>55</v>
      </c>
      <c r="AQ47" s="106">
        <v>84018</v>
      </c>
      <c r="AR47" s="106">
        <v>20</v>
      </c>
      <c r="AS47" s="106">
        <v>30552</v>
      </c>
      <c r="AT47" s="106">
        <v>19</v>
      </c>
      <c r="AU47" s="106">
        <v>29024.399999999998</v>
      </c>
      <c r="AV47" s="106">
        <v>13</v>
      </c>
      <c r="AW47" s="106">
        <v>19858.8</v>
      </c>
      <c r="AX47" s="106">
        <v>17</v>
      </c>
      <c r="AY47" s="106">
        <v>25969.199999999997</v>
      </c>
      <c r="AZ47" s="106">
        <v>6</v>
      </c>
      <c r="BA47" s="106">
        <v>9165.5999999999985</v>
      </c>
      <c r="BB47" s="106">
        <v>5</v>
      </c>
      <c r="BC47" s="106">
        <v>7638</v>
      </c>
      <c r="BD47" s="106">
        <v>5</v>
      </c>
      <c r="BE47" s="106">
        <v>7638</v>
      </c>
      <c r="BF47" s="106">
        <v>6</v>
      </c>
      <c r="BG47" s="106">
        <v>9165.5999999999985</v>
      </c>
      <c r="BH47" s="106">
        <v>65</v>
      </c>
      <c r="BI47" s="106">
        <v>99294</v>
      </c>
      <c r="BJ47" s="106">
        <v>62</v>
      </c>
      <c r="BK47" s="106">
        <v>94711.2</v>
      </c>
      <c r="BL47" s="106">
        <v>47</v>
      </c>
      <c r="BM47" s="106">
        <v>71797.2</v>
      </c>
      <c r="BN47" s="106">
        <v>52</v>
      </c>
      <c r="BO47" s="106">
        <v>79435.199999999997</v>
      </c>
      <c r="BP47" s="106">
        <v>20</v>
      </c>
      <c r="BQ47" s="106">
        <v>30552</v>
      </c>
      <c r="BR47" s="106">
        <v>24</v>
      </c>
      <c r="BS47" s="106">
        <v>36662.399999999994</v>
      </c>
      <c r="BT47" s="106">
        <v>23</v>
      </c>
      <c r="BU47" s="106">
        <v>35134.799999999996</v>
      </c>
      <c r="BV47" s="106">
        <v>24</v>
      </c>
      <c r="BW47" s="106">
        <v>36662.399999999994</v>
      </c>
      <c r="BX47" s="106">
        <v>6</v>
      </c>
      <c r="BY47" s="106">
        <v>9165.5999999999985</v>
      </c>
      <c r="BZ47" s="106">
        <v>6</v>
      </c>
      <c r="CA47" s="106">
        <v>9165.5999999999985</v>
      </c>
      <c r="CB47" s="106">
        <v>8</v>
      </c>
      <c r="CC47" s="106">
        <v>12220.8</v>
      </c>
      <c r="CD47" s="106">
        <v>8</v>
      </c>
      <c r="CE47" s="106">
        <v>12220.8</v>
      </c>
      <c r="CF47" s="106">
        <v>6</v>
      </c>
      <c r="CG47" s="106">
        <v>9165.5999999999985</v>
      </c>
      <c r="CH47" s="106">
        <v>5</v>
      </c>
      <c r="CI47" s="106">
        <v>7638</v>
      </c>
      <c r="CJ47" s="106">
        <v>4</v>
      </c>
      <c r="CK47" s="106">
        <v>6110.4</v>
      </c>
      <c r="CL47" s="106">
        <v>5</v>
      </c>
      <c r="CM47" s="106">
        <v>7638</v>
      </c>
      <c r="CN47" s="106">
        <v>7</v>
      </c>
      <c r="CO47" s="106">
        <v>10693.199999999999</v>
      </c>
      <c r="CP47" s="106">
        <v>6</v>
      </c>
      <c r="CQ47" s="106">
        <v>9165.5999999999985</v>
      </c>
      <c r="CR47" s="106">
        <v>6</v>
      </c>
      <c r="CS47" s="106">
        <v>9165.5999999999985</v>
      </c>
      <c r="CT47" s="106">
        <v>5</v>
      </c>
      <c r="CU47" s="106">
        <v>7638</v>
      </c>
    </row>
    <row r="48" spans="2:99" x14ac:dyDescent="0.2">
      <c r="C48" s="105" t="s">
        <v>213</v>
      </c>
      <c r="D48" s="106">
        <v>8</v>
      </c>
      <c r="E48" s="106">
        <v>6940.8</v>
      </c>
      <c r="F48" s="106">
        <v>12</v>
      </c>
      <c r="G48" s="106">
        <v>10411.200000000001</v>
      </c>
      <c r="H48" s="106">
        <v>13</v>
      </c>
      <c r="I48" s="106">
        <v>11278.800000000001</v>
      </c>
      <c r="J48" s="106">
        <v>12</v>
      </c>
      <c r="K48" s="106">
        <v>10411.200000000001</v>
      </c>
      <c r="L48" s="106">
        <v>85</v>
      </c>
      <c r="M48" s="106">
        <v>73746</v>
      </c>
      <c r="N48" s="106">
        <v>60</v>
      </c>
      <c r="O48" s="106">
        <v>52056</v>
      </c>
      <c r="P48" s="106">
        <v>96</v>
      </c>
      <c r="Q48" s="106">
        <v>83289.600000000006</v>
      </c>
      <c r="R48" s="106">
        <v>53</v>
      </c>
      <c r="S48" s="106">
        <v>45982.8</v>
      </c>
      <c r="T48" s="106">
        <v>4</v>
      </c>
      <c r="U48" s="106">
        <v>3470.4</v>
      </c>
      <c r="V48" s="106">
        <v>5</v>
      </c>
      <c r="W48" s="106">
        <v>4338</v>
      </c>
      <c r="X48" s="106">
        <v>5</v>
      </c>
      <c r="Y48" s="106">
        <v>4338</v>
      </c>
      <c r="Z48" s="106">
        <v>5</v>
      </c>
      <c r="AA48" s="106">
        <v>4338</v>
      </c>
      <c r="AB48" s="106">
        <v>60</v>
      </c>
      <c r="AC48" s="106">
        <v>52056</v>
      </c>
      <c r="AD48" s="106">
        <v>77</v>
      </c>
      <c r="AE48" s="106">
        <v>66805.2</v>
      </c>
      <c r="AF48" s="106">
        <v>68</v>
      </c>
      <c r="AG48" s="106">
        <v>58996.800000000003</v>
      </c>
      <c r="AH48" s="106">
        <v>81</v>
      </c>
      <c r="AI48" s="106">
        <v>70275.600000000006</v>
      </c>
      <c r="AJ48" s="106">
        <v>67</v>
      </c>
      <c r="AK48" s="106">
        <v>58129.200000000004</v>
      </c>
      <c r="AL48" s="106">
        <v>69</v>
      </c>
      <c r="AM48" s="106">
        <v>59864.4</v>
      </c>
      <c r="AN48" s="106">
        <v>41</v>
      </c>
      <c r="AO48" s="106">
        <v>35571.599999999999</v>
      </c>
      <c r="AP48" s="106">
        <v>65</v>
      </c>
      <c r="AQ48" s="106">
        <v>56394</v>
      </c>
      <c r="AR48" s="106">
        <v>25</v>
      </c>
      <c r="AS48" s="106">
        <v>21690</v>
      </c>
      <c r="AT48" s="106">
        <v>19</v>
      </c>
      <c r="AU48" s="106">
        <v>16484.400000000001</v>
      </c>
      <c r="AV48" s="106">
        <v>16</v>
      </c>
      <c r="AW48" s="106">
        <v>13881.6</v>
      </c>
      <c r="AX48" s="106">
        <v>19</v>
      </c>
      <c r="AY48" s="106">
        <v>16484.400000000001</v>
      </c>
      <c r="AZ48" s="106">
        <v>5</v>
      </c>
      <c r="BA48" s="106">
        <v>4338</v>
      </c>
      <c r="BB48" s="106">
        <v>5</v>
      </c>
      <c r="BC48" s="106">
        <v>4338</v>
      </c>
      <c r="BD48" s="106">
        <v>6</v>
      </c>
      <c r="BE48" s="106">
        <v>5205.6000000000004</v>
      </c>
      <c r="BF48" s="106">
        <v>6</v>
      </c>
      <c r="BG48" s="106">
        <v>5205.6000000000004</v>
      </c>
      <c r="BH48" s="106">
        <v>73</v>
      </c>
      <c r="BI48" s="106">
        <v>63334.8</v>
      </c>
      <c r="BJ48" s="106">
        <v>75</v>
      </c>
      <c r="BK48" s="106">
        <v>65070</v>
      </c>
      <c r="BL48" s="106">
        <v>60</v>
      </c>
      <c r="BM48" s="106">
        <v>52056</v>
      </c>
      <c r="BN48" s="106">
        <v>59</v>
      </c>
      <c r="BO48" s="106">
        <v>51188.4</v>
      </c>
      <c r="BP48" s="106">
        <v>20</v>
      </c>
      <c r="BQ48" s="106">
        <v>17352</v>
      </c>
      <c r="BR48" s="106">
        <v>27</v>
      </c>
      <c r="BS48" s="106">
        <v>23425.200000000001</v>
      </c>
      <c r="BT48" s="106">
        <v>26</v>
      </c>
      <c r="BU48" s="106">
        <v>22557.600000000002</v>
      </c>
      <c r="BV48" s="106">
        <v>29</v>
      </c>
      <c r="BW48" s="106">
        <v>25160.400000000001</v>
      </c>
      <c r="BX48" s="106">
        <v>8</v>
      </c>
      <c r="BY48" s="106">
        <v>6940.8</v>
      </c>
      <c r="BZ48" s="106">
        <v>8</v>
      </c>
      <c r="CA48" s="106">
        <v>6940.8</v>
      </c>
      <c r="CB48" s="106">
        <v>10</v>
      </c>
      <c r="CC48" s="106">
        <v>8676</v>
      </c>
      <c r="CD48" s="106">
        <v>8</v>
      </c>
      <c r="CE48" s="106">
        <v>6940.8</v>
      </c>
      <c r="CF48" s="106">
        <v>6</v>
      </c>
      <c r="CG48" s="106">
        <v>5205.6000000000004</v>
      </c>
      <c r="CH48" s="106">
        <v>5</v>
      </c>
      <c r="CI48" s="106">
        <v>4338</v>
      </c>
      <c r="CJ48" s="106">
        <v>4</v>
      </c>
      <c r="CK48" s="106">
        <v>3470.4</v>
      </c>
      <c r="CL48" s="106">
        <v>5</v>
      </c>
      <c r="CM48" s="106">
        <v>4338</v>
      </c>
      <c r="CN48" s="106">
        <v>7</v>
      </c>
      <c r="CO48" s="106">
        <v>6073.2</v>
      </c>
      <c r="CP48" s="106">
        <v>6</v>
      </c>
      <c r="CQ48" s="106">
        <v>5205.6000000000004</v>
      </c>
      <c r="CR48" s="106">
        <v>6</v>
      </c>
      <c r="CS48" s="106">
        <v>5205.6000000000004</v>
      </c>
      <c r="CT48" s="106">
        <v>5</v>
      </c>
      <c r="CU48" s="106">
        <v>4338</v>
      </c>
    </row>
    <row r="49" spans="2:99" x14ac:dyDescent="0.2">
      <c r="B49" s="105" t="s">
        <v>129</v>
      </c>
      <c r="C49" s="105" t="s">
        <v>214</v>
      </c>
      <c r="D49" s="106">
        <v>6</v>
      </c>
      <c r="E49" s="106">
        <v>5911.2</v>
      </c>
      <c r="F49" s="106">
        <v>7</v>
      </c>
      <c r="G49" s="106">
        <v>6896.4</v>
      </c>
      <c r="H49" s="106">
        <v>6</v>
      </c>
      <c r="I49" s="106">
        <v>5911.2</v>
      </c>
      <c r="J49" s="106">
        <v>5</v>
      </c>
      <c r="K49" s="106">
        <v>4926</v>
      </c>
      <c r="L49" s="106">
        <v>27.539029022436392</v>
      </c>
      <c r="M49" s="106">
        <v>27131.451392904331</v>
      </c>
      <c r="N49" s="106">
        <v>21.531982139139355</v>
      </c>
      <c r="O49" s="106">
        <v>21213.308803480093</v>
      </c>
      <c r="P49" s="106">
        <v>22.367494018164145</v>
      </c>
      <c r="Q49" s="106">
        <v>22036.455106695314</v>
      </c>
      <c r="R49" s="106">
        <v>24.317508260468685</v>
      </c>
      <c r="S49" s="106">
        <v>23957.609138213746</v>
      </c>
      <c r="T49" s="106">
        <v>2.1694642883731863</v>
      </c>
      <c r="U49" s="106">
        <v>2137.356216905263</v>
      </c>
      <c r="V49" s="106">
        <v>3.1848914523601772</v>
      </c>
      <c r="W49" s="106">
        <v>3137.7550588652466</v>
      </c>
      <c r="X49" s="106">
        <v>4.2169817362885347</v>
      </c>
      <c r="Y49" s="106">
        <v>4154.5704065914642</v>
      </c>
      <c r="Z49" s="106">
        <v>4.2350066627078657</v>
      </c>
      <c r="AA49" s="106">
        <v>4172.3285640997892</v>
      </c>
      <c r="AB49" s="106">
        <v>9.3478546964543536</v>
      </c>
      <c r="AC49" s="106">
        <v>9209.5064469468289</v>
      </c>
      <c r="AD49" s="106">
        <v>8.3917975228691937</v>
      </c>
      <c r="AE49" s="106">
        <v>8267.5989195307284</v>
      </c>
      <c r="AF49" s="106">
        <v>7.4488233612706161</v>
      </c>
      <c r="AG49" s="106">
        <v>7338.5807755238102</v>
      </c>
      <c r="AH49" s="106">
        <v>6.299644995831307</v>
      </c>
      <c r="AI49" s="106">
        <v>6206.4102498930033</v>
      </c>
      <c r="AJ49" s="106">
        <v>7.0420030633011228</v>
      </c>
      <c r="AK49" s="106">
        <v>6937.7814179642655</v>
      </c>
      <c r="AL49" s="106">
        <v>7.9771016302140429</v>
      </c>
      <c r="AM49" s="106">
        <v>7859.0405260868747</v>
      </c>
      <c r="AN49" s="106">
        <v>8.8429499573443557</v>
      </c>
      <c r="AO49" s="106">
        <v>8712.0742979756578</v>
      </c>
      <c r="AP49" s="106">
        <v>4.6696346277446308</v>
      </c>
      <c r="AQ49" s="106">
        <v>4600.5240352540095</v>
      </c>
      <c r="AR49" s="106">
        <v>3.2979605581928388</v>
      </c>
      <c r="AS49" s="106">
        <v>3249.1507419315844</v>
      </c>
      <c r="AT49" s="106">
        <v>5</v>
      </c>
      <c r="AU49" s="106">
        <v>4926</v>
      </c>
      <c r="AV49" s="106">
        <v>3</v>
      </c>
      <c r="AW49" s="106">
        <v>2955.6</v>
      </c>
      <c r="AX49" s="106">
        <v>4</v>
      </c>
      <c r="AY49" s="106">
        <v>3940.7999999999997</v>
      </c>
      <c r="AZ49" s="106">
        <v>8</v>
      </c>
      <c r="BA49" s="106">
        <v>7881.5999999999995</v>
      </c>
      <c r="BB49" s="106">
        <v>8</v>
      </c>
      <c r="BC49" s="106">
        <v>7881.5999999999995</v>
      </c>
      <c r="BD49" s="106">
        <v>8</v>
      </c>
      <c r="BE49" s="106">
        <v>7881.5999999999995</v>
      </c>
      <c r="BF49" s="106">
        <v>8</v>
      </c>
      <c r="BG49" s="106">
        <v>7881.5999999999995</v>
      </c>
      <c r="BH49" s="106">
        <v>4</v>
      </c>
      <c r="BI49" s="106">
        <v>3940.7999999999997</v>
      </c>
      <c r="BJ49" s="106">
        <v>4</v>
      </c>
      <c r="BK49" s="106">
        <v>3940.7999999999997</v>
      </c>
      <c r="BL49" s="106">
        <v>4.5106787110704234</v>
      </c>
      <c r="BM49" s="106">
        <v>4443.9206661465805</v>
      </c>
      <c r="BN49" s="106">
        <v>3.7997233095685967</v>
      </c>
      <c r="BO49" s="106">
        <v>3743.487404586981</v>
      </c>
      <c r="BP49" s="106">
        <v>4.7235602961551706</v>
      </c>
      <c r="BQ49" s="106">
        <v>4653.6516037720739</v>
      </c>
      <c r="BR49" s="106">
        <v>4.6173428368119875</v>
      </c>
      <c r="BS49" s="106">
        <v>4549.0061628271696</v>
      </c>
      <c r="BT49" s="106">
        <v>3</v>
      </c>
      <c r="BU49" s="106">
        <v>2955.6</v>
      </c>
      <c r="BV49" s="106">
        <v>2</v>
      </c>
      <c r="BW49" s="106">
        <v>1970.3999999999999</v>
      </c>
      <c r="BX49" s="106">
        <v>73</v>
      </c>
      <c r="BY49" s="106">
        <v>71919.599999999991</v>
      </c>
      <c r="BZ49" s="106">
        <v>48</v>
      </c>
      <c r="CA49" s="106">
        <v>47289.599999999999</v>
      </c>
      <c r="CB49" s="106">
        <v>45</v>
      </c>
      <c r="CC49" s="106">
        <v>44334</v>
      </c>
      <c r="CD49" s="106">
        <v>81</v>
      </c>
      <c r="CE49" s="106">
        <v>79801.2</v>
      </c>
      <c r="CF49" s="106">
        <v>21.828680848053416</v>
      </c>
      <c r="CG49" s="106">
        <v>21505.616371502223</v>
      </c>
      <c r="CH49" s="106">
        <v>27.797588418750209</v>
      </c>
      <c r="CI49" s="106">
        <v>27386.184110152702</v>
      </c>
      <c r="CJ49" s="106">
        <v>24.219413179485112</v>
      </c>
      <c r="CK49" s="106">
        <v>23860.96586442873</v>
      </c>
      <c r="CL49" s="106">
        <v>18</v>
      </c>
      <c r="CM49" s="106">
        <v>17733.599999999999</v>
      </c>
      <c r="CN49" s="106">
        <v>4</v>
      </c>
      <c r="CO49" s="106">
        <v>3940.7999999999997</v>
      </c>
      <c r="CP49" s="106">
        <v>3.7105387615742704</v>
      </c>
      <c r="CQ49" s="106">
        <v>3655.6227879029711</v>
      </c>
      <c r="CR49" s="106">
        <v>3.5061970337126436</v>
      </c>
      <c r="CS49" s="106">
        <v>3454.3053176136964</v>
      </c>
      <c r="CT49" s="106">
        <v>2</v>
      </c>
      <c r="CU49" s="106">
        <v>1970.3999999999999</v>
      </c>
    </row>
    <row r="50" spans="2:99" x14ac:dyDescent="0.2">
      <c r="C50" s="105" t="s">
        <v>215</v>
      </c>
      <c r="D50" s="106">
        <v>6</v>
      </c>
      <c r="E50" s="106">
        <v>1692</v>
      </c>
      <c r="F50" s="106">
        <v>7</v>
      </c>
      <c r="G50" s="106">
        <v>1974</v>
      </c>
      <c r="H50" s="106">
        <v>7</v>
      </c>
      <c r="I50" s="106">
        <v>1974</v>
      </c>
      <c r="J50" s="106">
        <v>5</v>
      </c>
      <c r="K50" s="106">
        <v>1410</v>
      </c>
      <c r="L50" s="106">
        <v>33</v>
      </c>
      <c r="M50" s="106">
        <v>9306</v>
      </c>
      <c r="N50" s="106">
        <v>20</v>
      </c>
      <c r="O50" s="106">
        <v>5640</v>
      </c>
      <c r="P50" s="106">
        <v>27</v>
      </c>
      <c r="Q50" s="106">
        <v>7614</v>
      </c>
      <c r="R50" s="106">
        <v>31</v>
      </c>
      <c r="S50" s="106">
        <v>8742</v>
      </c>
      <c r="T50" s="106">
        <v>3</v>
      </c>
      <c r="U50" s="106">
        <v>846</v>
      </c>
      <c r="V50" s="106">
        <v>4</v>
      </c>
      <c r="W50" s="106">
        <v>1128</v>
      </c>
      <c r="X50" s="106">
        <v>5</v>
      </c>
      <c r="Y50" s="106">
        <v>1410</v>
      </c>
      <c r="Z50" s="106">
        <v>4</v>
      </c>
      <c r="AA50" s="106">
        <v>1128</v>
      </c>
      <c r="AB50" s="106">
        <v>10</v>
      </c>
      <c r="AC50" s="106">
        <v>2820</v>
      </c>
      <c r="AD50" s="106">
        <v>9</v>
      </c>
      <c r="AE50" s="106">
        <v>2538</v>
      </c>
      <c r="AF50" s="106">
        <v>7</v>
      </c>
      <c r="AG50" s="106">
        <v>1974</v>
      </c>
      <c r="AH50" s="106">
        <v>7</v>
      </c>
      <c r="AI50" s="106">
        <v>1974</v>
      </c>
      <c r="AJ50" s="106">
        <v>8</v>
      </c>
      <c r="AK50" s="106">
        <v>2256</v>
      </c>
      <c r="AL50" s="106">
        <v>8</v>
      </c>
      <c r="AM50" s="106">
        <v>2256</v>
      </c>
      <c r="AN50" s="106">
        <v>8</v>
      </c>
      <c r="AO50" s="106">
        <v>2256</v>
      </c>
      <c r="AP50" s="106">
        <v>5</v>
      </c>
      <c r="AQ50" s="106">
        <v>1410</v>
      </c>
      <c r="AR50" s="106">
        <v>3</v>
      </c>
      <c r="AS50" s="106">
        <v>846</v>
      </c>
      <c r="AT50" s="106">
        <v>5</v>
      </c>
      <c r="AU50" s="106">
        <v>1410</v>
      </c>
      <c r="AV50" s="106">
        <v>3</v>
      </c>
      <c r="AW50" s="106">
        <v>846</v>
      </c>
      <c r="AX50" s="106">
        <v>4</v>
      </c>
      <c r="AY50" s="106">
        <v>1128</v>
      </c>
      <c r="AZ50" s="106">
        <v>9</v>
      </c>
      <c r="BA50" s="106">
        <v>2538</v>
      </c>
      <c r="BB50" s="106">
        <v>8</v>
      </c>
      <c r="BC50" s="106">
        <v>2256</v>
      </c>
      <c r="BD50" s="106">
        <v>8</v>
      </c>
      <c r="BE50" s="106">
        <v>2256</v>
      </c>
      <c r="BF50" s="106">
        <v>8</v>
      </c>
      <c r="BG50" s="106">
        <v>2256</v>
      </c>
      <c r="BH50" s="106">
        <v>5</v>
      </c>
      <c r="BI50" s="106">
        <v>1410</v>
      </c>
      <c r="BJ50" s="106">
        <v>4</v>
      </c>
      <c r="BK50" s="106">
        <v>1128</v>
      </c>
      <c r="BL50" s="106">
        <v>4</v>
      </c>
      <c r="BM50" s="106">
        <v>1128</v>
      </c>
      <c r="BN50" s="106">
        <v>3</v>
      </c>
      <c r="BO50" s="106">
        <v>846</v>
      </c>
      <c r="BP50" s="106">
        <v>4</v>
      </c>
      <c r="BQ50" s="106">
        <v>1128</v>
      </c>
      <c r="BR50" s="106">
        <v>3</v>
      </c>
      <c r="BS50" s="106">
        <v>846</v>
      </c>
      <c r="BT50" s="106">
        <v>4</v>
      </c>
      <c r="BU50" s="106">
        <v>1128</v>
      </c>
      <c r="BV50" s="106">
        <v>3</v>
      </c>
      <c r="BW50" s="106">
        <v>846</v>
      </c>
      <c r="BX50" s="106">
        <v>77</v>
      </c>
      <c r="BY50" s="106">
        <v>21714</v>
      </c>
      <c r="BZ50" s="106">
        <v>55</v>
      </c>
      <c r="CA50" s="106">
        <v>15510</v>
      </c>
      <c r="CB50" s="106">
        <v>56</v>
      </c>
      <c r="CC50" s="106">
        <v>15792</v>
      </c>
      <c r="CD50" s="106">
        <v>82</v>
      </c>
      <c r="CE50" s="106">
        <v>23124</v>
      </c>
      <c r="CF50" s="106">
        <v>23</v>
      </c>
      <c r="CG50" s="106">
        <v>6486</v>
      </c>
      <c r="CH50" s="106">
        <v>30</v>
      </c>
      <c r="CI50" s="106">
        <v>8460</v>
      </c>
      <c r="CJ50" s="106">
        <v>22</v>
      </c>
      <c r="CK50" s="106">
        <v>6204</v>
      </c>
      <c r="CL50" s="106">
        <v>18</v>
      </c>
      <c r="CM50" s="106">
        <v>5076</v>
      </c>
      <c r="CN50" s="106">
        <v>4</v>
      </c>
      <c r="CO50" s="106">
        <v>1128</v>
      </c>
      <c r="CP50" s="106">
        <v>4</v>
      </c>
      <c r="CQ50" s="106">
        <v>1128</v>
      </c>
      <c r="CR50" s="106">
        <v>3</v>
      </c>
      <c r="CS50" s="106">
        <v>846</v>
      </c>
      <c r="CT50" s="106">
        <v>2</v>
      </c>
      <c r="CU50" s="106">
        <v>564</v>
      </c>
    </row>
    <row r="51" spans="2:99" x14ac:dyDescent="0.2">
      <c r="C51" s="105" t="s">
        <v>216</v>
      </c>
      <c r="D51" s="106">
        <v>6</v>
      </c>
      <c r="E51" s="106">
        <v>5126.3999999999996</v>
      </c>
      <c r="F51" s="106">
        <v>7</v>
      </c>
      <c r="G51" s="106">
        <v>5980.8</v>
      </c>
      <c r="H51" s="106">
        <v>6</v>
      </c>
      <c r="I51" s="106">
        <v>5126.3999999999996</v>
      </c>
      <c r="J51" s="106">
        <v>6</v>
      </c>
      <c r="K51" s="106">
        <v>5126.3999999999996</v>
      </c>
      <c r="L51" s="106">
        <v>31</v>
      </c>
      <c r="M51" s="106">
        <v>26486.399999999998</v>
      </c>
      <c r="N51" s="106">
        <v>20</v>
      </c>
      <c r="O51" s="106">
        <v>17088</v>
      </c>
      <c r="P51" s="106">
        <v>23</v>
      </c>
      <c r="Q51" s="106">
        <v>19651.2</v>
      </c>
      <c r="R51" s="106">
        <v>30</v>
      </c>
      <c r="S51" s="106">
        <v>25632</v>
      </c>
      <c r="T51" s="106">
        <v>3</v>
      </c>
      <c r="U51" s="106">
        <v>2563.1999999999998</v>
      </c>
      <c r="V51" s="106">
        <v>3</v>
      </c>
      <c r="W51" s="106">
        <v>2563.1999999999998</v>
      </c>
      <c r="X51" s="106">
        <v>4</v>
      </c>
      <c r="Y51" s="106">
        <v>3417.6</v>
      </c>
      <c r="Z51" s="106">
        <v>4</v>
      </c>
      <c r="AA51" s="106">
        <v>3417.6</v>
      </c>
      <c r="AB51" s="106">
        <v>10</v>
      </c>
      <c r="AC51" s="106">
        <v>8544</v>
      </c>
      <c r="AD51" s="106">
        <v>8</v>
      </c>
      <c r="AE51" s="106">
        <v>6835.2</v>
      </c>
      <c r="AF51" s="106">
        <v>7</v>
      </c>
      <c r="AG51" s="106">
        <v>5980.8</v>
      </c>
      <c r="AH51" s="106">
        <v>6</v>
      </c>
      <c r="AI51" s="106">
        <v>5126.3999999999996</v>
      </c>
      <c r="AJ51" s="106">
        <v>7</v>
      </c>
      <c r="AK51" s="106">
        <v>5980.8</v>
      </c>
      <c r="AL51" s="106">
        <v>8</v>
      </c>
      <c r="AM51" s="106">
        <v>6835.2</v>
      </c>
      <c r="AN51" s="106">
        <v>7</v>
      </c>
      <c r="AO51" s="106">
        <v>5980.8</v>
      </c>
      <c r="AP51" s="106">
        <v>5</v>
      </c>
      <c r="AQ51" s="106">
        <v>4272</v>
      </c>
      <c r="AR51" s="106">
        <v>3</v>
      </c>
      <c r="AS51" s="106">
        <v>2563.1999999999998</v>
      </c>
      <c r="AT51" s="106">
        <v>4</v>
      </c>
      <c r="AU51" s="106">
        <v>3417.6</v>
      </c>
      <c r="AV51" s="106">
        <v>3</v>
      </c>
      <c r="AW51" s="106">
        <v>2563.1999999999998</v>
      </c>
      <c r="AX51" s="106">
        <v>4</v>
      </c>
      <c r="AY51" s="106">
        <v>3417.6</v>
      </c>
      <c r="AZ51" s="106">
        <v>8</v>
      </c>
      <c r="BA51" s="106">
        <v>6835.2</v>
      </c>
      <c r="BB51" s="106">
        <v>7</v>
      </c>
      <c r="BC51" s="106">
        <v>5980.8</v>
      </c>
      <c r="BD51" s="106">
        <v>7</v>
      </c>
      <c r="BE51" s="106">
        <v>5980.8</v>
      </c>
      <c r="BF51" s="106">
        <v>7</v>
      </c>
      <c r="BG51" s="106">
        <v>5980.8</v>
      </c>
      <c r="BH51" s="106">
        <v>5</v>
      </c>
      <c r="BI51" s="106">
        <v>4272</v>
      </c>
      <c r="BJ51" s="106">
        <v>4</v>
      </c>
      <c r="BK51" s="106">
        <v>3417.6</v>
      </c>
      <c r="BL51" s="106">
        <v>5</v>
      </c>
      <c r="BM51" s="106">
        <v>4272</v>
      </c>
      <c r="BN51" s="106">
        <v>3</v>
      </c>
      <c r="BO51" s="106">
        <v>2563.1999999999998</v>
      </c>
      <c r="BP51" s="106">
        <v>4</v>
      </c>
      <c r="BQ51" s="106">
        <v>3417.6</v>
      </c>
      <c r="BR51" s="106">
        <v>3</v>
      </c>
      <c r="BS51" s="106">
        <v>2563.1999999999998</v>
      </c>
      <c r="BT51" s="106">
        <v>4</v>
      </c>
      <c r="BU51" s="106">
        <v>3417.6</v>
      </c>
      <c r="BV51" s="106">
        <v>3</v>
      </c>
      <c r="BW51" s="106">
        <v>2563.1999999999998</v>
      </c>
      <c r="BX51" s="106">
        <v>76</v>
      </c>
      <c r="BY51" s="106">
        <v>64934.400000000001</v>
      </c>
      <c r="BZ51" s="106">
        <v>46</v>
      </c>
      <c r="CA51" s="106">
        <v>39302.400000000001</v>
      </c>
      <c r="CB51" s="106">
        <v>49</v>
      </c>
      <c r="CC51" s="106">
        <v>41865.599999999999</v>
      </c>
      <c r="CD51" s="106">
        <v>72</v>
      </c>
      <c r="CE51" s="106">
        <v>61516.799999999996</v>
      </c>
      <c r="CF51" s="106">
        <v>23</v>
      </c>
      <c r="CG51" s="106">
        <v>19651.2</v>
      </c>
      <c r="CH51" s="106">
        <v>25</v>
      </c>
      <c r="CI51" s="106">
        <v>21360</v>
      </c>
      <c r="CJ51" s="106">
        <v>21</v>
      </c>
      <c r="CK51" s="106">
        <v>17942.399999999998</v>
      </c>
      <c r="CL51" s="106">
        <v>17</v>
      </c>
      <c r="CM51" s="106">
        <v>14524.8</v>
      </c>
      <c r="CN51" s="106">
        <v>4</v>
      </c>
      <c r="CO51" s="106">
        <v>3417.6</v>
      </c>
      <c r="CP51" s="106">
        <v>4</v>
      </c>
      <c r="CQ51" s="106">
        <v>3417.6</v>
      </c>
      <c r="CR51" s="106">
        <v>4</v>
      </c>
      <c r="CS51" s="106">
        <v>3417.6</v>
      </c>
      <c r="CT51" s="106">
        <v>2</v>
      </c>
      <c r="CU51" s="106">
        <v>1708.8</v>
      </c>
    </row>
    <row r="52" spans="2:99" x14ac:dyDescent="0.2">
      <c r="C52" s="105" t="s">
        <v>217</v>
      </c>
      <c r="D52" s="106">
        <v>5</v>
      </c>
      <c r="E52" s="106">
        <v>2700</v>
      </c>
      <c r="F52" s="106">
        <v>6</v>
      </c>
      <c r="G52" s="106">
        <v>3240</v>
      </c>
      <c r="H52" s="106">
        <v>7</v>
      </c>
      <c r="I52" s="106">
        <v>3780</v>
      </c>
      <c r="J52" s="106">
        <v>6</v>
      </c>
      <c r="K52" s="106">
        <v>3240</v>
      </c>
      <c r="L52" s="106">
        <v>29</v>
      </c>
      <c r="M52" s="106">
        <v>15660</v>
      </c>
      <c r="N52" s="106">
        <v>23</v>
      </c>
      <c r="O52" s="106">
        <v>12420</v>
      </c>
      <c r="P52" s="106">
        <v>22</v>
      </c>
      <c r="Q52" s="106">
        <v>11880</v>
      </c>
      <c r="R52" s="106">
        <v>28</v>
      </c>
      <c r="S52" s="106">
        <v>15120</v>
      </c>
      <c r="T52" s="106">
        <v>3</v>
      </c>
      <c r="U52" s="106">
        <v>1620</v>
      </c>
      <c r="V52" s="106">
        <v>4</v>
      </c>
      <c r="W52" s="106">
        <v>2160</v>
      </c>
      <c r="X52" s="106">
        <v>4</v>
      </c>
      <c r="Y52" s="106">
        <v>2160</v>
      </c>
      <c r="Z52" s="106">
        <v>4</v>
      </c>
      <c r="AA52" s="106">
        <v>2160</v>
      </c>
      <c r="AB52" s="106">
        <v>10</v>
      </c>
      <c r="AC52" s="106">
        <v>5400</v>
      </c>
      <c r="AD52" s="106">
        <v>10</v>
      </c>
      <c r="AE52" s="106">
        <v>5400</v>
      </c>
      <c r="AF52" s="106">
        <v>7</v>
      </c>
      <c r="AG52" s="106">
        <v>3780</v>
      </c>
      <c r="AH52" s="106">
        <v>7</v>
      </c>
      <c r="AI52" s="106">
        <v>3780</v>
      </c>
      <c r="AJ52" s="106">
        <v>7</v>
      </c>
      <c r="AK52" s="106">
        <v>3780</v>
      </c>
      <c r="AL52" s="106">
        <v>7</v>
      </c>
      <c r="AM52" s="106">
        <v>3780</v>
      </c>
      <c r="AN52" s="106">
        <v>7</v>
      </c>
      <c r="AO52" s="106">
        <v>3780</v>
      </c>
      <c r="AP52" s="106">
        <v>5</v>
      </c>
      <c r="AQ52" s="106">
        <v>2700</v>
      </c>
      <c r="AR52" s="106">
        <v>3</v>
      </c>
      <c r="AS52" s="106">
        <v>1620</v>
      </c>
      <c r="AT52" s="106">
        <v>5</v>
      </c>
      <c r="AU52" s="106">
        <v>2700</v>
      </c>
      <c r="AV52" s="106">
        <v>3</v>
      </c>
      <c r="AW52" s="106">
        <v>1620</v>
      </c>
      <c r="AX52" s="106">
        <v>4</v>
      </c>
      <c r="AY52" s="106">
        <v>2160</v>
      </c>
      <c r="AZ52" s="106">
        <v>8</v>
      </c>
      <c r="BA52" s="106">
        <v>4320</v>
      </c>
      <c r="BB52" s="106">
        <v>7</v>
      </c>
      <c r="BC52" s="106">
        <v>3780</v>
      </c>
      <c r="BD52" s="106">
        <v>8</v>
      </c>
      <c r="BE52" s="106">
        <v>4320</v>
      </c>
      <c r="BF52" s="106">
        <v>8</v>
      </c>
      <c r="BG52" s="106">
        <v>4320</v>
      </c>
      <c r="BH52" s="106">
        <v>4</v>
      </c>
      <c r="BI52" s="106">
        <v>2160</v>
      </c>
      <c r="BJ52" s="106">
        <v>4</v>
      </c>
      <c r="BK52" s="106">
        <v>2160</v>
      </c>
      <c r="BL52" s="106">
        <v>5</v>
      </c>
      <c r="BM52" s="106">
        <v>2700</v>
      </c>
      <c r="BN52" s="106">
        <v>3</v>
      </c>
      <c r="BO52" s="106">
        <v>1620</v>
      </c>
      <c r="BP52" s="106">
        <v>4</v>
      </c>
      <c r="BQ52" s="106">
        <v>2160</v>
      </c>
      <c r="BR52" s="106">
        <v>4</v>
      </c>
      <c r="BS52" s="106">
        <v>2160</v>
      </c>
      <c r="BT52" s="106">
        <v>4</v>
      </c>
      <c r="BU52" s="106">
        <v>2160</v>
      </c>
      <c r="BV52" s="106">
        <v>3</v>
      </c>
      <c r="BW52" s="106">
        <v>1620</v>
      </c>
      <c r="BX52" s="106">
        <v>75</v>
      </c>
      <c r="BY52" s="106">
        <v>40500</v>
      </c>
      <c r="BZ52" s="106">
        <v>52</v>
      </c>
      <c r="CA52" s="106">
        <v>28080</v>
      </c>
      <c r="CB52" s="106">
        <v>52</v>
      </c>
      <c r="CC52" s="106">
        <v>28080</v>
      </c>
      <c r="CD52" s="106">
        <v>83</v>
      </c>
      <c r="CE52" s="106">
        <v>44820</v>
      </c>
      <c r="CF52" s="106">
        <v>21</v>
      </c>
      <c r="CG52" s="106">
        <v>11340</v>
      </c>
      <c r="CH52" s="106">
        <v>28</v>
      </c>
      <c r="CI52" s="106">
        <v>15120</v>
      </c>
      <c r="CJ52" s="106">
        <v>22</v>
      </c>
      <c r="CK52" s="106">
        <v>11880</v>
      </c>
      <c r="CL52" s="106">
        <v>20</v>
      </c>
      <c r="CM52" s="106">
        <v>10800</v>
      </c>
      <c r="CN52" s="106">
        <v>4</v>
      </c>
      <c r="CO52" s="106">
        <v>2160</v>
      </c>
      <c r="CP52" s="106">
        <v>4</v>
      </c>
      <c r="CQ52" s="106">
        <v>2160</v>
      </c>
      <c r="CR52" s="106">
        <v>4</v>
      </c>
      <c r="CS52" s="106">
        <v>2160</v>
      </c>
      <c r="CT52" s="106">
        <v>2</v>
      </c>
      <c r="CU52" s="106">
        <v>1080</v>
      </c>
    </row>
    <row r="53" spans="2:99" x14ac:dyDescent="0.2">
      <c r="C53" s="105" t="s">
        <v>218</v>
      </c>
      <c r="D53" s="106">
        <v>6</v>
      </c>
      <c r="E53" s="106">
        <v>2440.8000000000002</v>
      </c>
      <c r="F53" s="106">
        <v>6</v>
      </c>
      <c r="G53" s="106">
        <v>2440.8000000000002</v>
      </c>
      <c r="H53" s="106">
        <v>6</v>
      </c>
      <c r="I53" s="106">
        <v>2440.8000000000002</v>
      </c>
      <c r="J53" s="106">
        <v>6</v>
      </c>
      <c r="K53" s="106">
        <v>2440.8000000000002</v>
      </c>
      <c r="L53" s="106">
        <v>30</v>
      </c>
      <c r="M53" s="106">
        <v>12204</v>
      </c>
      <c r="N53" s="106">
        <v>20</v>
      </c>
      <c r="O53" s="106">
        <v>8136</v>
      </c>
      <c r="P53" s="106">
        <v>24</v>
      </c>
      <c r="Q53" s="106">
        <v>9763.2000000000007</v>
      </c>
      <c r="R53" s="106">
        <v>29</v>
      </c>
      <c r="S53" s="106">
        <v>11797.2</v>
      </c>
      <c r="T53" s="106">
        <v>3</v>
      </c>
      <c r="U53" s="106">
        <v>1220.4000000000001</v>
      </c>
      <c r="V53" s="106">
        <v>4</v>
      </c>
      <c r="W53" s="106">
        <v>1627.2</v>
      </c>
      <c r="X53" s="106">
        <v>4</v>
      </c>
      <c r="Y53" s="106">
        <v>1627.2</v>
      </c>
      <c r="Z53" s="106">
        <v>4</v>
      </c>
      <c r="AA53" s="106">
        <v>1627.2</v>
      </c>
      <c r="AB53" s="106">
        <v>11</v>
      </c>
      <c r="AC53" s="106">
        <v>4474.8</v>
      </c>
      <c r="AD53" s="106">
        <v>10</v>
      </c>
      <c r="AE53" s="106">
        <v>4068</v>
      </c>
      <c r="AF53" s="106">
        <v>7</v>
      </c>
      <c r="AG53" s="106">
        <v>2847.6</v>
      </c>
      <c r="AH53" s="106">
        <v>7</v>
      </c>
      <c r="AI53" s="106">
        <v>2847.6</v>
      </c>
      <c r="AJ53" s="106">
        <v>8</v>
      </c>
      <c r="AK53" s="106">
        <v>3254.4</v>
      </c>
      <c r="AL53" s="106">
        <v>7</v>
      </c>
      <c r="AM53" s="106">
        <v>2847.6</v>
      </c>
      <c r="AN53" s="106">
        <v>7</v>
      </c>
      <c r="AO53" s="106">
        <v>2847.6</v>
      </c>
      <c r="AP53" s="106">
        <v>6</v>
      </c>
      <c r="AQ53" s="106">
        <v>2440.8000000000002</v>
      </c>
      <c r="AR53" s="106">
        <v>3</v>
      </c>
      <c r="AS53" s="106">
        <v>1220.4000000000001</v>
      </c>
      <c r="AT53" s="106">
        <v>5</v>
      </c>
      <c r="AU53" s="106">
        <v>2034</v>
      </c>
      <c r="AV53" s="106">
        <v>3</v>
      </c>
      <c r="AW53" s="106">
        <v>1220.4000000000001</v>
      </c>
      <c r="AX53" s="106">
        <v>5</v>
      </c>
      <c r="AY53" s="106">
        <v>2034</v>
      </c>
      <c r="AZ53" s="106">
        <v>9</v>
      </c>
      <c r="BA53" s="106">
        <v>3661.2000000000003</v>
      </c>
      <c r="BB53" s="106">
        <v>8</v>
      </c>
      <c r="BC53" s="106">
        <v>3254.4</v>
      </c>
      <c r="BD53" s="106">
        <v>7</v>
      </c>
      <c r="BE53" s="106">
        <v>2847.6</v>
      </c>
      <c r="BF53" s="106">
        <v>8</v>
      </c>
      <c r="BG53" s="106">
        <v>3254.4</v>
      </c>
      <c r="BH53" s="106">
        <v>5</v>
      </c>
      <c r="BI53" s="106">
        <v>2034</v>
      </c>
      <c r="BJ53" s="106">
        <v>4</v>
      </c>
      <c r="BK53" s="106">
        <v>1627.2</v>
      </c>
      <c r="BL53" s="106">
        <v>5</v>
      </c>
      <c r="BM53" s="106">
        <v>2034</v>
      </c>
      <c r="BN53" s="106">
        <v>3</v>
      </c>
      <c r="BO53" s="106">
        <v>1220.4000000000001</v>
      </c>
      <c r="BP53" s="106">
        <v>4</v>
      </c>
      <c r="BQ53" s="106">
        <v>1627.2</v>
      </c>
      <c r="BR53" s="106">
        <v>4</v>
      </c>
      <c r="BS53" s="106">
        <v>1627.2</v>
      </c>
      <c r="BT53" s="106">
        <v>4</v>
      </c>
      <c r="BU53" s="106">
        <v>1627.2</v>
      </c>
      <c r="BV53" s="106">
        <v>3</v>
      </c>
      <c r="BW53" s="106">
        <v>1220.4000000000001</v>
      </c>
      <c r="BX53" s="106">
        <v>80</v>
      </c>
      <c r="BY53" s="106">
        <v>32544</v>
      </c>
      <c r="BZ53" s="106">
        <v>52</v>
      </c>
      <c r="CA53" s="106">
        <v>21153.600000000002</v>
      </c>
      <c r="CB53" s="106">
        <v>57</v>
      </c>
      <c r="CC53" s="106">
        <v>23187.600000000002</v>
      </c>
      <c r="CD53" s="106">
        <v>94</v>
      </c>
      <c r="CE53" s="106">
        <v>38239.200000000004</v>
      </c>
      <c r="CF53" s="106">
        <v>23</v>
      </c>
      <c r="CG53" s="106">
        <v>9356.4</v>
      </c>
      <c r="CH53" s="106">
        <v>28</v>
      </c>
      <c r="CI53" s="106">
        <v>11390.4</v>
      </c>
      <c r="CJ53" s="106">
        <v>25</v>
      </c>
      <c r="CK53" s="106">
        <v>10170</v>
      </c>
      <c r="CL53" s="106">
        <v>21</v>
      </c>
      <c r="CM53" s="106">
        <v>8542.8000000000011</v>
      </c>
      <c r="CN53" s="106">
        <v>4</v>
      </c>
      <c r="CO53" s="106">
        <v>1627.2</v>
      </c>
      <c r="CP53" s="106">
        <v>4</v>
      </c>
      <c r="CQ53" s="106">
        <v>1627.2</v>
      </c>
      <c r="CR53" s="106">
        <v>3</v>
      </c>
      <c r="CS53" s="106">
        <v>1220.4000000000001</v>
      </c>
      <c r="CT53" s="106">
        <v>2</v>
      </c>
      <c r="CU53" s="106">
        <v>813.6</v>
      </c>
    </row>
    <row r="54" spans="2:99" x14ac:dyDescent="0.2">
      <c r="C54" s="105" t="s">
        <v>219</v>
      </c>
      <c r="D54" s="106">
        <v>6</v>
      </c>
      <c r="E54" s="106">
        <v>2008.8000000000002</v>
      </c>
      <c r="F54" s="106">
        <v>7</v>
      </c>
      <c r="G54" s="106">
        <v>2343.6</v>
      </c>
      <c r="H54" s="106">
        <v>7</v>
      </c>
      <c r="I54" s="106">
        <v>2343.6</v>
      </c>
      <c r="J54" s="106">
        <v>5</v>
      </c>
      <c r="K54" s="106">
        <v>1674</v>
      </c>
      <c r="L54" s="106">
        <v>33</v>
      </c>
      <c r="M54" s="106">
        <v>11048.4</v>
      </c>
      <c r="N54" s="106">
        <v>23</v>
      </c>
      <c r="O54" s="106">
        <v>7700.4000000000005</v>
      </c>
      <c r="P54" s="106">
        <v>26</v>
      </c>
      <c r="Q54" s="106">
        <v>8704.8000000000011</v>
      </c>
      <c r="R54" s="106">
        <v>28</v>
      </c>
      <c r="S54" s="106">
        <v>9374.4</v>
      </c>
      <c r="T54" s="106">
        <v>2</v>
      </c>
      <c r="U54" s="106">
        <v>669.6</v>
      </c>
      <c r="V54" s="106">
        <v>4</v>
      </c>
      <c r="W54" s="106">
        <v>1339.2</v>
      </c>
      <c r="X54" s="106">
        <v>4</v>
      </c>
      <c r="Y54" s="106">
        <v>1339.2</v>
      </c>
      <c r="Z54" s="106">
        <v>5</v>
      </c>
      <c r="AA54" s="106">
        <v>1674</v>
      </c>
      <c r="AB54" s="106">
        <v>9</v>
      </c>
      <c r="AC54" s="106">
        <v>3013.2000000000003</v>
      </c>
      <c r="AD54" s="106">
        <v>9</v>
      </c>
      <c r="AE54" s="106">
        <v>3013.2000000000003</v>
      </c>
      <c r="AF54" s="106">
        <v>7</v>
      </c>
      <c r="AG54" s="106">
        <v>2343.6</v>
      </c>
      <c r="AH54" s="106">
        <v>7</v>
      </c>
      <c r="AI54" s="106">
        <v>2343.6</v>
      </c>
      <c r="AJ54" s="106">
        <v>7</v>
      </c>
      <c r="AK54" s="106">
        <v>2343.6</v>
      </c>
      <c r="AL54" s="106">
        <v>8</v>
      </c>
      <c r="AM54" s="106">
        <v>2678.4</v>
      </c>
      <c r="AN54" s="106">
        <v>8</v>
      </c>
      <c r="AO54" s="106">
        <v>2678.4</v>
      </c>
      <c r="AP54" s="106">
        <v>5</v>
      </c>
      <c r="AQ54" s="106">
        <v>1674</v>
      </c>
      <c r="AR54" s="106">
        <v>3</v>
      </c>
      <c r="AS54" s="106">
        <v>1004.4000000000001</v>
      </c>
      <c r="AT54" s="106">
        <v>5</v>
      </c>
      <c r="AU54" s="106">
        <v>1674</v>
      </c>
      <c r="AV54" s="106">
        <v>4</v>
      </c>
      <c r="AW54" s="106">
        <v>1339.2</v>
      </c>
      <c r="AX54" s="106">
        <v>5</v>
      </c>
      <c r="AY54" s="106">
        <v>1674</v>
      </c>
      <c r="AZ54" s="106">
        <v>9</v>
      </c>
      <c r="BA54" s="106">
        <v>3013.2000000000003</v>
      </c>
      <c r="BB54" s="106">
        <v>9</v>
      </c>
      <c r="BC54" s="106">
        <v>3013.2000000000003</v>
      </c>
      <c r="BD54" s="106">
        <v>7</v>
      </c>
      <c r="BE54" s="106">
        <v>2343.6</v>
      </c>
      <c r="BF54" s="106">
        <v>8</v>
      </c>
      <c r="BG54" s="106">
        <v>2678.4</v>
      </c>
      <c r="BH54" s="106">
        <v>5</v>
      </c>
      <c r="BI54" s="106">
        <v>1674</v>
      </c>
      <c r="BJ54" s="106">
        <v>4</v>
      </c>
      <c r="BK54" s="106">
        <v>1339.2</v>
      </c>
      <c r="BL54" s="106">
        <v>5</v>
      </c>
      <c r="BM54" s="106">
        <v>1674</v>
      </c>
      <c r="BN54" s="106">
        <v>3</v>
      </c>
      <c r="BO54" s="106">
        <v>1004.4000000000001</v>
      </c>
      <c r="BP54" s="106">
        <v>4</v>
      </c>
      <c r="BQ54" s="106">
        <v>1339.2</v>
      </c>
      <c r="BR54" s="106">
        <v>3</v>
      </c>
      <c r="BS54" s="106">
        <v>1004.4000000000001</v>
      </c>
      <c r="BT54" s="106">
        <v>3</v>
      </c>
      <c r="BU54" s="106">
        <v>1004.4000000000001</v>
      </c>
      <c r="BV54" s="106">
        <v>3</v>
      </c>
      <c r="BW54" s="106">
        <v>1004.4000000000001</v>
      </c>
      <c r="BX54" s="106">
        <v>82</v>
      </c>
      <c r="BY54" s="106">
        <v>27453.600000000002</v>
      </c>
      <c r="BZ54" s="106">
        <v>49</v>
      </c>
      <c r="CA54" s="106">
        <v>16405.2</v>
      </c>
      <c r="CB54" s="106">
        <v>59</v>
      </c>
      <c r="CC54" s="106">
        <v>19753.2</v>
      </c>
      <c r="CD54" s="106">
        <v>83</v>
      </c>
      <c r="CE54" s="106">
        <v>27788.400000000001</v>
      </c>
      <c r="CF54" s="106">
        <v>23</v>
      </c>
      <c r="CG54" s="106">
        <v>7700.4000000000005</v>
      </c>
      <c r="CH54" s="106">
        <v>29</v>
      </c>
      <c r="CI54" s="106">
        <v>9709.2000000000007</v>
      </c>
      <c r="CJ54" s="106">
        <v>27</v>
      </c>
      <c r="CK54" s="106">
        <v>9039.6</v>
      </c>
      <c r="CL54" s="106">
        <v>19</v>
      </c>
      <c r="CM54" s="106">
        <v>6361.2</v>
      </c>
      <c r="CN54" s="106">
        <v>4</v>
      </c>
      <c r="CO54" s="106">
        <v>1339.2</v>
      </c>
      <c r="CP54" s="106">
        <v>4</v>
      </c>
      <c r="CQ54" s="106">
        <v>1339.2</v>
      </c>
      <c r="CR54" s="106">
        <v>4</v>
      </c>
      <c r="CS54" s="106">
        <v>1339.2</v>
      </c>
      <c r="CT54" s="106">
        <v>2</v>
      </c>
      <c r="CU54" s="106">
        <v>669.6</v>
      </c>
    </row>
    <row r="55" spans="2:99" x14ac:dyDescent="0.2">
      <c r="C55" s="105" t="s">
        <v>220</v>
      </c>
      <c r="D55" s="106">
        <v>6</v>
      </c>
      <c r="E55" s="106">
        <v>3981.6000000000004</v>
      </c>
      <c r="F55" s="106">
        <v>6</v>
      </c>
      <c r="G55" s="106">
        <v>3981.6000000000004</v>
      </c>
      <c r="H55" s="106">
        <v>6</v>
      </c>
      <c r="I55" s="106">
        <v>3981.6000000000004</v>
      </c>
      <c r="J55" s="106">
        <v>6</v>
      </c>
      <c r="K55" s="106">
        <v>3981.6000000000004</v>
      </c>
      <c r="L55" s="106">
        <v>29</v>
      </c>
      <c r="M55" s="106">
        <v>19244.400000000001</v>
      </c>
      <c r="N55" s="106">
        <v>22</v>
      </c>
      <c r="O55" s="106">
        <v>14599.2</v>
      </c>
      <c r="P55" s="106">
        <v>21</v>
      </c>
      <c r="Q55" s="106">
        <v>13935.6</v>
      </c>
      <c r="R55" s="106">
        <v>30</v>
      </c>
      <c r="S55" s="106">
        <v>19908</v>
      </c>
      <c r="T55" s="106">
        <v>3</v>
      </c>
      <c r="U55" s="106">
        <v>1990.8000000000002</v>
      </c>
      <c r="V55" s="106">
        <v>4</v>
      </c>
      <c r="W55" s="106">
        <v>2654.4</v>
      </c>
      <c r="X55" s="106">
        <v>4</v>
      </c>
      <c r="Y55" s="106">
        <v>2654.4</v>
      </c>
      <c r="Z55" s="106">
        <v>4</v>
      </c>
      <c r="AA55" s="106">
        <v>2654.4</v>
      </c>
      <c r="AB55" s="106">
        <v>10</v>
      </c>
      <c r="AC55" s="106">
        <v>6636</v>
      </c>
      <c r="AD55" s="106">
        <v>9</v>
      </c>
      <c r="AE55" s="106">
        <v>5972.4000000000005</v>
      </c>
      <c r="AF55" s="106">
        <v>7</v>
      </c>
      <c r="AG55" s="106">
        <v>4645.2</v>
      </c>
      <c r="AH55" s="106">
        <v>6</v>
      </c>
      <c r="AI55" s="106">
        <v>3981.6000000000004</v>
      </c>
      <c r="AJ55" s="106">
        <v>7</v>
      </c>
      <c r="AK55" s="106">
        <v>4645.2</v>
      </c>
      <c r="AL55" s="106">
        <v>8</v>
      </c>
      <c r="AM55" s="106">
        <v>5308.8</v>
      </c>
      <c r="AN55" s="106">
        <v>7</v>
      </c>
      <c r="AO55" s="106">
        <v>4645.2</v>
      </c>
      <c r="AP55" s="106">
        <v>5</v>
      </c>
      <c r="AQ55" s="106">
        <v>3318</v>
      </c>
      <c r="AR55" s="106">
        <v>3</v>
      </c>
      <c r="AS55" s="106">
        <v>1990.8000000000002</v>
      </c>
      <c r="AT55" s="106">
        <v>5</v>
      </c>
      <c r="AU55" s="106">
        <v>3318</v>
      </c>
      <c r="AV55" s="106">
        <v>3</v>
      </c>
      <c r="AW55" s="106">
        <v>1990.8000000000002</v>
      </c>
      <c r="AX55" s="106">
        <v>4</v>
      </c>
      <c r="AY55" s="106">
        <v>2654.4</v>
      </c>
      <c r="AZ55" s="106">
        <v>8</v>
      </c>
      <c r="BA55" s="106">
        <v>5308.8</v>
      </c>
      <c r="BB55" s="106">
        <v>8</v>
      </c>
      <c r="BC55" s="106">
        <v>5308.8</v>
      </c>
      <c r="BD55" s="106">
        <v>8</v>
      </c>
      <c r="BE55" s="106">
        <v>5308.8</v>
      </c>
      <c r="BF55" s="106">
        <v>8</v>
      </c>
      <c r="BG55" s="106">
        <v>5308.8</v>
      </c>
      <c r="BH55" s="106">
        <v>4</v>
      </c>
      <c r="BI55" s="106">
        <v>2654.4</v>
      </c>
      <c r="BJ55" s="106">
        <v>4</v>
      </c>
      <c r="BK55" s="106">
        <v>2654.4</v>
      </c>
      <c r="BL55" s="106">
        <v>4</v>
      </c>
      <c r="BM55" s="106">
        <v>2654.4</v>
      </c>
      <c r="BN55" s="106">
        <v>3</v>
      </c>
      <c r="BO55" s="106">
        <v>1990.8000000000002</v>
      </c>
      <c r="BP55" s="106">
        <v>4</v>
      </c>
      <c r="BQ55" s="106">
        <v>2654.4</v>
      </c>
      <c r="BR55" s="106">
        <v>4</v>
      </c>
      <c r="BS55" s="106">
        <v>2654.4</v>
      </c>
      <c r="BT55" s="106">
        <v>4</v>
      </c>
      <c r="BU55" s="106">
        <v>2654.4</v>
      </c>
      <c r="BV55" s="106">
        <v>3</v>
      </c>
      <c r="BW55" s="106">
        <v>1990.8000000000002</v>
      </c>
      <c r="BX55" s="106">
        <v>69</v>
      </c>
      <c r="BY55" s="106">
        <v>45788.4</v>
      </c>
      <c r="BZ55" s="106">
        <v>46</v>
      </c>
      <c r="CA55" s="106">
        <v>30525.600000000002</v>
      </c>
      <c r="CB55" s="106">
        <v>50</v>
      </c>
      <c r="CC55" s="106">
        <v>33180</v>
      </c>
      <c r="CD55" s="106">
        <v>81</v>
      </c>
      <c r="CE55" s="106">
        <v>53751.6</v>
      </c>
      <c r="CF55" s="106">
        <v>21</v>
      </c>
      <c r="CG55" s="106">
        <v>13935.6</v>
      </c>
      <c r="CH55" s="106">
        <v>28</v>
      </c>
      <c r="CI55" s="106">
        <v>18580.8</v>
      </c>
      <c r="CJ55" s="106">
        <v>25</v>
      </c>
      <c r="CK55" s="106">
        <v>16590</v>
      </c>
      <c r="CL55" s="106">
        <v>18</v>
      </c>
      <c r="CM55" s="106">
        <v>11944.800000000001</v>
      </c>
      <c r="CN55" s="106">
        <v>4</v>
      </c>
      <c r="CO55" s="106">
        <v>2654.4</v>
      </c>
      <c r="CP55" s="106">
        <v>4</v>
      </c>
      <c r="CQ55" s="106">
        <v>2654.4</v>
      </c>
      <c r="CR55" s="106">
        <v>4</v>
      </c>
      <c r="CS55" s="106">
        <v>2654.4</v>
      </c>
      <c r="CT55" s="106">
        <v>2</v>
      </c>
      <c r="CU55" s="106">
        <v>1327.2</v>
      </c>
    </row>
    <row r="56" spans="2:99" x14ac:dyDescent="0.2">
      <c r="C56" s="105" t="s">
        <v>221</v>
      </c>
      <c r="D56" s="106">
        <v>5</v>
      </c>
      <c r="E56" s="106">
        <v>5754</v>
      </c>
      <c r="F56" s="106">
        <v>7</v>
      </c>
      <c r="G56" s="106">
        <v>8055.5999999999995</v>
      </c>
      <c r="H56" s="106">
        <v>6</v>
      </c>
      <c r="I56" s="106">
        <v>6904.7999999999993</v>
      </c>
      <c r="J56" s="106">
        <v>5</v>
      </c>
      <c r="K56" s="106">
        <v>5754</v>
      </c>
      <c r="L56" s="106">
        <v>28</v>
      </c>
      <c r="M56" s="106">
        <v>32222.399999999998</v>
      </c>
      <c r="N56" s="106">
        <v>17</v>
      </c>
      <c r="O56" s="106">
        <v>19563.599999999999</v>
      </c>
      <c r="P56" s="106">
        <v>23.293995214531318</v>
      </c>
      <c r="Q56" s="106">
        <v>26806.72969288264</v>
      </c>
      <c r="R56" s="106">
        <v>27.352786956076319</v>
      </c>
      <c r="S56" s="106">
        <v>31477.587229052628</v>
      </c>
      <c r="T56" s="106">
        <v>3.1452551043198738</v>
      </c>
      <c r="U56" s="106">
        <v>3619.5595740513104</v>
      </c>
      <c r="V56" s="106">
        <v>4.1848914523601772</v>
      </c>
      <c r="W56" s="106">
        <v>4815.9730833760914</v>
      </c>
      <c r="X56" s="106">
        <v>4.2441044533246011</v>
      </c>
      <c r="Y56" s="106">
        <v>4884.1154048859507</v>
      </c>
      <c r="Z56" s="106">
        <v>4.2350066627078657</v>
      </c>
      <c r="AA56" s="106">
        <v>4873.6456674442115</v>
      </c>
      <c r="AB56" s="106">
        <v>9.298161168389445</v>
      </c>
      <c r="AC56" s="106">
        <v>10700.323872582572</v>
      </c>
      <c r="AD56" s="106">
        <v>8.342822832510544</v>
      </c>
      <c r="AE56" s="106">
        <v>9600.9205156531334</v>
      </c>
      <c r="AF56" s="106">
        <v>6.3989540989072147</v>
      </c>
      <c r="AG56" s="106">
        <v>7363.9163770224222</v>
      </c>
      <c r="AH56" s="106">
        <v>7.299644995831307</v>
      </c>
      <c r="AI56" s="106">
        <v>8400.4314612026683</v>
      </c>
      <c r="AJ56" s="106">
        <v>6.9342096429596269</v>
      </c>
      <c r="AK56" s="106">
        <v>7979.8884571179387</v>
      </c>
      <c r="AL56" s="106">
        <v>8.0856684780156041</v>
      </c>
      <c r="AM56" s="106">
        <v>9304.9872845003574</v>
      </c>
      <c r="AN56" s="106">
        <v>7.8429499573443557</v>
      </c>
      <c r="AO56" s="106">
        <v>9025.6668109118837</v>
      </c>
      <c r="AP56" s="106">
        <v>5.6696346277446308</v>
      </c>
      <c r="AQ56" s="106">
        <v>6524.6155296085208</v>
      </c>
      <c r="AR56" s="106">
        <v>3.2979605581928388</v>
      </c>
      <c r="AS56" s="106">
        <v>3795.2930103683188</v>
      </c>
      <c r="AT56" s="106">
        <v>5</v>
      </c>
      <c r="AU56" s="106">
        <v>5754</v>
      </c>
      <c r="AV56" s="106">
        <v>3</v>
      </c>
      <c r="AW56" s="106">
        <v>3452.3999999999996</v>
      </c>
      <c r="AX56" s="106">
        <v>4.5400289052850971</v>
      </c>
      <c r="AY56" s="106">
        <v>5224.6652642020899</v>
      </c>
      <c r="AZ56" s="106">
        <v>8</v>
      </c>
      <c r="BA56" s="106">
        <v>9206.4</v>
      </c>
      <c r="BB56" s="106">
        <v>8</v>
      </c>
      <c r="BC56" s="106">
        <v>9206.4</v>
      </c>
      <c r="BD56" s="106">
        <v>7</v>
      </c>
      <c r="BE56" s="106">
        <v>8055.5999999999995</v>
      </c>
      <c r="BF56" s="106">
        <v>8</v>
      </c>
      <c r="BG56" s="106">
        <v>9206.4</v>
      </c>
      <c r="BH56" s="106">
        <v>5</v>
      </c>
      <c r="BI56" s="106">
        <v>5754</v>
      </c>
      <c r="BJ56" s="106">
        <v>4</v>
      </c>
      <c r="BK56" s="106">
        <v>4603.2</v>
      </c>
      <c r="BL56" s="106">
        <v>4.4742016602796788</v>
      </c>
      <c r="BM56" s="106">
        <v>5148.9112706498545</v>
      </c>
      <c r="BN56" s="106">
        <v>3</v>
      </c>
      <c r="BO56" s="106">
        <v>3452.3999999999996</v>
      </c>
      <c r="BP56" s="106">
        <v>4.6546497917594403</v>
      </c>
      <c r="BQ56" s="106">
        <v>5356.5709803567634</v>
      </c>
      <c r="BR56" s="106">
        <v>3.6173428368119875</v>
      </c>
      <c r="BS56" s="106">
        <v>4162.8381366032354</v>
      </c>
      <c r="BT56" s="106">
        <v>4</v>
      </c>
      <c r="BU56" s="106">
        <v>4603.2</v>
      </c>
      <c r="BV56" s="106">
        <v>3</v>
      </c>
      <c r="BW56" s="106">
        <v>3452.3999999999996</v>
      </c>
      <c r="BX56" s="106">
        <v>69</v>
      </c>
      <c r="BY56" s="106">
        <v>79405.2</v>
      </c>
      <c r="BZ56" s="106">
        <v>40</v>
      </c>
      <c r="CA56" s="106">
        <v>46032</v>
      </c>
      <c r="CB56" s="106">
        <v>45</v>
      </c>
      <c r="CC56" s="106">
        <v>51786</v>
      </c>
      <c r="CD56" s="106">
        <v>76</v>
      </c>
      <c r="CE56" s="106">
        <v>87460.800000000003</v>
      </c>
      <c r="CF56" s="106">
        <v>19.828680848053416</v>
      </c>
      <c r="CG56" s="106">
        <v>22818.845919939871</v>
      </c>
      <c r="CH56" s="106">
        <v>24.747739142578318</v>
      </c>
      <c r="CI56" s="106">
        <v>28479.698205279128</v>
      </c>
      <c r="CJ56" s="106">
        <v>22.078711658775291</v>
      </c>
      <c r="CK56" s="106">
        <v>25408.181376918605</v>
      </c>
      <c r="CL56" s="106">
        <v>17</v>
      </c>
      <c r="CM56" s="106">
        <v>19563.599999999999</v>
      </c>
      <c r="CN56" s="106">
        <v>4</v>
      </c>
      <c r="CO56" s="106">
        <v>4603.2</v>
      </c>
      <c r="CP56" s="106">
        <v>4.7941315570535963</v>
      </c>
      <c r="CQ56" s="106">
        <v>5517.0865958572786</v>
      </c>
      <c r="CR56" s="106">
        <v>3.5061970337126436</v>
      </c>
      <c r="CS56" s="106">
        <v>4034.9315463965099</v>
      </c>
      <c r="CT56" s="106">
        <v>2</v>
      </c>
      <c r="CU56" s="106">
        <v>2301.6</v>
      </c>
    </row>
    <row r="57" spans="2:99" x14ac:dyDescent="0.2">
      <c r="C57" s="105" t="s">
        <v>222</v>
      </c>
      <c r="D57" s="106">
        <v>6</v>
      </c>
      <c r="E57" s="106">
        <v>8467.2000000000007</v>
      </c>
      <c r="F57" s="106">
        <v>6</v>
      </c>
      <c r="G57" s="106">
        <v>8467.2000000000007</v>
      </c>
      <c r="H57" s="106">
        <v>6</v>
      </c>
      <c r="I57" s="106">
        <v>8467.2000000000007</v>
      </c>
      <c r="J57" s="106">
        <v>5</v>
      </c>
      <c r="K57" s="106">
        <v>7056</v>
      </c>
      <c r="L57" s="106">
        <v>27</v>
      </c>
      <c r="M57" s="106">
        <v>38102.400000000001</v>
      </c>
      <c r="N57" s="106">
        <v>18</v>
      </c>
      <c r="O57" s="106">
        <v>25401.600000000002</v>
      </c>
      <c r="P57" s="106">
        <v>20</v>
      </c>
      <c r="Q57" s="106">
        <v>28224</v>
      </c>
      <c r="R57" s="106">
        <v>25</v>
      </c>
      <c r="S57" s="106">
        <v>35280</v>
      </c>
      <c r="T57" s="106">
        <v>2</v>
      </c>
      <c r="U57" s="106">
        <v>2822.4</v>
      </c>
      <c r="V57" s="106">
        <v>3</v>
      </c>
      <c r="W57" s="106">
        <v>4233.6000000000004</v>
      </c>
      <c r="X57" s="106">
        <v>4</v>
      </c>
      <c r="Y57" s="106">
        <v>5644.8</v>
      </c>
      <c r="Z57" s="106">
        <v>4</v>
      </c>
      <c r="AA57" s="106">
        <v>5644.8</v>
      </c>
      <c r="AB57" s="106">
        <v>9</v>
      </c>
      <c r="AC57" s="106">
        <v>12700.800000000001</v>
      </c>
      <c r="AD57" s="106">
        <v>8</v>
      </c>
      <c r="AE57" s="106">
        <v>11289.6</v>
      </c>
      <c r="AF57" s="106">
        <v>5</v>
      </c>
      <c r="AG57" s="106">
        <v>7056</v>
      </c>
      <c r="AH57" s="106">
        <v>6</v>
      </c>
      <c r="AI57" s="106">
        <v>8467.2000000000007</v>
      </c>
      <c r="AJ57" s="106">
        <v>7</v>
      </c>
      <c r="AK57" s="106">
        <v>9878.4</v>
      </c>
      <c r="AL57" s="106">
        <v>6</v>
      </c>
      <c r="AM57" s="106">
        <v>8467.2000000000007</v>
      </c>
      <c r="AN57" s="106">
        <v>6</v>
      </c>
      <c r="AO57" s="106">
        <v>8467.2000000000007</v>
      </c>
      <c r="AP57" s="106">
        <v>5</v>
      </c>
      <c r="AQ57" s="106">
        <v>7056</v>
      </c>
      <c r="AR57" s="106">
        <v>3</v>
      </c>
      <c r="AS57" s="106">
        <v>4233.6000000000004</v>
      </c>
      <c r="AT57" s="106">
        <v>5</v>
      </c>
      <c r="AU57" s="106">
        <v>7056</v>
      </c>
      <c r="AV57" s="106">
        <v>3</v>
      </c>
      <c r="AW57" s="106">
        <v>4233.6000000000004</v>
      </c>
      <c r="AX57" s="106">
        <v>4</v>
      </c>
      <c r="AY57" s="106">
        <v>5644.8</v>
      </c>
      <c r="AZ57" s="106">
        <v>7</v>
      </c>
      <c r="BA57" s="106">
        <v>9878.4</v>
      </c>
      <c r="BB57" s="106">
        <v>7</v>
      </c>
      <c r="BC57" s="106">
        <v>9878.4</v>
      </c>
      <c r="BD57" s="106">
        <v>7</v>
      </c>
      <c r="BE57" s="106">
        <v>9878.4</v>
      </c>
      <c r="BF57" s="106">
        <v>7</v>
      </c>
      <c r="BG57" s="106">
        <v>9878.4</v>
      </c>
      <c r="BH57" s="106">
        <v>5</v>
      </c>
      <c r="BI57" s="106">
        <v>7056</v>
      </c>
      <c r="BJ57" s="106">
        <v>4</v>
      </c>
      <c r="BK57" s="106">
        <v>5644.8</v>
      </c>
      <c r="BL57" s="106">
        <v>4</v>
      </c>
      <c r="BM57" s="106">
        <v>5644.8</v>
      </c>
      <c r="BN57" s="106">
        <v>3</v>
      </c>
      <c r="BO57" s="106">
        <v>4233.6000000000004</v>
      </c>
      <c r="BP57" s="106">
        <v>4</v>
      </c>
      <c r="BQ57" s="106">
        <v>5644.8</v>
      </c>
      <c r="BR57" s="106">
        <v>3</v>
      </c>
      <c r="BS57" s="106">
        <v>4233.6000000000004</v>
      </c>
      <c r="BT57" s="106">
        <v>3</v>
      </c>
      <c r="BU57" s="106">
        <v>4233.6000000000004</v>
      </c>
      <c r="BV57" s="106">
        <v>3</v>
      </c>
      <c r="BW57" s="106">
        <v>4233.6000000000004</v>
      </c>
      <c r="BX57" s="106">
        <v>64</v>
      </c>
      <c r="BY57" s="106">
        <v>90316.800000000003</v>
      </c>
      <c r="BZ57" s="106">
        <v>44</v>
      </c>
      <c r="CA57" s="106">
        <v>62092.800000000003</v>
      </c>
      <c r="CB57" s="106">
        <v>47</v>
      </c>
      <c r="CC57" s="106">
        <v>66326.400000000009</v>
      </c>
      <c r="CD57" s="106">
        <v>67</v>
      </c>
      <c r="CE57" s="106">
        <v>94550.400000000009</v>
      </c>
      <c r="CF57" s="106">
        <v>19</v>
      </c>
      <c r="CG57" s="106">
        <v>26812.799999999999</v>
      </c>
      <c r="CH57" s="106">
        <v>24</v>
      </c>
      <c r="CI57" s="106">
        <v>33868.800000000003</v>
      </c>
      <c r="CJ57" s="106">
        <v>19</v>
      </c>
      <c r="CK57" s="106">
        <v>26812.799999999999</v>
      </c>
      <c r="CL57" s="106">
        <v>17</v>
      </c>
      <c r="CM57" s="106">
        <v>23990.400000000001</v>
      </c>
      <c r="CN57" s="106">
        <v>4</v>
      </c>
      <c r="CO57" s="106">
        <v>5644.8</v>
      </c>
      <c r="CP57" s="106">
        <v>3</v>
      </c>
      <c r="CQ57" s="106">
        <v>4233.6000000000004</v>
      </c>
      <c r="CR57" s="106">
        <v>3</v>
      </c>
      <c r="CS57" s="106">
        <v>4233.6000000000004</v>
      </c>
      <c r="CT57" s="106">
        <v>2</v>
      </c>
      <c r="CU57" s="106">
        <v>2822.4</v>
      </c>
    </row>
    <row r="58" spans="2:99" x14ac:dyDescent="0.2">
      <c r="C58" s="105" t="s">
        <v>223</v>
      </c>
      <c r="D58" s="106">
        <v>5</v>
      </c>
      <c r="E58" s="106">
        <v>5886</v>
      </c>
      <c r="F58" s="106">
        <v>6</v>
      </c>
      <c r="G58" s="106">
        <v>7063.2000000000007</v>
      </c>
      <c r="H58" s="106">
        <v>7</v>
      </c>
      <c r="I58" s="106">
        <v>8240.4</v>
      </c>
      <c r="J58" s="106">
        <v>5</v>
      </c>
      <c r="K58" s="106">
        <v>5886</v>
      </c>
      <c r="L58" s="106">
        <v>28.497565251479745</v>
      </c>
      <c r="M58" s="106">
        <v>33547.333814041958</v>
      </c>
      <c r="N58" s="106">
        <v>20</v>
      </c>
      <c r="O58" s="106">
        <v>23544</v>
      </c>
      <c r="P58" s="106">
        <v>22.367494018164145</v>
      </c>
      <c r="Q58" s="106">
        <v>26331.013958182833</v>
      </c>
      <c r="R58" s="106">
        <v>28.352786956076319</v>
      </c>
      <c r="S58" s="106">
        <v>33376.900804693047</v>
      </c>
      <c r="T58" s="106">
        <v>3.1452551043198738</v>
      </c>
      <c r="U58" s="106">
        <v>3702.5943088053555</v>
      </c>
      <c r="V58" s="106">
        <v>4.1848914523601772</v>
      </c>
      <c r="W58" s="106">
        <v>4926.4542177184012</v>
      </c>
      <c r="X58" s="106">
        <v>4.2169817362885347</v>
      </c>
      <c r="Y58" s="106">
        <v>4964.2308999588631</v>
      </c>
      <c r="Z58" s="106">
        <v>4.2088948112958811</v>
      </c>
      <c r="AA58" s="106">
        <v>4954.7109718575111</v>
      </c>
      <c r="AB58" s="106">
        <v>9.3478546964543536</v>
      </c>
      <c r="AC58" s="106">
        <v>11004.294548666065</v>
      </c>
      <c r="AD58" s="106">
        <v>9.3917975228691937</v>
      </c>
      <c r="AE58" s="106">
        <v>11056.024043921616</v>
      </c>
      <c r="AF58" s="106">
        <v>7.3989540989072147</v>
      </c>
      <c r="AG58" s="106">
        <v>8710.0487652335742</v>
      </c>
      <c r="AH58" s="106">
        <v>7.299644995831307</v>
      </c>
      <c r="AI58" s="106">
        <v>8593.1420890926147</v>
      </c>
      <c r="AJ58" s="106">
        <v>7.0779342034149542</v>
      </c>
      <c r="AK58" s="106">
        <v>8332.1441442600844</v>
      </c>
      <c r="AL58" s="106">
        <v>7.9771016302140429</v>
      </c>
      <c r="AM58" s="106">
        <v>9390.6440390879725</v>
      </c>
      <c r="AN58" s="106">
        <v>7.8062999591989488</v>
      </c>
      <c r="AO58" s="106">
        <v>9189.5763119690037</v>
      </c>
      <c r="AP58" s="106">
        <v>5.6324327039810402</v>
      </c>
      <c r="AQ58" s="106">
        <v>6630.4997791264805</v>
      </c>
      <c r="AR58" s="106">
        <v>3.2979605581928388</v>
      </c>
      <c r="AS58" s="106">
        <v>3882.3591691046099</v>
      </c>
      <c r="AT58" s="106">
        <v>4</v>
      </c>
      <c r="AU58" s="106">
        <v>4708.8</v>
      </c>
      <c r="AV58" s="106">
        <v>3</v>
      </c>
      <c r="AW58" s="106">
        <v>3531.6000000000004</v>
      </c>
      <c r="AX58" s="106">
        <v>4.5700305111342692</v>
      </c>
      <c r="AY58" s="106">
        <v>5379.8399177072615</v>
      </c>
      <c r="AZ58" s="106">
        <v>8</v>
      </c>
      <c r="BA58" s="106">
        <v>9417.6</v>
      </c>
      <c r="BB58" s="106">
        <v>8</v>
      </c>
      <c r="BC58" s="106">
        <v>9417.6</v>
      </c>
      <c r="BD58" s="106">
        <v>8</v>
      </c>
      <c r="BE58" s="106">
        <v>9417.6</v>
      </c>
      <c r="BF58" s="106">
        <v>7</v>
      </c>
      <c r="BG58" s="106">
        <v>8240.4</v>
      </c>
      <c r="BH58" s="106">
        <v>4</v>
      </c>
      <c r="BI58" s="106">
        <v>4708.8</v>
      </c>
      <c r="BJ58" s="106">
        <v>4</v>
      </c>
      <c r="BK58" s="106">
        <v>4708.8</v>
      </c>
      <c r="BL58" s="106">
        <v>4.547155761861168</v>
      </c>
      <c r="BM58" s="106">
        <v>5352.9117628629674</v>
      </c>
      <c r="BN58" s="106">
        <v>3</v>
      </c>
      <c r="BO58" s="106">
        <v>3531.6000000000004</v>
      </c>
      <c r="BP58" s="106">
        <v>4</v>
      </c>
      <c r="BQ58" s="106">
        <v>4708.8</v>
      </c>
      <c r="BR58" s="106">
        <v>3.6173428368119875</v>
      </c>
      <c r="BS58" s="106">
        <v>4258.335987495072</v>
      </c>
      <c r="BT58" s="106">
        <v>4</v>
      </c>
      <c r="BU58" s="106">
        <v>4708.8</v>
      </c>
      <c r="BV58" s="106">
        <v>3</v>
      </c>
      <c r="BW58" s="106">
        <v>3531.6000000000004</v>
      </c>
      <c r="BX58" s="106">
        <v>67</v>
      </c>
      <c r="BY58" s="106">
        <v>78872.400000000009</v>
      </c>
      <c r="BZ58" s="106">
        <v>46</v>
      </c>
      <c r="CA58" s="106">
        <v>54151.200000000004</v>
      </c>
      <c r="CB58" s="106">
        <v>43</v>
      </c>
      <c r="CC58" s="106">
        <v>50619.6</v>
      </c>
      <c r="CD58" s="106">
        <v>78</v>
      </c>
      <c r="CE58" s="106">
        <v>91821.6</v>
      </c>
      <c r="CF58" s="106">
        <v>20.782643023161558</v>
      </c>
      <c r="CG58" s="106">
        <v>24465.327366865786</v>
      </c>
      <c r="CH58" s="106">
        <v>26.697889866406431</v>
      </c>
      <c r="CI58" s="106">
        <v>31428.755950733652</v>
      </c>
      <c r="CJ58" s="106">
        <v>21.172512672581838</v>
      </c>
      <c r="CK58" s="106">
        <v>24924.281918163342</v>
      </c>
      <c r="CL58" s="106">
        <v>17</v>
      </c>
      <c r="CM58" s="106">
        <v>20012.400000000001</v>
      </c>
      <c r="CN58" s="106">
        <v>4</v>
      </c>
      <c r="CO58" s="106">
        <v>4708.8</v>
      </c>
      <c r="CP58" s="106">
        <v>3.7523351593139336</v>
      </c>
      <c r="CQ58" s="106">
        <v>4417.2489495443624</v>
      </c>
      <c r="CR58" s="106">
        <v>3.4601791215569486</v>
      </c>
      <c r="CS58" s="106">
        <v>4073.3228618968401</v>
      </c>
      <c r="CT58" s="106">
        <v>2</v>
      </c>
      <c r="CU58" s="106">
        <v>2354.4</v>
      </c>
    </row>
    <row r="59" spans="2:99" x14ac:dyDescent="0.2">
      <c r="C59" s="105" t="s">
        <v>224</v>
      </c>
      <c r="D59" s="106">
        <v>5</v>
      </c>
      <c r="E59" s="106">
        <v>1517.9999999999998</v>
      </c>
      <c r="F59" s="106">
        <v>6</v>
      </c>
      <c r="G59" s="106">
        <v>1821.6</v>
      </c>
      <c r="H59" s="106">
        <v>7</v>
      </c>
      <c r="I59" s="106">
        <v>2125.1999999999998</v>
      </c>
      <c r="J59" s="106">
        <v>7</v>
      </c>
      <c r="K59" s="106">
        <v>2125.1999999999998</v>
      </c>
      <c r="L59" s="106">
        <v>34</v>
      </c>
      <c r="M59" s="106">
        <v>10322.4</v>
      </c>
      <c r="N59" s="106">
        <v>22</v>
      </c>
      <c r="O59" s="106">
        <v>6679.1999999999989</v>
      </c>
      <c r="P59" s="106">
        <v>25</v>
      </c>
      <c r="Q59" s="106">
        <v>7589.9999999999991</v>
      </c>
      <c r="R59" s="106">
        <v>33</v>
      </c>
      <c r="S59" s="106">
        <v>10018.799999999999</v>
      </c>
      <c r="T59" s="106">
        <v>3</v>
      </c>
      <c r="U59" s="106">
        <v>910.8</v>
      </c>
      <c r="V59" s="106">
        <v>4</v>
      </c>
      <c r="W59" s="106">
        <v>1214.3999999999999</v>
      </c>
      <c r="X59" s="106">
        <v>4</v>
      </c>
      <c r="Y59" s="106">
        <v>1214.3999999999999</v>
      </c>
      <c r="Z59" s="106">
        <v>4</v>
      </c>
      <c r="AA59" s="106">
        <v>1214.3999999999999</v>
      </c>
      <c r="AB59" s="106">
        <v>9</v>
      </c>
      <c r="AC59" s="106">
        <v>2732.3999999999996</v>
      </c>
      <c r="AD59" s="106">
        <v>10</v>
      </c>
      <c r="AE59" s="106">
        <v>3035.9999999999995</v>
      </c>
      <c r="AF59" s="106">
        <v>7</v>
      </c>
      <c r="AG59" s="106">
        <v>2125.1999999999998</v>
      </c>
      <c r="AH59" s="106">
        <v>6</v>
      </c>
      <c r="AI59" s="106">
        <v>1821.6</v>
      </c>
      <c r="AJ59" s="106">
        <v>7</v>
      </c>
      <c r="AK59" s="106">
        <v>2125.1999999999998</v>
      </c>
      <c r="AL59" s="106">
        <v>7</v>
      </c>
      <c r="AM59" s="106">
        <v>2125.1999999999998</v>
      </c>
      <c r="AN59" s="106">
        <v>8</v>
      </c>
      <c r="AO59" s="106">
        <v>2428.7999999999997</v>
      </c>
      <c r="AP59" s="106">
        <v>5</v>
      </c>
      <c r="AQ59" s="106">
        <v>1517.9999999999998</v>
      </c>
      <c r="AR59" s="106">
        <v>4</v>
      </c>
      <c r="AS59" s="106">
        <v>1214.3999999999999</v>
      </c>
      <c r="AT59" s="106">
        <v>4</v>
      </c>
      <c r="AU59" s="106">
        <v>1214.3999999999999</v>
      </c>
      <c r="AV59" s="106">
        <v>3</v>
      </c>
      <c r="AW59" s="106">
        <v>910.8</v>
      </c>
      <c r="AX59" s="106">
        <v>5</v>
      </c>
      <c r="AY59" s="106">
        <v>1517.9999999999998</v>
      </c>
      <c r="AZ59" s="106">
        <v>9</v>
      </c>
      <c r="BA59" s="106">
        <v>2732.3999999999996</v>
      </c>
      <c r="BB59" s="106">
        <v>8</v>
      </c>
      <c r="BC59" s="106">
        <v>2428.7999999999997</v>
      </c>
      <c r="BD59" s="106">
        <v>7</v>
      </c>
      <c r="BE59" s="106">
        <v>2125.1999999999998</v>
      </c>
      <c r="BF59" s="106">
        <v>8</v>
      </c>
      <c r="BG59" s="106">
        <v>2428.7999999999997</v>
      </c>
      <c r="BH59" s="106">
        <v>5</v>
      </c>
      <c r="BI59" s="106">
        <v>1517.9999999999998</v>
      </c>
      <c r="BJ59" s="106">
        <v>4</v>
      </c>
      <c r="BK59" s="106">
        <v>1214.3999999999999</v>
      </c>
      <c r="BL59" s="106">
        <v>5</v>
      </c>
      <c r="BM59" s="106">
        <v>1517.9999999999998</v>
      </c>
      <c r="BN59" s="106">
        <v>3</v>
      </c>
      <c r="BO59" s="106">
        <v>910.8</v>
      </c>
      <c r="BP59" s="106">
        <v>4</v>
      </c>
      <c r="BQ59" s="106">
        <v>1214.3999999999999</v>
      </c>
      <c r="BR59" s="106">
        <v>4</v>
      </c>
      <c r="BS59" s="106">
        <v>1214.3999999999999</v>
      </c>
      <c r="BT59" s="106">
        <v>4</v>
      </c>
      <c r="BU59" s="106">
        <v>1214.3999999999999</v>
      </c>
      <c r="BV59" s="106">
        <v>3</v>
      </c>
      <c r="BW59" s="106">
        <v>910.8</v>
      </c>
      <c r="BX59" s="106">
        <v>80</v>
      </c>
      <c r="BY59" s="106">
        <v>24287.999999999996</v>
      </c>
      <c r="BZ59" s="106">
        <v>50</v>
      </c>
      <c r="CA59" s="106">
        <v>15179.999999999998</v>
      </c>
      <c r="CB59" s="106">
        <v>60</v>
      </c>
      <c r="CC59" s="106">
        <v>18215.999999999996</v>
      </c>
      <c r="CD59" s="106">
        <v>89</v>
      </c>
      <c r="CE59" s="106">
        <v>27020.399999999998</v>
      </c>
      <c r="CF59" s="106">
        <v>23</v>
      </c>
      <c r="CG59" s="106">
        <v>6982.7999999999993</v>
      </c>
      <c r="CH59" s="106">
        <v>27</v>
      </c>
      <c r="CI59" s="106">
        <v>8197.1999999999989</v>
      </c>
      <c r="CJ59" s="106">
        <v>26</v>
      </c>
      <c r="CK59" s="106">
        <v>7893.5999999999995</v>
      </c>
      <c r="CL59" s="106">
        <v>22</v>
      </c>
      <c r="CM59" s="106">
        <v>6679.1999999999989</v>
      </c>
      <c r="CN59" s="106">
        <v>4</v>
      </c>
      <c r="CO59" s="106">
        <v>1214.3999999999999</v>
      </c>
      <c r="CP59" s="106">
        <v>4</v>
      </c>
      <c r="CQ59" s="106">
        <v>1214.3999999999999</v>
      </c>
      <c r="CR59" s="106">
        <v>4</v>
      </c>
      <c r="CS59" s="106">
        <v>1214.3999999999999</v>
      </c>
      <c r="CT59" s="106">
        <v>2</v>
      </c>
      <c r="CU59" s="106">
        <v>607.19999999999993</v>
      </c>
    </row>
    <row r="60" spans="2:99" x14ac:dyDescent="0.2">
      <c r="C60" s="105" t="s">
        <v>225</v>
      </c>
      <c r="D60" s="106">
        <v>5</v>
      </c>
      <c r="E60" s="106">
        <v>3258</v>
      </c>
      <c r="F60" s="106">
        <v>6</v>
      </c>
      <c r="G60" s="106">
        <v>3909.6000000000004</v>
      </c>
      <c r="H60" s="106">
        <v>6</v>
      </c>
      <c r="I60" s="106">
        <v>3909.6000000000004</v>
      </c>
      <c r="J60" s="106">
        <v>6</v>
      </c>
      <c r="K60" s="106">
        <v>3909.6000000000004</v>
      </c>
      <c r="L60" s="106">
        <v>33</v>
      </c>
      <c r="M60" s="106">
        <v>21502.799999999999</v>
      </c>
      <c r="N60" s="106">
        <v>19</v>
      </c>
      <c r="O60" s="106">
        <v>12380.4</v>
      </c>
      <c r="P60" s="106">
        <v>21</v>
      </c>
      <c r="Q60" s="106">
        <v>13683.6</v>
      </c>
      <c r="R60" s="106">
        <v>29</v>
      </c>
      <c r="S60" s="106">
        <v>18896.400000000001</v>
      </c>
      <c r="T60" s="106">
        <v>2</v>
      </c>
      <c r="U60" s="106">
        <v>1303.2</v>
      </c>
      <c r="V60" s="106">
        <v>4</v>
      </c>
      <c r="W60" s="106">
        <v>2606.4</v>
      </c>
      <c r="X60" s="106">
        <v>4</v>
      </c>
      <c r="Y60" s="106">
        <v>2606.4</v>
      </c>
      <c r="Z60" s="106">
        <v>4</v>
      </c>
      <c r="AA60" s="106">
        <v>2606.4</v>
      </c>
      <c r="AB60" s="106">
        <v>9</v>
      </c>
      <c r="AC60" s="106">
        <v>5864.4000000000005</v>
      </c>
      <c r="AD60" s="106">
        <v>10</v>
      </c>
      <c r="AE60" s="106">
        <v>6516</v>
      </c>
      <c r="AF60" s="106">
        <v>6</v>
      </c>
      <c r="AG60" s="106">
        <v>3909.6000000000004</v>
      </c>
      <c r="AH60" s="106">
        <v>6</v>
      </c>
      <c r="AI60" s="106">
        <v>3909.6000000000004</v>
      </c>
      <c r="AJ60" s="106">
        <v>7</v>
      </c>
      <c r="AK60" s="106">
        <v>4561.2</v>
      </c>
      <c r="AL60" s="106">
        <v>8</v>
      </c>
      <c r="AM60" s="106">
        <v>5212.8</v>
      </c>
      <c r="AN60" s="106">
        <v>8</v>
      </c>
      <c r="AO60" s="106">
        <v>5212.8</v>
      </c>
      <c r="AP60" s="106">
        <v>5</v>
      </c>
      <c r="AQ60" s="106">
        <v>3258</v>
      </c>
      <c r="AR60" s="106">
        <v>3</v>
      </c>
      <c r="AS60" s="106">
        <v>1954.8000000000002</v>
      </c>
      <c r="AT60" s="106">
        <v>5</v>
      </c>
      <c r="AU60" s="106">
        <v>3258</v>
      </c>
      <c r="AV60" s="106">
        <v>3</v>
      </c>
      <c r="AW60" s="106">
        <v>1954.8000000000002</v>
      </c>
      <c r="AX60" s="106">
        <v>4</v>
      </c>
      <c r="AY60" s="106">
        <v>2606.4</v>
      </c>
      <c r="AZ60" s="106">
        <v>8</v>
      </c>
      <c r="BA60" s="106">
        <v>5212.8</v>
      </c>
      <c r="BB60" s="106">
        <v>8</v>
      </c>
      <c r="BC60" s="106">
        <v>5212.8</v>
      </c>
      <c r="BD60" s="106">
        <v>7</v>
      </c>
      <c r="BE60" s="106">
        <v>4561.2</v>
      </c>
      <c r="BF60" s="106">
        <v>8</v>
      </c>
      <c r="BG60" s="106">
        <v>5212.8</v>
      </c>
      <c r="BH60" s="106">
        <v>5</v>
      </c>
      <c r="BI60" s="106">
        <v>3258</v>
      </c>
      <c r="BJ60" s="106">
        <v>4</v>
      </c>
      <c r="BK60" s="106">
        <v>2606.4</v>
      </c>
      <c r="BL60" s="106">
        <v>4</v>
      </c>
      <c r="BM60" s="106">
        <v>2606.4</v>
      </c>
      <c r="BN60" s="106">
        <v>3</v>
      </c>
      <c r="BO60" s="106">
        <v>1954.8000000000002</v>
      </c>
      <c r="BP60" s="106">
        <v>4</v>
      </c>
      <c r="BQ60" s="106">
        <v>2606.4</v>
      </c>
      <c r="BR60" s="106">
        <v>4</v>
      </c>
      <c r="BS60" s="106">
        <v>2606.4</v>
      </c>
      <c r="BT60" s="106">
        <v>4</v>
      </c>
      <c r="BU60" s="106">
        <v>2606.4</v>
      </c>
      <c r="BV60" s="106">
        <v>3</v>
      </c>
      <c r="BW60" s="106">
        <v>1954.8000000000002</v>
      </c>
      <c r="BX60" s="106">
        <v>73</v>
      </c>
      <c r="BY60" s="106">
        <v>47566.8</v>
      </c>
      <c r="BZ60" s="106">
        <v>47</v>
      </c>
      <c r="CA60" s="106">
        <v>30625.200000000001</v>
      </c>
      <c r="CB60" s="106">
        <v>55</v>
      </c>
      <c r="CC60" s="106">
        <v>35838</v>
      </c>
      <c r="CD60" s="106">
        <v>88</v>
      </c>
      <c r="CE60" s="106">
        <v>57340.800000000003</v>
      </c>
      <c r="CF60" s="106">
        <v>21</v>
      </c>
      <c r="CG60" s="106">
        <v>13683.6</v>
      </c>
      <c r="CH60" s="106">
        <v>31</v>
      </c>
      <c r="CI60" s="106">
        <v>20199.600000000002</v>
      </c>
      <c r="CJ60" s="106">
        <v>23</v>
      </c>
      <c r="CK60" s="106">
        <v>14986.800000000001</v>
      </c>
      <c r="CL60" s="106">
        <v>17</v>
      </c>
      <c r="CM60" s="106">
        <v>11077.2</v>
      </c>
      <c r="CN60" s="106">
        <v>4</v>
      </c>
      <c r="CO60" s="106">
        <v>2606.4</v>
      </c>
      <c r="CP60" s="106">
        <v>3</v>
      </c>
      <c r="CQ60" s="106">
        <v>1954.8000000000002</v>
      </c>
      <c r="CR60" s="106">
        <v>4</v>
      </c>
      <c r="CS60" s="106">
        <v>2606.4</v>
      </c>
      <c r="CT60" s="106">
        <v>2</v>
      </c>
      <c r="CU60" s="106">
        <v>1303.2</v>
      </c>
    </row>
    <row r="61" spans="2:99" x14ac:dyDescent="0.2">
      <c r="C61" s="105" t="s">
        <v>226</v>
      </c>
      <c r="D61" s="106">
        <v>6</v>
      </c>
      <c r="E61" s="106">
        <v>5709.5999999999995</v>
      </c>
      <c r="F61" s="106">
        <v>6</v>
      </c>
      <c r="G61" s="106">
        <v>5709.5999999999995</v>
      </c>
      <c r="H61" s="106">
        <v>6</v>
      </c>
      <c r="I61" s="106">
        <v>5709.5999999999995</v>
      </c>
      <c r="J61" s="106">
        <v>6</v>
      </c>
      <c r="K61" s="106">
        <v>5709.5999999999995</v>
      </c>
      <c r="L61" s="106">
        <v>31</v>
      </c>
      <c r="M61" s="106">
        <v>29499.599999999999</v>
      </c>
      <c r="N61" s="106">
        <v>21</v>
      </c>
      <c r="O61" s="106">
        <v>19983.599999999999</v>
      </c>
      <c r="P61" s="106">
        <v>22</v>
      </c>
      <c r="Q61" s="106">
        <v>20935.199999999997</v>
      </c>
      <c r="R61" s="106">
        <v>29</v>
      </c>
      <c r="S61" s="106">
        <v>27596.399999999998</v>
      </c>
      <c r="T61" s="106">
        <v>3</v>
      </c>
      <c r="U61" s="106">
        <v>2854.7999999999997</v>
      </c>
      <c r="V61" s="106">
        <v>3</v>
      </c>
      <c r="W61" s="106">
        <v>2854.7999999999997</v>
      </c>
      <c r="X61" s="106">
        <v>4</v>
      </c>
      <c r="Y61" s="106">
        <v>3806.3999999999996</v>
      </c>
      <c r="Z61" s="106">
        <v>4</v>
      </c>
      <c r="AA61" s="106">
        <v>3806.3999999999996</v>
      </c>
      <c r="AB61" s="106">
        <v>9</v>
      </c>
      <c r="AC61" s="106">
        <v>8564.4</v>
      </c>
      <c r="AD61" s="106">
        <v>9</v>
      </c>
      <c r="AE61" s="106">
        <v>8564.4</v>
      </c>
      <c r="AF61" s="106">
        <v>6</v>
      </c>
      <c r="AG61" s="106">
        <v>5709.5999999999995</v>
      </c>
      <c r="AH61" s="106">
        <v>6</v>
      </c>
      <c r="AI61" s="106">
        <v>5709.5999999999995</v>
      </c>
      <c r="AJ61" s="106">
        <v>7</v>
      </c>
      <c r="AK61" s="106">
        <v>6661.1999999999989</v>
      </c>
      <c r="AL61" s="106">
        <v>7</v>
      </c>
      <c r="AM61" s="106">
        <v>6661.1999999999989</v>
      </c>
      <c r="AN61" s="106">
        <v>7</v>
      </c>
      <c r="AO61" s="106">
        <v>6661.1999999999989</v>
      </c>
      <c r="AP61" s="106">
        <v>5</v>
      </c>
      <c r="AQ61" s="106">
        <v>4758</v>
      </c>
      <c r="AR61" s="106">
        <v>3</v>
      </c>
      <c r="AS61" s="106">
        <v>2854.7999999999997</v>
      </c>
      <c r="AT61" s="106">
        <v>5</v>
      </c>
      <c r="AU61" s="106">
        <v>4758</v>
      </c>
      <c r="AV61" s="106">
        <v>3</v>
      </c>
      <c r="AW61" s="106">
        <v>2854.7999999999997</v>
      </c>
      <c r="AX61" s="106">
        <v>4</v>
      </c>
      <c r="AY61" s="106">
        <v>3806.3999999999996</v>
      </c>
      <c r="AZ61" s="106">
        <v>8</v>
      </c>
      <c r="BA61" s="106">
        <v>7612.7999999999993</v>
      </c>
      <c r="BB61" s="106">
        <v>9</v>
      </c>
      <c r="BC61" s="106">
        <v>8564.4</v>
      </c>
      <c r="BD61" s="106">
        <v>7</v>
      </c>
      <c r="BE61" s="106">
        <v>6661.1999999999989</v>
      </c>
      <c r="BF61" s="106">
        <v>7</v>
      </c>
      <c r="BG61" s="106">
        <v>6661.1999999999989</v>
      </c>
      <c r="BH61" s="106">
        <v>5</v>
      </c>
      <c r="BI61" s="106">
        <v>4758</v>
      </c>
      <c r="BJ61" s="106">
        <v>4</v>
      </c>
      <c r="BK61" s="106">
        <v>3806.3999999999996</v>
      </c>
      <c r="BL61" s="106">
        <v>4</v>
      </c>
      <c r="BM61" s="106">
        <v>3806.3999999999996</v>
      </c>
      <c r="BN61" s="106">
        <v>3</v>
      </c>
      <c r="BO61" s="106">
        <v>2854.7999999999997</v>
      </c>
      <c r="BP61" s="106">
        <v>4</v>
      </c>
      <c r="BQ61" s="106">
        <v>3806.3999999999996</v>
      </c>
      <c r="BR61" s="106">
        <v>3</v>
      </c>
      <c r="BS61" s="106">
        <v>2854.7999999999997</v>
      </c>
      <c r="BT61" s="106">
        <v>4</v>
      </c>
      <c r="BU61" s="106">
        <v>3806.3999999999996</v>
      </c>
      <c r="BV61" s="106">
        <v>3</v>
      </c>
      <c r="BW61" s="106">
        <v>2854.7999999999997</v>
      </c>
      <c r="BX61" s="106">
        <v>70</v>
      </c>
      <c r="BY61" s="106">
        <v>66612</v>
      </c>
      <c r="BZ61" s="106">
        <v>42</v>
      </c>
      <c r="CA61" s="106">
        <v>39967.199999999997</v>
      </c>
      <c r="CB61" s="106">
        <v>47</v>
      </c>
      <c r="CC61" s="106">
        <v>44725.2</v>
      </c>
      <c r="CD61" s="106">
        <v>80</v>
      </c>
      <c r="CE61" s="106">
        <v>76128</v>
      </c>
      <c r="CF61" s="106">
        <v>22</v>
      </c>
      <c r="CG61" s="106">
        <v>20935.199999999997</v>
      </c>
      <c r="CH61" s="106">
        <v>26</v>
      </c>
      <c r="CI61" s="106">
        <v>24741.599999999999</v>
      </c>
      <c r="CJ61" s="106">
        <v>23</v>
      </c>
      <c r="CK61" s="106">
        <v>21886.799999999999</v>
      </c>
      <c r="CL61" s="106">
        <v>17</v>
      </c>
      <c r="CM61" s="106">
        <v>16177.199999999999</v>
      </c>
      <c r="CN61" s="106">
        <v>4</v>
      </c>
      <c r="CO61" s="106">
        <v>3806.3999999999996</v>
      </c>
      <c r="CP61" s="106">
        <v>3</v>
      </c>
      <c r="CQ61" s="106">
        <v>2854.7999999999997</v>
      </c>
      <c r="CR61" s="106">
        <v>3</v>
      </c>
      <c r="CS61" s="106">
        <v>2854.7999999999997</v>
      </c>
      <c r="CT61" s="106">
        <v>2</v>
      </c>
      <c r="CU61" s="106">
        <v>1903.1999999999998</v>
      </c>
    </row>
    <row r="62" spans="2:99" x14ac:dyDescent="0.2">
      <c r="C62" s="105" t="s">
        <v>227</v>
      </c>
      <c r="D62" s="106">
        <v>5</v>
      </c>
      <c r="E62" s="106">
        <v>8526</v>
      </c>
      <c r="F62" s="106">
        <v>6</v>
      </c>
      <c r="G62" s="106">
        <v>10231.200000000001</v>
      </c>
      <c r="H62" s="106">
        <v>5</v>
      </c>
      <c r="I62" s="106">
        <v>8526</v>
      </c>
      <c r="J62" s="106">
        <v>5</v>
      </c>
      <c r="K62" s="106">
        <v>8526</v>
      </c>
      <c r="L62" s="106">
        <v>27</v>
      </c>
      <c r="M62" s="106">
        <v>46040.4</v>
      </c>
      <c r="N62" s="106">
        <v>17</v>
      </c>
      <c r="O62" s="106">
        <v>28988.400000000001</v>
      </c>
      <c r="P62" s="106">
        <v>20</v>
      </c>
      <c r="Q62" s="106">
        <v>34104</v>
      </c>
      <c r="R62" s="106">
        <v>23</v>
      </c>
      <c r="S62" s="106">
        <v>39219.599999999999</v>
      </c>
      <c r="T62" s="106">
        <v>3</v>
      </c>
      <c r="U62" s="106">
        <v>5115.6000000000004</v>
      </c>
      <c r="V62" s="106">
        <v>4</v>
      </c>
      <c r="W62" s="106">
        <v>6820.8</v>
      </c>
      <c r="X62" s="106">
        <v>4</v>
      </c>
      <c r="Y62" s="106">
        <v>6820.8</v>
      </c>
      <c r="Z62" s="106">
        <v>3</v>
      </c>
      <c r="AA62" s="106">
        <v>5115.6000000000004</v>
      </c>
      <c r="AB62" s="106">
        <v>9</v>
      </c>
      <c r="AC62" s="106">
        <v>15346.800000000001</v>
      </c>
      <c r="AD62" s="106">
        <v>8</v>
      </c>
      <c r="AE62" s="106">
        <v>13641.6</v>
      </c>
      <c r="AF62" s="106">
        <v>5</v>
      </c>
      <c r="AG62" s="106">
        <v>8526</v>
      </c>
      <c r="AH62" s="106">
        <v>6</v>
      </c>
      <c r="AI62" s="106">
        <v>10231.200000000001</v>
      </c>
      <c r="AJ62" s="106">
        <v>7</v>
      </c>
      <c r="AK62" s="106">
        <v>11936.4</v>
      </c>
      <c r="AL62" s="106">
        <v>7</v>
      </c>
      <c r="AM62" s="106">
        <v>11936.4</v>
      </c>
      <c r="AN62" s="106">
        <v>7</v>
      </c>
      <c r="AO62" s="106">
        <v>11936.4</v>
      </c>
      <c r="AP62" s="106">
        <v>4</v>
      </c>
      <c r="AQ62" s="106">
        <v>6820.8</v>
      </c>
      <c r="AR62" s="106">
        <v>3</v>
      </c>
      <c r="AS62" s="106">
        <v>5115.6000000000004</v>
      </c>
      <c r="AT62" s="106">
        <v>4</v>
      </c>
      <c r="AU62" s="106">
        <v>6820.8</v>
      </c>
      <c r="AV62" s="106">
        <v>3</v>
      </c>
      <c r="AW62" s="106">
        <v>5115.6000000000004</v>
      </c>
      <c r="AX62" s="106">
        <v>4</v>
      </c>
      <c r="AY62" s="106">
        <v>6820.8</v>
      </c>
      <c r="AZ62" s="106">
        <v>7</v>
      </c>
      <c r="BA62" s="106">
        <v>11936.4</v>
      </c>
      <c r="BB62" s="106">
        <v>7</v>
      </c>
      <c r="BC62" s="106">
        <v>11936.4</v>
      </c>
      <c r="BD62" s="106">
        <v>7</v>
      </c>
      <c r="BE62" s="106">
        <v>11936.4</v>
      </c>
      <c r="BF62" s="106">
        <v>7</v>
      </c>
      <c r="BG62" s="106">
        <v>11936.4</v>
      </c>
      <c r="BH62" s="106">
        <v>4</v>
      </c>
      <c r="BI62" s="106">
        <v>6820.8</v>
      </c>
      <c r="BJ62" s="106">
        <v>4</v>
      </c>
      <c r="BK62" s="106">
        <v>6820.8</v>
      </c>
      <c r="BL62" s="106">
        <v>4</v>
      </c>
      <c r="BM62" s="106">
        <v>6820.8</v>
      </c>
      <c r="BN62" s="106">
        <v>3</v>
      </c>
      <c r="BO62" s="106">
        <v>5115.6000000000004</v>
      </c>
      <c r="BP62" s="106">
        <v>4</v>
      </c>
      <c r="BQ62" s="106">
        <v>6820.8</v>
      </c>
      <c r="BR62" s="106">
        <v>3</v>
      </c>
      <c r="BS62" s="106">
        <v>5115.6000000000004</v>
      </c>
      <c r="BT62" s="106">
        <v>4</v>
      </c>
      <c r="BU62" s="106">
        <v>6820.8</v>
      </c>
      <c r="BV62" s="106">
        <v>3</v>
      </c>
      <c r="BW62" s="106">
        <v>5115.6000000000004</v>
      </c>
      <c r="BX62" s="106">
        <v>59</v>
      </c>
      <c r="BY62" s="106">
        <v>100606.8</v>
      </c>
      <c r="BZ62" s="106">
        <v>38</v>
      </c>
      <c r="CA62" s="106">
        <v>64797.599999999999</v>
      </c>
      <c r="CB62" s="106">
        <v>42</v>
      </c>
      <c r="CC62" s="106">
        <v>71618.400000000009</v>
      </c>
      <c r="CD62" s="106">
        <v>59</v>
      </c>
      <c r="CE62" s="106">
        <v>100606.8</v>
      </c>
      <c r="CF62" s="106">
        <v>18</v>
      </c>
      <c r="CG62" s="106">
        <v>30693.600000000002</v>
      </c>
      <c r="CH62" s="106">
        <v>23</v>
      </c>
      <c r="CI62" s="106">
        <v>39219.599999999999</v>
      </c>
      <c r="CJ62" s="106">
        <v>19</v>
      </c>
      <c r="CK62" s="106">
        <v>32398.799999999999</v>
      </c>
      <c r="CL62" s="106">
        <v>15</v>
      </c>
      <c r="CM62" s="106">
        <v>25578</v>
      </c>
      <c r="CN62" s="106">
        <v>4</v>
      </c>
      <c r="CO62" s="106">
        <v>6820.8</v>
      </c>
      <c r="CP62" s="106">
        <v>3</v>
      </c>
      <c r="CQ62" s="106">
        <v>5115.6000000000004</v>
      </c>
      <c r="CR62" s="106">
        <v>3</v>
      </c>
      <c r="CS62" s="106">
        <v>5115.6000000000004</v>
      </c>
      <c r="CT62" s="106">
        <v>2</v>
      </c>
      <c r="CU62" s="106">
        <v>3410.4</v>
      </c>
    </row>
    <row r="63" spans="2:99" x14ac:dyDescent="0.2">
      <c r="C63" s="105" t="s">
        <v>228</v>
      </c>
      <c r="D63" s="106">
        <v>6</v>
      </c>
      <c r="E63" s="106">
        <v>4773.6000000000004</v>
      </c>
      <c r="F63" s="106">
        <v>7</v>
      </c>
      <c r="G63" s="106">
        <v>5569.2</v>
      </c>
      <c r="H63" s="106">
        <v>6</v>
      </c>
      <c r="I63" s="106">
        <v>4773.6000000000004</v>
      </c>
      <c r="J63" s="106">
        <v>6</v>
      </c>
      <c r="K63" s="106">
        <v>4773.6000000000004</v>
      </c>
      <c r="L63" s="106">
        <v>32</v>
      </c>
      <c r="M63" s="106">
        <v>25459.200000000001</v>
      </c>
      <c r="N63" s="106">
        <v>22</v>
      </c>
      <c r="O63" s="106">
        <v>17503.2</v>
      </c>
      <c r="P63" s="106">
        <v>21</v>
      </c>
      <c r="Q63" s="106">
        <v>16707.600000000002</v>
      </c>
      <c r="R63" s="106">
        <v>30</v>
      </c>
      <c r="S63" s="106">
        <v>23868</v>
      </c>
      <c r="T63" s="106">
        <v>2</v>
      </c>
      <c r="U63" s="106">
        <v>1591.2</v>
      </c>
      <c r="V63" s="106">
        <v>4</v>
      </c>
      <c r="W63" s="106">
        <v>3182.4</v>
      </c>
      <c r="X63" s="106">
        <v>4</v>
      </c>
      <c r="Y63" s="106">
        <v>3182.4</v>
      </c>
      <c r="Z63" s="106">
        <v>4</v>
      </c>
      <c r="AA63" s="106">
        <v>3182.4</v>
      </c>
      <c r="AB63" s="106">
        <v>10</v>
      </c>
      <c r="AC63" s="106">
        <v>7956</v>
      </c>
      <c r="AD63" s="106">
        <v>9</v>
      </c>
      <c r="AE63" s="106">
        <v>7160.4000000000005</v>
      </c>
      <c r="AF63" s="106">
        <v>7</v>
      </c>
      <c r="AG63" s="106">
        <v>5569.2</v>
      </c>
      <c r="AH63" s="106">
        <v>6</v>
      </c>
      <c r="AI63" s="106">
        <v>4773.6000000000004</v>
      </c>
      <c r="AJ63" s="106">
        <v>6</v>
      </c>
      <c r="AK63" s="106">
        <v>4773.6000000000004</v>
      </c>
      <c r="AL63" s="106">
        <v>7</v>
      </c>
      <c r="AM63" s="106">
        <v>5569.2</v>
      </c>
      <c r="AN63" s="106">
        <v>8</v>
      </c>
      <c r="AO63" s="106">
        <v>6364.8</v>
      </c>
      <c r="AP63" s="106">
        <v>5</v>
      </c>
      <c r="AQ63" s="106">
        <v>3978</v>
      </c>
      <c r="AR63" s="106">
        <v>3</v>
      </c>
      <c r="AS63" s="106">
        <v>2386.8000000000002</v>
      </c>
      <c r="AT63" s="106">
        <v>5</v>
      </c>
      <c r="AU63" s="106">
        <v>3978</v>
      </c>
      <c r="AV63" s="106">
        <v>3</v>
      </c>
      <c r="AW63" s="106">
        <v>2386.8000000000002</v>
      </c>
      <c r="AX63" s="106">
        <v>4</v>
      </c>
      <c r="AY63" s="106">
        <v>3182.4</v>
      </c>
      <c r="AZ63" s="106">
        <v>7</v>
      </c>
      <c r="BA63" s="106">
        <v>5569.2</v>
      </c>
      <c r="BB63" s="106">
        <v>8</v>
      </c>
      <c r="BC63" s="106">
        <v>6364.8</v>
      </c>
      <c r="BD63" s="106">
        <v>8</v>
      </c>
      <c r="BE63" s="106">
        <v>6364.8</v>
      </c>
      <c r="BF63" s="106">
        <v>8</v>
      </c>
      <c r="BG63" s="106">
        <v>6364.8</v>
      </c>
      <c r="BH63" s="106">
        <v>5</v>
      </c>
      <c r="BI63" s="106">
        <v>3978</v>
      </c>
      <c r="BJ63" s="106">
        <v>4</v>
      </c>
      <c r="BK63" s="106">
        <v>3182.4</v>
      </c>
      <c r="BL63" s="106">
        <v>5</v>
      </c>
      <c r="BM63" s="106">
        <v>3978</v>
      </c>
      <c r="BN63" s="106">
        <v>3</v>
      </c>
      <c r="BO63" s="106">
        <v>2386.8000000000002</v>
      </c>
      <c r="BP63" s="106">
        <v>4</v>
      </c>
      <c r="BQ63" s="106">
        <v>3182.4</v>
      </c>
      <c r="BR63" s="106">
        <v>4</v>
      </c>
      <c r="BS63" s="106">
        <v>3182.4</v>
      </c>
      <c r="BT63" s="106">
        <v>4</v>
      </c>
      <c r="BU63" s="106">
        <v>3182.4</v>
      </c>
      <c r="BV63" s="106">
        <v>2</v>
      </c>
      <c r="BW63" s="106">
        <v>1591.2</v>
      </c>
      <c r="BX63" s="106">
        <v>78</v>
      </c>
      <c r="BY63" s="106">
        <v>62056.800000000003</v>
      </c>
      <c r="BZ63" s="106">
        <v>48</v>
      </c>
      <c r="CA63" s="106">
        <v>38188.800000000003</v>
      </c>
      <c r="CB63" s="106">
        <v>46</v>
      </c>
      <c r="CC63" s="106">
        <v>36597.599999999999</v>
      </c>
      <c r="CD63" s="106">
        <v>75</v>
      </c>
      <c r="CE63" s="106">
        <v>59670</v>
      </c>
      <c r="CF63" s="106">
        <v>21</v>
      </c>
      <c r="CG63" s="106">
        <v>16707.600000000002</v>
      </c>
      <c r="CH63" s="106">
        <v>26</v>
      </c>
      <c r="CI63" s="106">
        <v>20685.600000000002</v>
      </c>
      <c r="CJ63" s="106">
        <v>22</v>
      </c>
      <c r="CK63" s="106">
        <v>17503.2</v>
      </c>
      <c r="CL63" s="106">
        <v>20</v>
      </c>
      <c r="CM63" s="106">
        <v>15912</v>
      </c>
      <c r="CN63" s="106">
        <v>4</v>
      </c>
      <c r="CO63" s="106">
        <v>3182.4</v>
      </c>
      <c r="CP63" s="106">
        <v>4</v>
      </c>
      <c r="CQ63" s="106">
        <v>3182.4</v>
      </c>
      <c r="CR63" s="106">
        <v>4</v>
      </c>
      <c r="CS63" s="106">
        <v>3182.4</v>
      </c>
      <c r="CT63" s="106">
        <v>2</v>
      </c>
      <c r="CU63" s="106">
        <v>1591.2</v>
      </c>
    </row>
    <row r="64" spans="2:99" x14ac:dyDescent="0.2">
      <c r="C64" s="105" t="s">
        <v>229</v>
      </c>
      <c r="D64" s="106">
        <v>6</v>
      </c>
      <c r="E64" s="106">
        <v>6055.1999999999989</v>
      </c>
      <c r="F64" s="106">
        <v>6</v>
      </c>
      <c r="G64" s="106">
        <v>6055.1999999999989</v>
      </c>
      <c r="H64" s="106">
        <v>7</v>
      </c>
      <c r="I64" s="106">
        <v>7064.3999999999987</v>
      </c>
      <c r="J64" s="106">
        <v>6</v>
      </c>
      <c r="K64" s="106">
        <v>6055.1999999999989</v>
      </c>
      <c r="L64" s="106">
        <v>30</v>
      </c>
      <c r="M64" s="106">
        <v>30275.999999999993</v>
      </c>
      <c r="N64" s="106">
        <v>21</v>
      </c>
      <c r="O64" s="106">
        <v>21193.199999999997</v>
      </c>
      <c r="P64" s="106">
        <v>21</v>
      </c>
      <c r="Q64" s="106">
        <v>21193.199999999997</v>
      </c>
      <c r="R64" s="106">
        <v>26</v>
      </c>
      <c r="S64" s="106">
        <v>26239.199999999997</v>
      </c>
      <c r="T64" s="106">
        <v>2</v>
      </c>
      <c r="U64" s="106">
        <v>2018.3999999999996</v>
      </c>
      <c r="V64" s="106">
        <v>4</v>
      </c>
      <c r="W64" s="106">
        <v>4036.7999999999993</v>
      </c>
      <c r="X64" s="106">
        <v>4</v>
      </c>
      <c r="Y64" s="106">
        <v>4036.7999999999993</v>
      </c>
      <c r="Z64" s="106">
        <v>4</v>
      </c>
      <c r="AA64" s="106">
        <v>4036.7999999999993</v>
      </c>
      <c r="AB64" s="106">
        <v>9</v>
      </c>
      <c r="AC64" s="106">
        <v>9082.7999999999993</v>
      </c>
      <c r="AD64" s="106">
        <v>9</v>
      </c>
      <c r="AE64" s="106">
        <v>9082.7999999999993</v>
      </c>
      <c r="AF64" s="106">
        <v>6</v>
      </c>
      <c r="AG64" s="106">
        <v>6055.1999999999989</v>
      </c>
      <c r="AH64" s="106">
        <v>6</v>
      </c>
      <c r="AI64" s="106">
        <v>6055.1999999999989</v>
      </c>
      <c r="AJ64" s="106">
        <v>7</v>
      </c>
      <c r="AK64" s="106">
        <v>7064.3999999999987</v>
      </c>
      <c r="AL64" s="106">
        <v>7</v>
      </c>
      <c r="AM64" s="106">
        <v>7064.3999999999987</v>
      </c>
      <c r="AN64" s="106">
        <v>7</v>
      </c>
      <c r="AO64" s="106">
        <v>7064.3999999999987</v>
      </c>
      <c r="AP64" s="106">
        <v>5</v>
      </c>
      <c r="AQ64" s="106">
        <v>5045.9999999999991</v>
      </c>
      <c r="AR64" s="106">
        <v>3</v>
      </c>
      <c r="AS64" s="106">
        <v>3027.5999999999995</v>
      </c>
      <c r="AT64" s="106">
        <v>5</v>
      </c>
      <c r="AU64" s="106">
        <v>5045.9999999999991</v>
      </c>
      <c r="AV64" s="106">
        <v>3</v>
      </c>
      <c r="AW64" s="106">
        <v>3027.5999999999995</v>
      </c>
      <c r="AX64" s="106">
        <v>4</v>
      </c>
      <c r="AY64" s="106">
        <v>4036.7999999999993</v>
      </c>
      <c r="AZ64" s="106">
        <v>7</v>
      </c>
      <c r="BA64" s="106">
        <v>7064.3999999999987</v>
      </c>
      <c r="BB64" s="106">
        <v>8</v>
      </c>
      <c r="BC64" s="106">
        <v>8073.5999999999985</v>
      </c>
      <c r="BD64" s="106">
        <v>7</v>
      </c>
      <c r="BE64" s="106">
        <v>7064.3999999999987</v>
      </c>
      <c r="BF64" s="106">
        <v>7</v>
      </c>
      <c r="BG64" s="106">
        <v>7064.3999999999987</v>
      </c>
      <c r="BH64" s="106">
        <v>4</v>
      </c>
      <c r="BI64" s="106">
        <v>4036.7999999999993</v>
      </c>
      <c r="BJ64" s="106">
        <v>4</v>
      </c>
      <c r="BK64" s="106">
        <v>4036.7999999999993</v>
      </c>
      <c r="BL64" s="106">
        <v>5</v>
      </c>
      <c r="BM64" s="106">
        <v>5045.9999999999991</v>
      </c>
      <c r="BN64" s="106">
        <v>3</v>
      </c>
      <c r="BO64" s="106">
        <v>3027.5999999999995</v>
      </c>
      <c r="BP64" s="106">
        <v>4</v>
      </c>
      <c r="BQ64" s="106">
        <v>4036.7999999999993</v>
      </c>
      <c r="BR64" s="106">
        <v>3</v>
      </c>
      <c r="BS64" s="106">
        <v>3027.5999999999995</v>
      </c>
      <c r="BT64" s="106">
        <v>4</v>
      </c>
      <c r="BU64" s="106">
        <v>4036.7999999999993</v>
      </c>
      <c r="BV64" s="106">
        <v>2</v>
      </c>
      <c r="BW64" s="106">
        <v>2018.3999999999996</v>
      </c>
      <c r="BX64" s="106">
        <v>72</v>
      </c>
      <c r="BY64" s="106">
        <v>72662.399999999994</v>
      </c>
      <c r="BZ64" s="106">
        <v>48</v>
      </c>
      <c r="CA64" s="106">
        <v>48441.599999999991</v>
      </c>
      <c r="CB64" s="106">
        <v>47</v>
      </c>
      <c r="CC64" s="106">
        <v>47432.399999999994</v>
      </c>
      <c r="CD64" s="106">
        <v>75</v>
      </c>
      <c r="CE64" s="106">
        <v>75689.999999999985</v>
      </c>
      <c r="CF64" s="106">
        <v>19</v>
      </c>
      <c r="CG64" s="106">
        <v>19174.799999999996</v>
      </c>
      <c r="CH64" s="106">
        <v>25</v>
      </c>
      <c r="CI64" s="106">
        <v>25229.999999999996</v>
      </c>
      <c r="CJ64" s="106">
        <v>22</v>
      </c>
      <c r="CK64" s="106">
        <v>22202.399999999994</v>
      </c>
      <c r="CL64" s="106">
        <v>16</v>
      </c>
      <c r="CM64" s="106">
        <v>16147.199999999997</v>
      </c>
      <c r="CN64" s="106">
        <v>4</v>
      </c>
      <c r="CO64" s="106">
        <v>4036.7999999999993</v>
      </c>
      <c r="CP64" s="106">
        <v>4</v>
      </c>
      <c r="CQ64" s="106">
        <v>4036.7999999999993</v>
      </c>
      <c r="CR64" s="106">
        <v>3</v>
      </c>
      <c r="CS64" s="106">
        <v>3027.5999999999995</v>
      </c>
      <c r="CT64" s="106">
        <v>2</v>
      </c>
      <c r="CU64" s="106">
        <v>2018.3999999999996</v>
      </c>
    </row>
    <row r="65" spans="2:99" x14ac:dyDescent="0.2">
      <c r="C65" s="105" t="s">
        <v>230</v>
      </c>
      <c r="D65" s="106">
        <v>6</v>
      </c>
      <c r="E65" s="106">
        <v>6156</v>
      </c>
      <c r="F65" s="106">
        <v>6</v>
      </c>
      <c r="G65" s="106">
        <v>6156</v>
      </c>
      <c r="H65" s="106">
        <v>6</v>
      </c>
      <c r="I65" s="106">
        <v>6156</v>
      </c>
      <c r="J65" s="106">
        <v>6</v>
      </c>
      <c r="K65" s="106">
        <v>6156</v>
      </c>
      <c r="L65" s="106">
        <v>28</v>
      </c>
      <c r="M65" s="106">
        <v>28728</v>
      </c>
      <c r="N65" s="106">
        <v>20</v>
      </c>
      <c r="O65" s="106">
        <v>20520</v>
      </c>
      <c r="P65" s="106">
        <v>20</v>
      </c>
      <c r="Q65" s="106">
        <v>20520</v>
      </c>
      <c r="R65" s="106">
        <v>26</v>
      </c>
      <c r="S65" s="106">
        <v>26676</v>
      </c>
      <c r="T65" s="106">
        <v>2</v>
      </c>
      <c r="U65" s="106">
        <v>2052</v>
      </c>
      <c r="V65" s="106">
        <v>3</v>
      </c>
      <c r="W65" s="106">
        <v>3078</v>
      </c>
      <c r="X65" s="106">
        <v>4</v>
      </c>
      <c r="Y65" s="106">
        <v>4104</v>
      </c>
      <c r="Z65" s="106">
        <v>4</v>
      </c>
      <c r="AA65" s="106">
        <v>4104</v>
      </c>
      <c r="AB65" s="106">
        <v>9</v>
      </c>
      <c r="AC65" s="106">
        <v>9234</v>
      </c>
      <c r="AD65" s="106">
        <v>9</v>
      </c>
      <c r="AE65" s="106">
        <v>9234</v>
      </c>
      <c r="AF65" s="106">
        <v>6</v>
      </c>
      <c r="AG65" s="106">
        <v>6156</v>
      </c>
      <c r="AH65" s="106">
        <v>6</v>
      </c>
      <c r="AI65" s="106">
        <v>6156</v>
      </c>
      <c r="AJ65" s="106">
        <v>7</v>
      </c>
      <c r="AK65" s="106">
        <v>7182</v>
      </c>
      <c r="AL65" s="106">
        <v>8</v>
      </c>
      <c r="AM65" s="106">
        <v>8208</v>
      </c>
      <c r="AN65" s="106">
        <v>7</v>
      </c>
      <c r="AO65" s="106">
        <v>7182</v>
      </c>
      <c r="AP65" s="106">
        <v>5</v>
      </c>
      <c r="AQ65" s="106">
        <v>5130</v>
      </c>
      <c r="AR65" s="106">
        <v>3</v>
      </c>
      <c r="AS65" s="106">
        <v>3078</v>
      </c>
      <c r="AT65" s="106">
        <v>5</v>
      </c>
      <c r="AU65" s="106">
        <v>5130</v>
      </c>
      <c r="AV65" s="106">
        <v>3</v>
      </c>
      <c r="AW65" s="106">
        <v>3078</v>
      </c>
      <c r="AX65" s="106">
        <v>4</v>
      </c>
      <c r="AY65" s="106">
        <v>4104</v>
      </c>
      <c r="AZ65" s="106">
        <v>8</v>
      </c>
      <c r="BA65" s="106">
        <v>8208</v>
      </c>
      <c r="BB65" s="106">
        <v>8</v>
      </c>
      <c r="BC65" s="106">
        <v>8208</v>
      </c>
      <c r="BD65" s="106">
        <v>7</v>
      </c>
      <c r="BE65" s="106">
        <v>7182</v>
      </c>
      <c r="BF65" s="106">
        <v>8</v>
      </c>
      <c r="BG65" s="106">
        <v>8208</v>
      </c>
      <c r="BH65" s="106">
        <v>4</v>
      </c>
      <c r="BI65" s="106">
        <v>4104</v>
      </c>
      <c r="BJ65" s="106">
        <v>4</v>
      </c>
      <c r="BK65" s="106">
        <v>4104</v>
      </c>
      <c r="BL65" s="106">
        <v>4</v>
      </c>
      <c r="BM65" s="106">
        <v>4104</v>
      </c>
      <c r="BN65" s="106">
        <v>3</v>
      </c>
      <c r="BO65" s="106">
        <v>3078</v>
      </c>
      <c r="BP65" s="106">
        <v>4</v>
      </c>
      <c r="BQ65" s="106">
        <v>4104</v>
      </c>
      <c r="BR65" s="106">
        <v>3</v>
      </c>
      <c r="BS65" s="106">
        <v>3078</v>
      </c>
      <c r="BT65" s="106">
        <v>3</v>
      </c>
      <c r="BU65" s="106">
        <v>3078</v>
      </c>
      <c r="BV65" s="106">
        <v>3</v>
      </c>
      <c r="BW65" s="106">
        <v>3078</v>
      </c>
      <c r="BX65" s="106">
        <v>61</v>
      </c>
      <c r="BY65" s="106">
        <v>62586</v>
      </c>
      <c r="BZ65" s="106">
        <v>46</v>
      </c>
      <c r="CA65" s="106">
        <v>47196</v>
      </c>
      <c r="CB65" s="106">
        <v>46</v>
      </c>
      <c r="CC65" s="106">
        <v>47196</v>
      </c>
      <c r="CD65" s="106">
        <v>74</v>
      </c>
      <c r="CE65" s="106">
        <v>75924</v>
      </c>
      <c r="CF65" s="106">
        <v>23</v>
      </c>
      <c r="CG65" s="106">
        <v>23598</v>
      </c>
      <c r="CH65" s="106">
        <v>29</v>
      </c>
      <c r="CI65" s="106">
        <v>29754</v>
      </c>
      <c r="CJ65" s="106">
        <v>21</v>
      </c>
      <c r="CK65" s="106">
        <v>21546</v>
      </c>
      <c r="CL65" s="106">
        <v>19</v>
      </c>
      <c r="CM65" s="106">
        <v>19494</v>
      </c>
      <c r="CN65" s="106">
        <v>4</v>
      </c>
      <c r="CO65" s="106">
        <v>4104</v>
      </c>
      <c r="CP65" s="106">
        <v>4</v>
      </c>
      <c r="CQ65" s="106">
        <v>4104</v>
      </c>
      <c r="CR65" s="106">
        <v>4</v>
      </c>
      <c r="CS65" s="106">
        <v>4104</v>
      </c>
      <c r="CT65" s="106">
        <v>2</v>
      </c>
      <c r="CU65" s="106">
        <v>2052</v>
      </c>
    </row>
    <row r="66" spans="2:99" x14ac:dyDescent="0.2">
      <c r="C66" s="105" t="s">
        <v>231</v>
      </c>
      <c r="D66" s="106">
        <v>5</v>
      </c>
      <c r="E66" s="106">
        <v>5951.9999999999991</v>
      </c>
      <c r="F66" s="106">
        <v>6</v>
      </c>
      <c r="G66" s="106">
        <v>7142.4</v>
      </c>
      <c r="H66" s="106">
        <v>6</v>
      </c>
      <c r="I66" s="106">
        <v>7142.4</v>
      </c>
      <c r="J66" s="106">
        <v>5</v>
      </c>
      <c r="K66" s="106">
        <v>5951.9999999999991</v>
      </c>
      <c r="L66" s="106">
        <v>29</v>
      </c>
      <c r="M66" s="106">
        <v>34521.599999999999</v>
      </c>
      <c r="N66" s="106">
        <v>19</v>
      </c>
      <c r="O66" s="106">
        <v>22617.599999999999</v>
      </c>
      <c r="P66" s="106">
        <v>21</v>
      </c>
      <c r="Q66" s="106">
        <v>24998.399999999998</v>
      </c>
      <c r="R66" s="106">
        <v>26</v>
      </c>
      <c r="S66" s="106">
        <v>30950.399999999998</v>
      </c>
      <c r="T66" s="106">
        <v>3</v>
      </c>
      <c r="U66" s="106">
        <v>3571.2</v>
      </c>
      <c r="V66" s="106">
        <v>4</v>
      </c>
      <c r="W66" s="106">
        <v>4761.5999999999995</v>
      </c>
      <c r="X66" s="106">
        <v>4</v>
      </c>
      <c r="Y66" s="106">
        <v>4761.5999999999995</v>
      </c>
      <c r="Z66" s="106">
        <v>4</v>
      </c>
      <c r="AA66" s="106">
        <v>4761.5999999999995</v>
      </c>
      <c r="AB66" s="106">
        <v>9</v>
      </c>
      <c r="AC66" s="106">
        <v>10713.599999999999</v>
      </c>
      <c r="AD66" s="106">
        <v>8</v>
      </c>
      <c r="AE66" s="106">
        <v>9523.1999999999989</v>
      </c>
      <c r="AF66" s="106">
        <v>7</v>
      </c>
      <c r="AG66" s="106">
        <v>8332.7999999999993</v>
      </c>
      <c r="AH66" s="106">
        <v>6</v>
      </c>
      <c r="AI66" s="106">
        <v>7142.4</v>
      </c>
      <c r="AJ66" s="106">
        <v>7</v>
      </c>
      <c r="AK66" s="106">
        <v>8332.7999999999993</v>
      </c>
      <c r="AL66" s="106">
        <v>6</v>
      </c>
      <c r="AM66" s="106">
        <v>7142.4</v>
      </c>
      <c r="AN66" s="106">
        <v>7</v>
      </c>
      <c r="AO66" s="106">
        <v>8332.7999999999993</v>
      </c>
      <c r="AP66" s="106">
        <v>5</v>
      </c>
      <c r="AQ66" s="106">
        <v>5951.9999999999991</v>
      </c>
      <c r="AR66" s="106">
        <v>3</v>
      </c>
      <c r="AS66" s="106">
        <v>3571.2</v>
      </c>
      <c r="AT66" s="106">
        <v>5</v>
      </c>
      <c r="AU66" s="106">
        <v>5951.9999999999991</v>
      </c>
      <c r="AV66" s="106">
        <v>3</v>
      </c>
      <c r="AW66" s="106">
        <v>3571.2</v>
      </c>
      <c r="AX66" s="106">
        <v>4</v>
      </c>
      <c r="AY66" s="106">
        <v>4761.5999999999995</v>
      </c>
      <c r="AZ66" s="106">
        <v>7</v>
      </c>
      <c r="BA66" s="106">
        <v>8332.7999999999993</v>
      </c>
      <c r="BB66" s="106">
        <v>7</v>
      </c>
      <c r="BC66" s="106">
        <v>8332.7999999999993</v>
      </c>
      <c r="BD66" s="106">
        <v>7</v>
      </c>
      <c r="BE66" s="106">
        <v>8332.7999999999993</v>
      </c>
      <c r="BF66" s="106">
        <v>8</v>
      </c>
      <c r="BG66" s="106">
        <v>9523.1999999999989</v>
      </c>
      <c r="BH66" s="106">
        <v>4</v>
      </c>
      <c r="BI66" s="106">
        <v>4761.5999999999995</v>
      </c>
      <c r="BJ66" s="106">
        <v>4</v>
      </c>
      <c r="BK66" s="106">
        <v>4761.5999999999995</v>
      </c>
      <c r="BL66" s="106">
        <v>4</v>
      </c>
      <c r="BM66" s="106">
        <v>4761.5999999999995</v>
      </c>
      <c r="BN66" s="106">
        <v>3</v>
      </c>
      <c r="BO66" s="106">
        <v>3571.2</v>
      </c>
      <c r="BP66" s="106">
        <v>4</v>
      </c>
      <c r="BQ66" s="106">
        <v>4761.5999999999995</v>
      </c>
      <c r="BR66" s="106">
        <v>3</v>
      </c>
      <c r="BS66" s="106">
        <v>3571.2</v>
      </c>
      <c r="BT66" s="106">
        <v>4</v>
      </c>
      <c r="BU66" s="106">
        <v>4761.5999999999995</v>
      </c>
      <c r="BV66" s="106">
        <v>3</v>
      </c>
      <c r="BW66" s="106">
        <v>3571.2</v>
      </c>
      <c r="BX66" s="106">
        <v>68</v>
      </c>
      <c r="BY66" s="106">
        <v>80947.199999999997</v>
      </c>
      <c r="BZ66" s="106">
        <v>41</v>
      </c>
      <c r="CA66" s="106">
        <v>48806.399999999994</v>
      </c>
      <c r="CB66" s="106">
        <v>45</v>
      </c>
      <c r="CC66" s="106">
        <v>53567.999999999993</v>
      </c>
      <c r="CD66" s="106">
        <v>76</v>
      </c>
      <c r="CE66" s="106">
        <v>90470.399999999994</v>
      </c>
      <c r="CF66" s="106">
        <v>20</v>
      </c>
      <c r="CG66" s="106">
        <v>23807.999999999996</v>
      </c>
      <c r="CH66" s="106">
        <v>28</v>
      </c>
      <c r="CI66" s="106">
        <v>33331.199999999997</v>
      </c>
      <c r="CJ66" s="106">
        <v>19</v>
      </c>
      <c r="CK66" s="106">
        <v>22617.599999999999</v>
      </c>
      <c r="CL66" s="106">
        <v>17</v>
      </c>
      <c r="CM66" s="106">
        <v>20236.8</v>
      </c>
      <c r="CN66" s="106">
        <v>4</v>
      </c>
      <c r="CO66" s="106">
        <v>4761.5999999999995</v>
      </c>
      <c r="CP66" s="106">
        <v>4</v>
      </c>
      <c r="CQ66" s="106">
        <v>4761.5999999999995</v>
      </c>
      <c r="CR66" s="106">
        <v>3</v>
      </c>
      <c r="CS66" s="106">
        <v>3571.2</v>
      </c>
      <c r="CT66" s="106">
        <v>2</v>
      </c>
      <c r="CU66" s="106">
        <v>2380.7999999999997</v>
      </c>
    </row>
    <row r="67" spans="2:99" x14ac:dyDescent="0.2">
      <c r="C67" s="105" t="s">
        <v>232</v>
      </c>
      <c r="D67" s="106">
        <v>5</v>
      </c>
      <c r="E67" s="106">
        <v>5616</v>
      </c>
      <c r="F67" s="106">
        <v>7</v>
      </c>
      <c r="G67" s="106">
        <v>7862.4000000000005</v>
      </c>
      <c r="H67" s="106">
        <v>6</v>
      </c>
      <c r="I67" s="106">
        <v>6739.2000000000007</v>
      </c>
      <c r="J67" s="106">
        <v>5</v>
      </c>
      <c r="K67" s="106">
        <v>5616</v>
      </c>
      <c r="L67" s="106">
        <v>31</v>
      </c>
      <c r="M67" s="106">
        <v>34819.200000000004</v>
      </c>
      <c r="N67" s="106">
        <v>19</v>
      </c>
      <c r="O67" s="106">
        <v>21340.799999999999</v>
      </c>
      <c r="P67" s="106">
        <v>23</v>
      </c>
      <c r="Q67" s="106">
        <v>25833.600000000002</v>
      </c>
      <c r="R67" s="106">
        <v>27</v>
      </c>
      <c r="S67" s="106">
        <v>30326.400000000001</v>
      </c>
      <c r="T67" s="106">
        <v>3</v>
      </c>
      <c r="U67" s="106">
        <v>3369.6000000000004</v>
      </c>
      <c r="V67" s="106">
        <v>4</v>
      </c>
      <c r="W67" s="106">
        <v>4492.8</v>
      </c>
      <c r="X67" s="106">
        <v>4</v>
      </c>
      <c r="Y67" s="106">
        <v>4492.8</v>
      </c>
      <c r="Z67" s="106">
        <v>4</v>
      </c>
      <c r="AA67" s="106">
        <v>4492.8</v>
      </c>
      <c r="AB67" s="106">
        <v>10</v>
      </c>
      <c r="AC67" s="106">
        <v>11232</v>
      </c>
      <c r="AD67" s="106">
        <v>9</v>
      </c>
      <c r="AE67" s="106">
        <v>10108.800000000001</v>
      </c>
      <c r="AF67" s="106">
        <v>7</v>
      </c>
      <c r="AG67" s="106">
        <v>7862.4000000000005</v>
      </c>
      <c r="AH67" s="106">
        <v>6</v>
      </c>
      <c r="AI67" s="106">
        <v>6739.2000000000007</v>
      </c>
      <c r="AJ67" s="106">
        <v>7</v>
      </c>
      <c r="AK67" s="106">
        <v>7862.4000000000005</v>
      </c>
      <c r="AL67" s="106">
        <v>8</v>
      </c>
      <c r="AM67" s="106">
        <v>8985.6</v>
      </c>
      <c r="AN67" s="106">
        <v>7</v>
      </c>
      <c r="AO67" s="106">
        <v>7862.4000000000005</v>
      </c>
      <c r="AP67" s="106">
        <v>5</v>
      </c>
      <c r="AQ67" s="106">
        <v>5616</v>
      </c>
      <c r="AR67" s="106">
        <v>3</v>
      </c>
      <c r="AS67" s="106">
        <v>3369.6000000000004</v>
      </c>
      <c r="AT67" s="106">
        <v>5</v>
      </c>
      <c r="AU67" s="106">
        <v>5616</v>
      </c>
      <c r="AV67" s="106">
        <v>3</v>
      </c>
      <c r="AW67" s="106">
        <v>3369.6000000000004</v>
      </c>
      <c r="AX67" s="106">
        <v>4</v>
      </c>
      <c r="AY67" s="106">
        <v>4492.8</v>
      </c>
      <c r="AZ67" s="106">
        <v>7</v>
      </c>
      <c r="BA67" s="106">
        <v>7862.4000000000005</v>
      </c>
      <c r="BB67" s="106">
        <v>7</v>
      </c>
      <c r="BC67" s="106">
        <v>7862.4000000000005</v>
      </c>
      <c r="BD67" s="106">
        <v>7</v>
      </c>
      <c r="BE67" s="106">
        <v>7862.4000000000005</v>
      </c>
      <c r="BF67" s="106">
        <v>7</v>
      </c>
      <c r="BG67" s="106">
        <v>7862.4000000000005</v>
      </c>
      <c r="BH67" s="106">
        <v>4</v>
      </c>
      <c r="BI67" s="106">
        <v>4492.8</v>
      </c>
      <c r="BJ67" s="106">
        <v>4</v>
      </c>
      <c r="BK67" s="106">
        <v>4492.8</v>
      </c>
      <c r="BL67" s="106">
        <v>5</v>
      </c>
      <c r="BM67" s="106">
        <v>5616</v>
      </c>
      <c r="BN67" s="106">
        <v>3</v>
      </c>
      <c r="BO67" s="106">
        <v>3369.6000000000004</v>
      </c>
      <c r="BP67" s="106">
        <v>4</v>
      </c>
      <c r="BQ67" s="106">
        <v>4492.8</v>
      </c>
      <c r="BR67" s="106">
        <v>4</v>
      </c>
      <c r="BS67" s="106">
        <v>4492.8</v>
      </c>
      <c r="BT67" s="106">
        <v>4</v>
      </c>
      <c r="BU67" s="106">
        <v>4492.8</v>
      </c>
      <c r="BV67" s="106">
        <v>3</v>
      </c>
      <c r="BW67" s="106">
        <v>3369.6000000000004</v>
      </c>
      <c r="BX67" s="106">
        <v>67</v>
      </c>
      <c r="BY67" s="106">
        <v>75254.400000000009</v>
      </c>
      <c r="BZ67" s="106">
        <v>46</v>
      </c>
      <c r="CA67" s="106">
        <v>51667.200000000004</v>
      </c>
      <c r="CB67" s="106">
        <v>51</v>
      </c>
      <c r="CC67" s="106">
        <v>57283.200000000004</v>
      </c>
      <c r="CD67" s="106">
        <v>69</v>
      </c>
      <c r="CE67" s="106">
        <v>77500.800000000003</v>
      </c>
      <c r="CF67" s="106">
        <v>20</v>
      </c>
      <c r="CG67" s="106">
        <v>22464</v>
      </c>
      <c r="CH67" s="106">
        <v>28</v>
      </c>
      <c r="CI67" s="106">
        <v>31449.600000000002</v>
      </c>
      <c r="CJ67" s="106">
        <v>20</v>
      </c>
      <c r="CK67" s="106">
        <v>22464</v>
      </c>
      <c r="CL67" s="106">
        <v>16</v>
      </c>
      <c r="CM67" s="106">
        <v>17971.2</v>
      </c>
      <c r="CN67" s="106">
        <v>4</v>
      </c>
      <c r="CO67" s="106">
        <v>4492.8</v>
      </c>
      <c r="CP67" s="106">
        <v>3</v>
      </c>
      <c r="CQ67" s="106">
        <v>3369.6000000000004</v>
      </c>
      <c r="CR67" s="106">
        <v>4</v>
      </c>
      <c r="CS67" s="106">
        <v>4492.8</v>
      </c>
      <c r="CT67" s="106">
        <v>2</v>
      </c>
      <c r="CU67" s="106">
        <v>2246.4</v>
      </c>
    </row>
    <row r="68" spans="2:99" x14ac:dyDescent="0.2">
      <c r="C68" s="105" t="s">
        <v>233</v>
      </c>
      <c r="D68" s="106">
        <v>5</v>
      </c>
      <c r="E68" s="106">
        <v>5166</v>
      </c>
      <c r="F68" s="106">
        <v>6</v>
      </c>
      <c r="G68" s="106">
        <v>6199.2000000000007</v>
      </c>
      <c r="H68" s="106">
        <v>6</v>
      </c>
      <c r="I68" s="106">
        <v>6199.2000000000007</v>
      </c>
      <c r="J68" s="106">
        <v>5</v>
      </c>
      <c r="K68" s="106">
        <v>5166</v>
      </c>
      <c r="L68" s="106">
        <v>28</v>
      </c>
      <c r="M68" s="106">
        <v>28929.600000000002</v>
      </c>
      <c r="N68" s="106">
        <v>18</v>
      </c>
      <c r="O68" s="106">
        <v>18597.600000000002</v>
      </c>
      <c r="P68" s="106">
        <v>23</v>
      </c>
      <c r="Q68" s="106">
        <v>23763.600000000002</v>
      </c>
      <c r="R68" s="106">
        <v>27</v>
      </c>
      <c r="S68" s="106">
        <v>27896.400000000001</v>
      </c>
      <c r="T68" s="106">
        <v>3</v>
      </c>
      <c r="U68" s="106">
        <v>3099.6000000000004</v>
      </c>
      <c r="V68" s="106">
        <v>4</v>
      </c>
      <c r="W68" s="106">
        <v>4132.8</v>
      </c>
      <c r="X68" s="106">
        <v>4</v>
      </c>
      <c r="Y68" s="106">
        <v>4132.8</v>
      </c>
      <c r="Z68" s="106">
        <v>4</v>
      </c>
      <c r="AA68" s="106">
        <v>4132.8</v>
      </c>
      <c r="AB68" s="106">
        <v>10</v>
      </c>
      <c r="AC68" s="106">
        <v>10332</v>
      </c>
      <c r="AD68" s="106">
        <v>9</v>
      </c>
      <c r="AE68" s="106">
        <v>9298.8000000000011</v>
      </c>
      <c r="AF68" s="106">
        <v>7</v>
      </c>
      <c r="AG68" s="106">
        <v>7232.4000000000005</v>
      </c>
      <c r="AH68" s="106">
        <v>6</v>
      </c>
      <c r="AI68" s="106">
        <v>6199.2000000000007</v>
      </c>
      <c r="AJ68" s="106">
        <v>7</v>
      </c>
      <c r="AK68" s="106">
        <v>7232.4000000000005</v>
      </c>
      <c r="AL68" s="106">
        <v>7</v>
      </c>
      <c r="AM68" s="106">
        <v>7232.4000000000005</v>
      </c>
      <c r="AN68" s="106">
        <v>7</v>
      </c>
      <c r="AO68" s="106">
        <v>7232.4000000000005</v>
      </c>
      <c r="AP68" s="106">
        <v>5</v>
      </c>
      <c r="AQ68" s="106">
        <v>5166</v>
      </c>
      <c r="AR68" s="106">
        <v>3</v>
      </c>
      <c r="AS68" s="106">
        <v>3099.6000000000004</v>
      </c>
      <c r="AT68" s="106">
        <v>5</v>
      </c>
      <c r="AU68" s="106">
        <v>5166</v>
      </c>
      <c r="AV68" s="106">
        <v>3</v>
      </c>
      <c r="AW68" s="106">
        <v>3099.6000000000004</v>
      </c>
      <c r="AX68" s="106">
        <v>4</v>
      </c>
      <c r="AY68" s="106">
        <v>4132.8</v>
      </c>
      <c r="AZ68" s="106">
        <v>8</v>
      </c>
      <c r="BA68" s="106">
        <v>8265.6</v>
      </c>
      <c r="BB68" s="106">
        <v>7</v>
      </c>
      <c r="BC68" s="106">
        <v>7232.4000000000005</v>
      </c>
      <c r="BD68" s="106">
        <v>7</v>
      </c>
      <c r="BE68" s="106">
        <v>7232.4000000000005</v>
      </c>
      <c r="BF68" s="106">
        <v>8</v>
      </c>
      <c r="BG68" s="106">
        <v>8265.6</v>
      </c>
      <c r="BH68" s="106">
        <v>5</v>
      </c>
      <c r="BI68" s="106">
        <v>5166</v>
      </c>
      <c r="BJ68" s="106">
        <v>4</v>
      </c>
      <c r="BK68" s="106">
        <v>4132.8</v>
      </c>
      <c r="BL68" s="106">
        <v>5</v>
      </c>
      <c r="BM68" s="106">
        <v>5166</v>
      </c>
      <c r="BN68" s="106">
        <v>3</v>
      </c>
      <c r="BO68" s="106">
        <v>3099.6000000000004</v>
      </c>
      <c r="BP68" s="106">
        <v>4</v>
      </c>
      <c r="BQ68" s="106">
        <v>4132.8</v>
      </c>
      <c r="BR68" s="106">
        <v>3</v>
      </c>
      <c r="BS68" s="106">
        <v>3099.6000000000004</v>
      </c>
      <c r="BT68" s="106">
        <v>4</v>
      </c>
      <c r="BU68" s="106">
        <v>4132.8</v>
      </c>
      <c r="BV68" s="106">
        <v>3</v>
      </c>
      <c r="BW68" s="106">
        <v>3099.6000000000004</v>
      </c>
      <c r="BX68" s="106">
        <v>66</v>
      </c>
      <c r="BY68" s="106">
        <v>68191.199999999997</v>
      </c>
      <c r="BZ68" s="106">
        <v>42</v>
      </c>
      <c r="CA68" s="106">
        <v>43394.400000000001</v>
      </c>
      <c r="CB68" s="106">
        <v>47</v>
      </c>
      <c r="CC68" s="106">
        <v>48560.4</v>
      </c>
      <c r="CD68" s="106">
        <v>70</v>
      </c>
      <c r="CE68" s="106">
        <v>72324</v>
      </c>
      <c r="CF68" s="106">
        <v>22</v>
      </c>
      <c r="CG68" s="106">
        <v>22730.400000000001</v>
      </c>
      <c r="CH68" s="106">
        <v>24</v>
      </c>
      <c r="CI68" s="106">
        <v>24796.800000000003</v>
      </c>
      <c r="CJ68" s="106">
        <v>22</v>
      </c>
      <c r="CK68" s="106">
        <v>22730.400000000001</v>
      </c>
      <c r="CL68" s="106">
        <v>18</v>
      </c>
      <c r="CM68" s="106">
        <v>18597.600000000002</v>
      </c>
      <c r="CN68" s="106">
        <v>4</v>
      </c>
      <c r="CO68" s="106">
        <v>4132.8</v>
      </c>
      <c r="CP68" s="106">
        <v>4</v>
      </c>
      <c r="CQ68" s="106">
        <v>4132.8</v>
      </c>
      <c r="CR68" s="106">
        <v>3</v>
      </c>
      <c r="CS68" s="106">
        <v>3099.6000000000004</v>
      </c>
      <c r="CT68" s="106">
        <v>2</v>
      </c>
      <c r="CU68" s="106">
        <v>2066.4</v>
      </c>
    </row>
    <row r="69" spans="2:99" x14ac:dyDescent="0.2">
      <c r="C69" s="105" t="s">
        <v>234</v>
      </c>
      <c r="D69" s="106">
        <v>6</v>
      </c>
      <c r="E69" s="106">
        <v>4550.3999999999996</v>
      </c>
      <c r="F69" s="106">
        <v>7</v>
      </c>
      <c r="G69" s="106">
        <v>5308.8</v>
      </c>
      <c r="H69" s="106">
        <v>7</v>
      </c>
      <c r="I69" s="106">
        <v>5308.8</v>
      </c>
      <c r="J69" s="106">
        <v>5</v>
      </c>
      <c r="K69" s="106">
        <v>3792</v>
      </c>
      <c r="L69" s="106">
        <v>32</v>
      </c>
      <c r="M69" s="106">
        <v>24268.799999999999</v>
      </c>
      <c r="N69" s="106">
        <v>19</v>
      </c>
      <c r="O69" s="106">
        <v>14409.6</v>
      </c>
      <c r="P69" s="106">
        <v>24</v>
      </c>
      <c r="Q69" s="106">
        <v>18201.599999999999</v>
      </c>
      <c r="R69" s="106">
        <v>26</v>
      </c>
      <c r="S69" s="106">
        <v>19718.399999999998</v>
      </c>
      <c r="T69" s="106">
        <v>3</v>
      </c>
      <c r="U69" s="106">
        <v>2275.1999999999998</v>
      </c>
      <c r="V69" s="106">
        <v>4</v>
      </c>
      <c r="W69" s="106">
        <v>3033.6</v>
      </c>
      <c r="X69" s="106">
        <v>4</v>
      </c>
      <c r="Y69" s="106">
        <v>3033.6</v>
      </c>
      <c r="Z69" s="106">
        <v>4</v>
      </c>
      <c r="AA69" s="106">
        <v>3033.6</v>
      </c>
      <c r="AB69" s="106">
        <v>11</v>
      </c>
      <c r="AC69" s="106">
        <v>8342.4</v>
      </c>
      <c r="AD69" s="106">
        <v>8</v>
      </c>
      <c r="AE69" s="106">
        <v>6067.2</v>
      </c>
      <c r="AF69" s="106">
        <v>6</v>
      </c>
      <c r="AG69" s="106">
        <v>4550.3999999999996</v>
      </c>
      <c r="AH69" s="106">
        <v>7</v>
      </c>
      <c r="AI69" s="106">
        <v>5308.8</v>
      </c>
      <c r="AJ69" s="106">
        <v>7</v>
      </c>
      <c r="AK69" s="106">
        <v>5308.8</v>
      </c>
      <c r="AL69" s="106">
        <v>7</v>
      </c>
      <c r="AM69" s="106">
        <v>5308.8</v>
      </c>
      <c r="AN69" s="106">
        <v>8</v>
      </c>
      <c r="AO69" s="106">
        <v>6067.2</v>
      </c>
      <c r="AP69" s="106">
        <v>5</v>
      </c>
      <c r="AQ69" s="106">
        <v>3792</v>
      </c>
      <c r="AR69" s="106">
        <v>3</v>
      </c>
      <c r="AS69" s="106">
        <v>2275.1999999999998</v>
      </c>
      <c r="AT69" s="106">
        <v>5</v>
      </c>
      <c r="AU69" s="106">
        <v>3792</v>
      </c>
      <c r="AV69" s="106">
        <v>3</v>
      </c>
      <c r="AW69" s="106">
        <v>2275.1999999999998</v>
      </c>
      <c r="AX69" s="106">
        <v>4</v>
      </c>
      <c r="AY69" s="106">
        <v>3033.6</v>
      </c>
      <c r="AZ69" s="106">
        <v>9</v>
      </c>
      <c r="BA69" s="106">
        <v>6825.5999999999995</v>
      </c>
      <c r="BB69" s="106">
        <v>8</v>
      </c>
      <c r="BC69" s="106">
        <v>6067.2</v>
      </c>
      <c r="BD69" s="106">
        <v>8</v>
      </c>
      <c r="BE69" s="106">
        <v>6067.2</v>
      </c>
      <c r="BF69" s="106">
        <v>7</v>
      </c>
      <c r="BG69" s="106">
        <v>5308.8</v>
      </c>
      <c r="BH69" s="106">
        <v>4</v>
      </c>
      <c r="BI69" s="106">
        <v>3033.6</v>
      </c>
      <c r="BJ69" s="106">
        <v>4</v>
      </c>
      <c r="BK69" s="106">
        <v>3033.6</v>
      </c>
      <c r="BL69" s="106">
        <v>4</v>
      </c>
      <c r="BM69" s="106">
        <v>3033.6</v>
      </c>
      <c r="BN69" s="106">
        <v>3</v>
      </c>
      <c r="BO69" s="106">
        <v>2275.1999999999998</v>
      </c>
      <c r="BP69" s="106">
        <v>4</v>
      </c>
      <c r="BQ69" s="106">
        <v>3033.6</v>
      </c>
      <c r="BR69" s="106">
        <v>3</v>
      </c>
      <c r="BS69" s="106">
        <v>2275.1999999999998</v>
      </c>
      <c r="BT69" s="106">
        <v>4</v>
      </c>
      <c r="BU69" s="106">
        <v>3033.6</v>
      </c>
      <c r="BV69" s="106">
        <v>3</v>
      </c>
      <c r="BW69" s="106">
        <v>2275.1999999999998</v>
      </c>
      <c r="BX69" s="106">
        <v>72</v>
      </c>
      <c r="BY69" s="106">
        <v>54604.799999999996</v>
      </c>
      <c r="BZ69" s="106">
        <v>50</v>
      </c>
      <c r="CA69" s="106">
        <v>37920</v>
      </c>
      <c r="CB69" s="106">
        <v>51</v>
      </c>
      <c r="CC69" s="106">
        <v>38678.400000000001</v>
      </c>
      <c r="CD69" s="106">
        <v>75</v>
      </c>
      <c r="CE69" s="106">
        <v>56880</v>
      </c>
      <c r="CF69" s="106">
        <v>20</v>
      </c>
      <c r="CG69" s="106">
        <v>15168</v>
      </c>
      <c r="CH69" s="106">
        <v>28</v>
      </c>
      <c r="CI69" s="106">
        <v>21235.200000000001</v>
      </c>
      <c r="CJ69" s="106">
        <v>23</v>
      </c>
      <c r="CK69" s="106">
        <v>17443.2</v>
      </c>
      <c r="CL69" s="106">
        <v>18</v>
      </c>
      <c r="CM69" s="106">
        <v>13651.199999999999</v>
      </c>
      <c r="CN69" s="106">
        <v>4</v>
      </c>
      <c r="CO69" s="106">
        <v>3033.6</v>
      </c>
      <c r="CP69" s="106">
        <v>4</v>
      </c>
      <c r="CQ69" s="106">
        <v>3033.6</v>
      </c>
      <c r="CR69" s="106">
        <v>3</v>
      </c>
      <c r="CS69" s="106">
        <v>2275.1999999999998</v>
      </c>
      <c r="CT69" s="106">
        <v>2</v>
      </c>
      <c r="CU69" s="106">
        <v>1516.8</v>
      </c>
    </row>
    <row r="70" spans="2:99" x14ac:dyDescent="0.2">
      <c r="C70" s="105" t="s">
        <v>235</v>
      </c>
      <c r="D70" s="106">
        <v>6</v>
      </c>
      <c r="E70" s="106">
        <v>3211.2</v>
      </c>
      <c r="F70" s="106">
        <v>7</v>
      </c>
      <c r="G70" s="106">
        <v>3746.3999999999996</v>
      </c>
      <c r="H70" s="106">
        <v>6</v>
      </c>
      <c r="I70" s="106">
        <v>3211.2</v>
      </c>
      <c r="J70" s="106">
        <v>5</v>
      </c>
      <c r="K70" s="106">
        <v>2675.9999999999995</v>
      </c>
      <c r="L70" s="106">
        <v>34</v>
      </c>
      <c r="M70" s="106">
        <v>18196.8</v>
      </c>
      <c r="N70" s="106">
        <v>22</v>
      </c>
      <c r="O70" s="106">
        <v>11774.399999999998</v>
      </c>
      <c r="P70" s="106">
        <v>26</v>
      </c>
      <c r="Q70" s="106">
        <v>13915.199999999999</v>
      </c>
      <c r="R70" s="106">
        <v>28</v>
      </c>
      <c r="S70" s="106">
        <v>14985.599999999999</v>
      </c>
      <c r="T70" s="106">
        <v>3</v>
      </c>
      <c r="U70" s="106">
        <v>1605.6</v>
      </c>
      <c r="V70" s="106">
        <v>4</v>
      </c>
      <c r="W70" s="106">
        <v>2140.7999999999997</v>
      </c>
      <c r="X70" s="106">
        <v>5</v>
      </c>
      <c r="Y70" s="106">
        <v>2675.9999999999995</v>
      </c>
      <c r="Z70" s="106">
        <v>4</v>
      </c>
      <c r="AA70" s="106">
        <v>2140.7999999999997</v>
      </c>
      <c r="AB70" s="106">
        <v>10</v>
      </c>
      <c r="AC70" s="106">
        <v>5351.9999999999991</v>
      </c>
      <c r="AD70" s="106">
        <v>9</v>
      </c>
      <c r="AE70" s="106">
        <v>4816.7999999999993</v>
      </c>
      <c r="AF70" s="106">
        <v>7</v>
      </c>
      <c r="AG70" s="106">
        <v>3746.3999999999996</v>
      </c>
      <c r="AH70" s="106">
        <v>6</v>
      </c>
      <c r="AI70" s="106">
        <v>3211.2</v>
      </c>
      <c r="AJ70" s="106">
        <v>7</v>
      </c>
      <c r="AK70" s="106">
        <v>3746.3999999999996</v>
      </c>
      <c r="AL70" s="106">
        <v>7</v>
      </c>
      <c r="AM70" s="106">
        <v>3746.3999999999996</v>
      </c>
      <c r="AN70" s="106">
        <v>7</v>
      </c>
      <c r="AO70" s="106">
        <v>3746.3999999999996</v>
      </c>
      <c r="AP70" s="106">
        <v>5</v>
      </c>
      <c r="AQ70" s="106">
        <v>2675.9999999999995</v>
      </c>
      <c r="AR70" s="106">
        <v>4</v>
      </c>
      <c r="AS70" s="106">
        <v>2140.7999999999997</v>
      </c>
      <c r="AT70" s="106">
        <v>5</v>
      </c>
      <c r="AU70" s="106">
        <v>2675.9999999999995</v>
      </c>
      <c r="AV70" s="106">
        <v>3</v>
      </c>
      <c r="AW70" s="106">
        <v>1605.6</v>
      </c>
      <c r="AX70" s="106">
        <v>4</v>
      </c>
      <c r="AY70" s="106">
        <v>2140.7999999999997</v>
      </c>
      <c r="AZ70" s="106">
        <v>9</v>
      </c>
      <c r="BA70" s="106">
        <v>4816.7999999999993</v>
      </c>
      <c r="BB70" s="106">
        <v>9</v>
      </c>
      <c r="BC70" s="106">
        <v>4816.7999999999993</v>
      </c>
      <c r="BD70" s="106">
        <v>7</v>
      </c>
      <c r="BE70" s="106">
        <v>3746.3999999999996</v>
      </c>
      <c r="BF70" s="106">
        <v>8</v>
      </c>
      <c r="BG70" s="106">
        <v>4281.5999999999995</v>
      </c>
      <c r="BH70" s="106">
        <v>4</v>
      </c>
      <c r="BI70" s="106">
        <v>2140.7999999999997</v>
      </c>
      <c r="BJ70" s="106">
        <v>4</v>
      </c>
      <c r="BK70" s="106">
        <v>2140.7999999999997</v>
      </c>
      <c r="BL70" s="106">
        <v>5</v>
      </c>
      <c r="BM70" s="106">
        <v>2675.9999999999995</v>
      </c>
      <c r="BN70" s="106">
        <v>3</v>
      </c>
      <c r="BO70" s="106">
        <v>1605.6</v>
      </c>
      <c r="BP70" s="106">
        <v>4</v>
      </c>
      <c r="BQ70" s="106">
        <v>2140.7999999999997</v>
      </c>
      <c r="BR70" s="106">
        <v>4</v>
      </c>
      <c r="BS70" s="106">
        <v>2140.7999999999997</v>
      </c>
      <c r="BT70" s="106">
        <v>4</v>
      </c>
      <c r="BU70" s="106">
        <v>2140.7999999999997</v>
      </c>
      <c r="BV70" s="106">
        <v>3</v>
      </c>
      <c r="BW70" s="106">
        <v>1605.6</v>
      </c>
      <c r="BX70" s="106">
        <v>70</v>
      </c>
      <c r="BY70" s="106">
        <v>37463.999999999993</v>
      </c>
      <c r="BZ70" s="106">
        <v>52</v>
      </c>
      <c r="CA70" s="106">
        <v>27830.399999999998</v>
      </c>
      <c r="CB70" s="106">
        <v>52</v>
      </c>
      <c r="CC70" s="106">
        <v>27830.399999999998</v>
      </c>
      <c r="CD70" s="106">
        <v>77</v>
      </c>
      <c r="CE70" s="106">
        <v>41210.399999999994</v>
      </c>
      <c r="CF70" s="106">
        <v>22</v>
      </c>
      <c r="CG70" s="106">
        <v>11774.399999999998</v>
      </c>
      <c r="CH70" s="106">
        <v>27</v>
      </c>
      <c r="CI70" s="106">
        <v>14450.399999999998</v>
      </c>
      <c r="CJ70" s="106">
        <v>25</v>
      </c>
      <c r="CK70" s="106">
        <v>13379.999999999998</v>
      </c>
      <c r="CL70" s="106">
        <v>18</v>
      </c>
      <c r="CM70" s="106">
        <v>9633.5999999999985</v>
      </c>
      <c r="CN70" s="106">
        <v>4</v>
      </c>
      <c r="CO70" s="106">
        <v>2140.7999999999997</v>
      </c>
      <c r="CP70" s="106">
        <v>4</v>
      </c>
      <c r="CQ70" s="106">
        <v>2140.7999999999997</v>
      </c>
      <c r="CR70" s="106">
        <v>3</v>
      </c>
      <c r="CS70" s="106">
        <v>1605.6</v>
      </c>
      <c r="CT70" s="106">
        <v>2</v>
      </c>
      <c r="CU70" s="106">
        <v>1070.3999999999999</v>
      </c>
    </row>
    <row r="71" spans="2:99" x14ac:dyDescent="0.2">
      <c r="B71" s="105" t="s">
        <v>130</v>
      </c>
      <c r="C71" s="105" t="s">
        <v>236</v>
      </c>
      <c r="D71" s="106">
        <v>11</v>
      </c>
      <c r="E71" s="106">
        <v>6204</v>
      </c>
      <c r="F71" s="106">
        <v>17</v>
      </c>
      <c r="G71" s="106">
        <v>9588</v>
      </c>
      <c r="H71" s="106">
        <v>16.680786340303662</v>
      </c>
      <c r="I71" s="106">
        <v>9407.9634959312662</v>
      </c>
      <c r="J71" s="106">
        <v>20.980358846266778</v>
      </c>
      <c r="K71" s="106">
        <v>11832.922389294463</v>
      </c>
      <c r="L71" s="106">
        <v>16</v>
      </c>
      <c r="M71" s="106">
        <v>9024</v>
      </c>
      <c r="N71" s="106">
        <v>19.900277466235831</v>
      </c>
      <c r="O71" s="106">
        <v>11223.756490957008</v>
      </c>
      <c r="P71" s="106">
        <v>18</v>
      </c>
      <c r="Q71" s="106">
        <v>10152</v>
      </c>
      <c r="R71" s="106">
        <v>18</v>
      </c>
      <c r="S71" s="106">
        <v>10152</v>
      </c>
      <c r="T71" s="106">
        <v>5.5083928651195588</v>
      </c>
      <c r="U71" s="106">
        <v>3106.733575927431</v>
      </c>
      <c r="V71" s="106">
        <v>7.5282612924576489</v>
      </c>
      <c r="W71" s="106">
        <v>4245.939368946114</v>
      </c>
      <c r="X71" s="106">
        <v>4.5966997747934704</v>
      </c>
      <c r="Y71" s="106">
        <v>2592.5386729835172</v>
      </c>
      <c r="Z71" s="106">
        <v>6.5222370282397026</v>
      </c>
      <c r="AA71" s="106">
        <v>3678.5416839271925</v>
      </c>
      <c r="AB71" s="106">
        <v>10.596322336778892</v>
      </c>
      <c r="AC71" s="106">
        <v>5976.3257979432947</v>
      </c>
      <c r="AD71" s="106">
        <v>10.63667097466244</v>
      </c>
      <c r="AE71" s="106">
        <v>5999.082429709616</v>
      </c>
      <c r="AF71" s="106">
        <v>10.698169673087625</v>
      </c>
      <c r="AG71" s="106">
        <v>6033.76769562142</v>
      </c>
      <c r="AH71" s="106">
        <v>9.599289991662614</v>
      </c>
      <c r="AI71" s="106">
        <v>5413.9995552977143</v>
      </c>
      <c r="AJ71" s="106">
        <v>5.4671048214798139</v>
      </c>
      <c r="AK71" s="106">
        <v>3083.4471193146151</v>
      </c>
      <c r="AL71" s="106">
        <v>5.6152121375421755</v>
      </c>
      <c r="AM71" s="106">
        <v>3166.9796455737869</v>
      </c>
      <c r="AN71" s="106">
        <v>5.4397999777448813</v>
      </c>
      <c r="AO71" s="106">
        <v>3068.0471874481132</v>
      </c>
      <c r="AP71" s="106">
        <v>3.5580288564538591</v>
      </c>
      <c r="AQ71" s="106">
        <v>2006.7282750399766</v>
      </c>
      <c r="AR71" s="106">
        <v>34.807627386369887</v>
      </c>
      <c r="AS71" s="106">
        <v>19631.501845912615</v>
      </c>
      <c r="AT71" s="106">
        <v>32.824640379791425</v>
      </c>
      <c r="AU71" s="106">
        <v>18513.097174202365</v>
      </c>
      <c r="AV71" s="106">
        <v>36.542688858250763</v>
      </c>
      <c r="AW71" s="106">
        <v>20610.076516053432</v>
      </c>
      <c r="AX71" s="106">
        <v>28.800096350950326</v>
      </c>
      <c r="AY71" s="106">
        <v>16243.254341935984</v>
      </c>
      <c r="AZ71" s="106">
        <v>41</v>
      </c>
      <c r="BA71" s="106">
        <v>23124</v>
      </c>
      <c r="BB71" s="106">
        <v>60</v>
      </c>
      <c r="BC71" s="106">
        <v>33840</v>
      </c>
      <c r="BD71" s="106">
        <v>54</v>
      </c>
      <c r="BE71" s="106">
        <v>30456</v>
      </c>
      <c r="BF71" s="106">
        <v>66</v>
      </c>
      <c r="BG71" s="106">
        <v>37224</v>
      </c>
      <c r="BH71" s="106">
        <v>5</v>
      </c>
      <c r="BI71" s="106">
        <v>2820</v>
      </c>
      <c r="BJ71" s="106">
        <v>5</v>
      </c>
      <c r="BK71" s="106">
        <v>2820</v>
      </c>
      <c r="BL71" s="106">
        <v>6</v>
      </c>
      <c r="BM71" s="106">
        <v>3384</v>
      </c>
      <c r="BN71" s="106">
        <v>4</v>
      </c>
      <c r="BO71" s="106">
        <v>2256</v>
      </c>
      <c r="BP71" s="106">
        <v>4</v>
      </c>
      <c r="BQ71" s="106">
        <v>2256</v>
      </c>
      <c r="BR71" s="106">
        <v>5</v>
      </c>
      <c r="BS71" s="106">
        <v>2820</v>
      </c>
      <c r="BT71" s="106">
        <v>3.2967247928378338</v>
      </c>
      <c r="BU71" s="106">
        <v>1859.3527831605384</v>
      </c>
      <c r="BV71" s="106">
        <v>6.4728748018058599</v>
      </c>
      <c r="BW71" s="106">
        <v>3650.7013882185051</v>
      </c>
      <c r="BX71" s="106">
        <v>4.4323588278792618</v>
      </c>
      <c r="BY71" s="106">
        <v>2499.8503789239035</v>
      </c>
      <c r="BZ71" s="106">
        <v>6.5686381226651633</v>
      </c>
      <c r="CA71" s="106">
        <v>3704.7119011831519</v>
      </c>
      <c r="CB71" s="106">
        <v>4.478633094018778</v>
      </c>
      <c r="CC71" s="106">
        <v>2525.9490650265907</v>
      </c>
      <c r="CD71" s="106">
        <v>5.4820429794374679</v>
      </c>
      <c r="CE71" s="106">
        <v>3091.8722404027317</v>
      </c>
      <c r="CF71" s="106">
        <v>18</v>
      </c>
      <c r="CG71" s="106">
        <v>10152</v>
      </c>
      <c r="CH71" s="106">
        <v>28</v>
      </c>
      <c r="CI71" s="106">
        <v>15792</v>
      </c>
      <c r="CJ71" s="106">
        <v>15</v>
      </c>
      <c r="CK71" s="106">
        <v>8460</v>
      </c>
      <c r="CL71" s="106">
        <v>29</v>
      </c>
      <c r="CM71" s="106">
        <v>16356</v>
      </c>
      <c r="CN71" s="106">
        <v>3</v>
      </c>
      <c r="CO71" s="106">
        <v>1692</v>
      </c>
      <c r="CP71" s="106">
        <v>3.6269459660949446</v>
      </c>
      <c r="CQ71" s="106">
        <v>2045.5975248775487</v>
      </c>
      <c r="CR71" s="106">
        <v>3</v>
      </c>
      <c r="CS71" s="106">
        <v>1692</v>
      </c>
      <c r="CT71" s="106">
        <v>4</v>
      </c>
      <c r="CU71" s="106">
        <v>2256</v>
      </c>
    </row>
    <row r="72" spans="2:99" x14ac:dyDescent="0.2">
      <c r="C72" s="105" t="s">
        <v>237</v>
      </c>
      <c r="D72" s="106">
        <v>12</v>
      </c>
      <c r="E72" s="106">
        <v>892.8</v>
      </c>
      <c r="F72" s="106">
        <v>19</v>
      </c>
      <c r="G72" s="106">
        <v>1413.6</v>
      </c>
      <c r="H72" s="106">
        <v>16.680786340303662</v>
      </c>
      <c r="I72" s="106">
        <v>1241.0505037185924</v>
      </c>
      <c r="J72" s="106">
        <v>25.093477174682175</v>
      </c>
      <c r="K72" s="106">
        <v>1866.9547017963537</v>
      </c>
      <c r="L72" s="106">
        <v>16</v>
      </c>
      <c r="M72" s="106">
        <v>1190.3999999999999</v>
      </c>
      <c r="N72" s="106">
        <v>19</v>
      </c>
      <c r="O72" s="106">
        <v>1413.6</v>
      </c>
      <c r="P72" s="106">
        <v>21</v>
      </c>
      <c r="Q72" s="106">
        <v>1562.3999999999999</v>
      </c>
      <c r="R72" s="106">
        <v>18</v>
      </c>
      <c r="S72" s="106">
        <v>1339.1999999999998</v>
      </c>
      <c r="T72" s="106">
        <v>5.5326020491728709</v>
      </c>
      <c r="U72" s="106">
        <v>411.62559245846154</v>
      </c>
      <c r="V72" s="106">
        <v>7.6339135509491793</v>
      </c>
      <c r="W72" s="106">
        <v>567.96316819061883</v>
      </c>
      <c r="X72" s="106">
        <v>5.6238224918295376</v>
      </c>
      <c r="Y72" s="106">
        <v>418.41239339211756</v>
      </c>
      <c r="Z72" s="106">
        <v>6.6005725824756576</v>
      </c>
      <c r="AA72" s="106">
        <v>491.08260013618889</v>
      </c>
      <c r="AB72" s="106">
        <v>10.695709392908705</v>
      </c>
      <c r="AC72" s="106">
        <v>795.7607788324076</v>
      </c>
      <c r="AD72" s="106">
        <v>12.63667097466244</v>
      </c>
      <c r="AE72" s="106">
        <v>940.16832051488541</v>
      </c>
      <c r="AF72" s="106">
        <v>10.748038935451028</v>
      </c>
      <c r="AG72" s="106">
        <v>799.65409679755635</v>
      </c>
      <c r="AH72" s="106">
        <v>10.749112489578266</v>
      </c>
      <c r="AI72" s="106">
        <v>799.73396922462291</v>
      </c>
      <c r="AJ72" s="106">
        <v>5.5389671017074775</v>
      </c>
      <c r="AK72" s="106">
        <v>412.09915236703625</v>
      </c>
      <c r="AL72" s="106">
        <v>5.6152121375421755</v>
      </c>
      <c r="AM72" s="106">
        <v>417.77178303313781</v>
      </c>
      <c r="AN72" s="106">
        <v>6.4397999777448813</v>
      </c>
      <c r="AO72" s="106">
        <v>479.1211183442191</v>
      </c>
      <c r="AP72" s="106">
        <v>4.5208269326902686</v>
      </c>
      <c r="AQ72" s="106">
        <v>336.34952379215594</v>
      </c>
      <c r="AR72" s="106">
        <v>40.165180056201294</v>
      </c>
      <c r="AS72" s="106">
        <v>2988.2893961813761</v>
      </c>
      <c r="AT72" s="106">
        <v>36.269104062048314</v>
      </c>
      <c r="AU72" s="106">
        <v>2698.4213422163944</v>
      </c>
      <c r="AV72" s="106">
        <v>42.542688858250763</v>
      </c>
      <c r="AW72" s="106">
        <v>3165.1760510538566</v>
      </c>
      <c r="AX72" s="106">
        <v>32.770094745101154</v>
      </c>
      <c r="AY72" s="106">
        <v>2438.0950490355258</v>
      </c>
      <c r="AZ72" s="106">
        <v>51</v>
      </c>
      <c r="BA72" s="106">
        <v>3794.3999999999996</v>
      </c>
      <c r="BB72" s="106">
        <v>63</v>
      </c>
      <c r="BC72" s="106">
        <v>4687.2</v>
      </c>
      <c r="BD72" s="106">
        <v>58</v>
      </c>
      <c r="BE72" s="106">
        <v>4315.2</v>
      </c>
      <c r="BF72" s="106">
        <v>70</v>
      </c>
      <c r="BG72" s="106">
        <v>5207.9999999999991</v>
      </c>
      <c r="BH72" s="106">
        <v>4</v>
      </c>
      <c r="BI72" s="106">
        <v>297.59999999999997</v>
      </c>
      <c r="BJ72" s="106">
        <v>6</v>
      </c>
      <c r="BK72" s="106">
        <v>446.4</v>
      </c>
      <c r="BL72" s="106">
        <v>7</v>
      </c>
      <c r="BM72" s="106">
        <v>520.79999999999995</v>
      </c>
      <c r="BN72" s="106">
        <v>5</v>
      </c>
      <c r="BO72" s="106">
        <v>371.99999999999994</v>
      </c>
      <c r="BP72" s="106">
        <v>4</v>
      </c>
      <c r="BQ72" s="106">
        <v>297.59999999999997</v>
      </c>
      <c r="BR72" s="106">
        <v>6</v>
      </c>
      <c r="BS72" s="106">
        <v>446.4</v>
      </c>
      <c r="BT72" s="106">
        <v>3.3391140489575242</v>
      </c>
      <c r="BU72" s="106">
        <v>248.43008524243976</v>
      </c>
      <c r="BV72" s="106">
        <v>5.3868975651138857</v>
      </c>
      <c r="BW72" s="106">
        <v>400.78517884447308</v>
      </c>
      <c r="BX72" s="106">
        <v>4.4988755706299184</v>
      </c>
      <c r="BY72" s="106">
        <v>334.71634245486587</v>
      </c>
      <c r="BZ72" s="106">
        <v>6.5351888213319187</v>
      </c>
      <c r="CA72" s="106">
        <v>486.2180483070947</v>
      </c>
      <c r="CB72" s="106">
        <v>5.5584052763552414</v>
      </c>
      <c r="CC72" s="106">
        <v>413.54535256082994</v>
      </c>
      <c r="CD72" s="106">
        <v>6.4499067808083037</v>
      </c>
      <c r="CE72" s="106">
        <v>479.87306449213776</v>
      </c>
      <c r="CF72" s="106">
        <v>19</v>
      </c>
      <c r="CG72" s="106">
        <v>1413.6</v>
      </c>
      <c r="CH72" s="106">
        <v>32</v>
      </c>
      <c r="CI72" s="106">
        <v>2380.7999999999997</v>
      </c>
      <c r="CJ72" s="106">
        <v>19</v>
      </c>
      <c r="CK72" s="106">
        <v>1413.6</v>
      </c>
      <c r="CL72" s="106">
        <v>36</v>
      </c>
      <c r="CM72" s="106">
        <v>2678.3999999999996</v>
      </c>
      <c r="CN72" s="106">
        <v>3</v>
      </c>
      <c r="CO72" s="106">
        <v>223.2</v>
      </c>
      <c r="CP72" s="106">
        <v>3.7941315570535963</v>
      </c>
      <c r="CQ72" s="106">
        <v>282.28338784478751</v>
      </c>
      <c r="CR72" s="106">
        <v>3</v>
      </c>
      <c r="CS72" s="106">
        <v>223.2</v>
      </c>
      <c r="CT72" s="106">
        <v>5</v>
      </c>
      <c r="CU72" s="106">
        <v>371.99999999999994</v>
      </c>
    </row>
    <row r="73" spans="2:99" x14ac:dyDescent="0.2">
      <c r="C73" s="105" t="s">
        <v>238</v>
      </c>
      <c r="D73" s="106">
        <v>11</v>
      </c>
      <c r="E73" s="106">
        <v>6151.1999999999989</v>
      </c>
      <c r="F73" s="106">
        <v>18</v>
      </c>
      <c r="G73" s="106">
        <v>10065.599999999999</v>
      </c>
      <c r="H73" s="106">
        <v>13.680786340303662</v>
      </c>
      <c r="I73" s="106">
        <v>7650.2957214978069</v>
      </c>
      <c r="J73" s="106">
        <v>21.980358846266778</v>
      </c>
      <c r="K73" s="106">
        <v>12291.416666832381</v>
      </c>
      <c r="L73" s="106">
        <v>15</v>
      </c>
      <c r="M73" s="106">
        <v>8387.9999999999982</v>
      </c>
      <c r="N73" s="106">
        <v>17.941199169246552</v>
      </c>
      <c r="O73" s="106">
        <v>10032.71857544267</v>
      </c>
      <c r="P73" s="106">
        <v>22</v>
      </c>
      <c r="Q73" s="106">
        <v>12302.399999999998</v>
      </c>
      <c r="R73" s="106">
        <v>17</v>
      </c>
      <c r="S73" s="106">
        <v>9506.4</v>
      </c>
      <c r="T73" s="106">
        <v>4.4841836810662459</v>
      </c>
      <c r="U73" s="106">
        <v>2507.5555144522446</v>
      </c>
      <c r="V73" s="106">
        <v>7.5546743570805317</v>
      </c>
      <c r="W73" s="106">
        <v>4224.5739004794332</v>
      </c>
      <c r="X73" s="106">
        <v>5.5424543407213367</v>
      </c>
      <c r="Y73" s="106">
        <v>3099.3404673313712</v>
      </c>
      <c r="Z73" s="106">
        <v>7.5744607310636729</v>
      </c>
      <c r="AA73" s="106">
        <v>4235.6384408108052</v>
      </c>
      <c r="AB73" s="106">
        <v>9.6957093929087055</v>
      </c>
      <c r="AC73" s="106">
        <v>5421.8406925145473</v>
      </c>
      <c r="AD73" s="106">
        <v>10.63667097466244</v>
      </c>
      <c r="AE73" s="106">
        <v>5948.0264090312357</v>
      </c>
      <c r="AF73" s="106">
        <v>9.7979081978144293</v>
      </c>
      <c r="AG73" s="106">
        <v>5478.9902642178286</v>
      </c>
      <c r="AH73" s="106">
        <v>9.6991716569397148</v>
      </c>
      <c r="AI73" s="106">
        <v>5423.7767905606879</v>
      </c>
      <c r="AJ73" s="106">
        <v>4.4671048214798139</v>
      </c>
      <c r="AK73" s="106">
        <v>2498.0050161715117</v>
      </c>
      <c r="AL73" s="106">
        <v>4.542834239007802</v>
      </c>
      <c r="AM73" s="106">
        <v>2540.3529064531626</v>
      </c>
      <c r="AN73" s="106">
        <v>5.5130999740356952</v>
      </c>
      <c r="AO73" s="106">
        <v>3082.9255054807604</v>
      </c>
      <c r="AP73" s="106">
        <v>4.5952307802174497</v>
      </c>
      <c r="AQ73" s="106">
        <v>2569.6530522975977</v>
      </c>
      <c r="AR73" s="106">
        <v>35.986403721285591</v>
      </c>
      <c r="AS73" s="106">
        <v>20123.596960942901</v>
      </c>
      <c r="AT73" s="106">
        <v>36.01178298284696</v>
      </c>
      <c r="AU73" s="106">
        <v>20137.789044008019</v>
      </c>
      <c r="AV73" s="106">
        <v>35.568400339221604</v>
      </c>
      <c r="AW73" s="106">
        <v>19889.849469692719</v>
      </c>
      <c r="AX73" s="106">
        <v>30.530081898307778</v>
      </c>
      <c r="AY73" s="106">
        <v>17072.421797533709</v>
      </c>
      <c r="AZ73" s="106">
        <v>44</v>
      </c>
      <c r="BA73" s="106">
        <v>24604.799999999996</v>
      </c>
      <c r="BB73" s="106">
        <v>68</v>
      </c>
      <c r="BC73" s="106">
        <v>38025.599999999999</v>
      </c>
      <c r="BD73" s="106">
        <v>56</v>
      </c>
      <c r="BE73" s="106">
        <v>31315.199999999997</v>
      </c>
      <c r="BF73" s="106">
        <v>71</v>
      </c>
      <c r="BG73" s="106">
        <v>39703.199999999997</v>
      </c>
      <c r="BH73" s="106">
        <v>5</v>
      </c>
      <c r="BI73" s="106">
        <v>2795.9999999999995</v>
      </c>
      <c r="BJ73" s="106">
        <v>5</v>
      </c>
      <c r="BK73" s="106">
        <v>2795.9999999999995</v>
      </c>
      <c r="BL73" s="106">
        <v>6</v>
      </c>
      <c r="BM73" s="106">
        <v>3355.2</v>
      </c>
      <c r="BN73" s="106">
        <v>5</v>
      </c>
      <c r="BO73" s="106">
        <v>2795.9999999999995</v>
      </c>
      <c r="BP73" s="106">
        <v>4</v>
      </c>
      <c r="BQ73" s="106">
        <v>2236.7999999999997</v>
      </c>
      <c r="BR73" s="106">
        <v>6.385839273007492</v>
      </c>
      <c r="BS73" s="106">
        <v>3570.9613214657893</v>
      </c>
      <c r="BT73" s="106">
        <v>3.2967247928378338</v>
      </c>
      <c r="BU73" s="106">
        <v>1843.5285041549164</v>
      </c>
      <c r="BV73" s="106">
        <v>5.3868975651138857</v>
      </c>
      <c r="BW73" s="106">
        <v>3012.3531184116846</v>
      </c>
      <c r="BX73" s="106">
        <v>4.4323588278792618</v>
      </c>
      <c r="BY73" s="106">
        <v>2478.575056550083</v>
      </c>
      <c r="BZ73" s="106">
        <v>5.5686381226651633</v>
      </c>
      <c r="CA73" s="106">
        <v>3113.982438194359</v>
      </c>
      <c r="CB73" s="106">
        <v>5.478633094018778</v>
      </c>
      <c r="CC73" s="106">
        <v>3063.6516261753004</v>
      </c>
      <c r="CD73" s="106">
        <v>5.3856343835499745</v>
      </c>
      <c r="CE73" s="106">
        <v>3011.6467472811455</v>
      </c>
      <c r="CF73" s="106">
        <v>17</v>
      </c>
      <c r="CG73" s="106">
        <v>9506.4</v>
      </c>
      <c r="CH73" s="106">
        <v>27</v>
      </c>
      <c r="CI73" s="106">
        <v>15098.399999999998</v>
      </c>
      <c r="CJ73" s="106">
        <v>15</v>
      </c>
      <c r="CK73" s="106">
        <v>8387.9999999999982</v>
      </c>
      <c r="CL73" s="106">
        <v>32</v>
      </c>
      <c r="CM73" s="106">
        <v>17894.399999999998</v>
      </c>
      <c r="CN73" s="106">
        <v>3</v>
      </c>
      <c r="CO73" s="106">
        <v>1677.6</v>
      </c>
      <c r="CP73" s="106">
        <v>3.7523351593139336</v>
      </c>
      <c r="CQ73" s="106">
        <v>2098.3058210883514</v>
      </c>
      <c r="CR73" s="106">
        <v>3</v>
      </c>
      <c r="CS73" s="106">
        <v>1677.6</v>
      </c>
      <c r="CT73" s="106">
        <v>5</v>
      </c>
      <c r="CU73" s="106">
        <v>2795.9999999999995</v>
      </c>
    </row>
    <row r="74" spans="2:99" x14ac:dyDescent="0.2">
      <c r="C74" s="105" t="s">
        <v>239</v>
      </c>
      <c r="D74" s="106">
        <v>12</v>
      </c>
      <c r="E74" s="106">
        <v>4838.3999999999996</v>
      </c>
      <c r="F74" s="106">
        <v>18</v>
      </c>
      <c r="G74" s="106">
        <v>7257.5999999999995</v>
      </c>
      <c r="H74" s="106">
        <v>15.680786340303662</v>
      </c>
      <c r="I74" s="106">
        <v>6322.4930524104366</v>
      </c>
      <c r="J74" s="106">
        <v>19.942652736794976</v>
      </c>
      <c r="K74" s="106">
        <v>8040.8775834757344</v>
      </c>
      <c r="L74" s="106">
        <v>14</v>
      </c>
      <c r="M74" s="106">
        <v>5644.8</v>
      </c>
      <c r="N74" s="106">
        <v>17</v>
      </c>
      <c r="O74" s="106">
        <v>6854.4</v>
      </c>
      <c r="P74" s="106">
        <v>22</v>
      </c>
      <c r="Q74" s="106">
        <v>8870.4</v>
      </c>
      <c r="R74" s="106">
        <v>19</v>
      </c>
      <c r="S74" s="106">
        <v>7660.8</v>
      </c>
      <c r="T74" s="106">
        <v>4.5326020491728709</v>
      </c>
      <c r="U74" s="106">
        <v>1827.5451462265014</v>
      </c>
      <c r="V74" s="106">
        <v>7.5546743570805317</v>
      </c>
      <c r="W74" s="106">
        <v>3046.0447007748703</v>
      </c>
      <c r="X74" s="106">
        <v>4.6780679259016704</v>
      </c>
      <c r="Y74" s="106">
        <v>1886.1969877235535</v>
      </c>
      <c r="Z74" s="106">
        <v>7.5222370282397026</v>
      </c>
      <c r="AA74" s="106">
        <v>3032.965969786248</v>
      </c>
      <c r="AB74" s="106">
        <v>10.596322336778892</v>
      </c>
      <c r="AC74" s="106">
        <v>4272.4371661892492</v>
      </c>
      <c r="AD74" s="106">
        <v>12.63667097466244</v>
      </c>
      <c r="AE74" s="106">
        <v>5095.1057369838954</v>
      </c>
      <c r="AF74" s="106">
        <v>11.748038935451028</v>
      </c>
      <c r="AG74" s="106">
        <v>4736.8092987738546</v>
      </c>
      <c r="AH74" s="106">
        <v>10.649230824301164</v>
      </c>
      <c r="AI74" s="106">
        <v>4293.7698683582294</v>
      </c>
      <c r="AJ74" s="106">
        <v>4.5389671017074775</v>
      </c>
      <c r="AK74" s="106">
        <v>1830.111535408455</v>
      </c>
      <c r="AL74" s="106">
        <v>5.5790231882749888</v>
      </c>
      <c r="AM74" s="106">
        <v>2249.4621495124752</v>
      </c>
      <c r="AN74" s="106">
        <v>5.4764499758902883</v>
      </c>
      <c r="AO74" s="106">
        <v>2208.1046302789641</v>
      </c>
      <c r="AP74" s="106">
        <v>4.5580288564538591</v>
      </c>
      <c r="AQ74" s="106">
        <v>1837.7972349221959</v>
      </c>
      <c r="AR74" s="106">
        <v>35.847355460795598</v>
      </c>
      <c r="AS74" s="106">
        <v>14453.653721792785</v>
      </c>
      <c r="AT74" s="106">
        <v>36.01178298284696</v>
      </c>
      <c r="AU74" s="106">
        <v>14519.950898683894</v>
      </c>
      <c r="AV74" s="106">
        <v>38.67124626310499</v>
      </c>
      <c r="AW74" s="106">
        <v>15592.246493283932</v>
      </c>
      <c r="AX74" s="106">
        <v>29.770094745101151</v>
      </c>
      <c r="AY74" s="106">
        <v>12003.302201224784</v>
      </c>
      <c r="AZ74" s="106">
        <v>48</v>
      </c>
      <c r="BA74" s="106">
        <v>19353.599999999999</v>
      </c>
      <c r="BB74" s="106">
        <v>71</v>
      </c>
      <c r="BC74" s="106">
        <v>28627.200000000001</v>
      </c>
      <c r="BD74" s="106">
        <v>58</v>
      </c>
      <c r="BE74" s="106">
        <v>23385.599999999999</v>
      </c>
      <c r="BF74" s="106">
        <v>71</v>
      </c>
      <c r="BG74" s="106">
        <v>28627.200000000001</v>
      </c>
      <c r="BH74" s="106">
        <v>5</v>
      </c>
      <c r="BI74" s="106">
        <v>2016</v>
      </c>
      <c r="BJ74" s="106">
        <v>5</v>
      </c>
      <c r="BK74" s="106">
        <v>2016</v>
      </c>
      <c r="BL74" s="106">
        <v>7</v>
      </c>
      <c r="BM74" s="106">
        <v>2822.4</v>
      </c>
      <c r="BN74" s="106">
        <v>5</v>
      </c>
      <c r="BO74" s="106">
        <v>2016</v>
      </c>
      <c r="BP74" s="106">
        <v>3</v>
      </c>
      <c r="BQ74" s="106">
        <v>1209.5999999999999</v>
      </c>
      <c r="BR74" s="106">
        <v>5</v>
      </c>
      <c r="BS74" s="106">
        <v>2016</v>
      </c>
      <c r="BT74" s="106">
        <v>3.3391140489575242</v>
      </c>
      <c r="BU74" s="106">
        <v>1346.3307845396737</v>
      </c>
      <c r="BV74" s="106">
        <v>5.4728748018058599</v>
      </c>
      <c r="BW74" s="106">
        <v>2206.6631200881225</v>
      </c>
      <c r="BX74" s="106">
        <v>4.4323588278792618</v>
      </c>
      <c r="BY74" s="106">
        <v>1787.1270794009183</v>
      </c>
      <c r="BZ74" s="106">
        <v>5.5686381226651633</v>
      </c>
      <c r="CA74" s="106">
        <v>2245.2748910585938</v>
      </c>
      <c r="CB74" s="106">
        <v>4.478633094018778</v>
      </c>
      <c r="CC74" s="106">
        <v>1805.7848635083712</v>
      </c>
      <c r="CD74" s="106">
        <v>6.4499067808083037</v>
      </c>
      <c r="CE74" s="106">
        <v>2600.6024140219079</v>
      </c>
      <c r="CF74" s="106">
        <v>20</v>
      </c>
      <c r="CG74" s="106">
        <v>8064</v>
      </c>
      <c r="CH74" s="106">
        <v>30</v>
      </c>
      <c r="CI74" s="106">
        <v>12096</v>
      </c>
      <c r="CJ74" s="106">
        <v>18</v>
      </c>
      <c r="CK74" s="106">
        <v>7257.5999999999995</v>
      </c>
      <c r="CL74" s="106">
        <v>32</v>
      </c>
      <c r="CM74" s="106">
        <v>12902.4</v>
      </c>
      <c r="CN74" s="106">
        <v>3</v>
      </c>
      <c r="CO74" s="106">
        <v>1209.5999999999999</v>
      </c>
      <c r="CP74" s="106">
        <v>3.7105387615742704</v>
      </c>
      <c r="CQ74" s="106">
        <v>1496.0892286667458</v>
      </c>
      <c r="CR74" s="106">
        <v>3</v>
      </c>
      <c r="CS74" s="106">
        <v>1209.5999999999999</v>
      </c>
      <c r="CT74" s="106">
        <v>4</v>
      </c>
      <c r="CU74" s="106">
        <v>1612.8</v>
      </c>
    </row>
    <row r="75" spans="2:99" x14ac:dyDescent="0.2">
      <c r="C75" s="105" t="s">
        <v>240</v>
      </c>
      <c r="D75" s="106">
        <v>10</v>
      </c>
      <c r="E75" s="106">
        <v>6431.9999999999991</v>
      </c>
      <c r="F75" s="106">
        <v>17</v>
      </c>
      <c r="G75" s="106">
        <v>10934.4</v>
      </c>
      <c r="H75" s="106">
        <v>14.756429267004069</v>
      </c>
      <c r="I75" s="106">
        <v>9491.3353045370168</v>
      </c>
      <c r="J75" s="106">
        <v>20.942652736794976</v>
      </c>
      <c r="K75" s="106">
        <v>13470.314240306527</v>
      </c>
      <c r="L75" s="106">
        <v>15</v>
      </c>
      <c r="M75" s="106">
        <v>9647.9999999999982</v>
      </c>
      <c r="N75" s="106">
        <v>17</v>
      </c>
      <c r="O75" s="106">
        <v>10934.4</v>
      </c>
      <c r="P75" s="106">
        <v>22</v>
      </c>
      <c r="Q75" s="106">
        <v>14150.399999999998</v>
      </c>
      <c r="R75" s="106">
        <v>16</v>
      </c>
      <c r="S75" s="106">
        <v>10291.199999999999</v>
      </c>
      <c r="T75" s="106">
        <v>5.5083928651195588</v>
      </c>
      <c r="U75" s="106">
        <v>3542.9982908448997</v>
      </c>
      <c r="V75" s="106">
        <v>7.6075004863262965</v>
      </c>
      <c r="W75" s="106">
        <v>4893.1443128050732</v>
      </c>
      <c r="X75" s="106">
        <v>4.5966997747934704</v>
      </c>
      <c r="Y75" s="106">
        <v>2956.5972951471599</v>
      </c>
      <c r="Z75" s="106">
        <v>6.5222370282397026</v>
      </c>
      <c r="AA75" s="106">
        <v>4195.1028565637762</v>
      </c>
      <c r="AB75" s="106">
        <v>9.5963223367788917</v>
      </c>
      <c r="AC75" s="106">
        <v>6172.3545270161821</v>
      </c>
      <c r="AD75" s="106">
        <v>10.63667097466244</v>
      </c>
      <c r="AE75" s="106">
        <v>6841.5067709028808</v>
      </c>
      <c r="AF75" s="106">
        <v>9.748038935451028</v>
      </c>
      <c r="AG75" s="106">
        <v>6269.9386432821002</v>
      </c>
      <c r="AH75" s="106">
        <v>9.6492308243011635</v>
      </c>
      <c r="AI75" s="106">
        <v>6206.3852661905075</v>
      </c>
      <c r="AJ75" s="106">
        <v>4.4311736813659817</v>
      </c>
      <c r="AK75" s="106">
        <v>2850.1309118545992</v>
      </c>
      <c r="AL75" s="106">
        <v>4.5790231882749888</v>
      </c>
      <c r="AM75" s="106">
        <v>2945.2277146984725</v>
      </c>
      <c r="AN75" s="106">
        <v>5.4397999777448813</v>
      </c>
      <c r="AO75" s="106">
        <v>3498.8793456855074</v>
      </c>
      <c r="AP75" s="106">
        <v>3.5580288564538591</v>
      </c>
      <c r="AQ75" s="106">
        <v>2288.5241604711218</v>
      </c>
      <c r="AR75" s="106">
        <v>35.986403721285591</v>
      </c>
      <c r="AS75" s="106">
        <v>23146.454873530889</v>
      </c>
      <c r="AT75" s="106">
        <v>34.824640379791425</v>
      </c>
      <c r="AU75" s="106">
        <v>22399.208692281842</v>
      </c>
      <c r="AV75" s="106">
        <v>35.465554415338225</v>
      </c>
      <c r="AW75" s="106">
        <v>22811.444599945546</v>
      </c>
      <c r="AX75" s="106">
        <v>33.56008350415695</v>
      </c>
      <c r="AY75" s="106">
        <v>21585.845709873749</v>
      </c>
      <c r="AZ75" s="106">
        <v>47</v>
      </c>
      <c r="BA75" s="106">
        <v>30230.399999999998</v>
      </c>
      <c r="BB75" s="106">
        <v>58</v>
      </c>
      <c r="BC75" s="106">
        <v>37305.599999999999</v>
      </c>
      <c r="BD75" s="106">
        <v>58</v>
      </c>
      <c r="BE75" s="106">
        <v>37305.599999999999</v>
      </c>
      <c r="BF75" s="106">
        <v>61</v>
      </c>
      <c r="BG75" s="106">
        <v>39235.199999999997</v>
      </c>
      <c r="BH75" s="106">
        <v>5</v>
      </c>
      <c r="BI75" s="106">
        <v>3215.9999999999995</v>
      </c>
      <c r="BJ75" s="106">
        <v>5</v>
      </c>
      <c r="BK75" s="106">
        <v>3215.9999999999995</v>
      </c>
      <c r="BL75" s="106">
        <v>6</v>
      </c>
      <c r="BM75" s="106">
        <v>3859.2</v>
      </c>
      <c r="BN75" s="106">
        <v>5</v>
      </c>
      <c r="BO75" s="106">
        <v>3215.9999999999995</v>
      </c>
      <c r="BP75" s="106">
        <v>4</v>
      </c>
      <c r="BQ75" s="106">
        <v>2572.7999999999997</v>
      </c>
      <c r="BR75" s="106">
        <v>5.385839273007492</v>
      </c>
      <c r="BS75" s="106">
        <v>3464.1718203984183</v>
      </c>
      <c r="BT75" s="106">
        <v>3.3391140489575242</v>
      </c>
      <c r="BU75" s="106">
        <v>2147.7181562894793</v>
      </c>
      <c r="BV75" s="106">
        <v>5.3868975651138857</v>
      </c>
      <c r="BW75" s="106">
        <v>3464.8525138812511</v>
      </c>
      <c r="BX75" s="106">
        <v>4.4323588278792618</v>
      </c>
      <c r="BY75" s="106">
        <v>2850.893198091941</v>
      </c>
      <c r="BZ75" s="106">
        <v>5.6020874239984089</v>
      </c>
      <c r="CA75" s="106">
        <v>3603.262631115776</v>
      </c>
      <c r="CB75" s="106">
        <v>4.5584052763552414</v>
      </c>
      <c r="CC75" s="106">
        <v>2931.966273751691</v>
      </c>
      <c r="CD75" s="106">
        <v>6.4177705821791386</v>
      </c>
      <c r="CE75" s="106">
        <v>4127.9100384576213</v>
      </c>
      <c r="CF75" s="106">
        <v>18</v>
      </c>
      <c r="CG75" s="106">
        <v>11577.599999999999</v>
      </c>
      <c r="CH75" s="106">
        <v>30</v>
      </c>
      <c r="CI75" s="106">
        <v>19295.999999999996</v>
      </c>
      <c r="CJ75" s="106">
        <v>18</v>
      </c>
      <c r="CK75" s="106">
        <v>11577.599999999999</v>
      </c>
      <c r="CL75" s="106">
        <v>29</v>
      </c>
      <c r="CM75" s="106">
        <v>18652.8</v>
      </c>
      <c r="CN75" s="106">
        <v>3</v>
      </c>
      <c r="CO75" s="106">
        <v>1929.6</v>
      </c>
      <c r="CP75" s="106">
        <v>3.6269459660949446</v>
      </c>
      <c r="CQ75" s="106">
        <v>2332.851645392268</v>
      </c>
      <c r="CR75" s="106">
        <v>3</v>
      </c>
      <c r="CS75" s="106">
        <v>1929.6</v>
      </c>
      <c r="CT75" s="106">
        <v>5</v>
      </c>
      <c r="CU75" s="106">
        <v>3215.9999999999995</v>
      </c>
    </row>
    <row r="76" spans="2:99" x14ac:dyDescent="0.2">
      <c r="C76" s="105" t="s">
        <v>241</v>
      </c>
      <c r="D76" s="106">
        <v>12</v>
      </c>
      <c r="E76" s="106">
        <v>9345.5999999999985</v>
      </c>
      <c r="F76" s="106">
        <v>18</v>
      </c>
      <c r="G76" s="106">
        <v>14018.4</v>
      </c>
      <c r="H76" s="106">
        <v>15.718607803653866</v>
      </c>
      <c r="I76" s="106">
        <v>12241.65175748563</v>
      </c>
      <c r="J76" s="106">
        <v>18.904946627323177</v>
      </c>
      <c r="K76" s="106">
        <v>14723.17243335929</v>
      </c>
      <c r="L76" s="106">
        <v>15</v>
      </c>
      <c r="M76" s="106">
        <v>11682</v>
      </c>
      <c r="N76" s="106">
        <v>16</v>
      </c>
      <c r="O76" s="106">
        <v>12460.8</v>
      </c>
      <c r="P76" s="106">
        <v>18</v>
      </c>
      <c r="Q76" s="106">
        <v>14018.4</v>
      </c>
      <c r="R76" s="106">
        <v>19</v>
      </c>
      <c r="S76" s="106">
        <v>14797.199999999999</v>
      </c>
      <c r="T76" s="106">
        <v>4.5083928651195588</v>
      </c>
      <c r="U76" s="106">
        <v>3511.1363633551123</v>
      </c>
      <c r="V76" s="106">
        <v>7.5018482278347669</v>
      </c>
      <c r="W76" s="106">
        <v>5842.4393998377163</v>
      </c>
      <c r="X76" s="106">
        <v>5.6238224918295376</v>
      </c>
      <c r="Y76" s="106">
        <v>4379.8329566368438</v>
      </c>
      <c r="Z76" s="106">
        <v>6.4961251768277171</v>
      </c>
      <c r="AA76" s="106">
        <v>5059.1822877134255</v>
      </c>
      <c r="AB76" s="106">
        <v>10.596322336778892</v>
      </c>
      <c r="AC76" s="106">
        <v>8252.4158358834011</v>
      </c>
      <c r="AD76" s="106">
        <v>11.68564566502109</v>
      </c>
      <c r="AE76" s="106">
        <v>9100.7808439184246</v>
      </c>
      <c r="AF76" s="106">
        <v>9.6981696730876248</v>
      </c>
      <c r="AG76" s="106">
        <v>7552.934541400642</v>
      </c>
      <c r="AH76" s="106">
        <v>10.699171656939715</v>
      </c>
      <c r="AI76" s="106">
        <v>8332.5148864246494</v>
      </c>
      <c r="AJ76" s="106">
        <v>4.4311736813659817</v>
      </c>
      <c r="AK76" s="106">
        <v>3450.9980630478262</v>
      </c>
      <c r="AL76" s="106">
        <v>5.6152121375421755</v>
      </c>
      <c r="AM76" s="106">
        <v>4373.1272127178463</v>
      </c>
      <c r="AN76" s="106">
        <v>5.4397999777448813</v>
      </c>
      <c r="AO76" s="106">
        <v>4236.516222667713</v>
      </c>
      <c r="AP76" s="106">
        <v>3.5580288564538591</v>
      </c>
      <c r="AQ76" s="106">
        <v>2770.9928734062655</v>
      </c>
      <c r="AR76" s="106">
        <v>29.807627386369887</v>
      </c>
      <c r="AS76" s="106">
        <v>23214.180208504866</v>
      </c>
      <c r="AT76" s="106">
        <v>31.754461903645606</v>
      </c>
      <c r="AU76" s="106">
        <v>24730.374930559195</v>
      </c>
      <c r="AV76" s="106">
        <v>32.439842934367377</v>
      </c>
      <c r="AW76" s="106">
        <v>25264.149677285313</v>
      </c>
      <c r="AX76" s="106">
        <v>32.740093139251982</v>
      </c>
      <c r="AY76" s="106">
        <v>25497.984536849443</v>
      </c>
      <c r="AZ76" s="106">
        <v>44</v>
      </c>
      <c r="BA76" s="106">
        <v>34267.199999999997</v>
      </c>
      <c r="BB76" s="106">
        <v>59</v>
      </c>
      <c r="BC76" s="106">
        <v>45949.2</v>
      </c>
      <c r="BD76" s="106">
        <v>53</v>
      </c>
      <c r="BE76" s="106">
        <v>41276.399999999994</v>
      </c>
      <c r="BF76" s="106">
        <v>64</v>
      </c>
      <c r="BG76" s="106">
        <v>49843.199999999997</v>
      </c>
      <c r="BH76" s="106">
        <v>5</v>
      </c>
      <c r="BI76" s="106">
        <v>3894</v>
      </c>
      <c r="BJ76" s="106">
        <v>5</v>
      </c>
      <c r="BK76" s="106">
        <v>3894</v>
      </c>
      <c r="BL76" s="106">
        <v>6</v>
      </c>
      <c r="BM76" s="106">
        <v>4672.7999999999993</v>
      </c>
      <c r="BN76" s="106">
        <v>5</v>
      </c>
      <c r="BO76" s="106">
        <v>3894</v>
      </c>
      <c r="BP76" s="106">
        <v>3</v>
      </c>
      <c r="BQ76" s="106">
        <v>2336.3999999999996</v>
      </c>
      <c r="BR76" s="106">
        <v>5.385839273007492</v>
      </c>
      <c r="BS76" s="106">
        <v>4194.4916258182348</v>
      </c>
      <c r="BT76" s="106">
        <v>3.3391140489575242</v>
      </c>
      <c r="BU76" s="106">
        <v>2600.5020213281196</v>
      </c>
      <c r="BV76" s="106">
        <v>5.3868975651138857</v>
      </c>
      <c r="BW76" s="106">
        <v>4195.3158237106936</v>
      </c>
      <c r="BX76" s="106">
        <v>3.4323588278792623</v>
      </c>
      <c r="BY76" s="106">
        <v>2673.1210551523691</v>
      </c>
      <c r="BZ76" s="106">
        <v>5.5686381226651633</v>
      </c>
      <c r="CA76" s="106">
        <v>4336.855369931629</v>
      </c>
      <c r="CB76" s="106">
        <v>4.5185191851870101</v>
      </c>
      <c r="CC76" s="106">
        <v>3519.0227414236433</v>
      </c>
      <c r="CD76" s="106">
        <v>5.4177705821791386</v>
      </c>
      <c r="CE76" s="106">
        <v>4219.3597294011133</v>
      </c>
      <c r="CF76" s="106">
        <v>19</v>
      </c>
      <c r="CG76" s="106">
        <v>14797.199999999999</v>
      </c>
      <c r="CH76" s="106">
        <v>27</v>
      </c>
      <c r="CI76" s="106">
        <v>21027.599999999999</v>
      </c>
      <c r="CJ76" s="106">
        <v>16</v>
      </c>
      <c r="CK76" s="106">
        <v>12460.8</v>
      </c>
      <c r="CL76" s="106">
        <v>29</v>
      </c>
      <c r="CM76" s="106">
        <v>22585.199999999997</v>
      </c>
      <c r="CN76" s="106">
        <v>3</v>
      </c>
      <c r="CO76" s="106">
        <v>2336.3999999999996</v>
      </c>
      <c r="CP76" s="106">
        <v>3.7523351593139336</v>
      </c>
      <c r="CQ76" s="106">
        <v>2922.3186220736911</v>
      </c>
      <c r="CR76" s="106">
        <v>3</v>
      </c>
      <c r="CS76" s="106">
        <v>2336.3999999999996</v>
      </c>
      <c r="CT76" s="106">
        <v>4</v>
      </c>
      <c r="CU76" s="106">
        <v>3115.2</v>
      </c>
    </row>
    <row r="77" spans="2:99" x14ac:dyDescent="0.2">
      <c r="C77" s="105" t="s">
        <v>242</v>
      </c>
      <c r="D77" s="106">
        <v>11</v>
      </c>
      <c r="E77" s="106">
        <v>3062.3999999999996</v>
      </c>
      <c r="F77" s="106">
        <v>19</v>
      </c>
      <c r="G77" s="106">
        <v>5289.5999999999995</v>
      </c>
      <c r="H77" s="106">
        <v>16.718607803653864</v>
      </c>
      <c r="I77" s="106">
        <v>4654.4604125372352</v>
      </c>
      <c r="J77" s="106">
        <v>21.942652736794976</v>
      </c>
      <c r="K77" s="106">
        <v>6108.8345219237208</v>
      </c>
      <c r="L77" s="106">
        <v>15</v>
      </c>
      <c r="M77" s="106">
        <v>4176</v>
      </c>
      <c r="N77" s="106">
        <v>17.900277466235831</v>
      </c>
      <c r="O77" s="106">
        <v>4983.437246600055</v>
      </c>
      <c r="P77" s="106">
        <v>22</v>
      </c>
      <c r="Q77" s="106">
        <v>6124.7999999999993</v>
      </c>
      <c r="R77" s="106">
        <v>21</v>
      </c>
      <c r="S77" s="106">
        <v>5846.4</v>
      </c>
      <c r="T77" s="106">
        <v>4.581020417279495</v>
      </c>
      <c r="U77" s="106">
        <v>1275.3560841706112</v>
      </c>
      <c r="V77" s="106">
        <v>7.6075004863262965</v>
      </c>
      <c r="W77" s="106">
        <v>2117.9281353932406</v>
      </c>
      <c r="X77" s="106">
        <v>5.5695770577574031</v>
      </c>
      <c r="Y77" s="106">
        <v>1550.570252879661</v>
      </c>
      <c r="Z77" s="106">
        <v>7.6005725824756576</v>
      </c>
      <c r="AA77" s="106">
        <v>2115.999406961223</v>
      </c>
      <c r="AB77" s="106">
        <v>9.6957093929087055</v>
      </c>
      <c r="AC77" s="106">
        <v>2699.2854949857833</v>
      </c>
      <c r="AD77" s="106">
        <v>11.63667097466244</v>
      </c>
      <c r="AE77" s="106">
        <v>3239.6491993460231</v>
      </c>
      <c r="AF77" s="106">
        <v>10.748038935451028</v>
      </c>
      <c r="AG77" s="106">
        <v>2992.2540396295658</v>
      </c>
      <c r="AH77" s="106">
        <v>11.749112489578266</v>
      </c>
      <c r="AI77" s="106">
        <v>3270.9529170985888</v>
      </c>
      <c r="AJ77" s="106">
        <v>4.5030359615936453</v>
      </c>
      <c r="AK77" s="106">
        <v>1253.6452117076708</v>
      </c>
      <c r="AL77" s="106">
        <v>5.5790231882749888</v>
      </c>
      <c r="AM77" s="106">
        <v>1553.2000556157568</v>
      </c>
      <c r="AN77" s="106">
        <v>5.4397999777448813</v>
      </c>
      <c r="AO77" s="106">
        <v>1514.4403138041748</v>
      </c>
      <c r="AP77" s="106">
        <v>4.5580288564538591</v>
      </c>
      <c r="AQ77" s="106">
        <v>1268.9552336367542</v>
      </c>
      <c r="AR77" s="106">
        <v>34.986403721285591</v>
      </c>
      <c r="AS77" s="106">
        <v>9740.2147960059083</v>
      </c>
      <c r="AT77" s="106">
        <v>36.105354284374727</v>
      </c>
      <c r="AU77" s="106">
        <v>10051.730632769923</v>
      </c>
      <c r="AV77" s="106">
        <v>40.619823301163301</v>
      </c>
      <c r="AW77" s="106">
        <v>11308.558807043863</v>
      </c>
      <c r="AX77" s="106">
        <v>29.740093139251982</v>
      </c>
      <c r="AY77" s="106">
        <v>8279.6419299677509</v>
      </c>
      <c r="AZ77" s="106">
        <v>49</v>
      </c>
      <c r="BA77" s="106">
        <v>13641.599999999999</v>
      </c>
      <c r="BB77" s="106">
        <v>63</v>
      </c>
      <c r="BC77" s="106">
        <v>17539.199999999997</v>
      </c>
      <c r="BD77" s="106">
        <v>62</v>
      </c>
      <c r="BE77" s="106">
        <v>17260.8</v>
      </c>
      <c r="BF77" s="106">
        <v>64</v>
      </c>
      <c r="BG77" s="106">
        <v>17817.599999999999</v>
      </c>
      <c r="BH77" s="106">
        <v>5</v>
      </c>
      <c r="BI77" s="106">
        <v>1392</v>
      </c>
      <c r="BJ77" s="106">
        <v>6</v>
      </c>
      <c r="BK77" s="106">
        <v>1670.3999999999999</v>
      </c>
      <c r="BL77" s="106">
        <v>6</v>
      </c>
      <c r="BM77" s="106">
        <v>1670.3999999999999</v>
      </c>
      <c r="BN77" s="106">
        <v>5</v>
      </c>
      <c r="BO77" s="106">
        <v>1392</v>
      </c>
      <c r="BP77" s="106">
        <v>4</v>
      </c>
      <c r="BQ77" s="106">
        <v>1113.5999999999999</v>
      </c>
      <c r="BR77" s="106">
        <v>6.385839273007492</v>
      </c>
      <c r="BS77" s="106">
        <v>1777.8176536052856</v>
      </c>
      <c r="BT77" s="106">
        <v>3.3391140489575242</v>
      </c>
      <c r="BU77" s="106">
        <v>929.60935122977469</v>
      </c>
      <c r="BV77" s="106">
        <v>5.4728748018058599</v>
      </c>
      <c r="BW77" s="106">
        <v>1523.6483448227514</v>
      </c>
      <c r="BX77" s="106">
        <v>4.4656171992545897</v>
      </c>
      <c r="BY77" s="106">
        <v>1243.2278282724776</v>
      </c>
      <c r="BZ77" s="106">
        <v>5.5351888213319187</v>
      </c>
      <c r="CA77" s="106">
        <v>1540.996567858806</v>
      </c>
      <c r="CB77" s="106">
        <v>5.5584052763552414</v>
      </c>
      <c r="CC77" s="106">
        <v>1547.4600289372991</v>
      </c>
      <c r="CD77" s="106">
        <v>6.4177705821791386</v>
      </c>
      <c r="CE77" s="106">
        <v>1786.7073300786722</v>
      </c>
      <c r="CF77" s="106">
        <v>20</v>
      </c>
      <c r="CG77" s="106">
        <v>5568</v>
      </c>
      <c r="CH77" s="106">
        <v>27</v>
      </c>
      <c r="CI77" s="106">
        <v>7516.7999999999993</v>
      </c>
      <c r="CJ77" s="106">
        <v>19</v>
      </c>
      <c r="CK77" s="106">
        <v>5289.5999999999995</v>
      </c>
      <c r="CL77" s="106">
        <v>30</v>
      </c>
      <c r="CM77" s="106">
        <v>8352</v>
      </c>
      <c r="CN77" s="106">
        <v>3</v>
      </c>
      <c r="CO77" s="106">
        <v>835.19999999999993</v>
      </c>
      <c r="CP77" s="106">
        <v>3.6687423638346077</v>
      </c>
      <c r="CQ77" s="106">
        <v>1021.3778740915548</v>
      </c>
      <c r="CR77" s="106">
        <v>3</v>
      </c>
      <c r="CS77" s="106">
        <v>835.19999999999993</v>
      </c>
      <c r="CT77" s="106">
        <v>5</v>
      </c>
      <c r="CU77" s="106">
        <v>1392</v>
      </c>
    </row>
    <row r="78" spans="2:99" x14ac:dyDescent="0.2">
      <c r="C78" s="105" t="s">
        <v>243</v>
      </c>
      <c r="D78" s="106">
        <v>10</v>
      </c>
      <c r="E78" s="106">
        <v>5520</v>
      </c>
      <c r="F78" s="106">
        <v>17</v>
      </c>
      <c r="G78" s="106">
        <v>9384</v>
      </c>
      <c r="H78" s="106">
        <v>15.642964876953458</v>
      </c>
      <c r="I78" s="106">
        <v>8634.9166120783084</v>
      </c>
      <c r="J78" s="106">
        <v>21.055771065210376</v>
      </c>
      <c r="K78" s="106">
        <v>11622.785627996127</v>
      </c>
      <c r="L78" s="106">
        <v>14</v>
      </c>
      <c r="M78" s="106">
        <v>7728</v>
      </c>
      <c r="N78" s="106">
        <v>19</v>
      </c>
      <c r="O78" s="106">
        <v>10488</v>
      </c>
      <c r="P78" s="106">
        <v>21</v>
      </c>
      <c r="Q78" s="106">
        <v>11592</v>
      </c>
      <c r="R78" s="106">
        <v>18</v>
      </c>
      <c r="S78" s="106">
        <v>9936</v>
      </c>
      <c r="T78" s="106">
        <v>4.5083928651195588</v>
      </c>
      <c r="U78" s="106">
        <v>2488.6328615459965</v>
      </c>
      <c r="V78" s="106">
        <v>7.5282612924576489</v>
      </c>
      <c r="W78" s="106">
        <v>4155.6002334366221</v>
      </c>
      <c r="X78" s="106">
        <v>5.6238224918295376</v>
      </c>
      <c r="Y78" s="106">
        <v>3104.3500154899048</v>
      </c>
      <c r="Z78" s="106">
        <v>6.5222370282397026</v>
      </c>
      <c r="AA78" s="106">
        <v>3600.2748395883159</v>
      </c>
      <c r="AB78" s="106">
        <v>8.5963223367788917</v>
      </c>
      <c r="AC78" s="106">
        <v>4745.1699299019483</v>
      </c>
      <c r="AD78" s="106">
        <v>11.68564566502109</v>
      </c>
      <c r="AE78" s="106">
        <v>6450.4764070916417</v>
      </c>
      <c r="AF78" s="106">
        <v>10.698169673087625</v>
      </c>
      <c r="AG78" s="106">
        <v>5905.3896595443684</v>
      </c>
      <c r="AH78" s="106">
        <v>9.6991716569397148</v>
      </c>
      <c r="AI78" s="106">
        <v>5353.9427546307224</v>
      </c>
      <c r="AJ78" s="106">
        <v>4.4671048214798139</v>
      </c>
      <c r="AK78" s="106">
        <v>2465.8418614568573</v>
      </c>
      <c r="AL78" s="106">
        <v>4.5066452897406144</v>
      </c>
      <c r="AM78" s="106">
        <v>2487.6681999368193</v>
      </c>
      <c r="AN78" s="106">
        <v>5.5130999740356952</v>
      </c>
      <c r="AO78" s="106">
        <v>3043.2311856677038</v>
      </c>
      <c r="AP78" s="106">
        <v>4.483625008926678</v>
      </c>
      <c r="AQ78" s="106">
        <v>2474.9610049275261</v>
      </c>
      <c r="AR78" s="106">
        <v>32.807627386369887</v>
      </c>
      <c r="AS78" s="106">
        <v>18109.810317276177</v>
      </c>
      <c r="AT78" s="106">
        <v>37.152139935138607</v>
      </c>
      <c r="AU78" s="106">
        <v>20507.981244196511</v>
      </c>
      <c r="AV78" s="106">
        <v>38.696957744075839</v>
      </c>
      <c r="AW78" s="106">
        <v>21360.720674729862</v>
      </c>
      <c r="AX78" s="106">
        <v>31.650088321704466</v>
      </c>
      <c r="AY78" s="106">
        <v>17470.848753580864</v>
      </c>
      <c r="AZ78" s="106">
        <v>45</v>
      </c>
      <c r="BA78" s="106">
        <v>24840</v>
      </c>
      <c r="BB78" s="106">
        <v>58</v>
      </c>
      <c r="BC78" s="106">
        <v>32016</v>
      </c>
      <c r="BD78" s="106">
        <v>58</v>
      </c>
      <c r="BE78" s="106">
        <v>32016</v>
      </c>
      <c r="BF78" s="106">
        <v>62</v>
      </c>
      <c r="BG78" s="106">
        <v>34224</v>
      </c>
      <c r="BH78" s="106">
        <v>5</v>
      </c>
      <c r="BI78" s="106">
        <v>2760</v>
      </c>
      <c r="BJ78" s="106">
        <v>5</v>
      </c>
      <c r="BK78" s="106">
        <v>2760</v>
      </c>
      <c r="BL78" s="106">
        <v>6</v>
      </c>
      <c r="BM78" s="106">
        <v>3312</v>
      </c>
      <c r="BN78" s="106">
        <v>4</v>
      </c>
      <c r="BO78" s="106">
        <v>2208</v>
      </c>
      <c r="BP78" s="106">
        <v>4</v>
      </c>
      <c r="BQ78" s="106">
        <v>2208</v>
      </c>
      <c r="BR78" s="106">
        <v>6</v>
      </c>
      <c r="BS78" s="106">
        <v>3312</v>
      </c>
      <c r="BT78" s="106">
        <v>3.2967247928378338</v>
      </c>
      <c r="BU78" s="106">
        <v>1819.7920856464843</v>
      </c>
      <c r="BV78" s="106">
        <v>5.3868975651138857</v>
      </c>
      <c r="BW78" s="106">
        <v>2973.5674559428649</v>
      </c>
      <c r="BX78" s="106">
        <v>3.4656171992545901</v>
      </c>
      <c r="BY78" s="106">
        <v>1913.0206939885338</v>
      </c>
      <c r="BZ78" s="106">
        <v>6.5017395199986741</v>
      </c>
      <c r="CA78" s="106">
        <v>3588.960215039268</v>
      </c>
      <c r="CB78" s="106">
        <v>5.5584052763552414</v>
      </c>
      <c r="CC78" s="106">
        <v>3068.2397125480934</v>
      </c>
      <c r="CD78" s="106">
        <v>6.4499067808083037</v>
      </c>
      <c r="CE78" s="106">
        <v>3560.3485430061837</v>
      </c>
      <c r="CF78" s="106">
        <v>18</v>
      </c>
      <c r="CG78" s="106">
        <v>9936</v>
      </c>
      <c r="CH78" s="106">
        <v>31</v>
      </c>
      <c r="CI78" s="106">
        <v>17112</v>
      </c>
      <c r="CJ78" s="106">
        <v>16</v>
      </c>
      <c r="CK78" s="106">
        <v>8832</v>
      </c>
      <c r="CL78" s="106">
        <v>30</v>
      </c>
      <c r="CM78" s="106">
        <v>16560</v>
      </c>
      <c r="CN78" s="106">
        <v>3</v>
      </c>
      <c r="CO78" s="106">
        <v>1656</v>
      </c>
      <c r="CP78" s="106">
        <v>2.6687423638346077</v>
      </c>
      <c r="CQ78" s="106">
        <v>1473.1457848367036</v>
      </c>
      <c r="CR78" s="106">
        <v>3</v>
      </c>
      <c r="CS78" s="106">
        <v>1656</v>
      </c>
      <c r="CT78" s="106">
        <v>5</v>
      </c>
      <c r="CU78" s="106">
        <v>2760</v>
      </c>
    </row>
    <row r="79" spans="2:99" x14ac:dyDescent="0.2">
      <c r="C79" s="105" t="s">
        <v>244</v>
      </c>
      <c r="D79" s="106">
        <v>12</v>
      </c>
      <c r="E79" s="106">
        <v>9086.4</v>
      </c>
      <c r="F79" s="106">
        <v>17</v>
      </c>
      <c r="G79" s="106">
        <v>12872.4</v>
      </c>
      <c r="H79" s="106">
        <v>15.680786340303662</v>
      </c>
      <c r="I79" s="106">
        <v>11873.491416877932</v>
      </c>
      <c r="J79" s="106">
        <v>20.980358846266778</v>
      </c>
      <c r="K79" s="106">
        <v>15886.327718393202</v>
      </c>
      <c r="L79" s="106">
        <v>15</v>
      </c>
      <c r="M79" s="106">
        <v>11357.999999999998</v>
      </c>
      <c r="N79" s="106">
        <v>15</v>
      </c>
      <c r="O79" s="106">
        <v>11357.999999999998</v>
      </c>
      <c r="P79" s="106">
        <v>18</v>
      </c>
      <c r="Q79" s="106">
        <v>13629.599999999999</v>
      </c>
      <c r="R79" s="106">
        <v>18</v>
      </c>
      <c r="S79" s="106">
        <v>13629.599999999999</v>
      </c>
      <c r="T79" s="106">
        <v>4.5083928651195588</v>
      </c>
      <c r="U79" s="106">
        <v>3413.7550774685296</v>
      </c>
      <c r="V79" s="106">
        <v>7.5282612924576489</v>
      </c>
      <c r="W79" s="106">
        <v>5700.3994506489316</v>
      </c>
      <c r="X79" s="106">
        <v>4.650945208865604</v>
      </c>
      <c r="Y79" s="106">
        <v>3521.6957121530349</v>
      </c>
      <c r="Z79" s="106">
        <v>6.5744607310636729</v>
      </c>
      <c r="AA79" s="106">
        <v>4978.181665561413</v>
      </c>
      <c r="AB79" s="106">
        <v>10.646015864843799</v>
      </c>
      <c r="AC79" s="106">
        <v>8061.1632128597239</v>
      </c>
      <c r="AD79" s="106">
        <v>10.587696284303791</v>
      </c>
      <c r="AE79" s="106">
        <v>8017.0036264748296</v>
      </c>
      <c r="AF79" s="106">
        <v>9.6981696730876248</v>
      </c>
      <c r="AG79" s="106">
        <v>7343.4540764619487</v>
      </c>
      <c r="AH79" s="106">
        <v>9.6991716569397148</v>
      </c>
      <c r="AI79" s="106">
        <v>7344.212778634751</v>
      </c>
      <c r="AJ79" s="106">
        <v>5.4311736813659817</v>
      </c>
      <c r="AK79" s="106">
        <v>4112.484711530321</v>
      </c>
      <c r="AL79" s="106">
        <v>5.5066452897406144</v>
      </c>
      <c r="AM79" s="106">
        <v>4169.6318133915929</v>
      </c>
      <c r="AN79" s="106">
        <v>5.4397999777448813</v>
      </c>
      <c r="AO79" s="106">
        <v>4119.0165431484238</v>
      </c>
      <c r="AP79" s="106">
        <v>3.5208269326902686</v>
      </c>
      <c r="AQ79" s="106">
        <v>2665.9701534330711</v>
      </c>
      <c r="AR79" s="106">
        <v>35.065859870137018</v>
      </c>
      <c r="AS79" s="106">
        <v>26551.869093667749</v>
      </c>
      <c r="AT79" s="106">
        <v>34.848033205173373</v>
      </c>
      <c r="AU79" s="106">
        <v>26386.930742957276</v>
      </c>
      <c r="AV79" s="106">
        <v>31.414131453396532</v>
      </c>
      <c r="AW79" s="106">
        <v>23786.780336511853</v>
      </c>
      <c r="AX79" s="106">
        <v>29.500080292458605</v>
      </c>
      <c r="AY79" s="106">
        <v>22337.460797449654</v>
      </c>
      <c r="AZ79" s="106">
        <v>43</v>
      </c>
      <c r="BA79" s="106">
        <v>32559.599999999999</v>
      </c>
      <c r="BB79" s="106">
        <v>65</v>
      </c>
      <c r="BC79" s="106">
        <v>49217.999999999993</v>
      </c>
      <c r="BD79" s="106">
        <v>56</v>
      </c>
      <c r="BE79" s="106">
        <v>42403.199999999997</v>
      </c>
      <c r="BF79" s="106">
        <v>62</v>
      </c>
      <c r="BG79" s="106">
        <v>46946.399999999994</v>
      </c>
      <c r="BH79" s="106">
        <v>5</v>
      </c>
      <c r="BI79" s="106">
        <v>3785.9999999999995</v>
      </c>
      <c r="BJ79" s="106">
        <v>5</v>
      </c>
      <c r="BK79" s="106">
        <v>3785.9999999999995</v>
      </c>
      <c r="BL79" s="106">
        <v>6</v>
      </c>
      <c r="BM79" s="106">
        <v>4543.2</v>
      </c>
      <c r="BN79" s="106">
        <v>4</v>
      </c>
      <c r="BO79" s="106">
        <v>3028.7999999999997</v>
      </c>
      <c r="BP79" s="106">
        <v>3</v>
      </c>
      <c r="BQ79" s="106">
        <v>2271.6</v>
      </c>
      <c r="BR79" s="106">
        <v>5</v>
      </c>
      <c r="BS79" s="106">
        <v>3785.9999999999995</v>
      </c>
      <c r="BT79" s="106">
        <v>3.3391140489575242</v>
      </c>
      <c r="BU79" s="106">
        <v>2528.3771578706369</v>
      </c>
      <c r="BV79" s="106">
        <v>5.4298861834598728</v>
      </c>
      <c r="BW79" s="106">
        <v>4111.5098181158155</v>
      </c>
      <c r="BX79" s="106">
        <v>4.4323588278792618</v>
      </c>
      <c r="BY79" s="106">
        <v>3356.1821044701769</v>
      </c>
      <c r="BZ79" s="106">
        <v>5.6020874239984089</v>
      </c>
      <c r="CA79" s="106">
        <v>4241.9005974515949</v>
      </c>
      <c r="CB79" s="106">
        <v>5.5185191851870101</v>
      </c>
      <c r="CC79" s="106">
        <v>4178.6227270236041</v>
      </c>
      <c r="CD79" s="106">
        <v>6.4499067808083037</v>
      </c>
      <c r="CE79" s="106">
        <v>4883.8694144280471</v>
      </c>
      <c r="CF79" s="106">
        <v>17</v>
      </c>
      <c r="CG79" s="106">
        <v>12872.4</v>
      </c>
      <c r="CH79" s="106">
        <v>25</v>
      </c>
      <c r="CI79" s="106">
        <v>18930</v>
      </c>
      <c r="CJ79" s="106">
        <v>16</v>
      </c>
      <c r="CK79" s="106">
        <v>12115.199999999999</v>
      </c>
      <c r="CL79" s="106">
        <v>31</v>
      </c>
      <c r="CM79" s="106">
        <v>23473.199999999997</v>
      </c>
      <c r="CN79" s="106">
        <v>3</v>
      </c>
      <c r="CO79" s="106">
        <v>2271.6</v>
      </c>
      <c r="CP79" s="106">
        <v>3.6687423638346077</v>
      </c>
      <c r="CQ79" s="106">
        <v>2777.9717178955648</v>
      </c>
      <c r="CR79" s="106">
        <v>3</v>
      </c>
      <c r="CS79" s="106">
        <v>2271.6</v>
      </c>
      <c r="CT79" s="106">
        <v>4</v>
      </c>
      <c r="CU79" s="106">
        <v>3028.7999999999997</v>
      </c>
    </row>
    <row r="80" spans="2:99" x14ac:dyDescent="0.2">
      <c r="C80" s="105" t="s">
        <v>245</v>
      </c>
      <c r="D80" s="106">
        <v>11</v>
      </c>
      <c r="E80" s="106">
        <v>8857.1999999999989</v>
      </c>
      <c r="F80" s="106">
        <v>17</v>
      </c>
      <c r="G80" s="106">
        <v>13688.4</v>
      </c>
      <c r="H80" s="106">
        <v>13.642964876953458</v>
      </c>
      <c r="I80" s="106">
        <v>10985.315318922923</v>
      </c>
      <c r="J80" s="106">
        <v>18.980358846266778</v>
      </c>
      <c r="K80" s="106">
        <v>15282.984943014009</v>
      </c>
      <c r="L80" s="106">
        <v>15</v>
      </c>
      <c r="M80" s="106">
        <v>12077.999999999998</v>
      </c>
      <c r="N80" s="106">
        <v>15.859355763225111</v>
      </c>
      <c r="O80" s="106">
        <v>12769.953260548858</v>
      </c>
      <c r="P80" s="106">
        <v>21</v>
      </c>
      <c r="Q80" s="106">
        <v>16909.199999999997</v>
      </c>
      <c r="R80" s="106">
        <v>19</v>
      </c>
      <c r="S80" s="106">
        <v>15298.8</v>
      </c>
      <c r="T80" s="106">
        <v>4.4841836810662459</v>
      </c>
      <c r="U80" s="106">
        <v>3610.664699994541</v>
      </c>
      <c r="V80" s="106">
        <v>7.5546743570805317</v>
      </c>
      <c r="W80" s="106">
        <v>6083.0237923212435</v>
      </c>
      <c r="X80" s="106">
        <v>4.650945208865604</v>
      </c>
      <c r="Y80" s="106">
        <v>3744.9410821785841</v>
      </c>
      <c r="Z80" s="106">
        <v>6.4961251768277171</v>
      </c>
      <c r="AA80" s="106">
        <v>5230.679992381677</v>
      </c>
      <c r="AB80" s="106">
        <v>8.5963223367788917</v>
      </c>
      <c r="AC80" s="106">
        <v>6921.7587455743633</v>
      </c>
      <c r="AD80" s="106">
        <v>11.68564566502109</v>
      </c>
      <c r="AE80" s="106">
        <v>9409.2818894749798</v>
      </c>
      <c r="AF80" s="106">
        <v>10.698169673087625</v>
      </c>
      <c r="AG80" s="106">
        <v>8614.1662207701556</v>
      </c>
      <c r="AH80" s="106">
        <v>10.649230824301164</v>
      </c>
      <c r="AI80" s="106">
        <v>8574.760659727297</v>
      </c>
      <c r="AJ80" s="106">
        <v>4.4671048214798139</v>
      </c>
      <c r="AK80" s="106">
        <v>3596.912802255546</v>
      </c>
      <c r="AL80" s="106">
        <v>5.5790231882749888</v>
      </c>
      <c r="AM80" s="106">
        <v>4492.2294711990207</v>
      </c>
      <c r="AN80" s="106">
        <v>5.4031499795994744</v>
      </c>
      <c r="AO80" s="106">
        <v>4350.6163635734965</v>
      </c>
      <c r="AP80" s="106">
        <v>4.5208269326902686</v>
      </c>
      <c r="AQ80" s="106">
        <v>3640.1698462022041</v>
      </c>
      <c r="AR80" s="106">
        <v>33.767899311944177</v>
      </c>
      <c r="AS80" s="106">
        <v>27189.912525977448</v>
      </c>
      <c r="AT80" s="106">
        <v>35.754461903645606</v>
      </c>
      <c r="AU80" s="106">
        <v>28789.492724815438</v>
      </c>
      <c r="AV80" s="106">
        <v>31.388419972425684</v>
      </c>
      <c r="AW80" s="106">
        <v>25273.955761797159</v>
      </c>
      <c r="AX80" s="106">
        <v>31.740093139251982</v>
      </c>
      <c r="AY80" s="106">
        <v>25557.122995725695</v>
      </c>
      <c r="AZ80" s="106">
        <v>39</v>
      </c>
      <c r="BA80" s="106">
        <v>31402.799999999996</v>
      </c>
      <c r="BB80" s="106">
        <v>62</v>
      </c>
      <c r="BC80" s="106">
        <v>49922.399999999994</v>
      </c>
      <c r="BD80" s="106">
        <v>51</v>
      </c>
      <c r="BE80" s="106">
        <v>41065.199999999997</v>
      </c>
      <c r="BF80" s="106">
        <v>57</v>
      </c>
      <c r="BG80" s="106">
        <v>45896.399999999994</v>
      </c>
      <c r="BH80" s="106">
        <v>5</v>
      </c>
      <c r="BI80" s="106">
        <v>4025.9999999999995</v>
      </c>
      <c r="BJ80" s="106">
        <v>5</v>
      </c>
      <c r="BK80" s="106">
        <v>4025.9999999999995</v>
      </c>
      <c r="BL80" s="106">
        <v>7</v>
      </c>
      <c r="BM80" s="106">
        <v>5636.4</v>
      </c>
      <c r="BN80" s="106">
        <v>5</v>
      </c>
      <c r="BO80" s="106">
        <v>4025.9999999999995</v>
      </c>
      <c r="BP80" s="106">
        <v>4</v>
      </c>
      <c r="BQ80" s="106">
        <v>3220.7999999999997</v>
      </c>
      <c r="BR80" s="106">
        <v>5</v>
      </c>
      <c r="BS80" s="106">
        <v>4025.9999999999995</v>
      </c>
      <c r="BT80" s="106">
        <v>3.2967247928378338</v>
      </c>
      <c r="BU80" s="106">
        <v>2654.5228031930237</v>
      </c>
      <c r="BV80" s="106">
        <v>5.4298861834598728</v>
      </c>
      <c r="BW80" s="106">
        <v>4372.1443549218893</v>
      </c>
      <c r="BX80" s="106">
        <v>4.4656171992545897</v>
      </c>
      <c r="BY80" s="106">
        <v>3595.7149688397953</v>
      </c>
      <c r="BZ80" s="106">
        <v>5.5351888213319187</v>
      </c>
      <c r="CA80" s="106">
        <v>4456.9340389364606</v>
      </c>
      <c r="CB80" s="106">
        <v>5.478633094018778</v>
      </c>
      <c r="CC80" s="106">
        <v>4411.3953673039196</v>
      </c>
      <c r="CD80" s="106">
        <v>5.4499067808083037</v>
      </c>
      <c r="CE80" s="106">
        <v>4388.2649399068459</v>
      </c>
      <c r="CF80" s="106">
        <v>16</v>
      </c>
      <c r="CG80" s="106">
        <v>12883.199999999999</v>
      </c>
      <c r="CH80" s="106">
        <v>29</v>
      </c>
      <c r="CI80" s="106">
        <v>23350.799999999999</v>
      </c>
      <c r="CJ80" s="106">
        <v>18</v>
      </c>
      <c r="CK80" s="106">
        <v>14493.599999999999</v>
      </c>
      <c r="CL80" s="106">
        <v>31</v>
      </c>
      <c r="CM80" s="106">
        <v>24961.199999999997</v>
      </c>
      <c r="CN80" s="106">
        <v>3</v>
      </c>
      <c r="CO80" s="106">
        <v>2415.6</v>
      </c>
      <c r="CP80" s="106">
        <v>3.6687423638346077</v>
      </c>
      <c r="CQ80" s="106">
        <v>2954.0713513596261</v>
      </c>
      <c r="CR80" s="106">
        <v>3</v>
      </c>
      <c r="CS80" s="106">
        <v>2415.6</v>
      </c>
      <c r="CT80" s="106">
        <v>5</v>
      </c>
      <c r="CU80" s="106">
        <v>4025.9999999999995</v>
      </c>
    </row>
    <row r="81" spans="2:99" x14ac:dyDescent="0.2">
      <c r="C81" s="105" t="s">
        <v>246</v>
      </c>
      <c r="D81" s="106">
        <v>11</v>
      </c>
      <c r="E81" s="106">
        <v>8289.6</v>
      </c>
      <c r="F81" s="106">
        <v>17</v>
      </c>
      <c r="G81" s="106">
        <v>12811.2</v>
      </c>
      <c r="H81" s="106">
        <v>15.680786340303662</v>
      </c>
      <c r="I81" s="106">
        <v>11817.040586052841</v>
      </c>
      <c r="J81" s="106">
        <v>22.055771065210376</v>
      </c>
      <c r="K81" s="106">
        <v>16621.22907474254</v>
      </c>
      <c r="L81" s="106">
        <v>13</v>
      </c>
      <c r="M81" s="106">
        <v>9796.8000000000011</v>
      </c>
      <c r="N81" s="106">
        <v>15</v>
      </c>
      <c r="O81" s="106">
        <v>11304</v>
      </c>
      <c r="P81" s="106">
        <v>19</v>
      </c>
      <c r="Q81" s="106">
        <v>14318.4</v>
      </c>
      <c r="R81" s="106">
        <v>17</v>
      </c>
      <c r="S81" s="106">
        <v>12811.2</v>
      </c>
      <c r="T81" s="106">
        <v>4.556811233226183</v>
      </c>
      <c r="U81" s="106">
        <v>3434.0129453592517</v>
      </c>
      <c r="V81" s="106">
        <v>7.6075004863262965</v>
      </c>
      <c r="W81" s="106">
        <v>5733.0123664954972</v>
      </c>
      <c r="X81" s="106">
        <v>4.5966997747934704</v>
      </c>
      <c r="Y81" s="106">
        <v>3464.0729502843592</v>
      </c>
      <c r="Z81" s="106">
        <v>5.5483488796516873</v>
      </c>
      <c r="AA81" s="106">
        <v>4181.2357157055121</v>
      </c>
      <c r="AB81" s="106">
        <v>9.6460158648437986</v>
      </c>
      <c r="AC81" s="106">
        <v>7269.2375557462865</v>
      </c>
      <c r="AD81" s="106">
        <v>10.587696284303791</v>
      </c>
      <c r="AE81" s="106">
        <v>7978.8879198513368</v>
      </c>
      <c r="AF81" s="106">
        <v>9.6981696730876248</v>
      </c>
      <c r="AG81" s="106">
        <v>7308.5406656388341</v>
      </c>
      <c r="AH81" s="106">
        <v>9.6991716569397148</v>
      </c>
      <c r="AI81" s="106">
        <v>7309.2957606697692</v>
      </c>
      <c r="AJ81" s="106">
        <v>4.4671048214798139</v>
      </c>
      <c r="AK81" s="106">
        <v>3366.410193467188</v>
      </c>
      <c r="AL81" s="106">
        <v>5.542834239007802</v>
      </c>
      <c r="AM81" s="106">
        <v>4177.0798825162801</v>
      </c>
      <c r="AN81" s="106">
        <v>5.4031499795994744</v>
      </c>
      <c r="AO81" s="106">
        <v>4071.8138246261642</v>
      </c>
      <c r="AP81" s="106">
        <v>4.5208269326902686</v>
      </c>
      <c r="AQ81" s="106">
        <v>3406.8951764753865</v>
      </c>
      <c r="AR81" s="106">
        <v>35.085723907349873</v>
      </c>
      <c r="AS81" s="106">
        <v>26440.601536578866</v>
      </c>
      <c r="AT81" s="106">
        <v>34.731069078263666</v>
      </c>
      <c r="AU81" s="106">
        <v>26173.333657379499</v>
      </c>
      <c r="AV81" s="106">
        <v>31.362708491454839</v>
      </c>
      <c r="AW81" s="106">
        <v>23634.937119160368</v>
      </c>
      <c r="AX81" s="106">
        <v>28.530081898307778</v>
      </c>
      <c r="AY81" s="106">
        <v>21500.269718564741</v>
      </c>
      <c r="AZ81" s="106">
        <v>40</v>
      </c>
      <c r="BA81" s="106">
        <v>30144</v>
      </c>
      <c r="BB81" s="106">
        <v>56</v>
      </c>
      <c r="BC81" s="106">
        <v>42201.599999999999</v>
      </c>
      <c r="BD81" s="106">
        <v>51</v>
      </c>
      <c r="BE81" s="106">
        <v>38433.599999999999</v>
      </c>
      <c r="BF81" s="106">
        <v>65</v>
      </c>
      <c r="BG81" s="106">
        <v>48984</v>
      </c>
      <c r="BH81" s="106">
        <v>4</v>
      </c>
      <c r="BI81" s="106">
        <v>3014.4</v>
      </c>
      <c r="BJ81" s="106">
        <v>6</v>
      </c>
      <c r="BK81" s="106">
        <v>4521.6000000000004</v>
      </c>
      <c r="BL81" s="106">
        <v>6</v>
      </c>
      <c r="BM81" s="106">
        <v>4521.6000000000004</v>
      </c>
      <c r="BN81" s="106">
        <v>5</v>
      </c>
      <c r="BO81" s="106">
        <v>3768</v>
      </c>
      <c r="BP81" s="106">
        <v>4</v>
      </c>
      <c r="BQ81" s="106">
        <v>3014.4</v>
      </c>
      <c r="BR81" s="106">
        <v>5</v>
      </c>
      <c r="BS81" s="106">
        <v>3768</v>
      </c>
      <c r="BT81" s="106">
        <v>3.3391140489575242</v>
      </c>
      <c r="BU81" s="106">
        <v>2516.3563472943902</v>
      </c>
      <c r="BV81" s="106">
        <v>5.4728748018058599</v>
      </c>
      <c r="BW81" s="106">
        <v>4124.3584506408961</v>
      </c>
      <c r="BX81" s="106">
        <v>4.4323588278792618</v>
      </c>
      <c r="BY81" s="106">
        <v>3340.2256126898119</v>
      </c>
      <c r="BZ81" s="106">
        <v>6.5686381226651633</v>
      </c>
      <c r="CA81" s="106">
        <v>4950.1256892404672</v>
      </c>
      <c r="CB81" s="106">
        <v>5.5185191851870101</v>
      </c>
      <c r="CC81" s="106">
        <v>4158.7560579569308</v>
      </c>
      <c r="CD81" s="106">
        <v>6.4177705821791386</v>
      </c>
      <c r="CE81" s="106">
        <v>4836.431910730199</v>
      </c>
      <c r="CF81" s="106">
        <v>18</v>
      </c>
      <c r="CG81" s="106">
        <v>13564.800000000001</v>
      </c>
      <c r="CH81" s="106">
        <v>30</v>
      </c>
      <c r="CI81" s="106">
        <v>22608</v>
      </c>
      <c r="CJ81" s="106">
        <v>18</v>
      </c>
      <c r="CK81" s="106">
        <v>13564.800000000001</v>
      </c>
      <c r="CL81" s="106">
        <v>29</v>
      </c>
      <c r="CM81" s="106">
        <v>21854.400000000001</v>
      </c>
      <c r="CN81" s="106">
        <v>3</v>
      </c>
      <c r="CO81" s="106">
        <v>2260.8000000000002</v>
      </c>
      <c r="CP81" s="106">
        <v>3.7105387615742704</v>
      </c>
      <c r="CQ81" s="106">
        <v>2796.2620107223702</v>
      </c>
      <c r="CR81" s="106">
        <v>3</v>
      </c>
      <c r="CS81" s="106">
        <v>2260.8000000000002</v>
      </c>
      <c r="CT81" s="106">
        <v>4</v>
      </c>
      <c r="CU81" s="106">
        <v>3014.4</v>
      </c>
    </row>
    <row r="82" spans="2:99" x14ac:dyDescent="0.2">
      <c r="C82" s="105" t="s">
        <v>247</v>
      </c>
      <c r="D82" s="106">
        <v>11</v>
      </c>
      <c r="E82" s="106">
        <v>5596.7999999999993</v>
      </c>
      <c r="F82" s="106">
        <v>19</v>
      </c>
      <c r="G82" s="106">
        <v>9667.1999999999989</v>
      </c>
      <c r="H82" s="106">
        <v>14.642964876953458</v>
      </c>
      <c r="I82" s="106">
        <v>7450.3405293939177</v>
      </c>
      <c r="J82" s="106">
        <v>21.867240517851378</v>
      </c>
      <c r="K82" s="106">
        <v>11126.051975482778</v>
      </c>
      <c r="L82" s="106">
        <v>15</v>
      </c>
      <c r="M82" s="106">
        <v>7631.9999999999982</v>
      </c>
      <c r="N82" s="106">
        <v>19.859355763225111</v>
      </c>
      <c r="O82" s="106">
        <v>10104.440212328935</v>
      </c>
      <c r="P82" s="106">
        <v>21</v>
      </c>
      <c r="Q82" s="106">
        <v>10684.799999999997</v>
      </c>
      <c r="R82" s="106">
        <v>19</v>
      </c>
      <c r="S82" s="106">
        <v>9667.1999999999989</v>
      </c>
      <c r="T82" s="106">
        <v>4.5083928651195588</v>
      </c>
      <c r="U82" s="106">
        <v>2293.8702897728313</v>
      </c>
      <c r="V82" s="106">
        <v>7.6075004863262965</v>
      </c>
      <c r="W82" s="106">
        <v>3870.6962474428187</v>
      </c>
      <c r="X82" s="106">
        <v>5.650945208865604</v>
      </c>
      <c r="Y82" s="106">
        <v>2875.2009222708189</v>
      </c>
      <c r="Z82" s="106">
        <v>6.5483488796516873</v>
      </c>
      <c r="AA82" s="106">
        <v>3331.7999099667777</v>
      </c>
      <c r="AB82" s="106">
        <v>10.596322336778892</v>
      </c>
      <c r="AC82" s="106">
        <v>5391.4088049530992</v>
      </c>
      <c r="AD82" s="106">
        <v>12.587696284303791</v>
      </c>
      <c r="AE82" s="106">
        <v>6404.619869453767</v>
      </c>
      <c r="AF82" s="106">
        <v>10.748038935451028</v>
      </c>
      <c r="AG82" s="106">
        <v>5468.6022103574824</v>
      </c>
      <c r="AH82" s="106">
        <v>9.6991716569397148</v>
      </c>
      <c r="AI82" s="106">
        <v>4934.938539050926</v>
      </c>
      <c r="AJ82" s="106">
        <v>5.5030359615936453</v>
      </c>
      <c r="AK82" s="106">
        <v>2799.9446972588462</v>
      </c>
      <c r="AL82" s="106">
        <v>5.542834239007802</v>
      </c>
      <c r="AM82" s="106">
        <v>2820.1940608071691</v>
      </c>
      <c r="AN82" s="106">
        <v>5.4031499795994744</v>
      </c>
      <c r="AO82" s="106">
        <v>2749.1227096202119</v>
      </c>
      <c r="AP82" s="106">
        <v>4.5580288564538591</v>
      </c>
      <c r="AQ82" s="106">
        <v>2319.1250821637232</v>
      </c>
      <c r="AR82" s="106">
        <v>36.145316018988439</v>
      </c>
      <c r="AS82" s="106">
        <v>18390.736790461313</v>
      </c>
      <c r="AT82" s="106">
        <v>37.894818855937253</v>
      </c>
      <c r="AU82" s="106">
        <v>19280.883833900869</v>
      </c>
      <c r="AV82" s="106">
        <v>32.67124626310499</v>
      </c>
      <c r="AW82" s="106">
        <v>16623.130098667814</v>
      </c>
      <c r="AX82" s="106">
        <v>31.740093139251982</v>
      </c>
      <c r="AY82" s="106">
        <v>16149.359389251405</v>
      </c>
      <c r="AZ82" s="106">
        <v>50</v>
      </c>
      <c r="BA82" s="106">
        <v>25439.999999999996</v>
      </c>
      <c r="BB82" s="106">
        <v>57</v>
      </c>
      <c r="BC82" s="106">
        <v>29001.599999999995</v>
      </c>
      <c r="BD82" s="106">
        <v>56</v>
      </c>
      <c r="BE82" s="106">
        <v>28492.799999999996</v>
      </c>
      <c r="BF82" s="106">
        <v>71</v>
      </c>
      <c r="BG82" s="106">
        <v>36124.799999999996</v>
      </c>
      <c r="BH82" s="106">
        <v>4</v>
      </c>
      <c r="BI82" s="106">
        <v>2035.1999999999996</v>
      </c>
      <c r="BJ82" s="106">
        <v>5</v>
      </c>
      <c r="BK82" s="106">
        <v>2543.9999999999995</v>
      </c>
      <c r="BL82" s="106">
        <v>6</v>
      </c>
      <c r="BM82" s="106">
        <v>3052.7999999999993</v>
      </c>
      <c r="BN82" s="106">
        <v>4</v>
      </c>
      <c r="BO82" s="106">
        <v>2035.1999999999996</v>
      </c>
      <c r="BP82" s="106">
        <v>4</v>
      </c>
      <c r="BQ82" s="106">
        <v>2035.1999999999996</v>
      </c>
      <c r="BR82" s="106">
        <v>5</v>
      </c>
      <c r="BS82" s="106">
        <v>2543.9999999999995</v>
      </c>
      <c r="BT82" s="106">
        <v>3.3391140489575242</v>
      </c>
      <c r="BU82" s="106">
        <v>1698.9412281095879</v>
      </c>
      <c r="BV82" s="106">
        <v>6.4728748018058599</v>
      </c>
      <c r="BW82" s="106">
        <v>3293.3986991588208</v>
      </c>
      <c r="BX82" s="106">
        <v>4.4323588278792618</v>
      </c>
      <c r="BY82" s="106">
        <v>2255.1841716249678</v>
      </c>
      <c r="BZ82" s="106">
        <v>5.5686381226651633</v>
      </c>
      <c r="CA82" s="106">
        <v>2833.3230768120347</v>
      </c>
      <c r="CB82" s="106">
        <v>5.478633094018778</v>
      </c>
      <c r="CC82" s="106">
        <v>2787.5285182367538</v>
      </c>
      <c r="CD82" s="106">
        <v>6.4499067808083037</v>
      </c>
      <c r="CE82" s="106">
        <v>3281.7125700752645</v>
      </c>
      <c r="CF82" s="106">
        <v>19</v>
      </c>
      <c r="CG82" s="106">
        <v>9667.1999999999989</v>
      </c>
      <c r="CH82" s="106">
        <v>27</v>
      </c>
      <c r="CI82" s="106">
        <v>13737.599999999997</v>
      </c>
      <c r="CJ82" s="106">
        <v>16</v>
      </c>
      <c r="CK82" s="106">
        <v>8140.7999999999984</v>
      </c>
      <c r="CL82" s="106">
        <v>30</v>
      </c>
      <c r="CM82" s="106">
        <v>15263.999999999996</v>
      </c>
      <c r="CN82" s="106">
        <v>3</v>
      </c>
      <c r="CO82" s="106">
        <v>1526.3999999999996</v>
      </c>
      <c r="CP82" s="106">
        <v>3.6687423638346077</v>
      </c>
      <c r="CQ82" s="106">
        <v>1866.656114719048</v>
      </c>
      <c r="CR82" s="106">
        <v>3</v>
      </c>
      <c r="CS82" s="106">
        <v>1526.3999999999996</v>
      </c>
      <c r="CT82" s="106">
        <v>4</v>
      </c>
      <c r="CU82" s="106">
        <v>2035.1999999999996</v>
      </c>
    </row>
    <row r="83" spans="2:99" x14ac:dyDescent="0.2">
      <c r="C83" s="105" t="s">
        <v>248</v>
      </c>
      <c r="D83" s="106">
        <v>11</v>
      </c>
      <c r="E83" s="106">
        <v>9464.4</v>
      </c>
      <c r="F83" s="106">
        <v>17</v>
      </c>
      <c r="G83" s="106">
        <v>14626.8</v>
      </c>
      <c r="H83" s="106">
        <v>13.718607803653866</v>
      </c>
      <c r="I83" s="106">
        <v>11803.490154263785</v>
      </c>
      <c r="J83" s="106">
        <v>20.942652736794976</v>
      </c>
      <c r="K83" s="106">
        <v>18019.058414738396</v>
      </c>
      <c r="L83" s="106">
        <v>15</v>
      </c>
      <c r="M83" s="106">
        <v>12906</v>
      </c>
      <c r="N83" s="106">
        <v>16.941199169246552</v>
      </c>
      <c r="O83" s="106">
        <v>14576.207765219733</v>
      </c>
      <c r="P83" s="106">
        <v>19</v>
      </c>
      <c r="Q83" s="106">
        <v>16347.6</v>
      </c>
      <c r="R83" s="106">
        <v>16</v>
      </c>
      <c r="S83" s="106">
        <v>13766.4</v>
      </c>
      <c r="T83" s="106">
        <v>4.5326020491728709</v>
      </c>
      <c r="U83" s="106">
        <v>3899.8508031083379</v>
      </c>
      <c r="V83" s="106">
        <v>8.5018482278347669</v>
      </c>
      <c r="W83" s="106">
        <v>7314.9902152290333</v>
      </c>
      <c r="X83" s="106">
        <v>5.5695770577574031</v>
      </c>
      <c r="Y83" s="106">
        <v>4792.0641004944691</v>
      </c>
      <c r="Z83" s="106">
        <v>6.5483488796516873</v>
      </c>
      <c r="AA83" s="106">
        <v>5634.1993760523119</v>
      </c>
      <c r="AB83" s="106">
        <v>9.5963223367788917</v>
      </c>
      <c r="AC83" s="106">
        <v>8256.6757385645578</v>
      </c>
      <c r="AD83" s="106">
        <v>11.68564566502109</v>
      </c>
      <c r="AE83" s="106">
        <v>10054.329530184146</v>
      </c>
      <c r="AF83" s="106">
        <v>9.6981696730876248</v>
      </c>
      <c r="AG83" s="106">
        <v>8344.3051867245922</v>
      </c>
      <c r="AH83" s="106">
        <v>9.599289991662614</v>
      </c>
      <c r="AI83" s="106">
        <v>8259.2291088265119</v>
      </c>
      <c r="AJ83" s="106">
        <v>4.4671048214798139</v>
      </c>
      <c r="AK83" s="106">
        <v>3843.4969884012316</v>
      </c>
      <c r="AL83" s="106">
        <v>5.5790231882749888</v>
      </c>
      <c r="AM83" s="106">
        <v>4800.1915511918005</v>
      </c>
      <c r="AN83" s="106">
        <v>5.4397999777448813</v>
      </c>
      <c r="AO83" s="106">
        <v>4680.4039008516957</v>
      </c>
      <c r="AP83" s="106">
        <v>3.5208269326902686</v>
      </c>
      <c r="AQ83" s="106">
        <v>3029.3194928867069</v>
      </c>
      <c r="AR83" s="106">
        <v>32.867219498008453</v>
      </c>
      <c r="AS83" s="106">
        <v>28278.955656086473</v>
      </c>
      <c r="AT83" s="106">
        <v>34.05856863361084</v>
      </c>
      <c r="AU83" s="106">
        <v>29303.992452358765</v>
      </c>
      <c r="AV83" s="106">
        <v>31.414131453396532</v>
      </c>
      <c r="AW83" s="106">
        <v>27028.718702502374</v>
      </c>
      <c r="AX83" s="106">
        <v>31.500080292458605</v>
      </c>
      <c r="AY83" s="106">
        <v>27102.669083631383</v>
      </c>
      <c r="AZ83" s="106">
        <v>46</v>
      </c>
      <c r="BA83" s="106">
        <v>39578.400000000001</v>
      </c>
      <c r="BB83" s="106">
        <v>59</v>
      </c>
      <c r="BC83" s="106">
        <v>50763.6</v>
      </c>
      <c r="BD83" s="106">
        <v>55</v>
      </c>
      <c r="BE83" s="106">
        <v>47322</v>
      </c>
      <c r="BF83" s="106">
        <v>57</v>
      </c>
      <c r="BG83" s="106">
        <v>49042.799999999996</v>
      </c>
      <c r="BH83" s="106">
        <v>5</v>
      </c>
      <c r="BI83" s="106">
        <v>4302</v>
      </c>
      <c r="BJ83" s="106">
        <v>5</v>
      </c>
      <c r="BK83" s="106">
        <v>4302</v>
      </c>
      <c r="BL83" s="106">
        <v>7</v>
      </c>
      <c r="BM83" s="106">
        <v>6022.8</v>
      </c>
      <c r="BN83" s="106">
        <v>4</v>
      </c>
      <c r="BO83" s="106">
        <v>3441.6</v>
      </c>
      <c r="BP83" s="106">
        <v>4</v>
      </c>
      <c r="BQ83" s="106">
        <v>3441.6</v>
      </c>
      <c r="BR83" s="106">
        <v>5.385839273007492</v>
      </c>
      <c r="BS83" s="106">
        <v>4633.976110495646</v>
      </c>
      <c r="BT83" s="106">
        <v>3.3391140489575242</v>
      </c>
      <c r="BU83" s="106">
        <v>2872.9737277230538</v>
      </c>
      <c r="BV83" s="106">
        <v>5.4298861834598728</v>
      </c>
      <c r="BW83" s="106">
        <v>4671.8740722488747</v>
      </c>
      <c r="BX83" s="106">
        <v>4.4656171992545897</v>
      </c>
      <c r="BY83" s="106">
        <v>3842.2170382386489</v>
      </c>
      <c r="BZ83" s="106">
        <v>5.5351888213319187</v>
      </c>
      <c r="CA83" s="106">
        <v>4762.4764618739828</v>
      </c>
      <c r="CB83" s="106">
        <v>5.478633094018778</v>
      </c>
      <c r="CC83" s="106">
        <v>4713.8159140937569</v>
      </c>
      <c r="CD83" s="106">
        <v>6.4177705821791386</v>
      </c>
      <c r="CE83" s="106">
        <v>5521.8498089069308</v>
      </c>
      <c r="CF83" s="106">
        <v>19</v>
      </c>
      <c r="CG83" s="106">
        <v>16347.6</v>
      </c>
      <c r="CH83" s="106">
        <v>28</v>
      </c>
      <c r="CI83" s="106">
        <v>24091.200000000001</v>
      </c>
      <c r="CJ83" s="106">
        <v>17</v>
      </c>
      <c r="CK83" s="106">
        <v>14626.8</v>
      </c>
      <c r="CL83" s="106">
        <v>32</v>
      </c>
      <c r="CM83" s="106">
        <v>27532.799999999999</v>
      </c>
      <c r="CN83" s="106">
        <v>3</v>
      </c>
      <c r="CO83" s="106">
        <v>2581.1999999999998</v>
      </c>
      <c r="CP83" s="106">
        <v>3</v>
      </c>
      <c r="CQ83" s="106">
        <v>2581.1999999999998</v>
      </c>
      <c r="CR83" s="106">
        <v>3</v>
      </c>
      <c r="CS83" s="106">
        <v>2581.1999999999998</v>
      </c>
      <c r="CT83" s="106">
        <v>4</v>
      </c>
      <c r="CU83" s="106">
        <v>3441.6</v>
      </c>
    </row>
    <row r="84" spans="2:99" x14ac:dyDescent="0.2">
      <c r="C84" s="105" t="s">
        <v>249</v>
      </c>
      <c r="D84" s="106">
        <v>11</v>
      </c>
      <c r="E84" s="106">
        <v>8593.1999999999989</v>
      </c>
      <c r="F84" s="106">
        <v>18</v>
      </c>
      <c r="G84" s="106">
        <v>14061.599999999999</v>
      </c>
      <c r="H84" s="106">
        <v>13.680786340303662</v>
      </c>
      <c r="I84" s="106">
        <v>10687.43028904522</v>
      </c>
      <c r="J84" s="106">
        <v>21.942652736794976</v>
      </c>
      <c r="K84" s="106">
        <v>17141.600317984234</v>
      </c>
      <c r="L84" s="106">
        <v>14</v>
      </c>
      <c r="M84" s="106">
        <v>10936.8</v>
      </c>
      <c r="N84" s="106">
        <v>18.900277466235831</v>
      </c>
      <c r="O84" s="106">
        <v>14764.89675662343</v>
      </c>
      <c r="P84" s="106">
        <v>19</v>
      </c>
      <c r="Q84" s="106">
        <v>14842.8</v>
      </c>
      <c r="R84" s="106">
        <v>17</v>
      </c>
      <c r="S84" s="106">
        <v>13280.4</v>
      </c>
      <c r="T84" s="106">
        <v>5.4599744970129338</v>
      </c>
      <c r="U84" s="106">
        <v>4265.3320770665032</v>
      </c>
      <c r="V84" s="106">
        <v>7.5282612924576489</v>
      </c>
      <c r="W84" s="106">
        <v>5881.0777216679144</v>
      </c>
      <c r="X84" s="106">
        <v>4.6238224918295376</v>
      </c>
      <c r="Y84" s="106">
        <v>3612.1301306172345</v>
      </c>
      <c r="Z84" s="106">
        <v>6.5222370282397026</v>
      </c>
      <c r="AA84" s="106">
        <v>5095.1715664608555</v>
      </c>
      <c r="AB84" s="106">
        <v>10.596322336778892</v>
      </c>
      <c r="AC84" s="106">
        <v>8277.8470094916702</v>
      </c>
      <c r="AD84" s="106">
        <v>11.63667097466244</v>
      </c>
      <c r="AE84" s="106">
        <v>9090.5673654062975</v>
      </c>
      <c r="AF84" s="106">
        <v>9</v>
      </c>
      <c r="AG84" s="106">
        <v>7030.7999999999993</v>
      </c>
      <c r="AH84" s="106">
        <v>9.599289991662614</v>
      </c>
      <c r="AI84" s="106">
        <v>7498.9653414868335</v>
      </c>
      <c r="AJ84" s="106">
        <v>5.5030359615936453</v>
      </c>
      <c r="AK84" s="106">
        <v>4298.9716931969551</v>
      </c>
      <c r="AL84" s="106">
        <v>5.5066452897406144</v>
      </c>
      <c r="AM84" s="106">
        <v>4301.7913003453677</v>
      </c>
      <c r="AN84" s="106">
        <v>5.5130999740356952</v>
      </c>
      <c r="AO84" s="106">
        <v>4306.8336997166844</v>
      </c>
      <c r="AP84" s="106">
        <v>3.5580288564538591</v>
      </c>
      <c r="AQ84" s="106">
        <v>2779.5321426617547</v>
      </c>
      <c r="AR84" s="106">
        <v>34.728171237518467</v>
      </c>
      <c r="AS84" s="106">
        <v>27129.647370749422</v>
      </c>
      <c r="AT84" s="106">
        <v>31.754461903645606</v>
      </c>
      <c r="AU84" s="106">
        <v>24806.585639127945</v>
      </c>
      <c r="AV84" s="106">
        <v>32.362708491454839</v>
      </c>
      <c r="AW84" s="106">
        <v>25281.747873524517</v>
      </c>
      <c r="AX84" s="106">
        <v>31.620086715855294</v>
      </c>
      <c r="AY84" s="106">
        <v>24701.611742426154</v>
      </c>
      <c r="AZ84" s="106">
        <v>39</v>
      </c>
      <c r="BA84" s="106">
        <v>30466.799999999996</v>
      </c>
      <c r="BB84" s="106">
        <v>61</v>
      </c>
      <c r="BC84" s="106">
        <v>47653.2</v>
      </c>
      <c r="BD84" s="106">
        <v>49</v>
      </c>
      <c r="BE84" s="106">
        <v>38278.799999999996</v>
      </c>
      <c r="BF84" s="106">
        <v>61</v>
      </c>
      <c r="BG84" s="106">
        <v>47653.2</v>
      </c>
      <c r="BH84" s="106">
        <v>4</v>
      </c>
      <c r="BI84" s="106">
        <v>3124.7999999999997</v>
      </c>
      <c r="BJ84" s="106">
        <v>5</v>
      </c>
      <c r="BK84" s="106">
        <v>3905.9999999999995</v>
      </c>
      <c r="BL84" s="106">
        <v>7</v>
      </c>
      <c r="BM84" s="106">
        <v>5468.4</v>
      </c>
      <c r="BN84" s="106">
        <v>4</v>
      </c>
      <c r="BO84" s="106">
        <v>3124.7999999999997</v>
      </c>
      <c r="BP84" s="106">
        <v>3</v>
      </c>
      <c r="BQ84" s="106">
        <v>2343.6</v>
      </c>
      <c r="BR84" s="106">
        <v>5.385839273007492</v>
      </c>
      <c r="BS84" s="106">
        <v>4207.4176400734523</v>
      </c>
      <c r="BT84" s="106">
        <v>3.3391140489575242</v>
      </c>
      <c r="BU84" s="106">
        <v>2608.5158950456175</v>
      </c>
      <c r="BV84" s="106">
        <v>5.3868975651138857</v>
      </c>
      <c r="BW84" s="106">
        <v>4208.2443778669667</v>
      </c>
      <c r="BX84" s="106">
        <v>4.399100456503934</v>
      </c>
      <c r="BY84" s="106">
        <v>3436.5772766208729</v>
      </c>
      <c r="BZ84" s="106">
        <v>6.5351888213319187</v>
      </c>
      <c r="CA84" s="106">
        <v>5105.2895072244946</v>
      </c>
      <c r="CB84" s="106">
        <v>5.478633094018778</v>
      </c>
      <c r="CC84" s="106">
        <v>4279.9081730474691</v>
      </c>
      <c r="CD84" s="106">
        <v>6.4177705821791386</v>
      </c>
      <c r="CE84" s="106">
        <v>5013.5623787983423</v>
      </c>
      <c r="CF84" s="106">
        <v>18</v>
      </c>
      <c r="CG84" s="106">
        <v>14061.599999999999</v>
      </c>
      <c r="CH84" s="106">
        <v>26</v>
      </c>
      <c r="CI84" s="106">
        <v>20311.199999999997</v>
      </c>
      <c r="CJ84" s="106">
        <v>15</v>
      </c>
      <c r="CK84" s="106">
        <v>11717.999999999998</v>
      </c>
      <c r="CL84" s="106">
        <v>28</v>
      </c>
      <c r="CM84" s="106">
        <v>21873.599999999999</v>
      </c>
      <c r="CN84" s="106">
        <v>3</v>
      </c>
      <c r="CO84" s="106">
        <v>2343.6</v>
      </c>
      <c r="CP84" s="106">
        <v>2.6269459660949446</v>
      </c>
      <c r="CQ84" s="106">
        <v>2052.1701887133704</v>
      </c>
      <c r="CR84" s="106">
        <v>3</v>
      </c>
      <c r="CS84" s="106">
        <v>2343.6</v>
      </c>
      <c r="CT84" s="106">
        <v>5</v>
      </c>
      <c r="CU84" s="106">
        <v>3905.9999999999995</v>
      </c>
    </row>
    <row r="85" spans="2:99" x14ac:dyDescent="0.2">
      <c r="C85" s="105" t="s">
        <v>250</v>
      </c>
      <c r="D85" s="106">
        <v>12</v>
      </c>
      <c r="E85" s="106">
        <v>1800</v>
      </c>
      <c r="F85" s="106">
        <v>21</v>
      </c>
      <c r="G85" s="106">
        <v>3150</v>
      </c>
      <c r="H85" s="106">
        <v>16.718607803653864</v>
      </c>
      <c r="I85" s="106">
        <v>2507.7911705480797</v>
      </c>
      <c r="J85" s="106">
        <v>21.018064955738577</v>
      </c>
      <c r="K85" s="106">
        <v>3152.7097433607864</v>
      </c>
      <c r="L85" s="106">
        <v>16</v>
      </c>
      <c r="M85" s="106">
        <v>2400</v>
      </c>
      <c r="N85" s="106">
        <v>19</v>
      </c>
      <c r="O85" s="106">
        <v>2850</v>
      </c>
      <c r="P85" s="106">
        <v>20</v>
      </c>
      <c r="Q85" s="106">
        <v>3000</v>
      </c>
      <c r="R85" s="106">
        <v>19</v>
      </c>
      <c r="S85" s="106">
        <v>2850</v>
      </c>
      <c r="T85" s="106">
        <v>4.5326020491728709</v>
      </c>
      <c r="U85" s="106">
        <v>679.89030737593066</v>
      </c>
      <c r="V85" s="106">
        <v>7.5282612924576489</v>
      </c>
      <c r="W85" s="106">
        <v>1129.2391938686474</v>
      </c>
      <c r="X85" s="106">
        <v>5.5695770577574031</v>
      </c>
      <c r="Y85" s="106">
        <v>835.43655866361041</v>
      </c>
      <c r="Z85" s="106">
        <v>7.6005725824756576</v>
      </c>
      <c r="AA85" s="106">
        <v>1140.0858873713487</v>
      </c>
      <c r="AB85" s="106">
        <v>9.6957093929087055</v>
      </c>
      <c r="AC85" s="106">
        <v>1454.3564089363058</v>
      </c>
      <c r="AD85" s="106">
        <v>12.63667097466244</v>
      </c>
      <c r="AE85" s="106">
        <v>1895.500646199366</v>
      </c>
      <c r="AF85" s="106">
        <v>9.748038935451028</v>
      </c>
      <c r="AG85" s="106">
        <v>1462.2058403176543</v>
      </c>
      <c r="AH85" s="106">
        <v>10.699171656939715</v>
      </c>
      <c r="AI85" s="106">
        <v>1604.8757485409571</v>
      </c>
      <c r="AJ85" s="106">
        <v>5.4671048214798139</v>
      </c>
      <c r="AK85" s="106">
        <v>820.06572322197212</v>
      </c>
      <c r="AL85" s="106">
        <v>5.6514010868093623</v>
      </c>
      <c r="AM85" s="106">
        <v>847.71016302140436</v>
      </c>
      <c r="AN85" s="106">
        <v>5.4764499758902883</v>
      </c>
      <c r="AO85" s="106">
        <v>821.46749638354322</v>
      </c>
      <c r="AP85" s="106">
        <v>4.5580288564538591</v>
      </c>
      <c r="AQ85" s="106">
        <v>683.70432846807887</v>
      </c>
      <c r="AR85" s="106">
        <v>40.006267758498446</v>
      </c>
      <c r="AS85" s="106">
        <v>6000.9401637747669</v>
      </c>
      <c r="AT85" s="106">
        <v>38.98839015746502</v>
      </c>
      <c r="AU85" s="106">
        <v>5848.2585236197529</v>
      </c>
      <c r="AV85" s="106">
        <v>35.67124626310499</v>
      </c>
      <c r="AW85" s="106">
        <v>5350.6869394657488</v>
      </c>
      <c r="AX85" s="106">
        <v>31.890101168497843</v>
      </c>
      <c r="AY85" s="106">
        <v>4783.515175274676</v>
      </c>
      <c r="AZ85" s="106">
        <v>49</v>
      </c>
      <c r="BA85" s="106">
        <v>7350</v>
      </c>
      <c r="BB85" s="106">
        <v>66</v>
      </c>
      <c r="BC85" s="106">
        <v>9900</v>
      </c>
      <c r="BD85" s="106">
        <v>58</v>
      </c>
      <c r="BE85" s="106">
        <v>8700</v>
      </c>
      <c r="BF85" s="106">
        <v>73</v>
      </c>
      <c r="BG85" s="106">
        <v>10950</v>
      </c>
      <c r="BH85" s="106">
        <v>4</v>
      </c>
      <c r="BI85" s="106">
        <v>600</v>
      </c>
      <c r="BJ85" s="106">
        <v>6</v>
      </c>
      <c r="BK85" s="106">
        <v>900</v>
      </c>
      <c r="BL85" s="106">
        <v>7</v>
      </c>
      <c r="BM85" s="106">
        <v>1050</v>
      </c>
      <c r="BN85" s="106">
        <v>5</v>
      </c>
      <c r="BO85" s="106">
        <v>750</v>
      </c>
      <c r="BP85" s="106">
        <v>4</v>
      </c>
      <c r="BQ85" s="106">
        <v>600</v>
      </c>
      <c r="BR85" s="106">
        <v>5</v>
      </c>
      <c r="BS85" s="106">
        <v>750</v>
      </c>
      <c r="BT85" s="106">
        <v>3.3391140489575242</v>
      </c>
      <c r="BU85" s="106">
        <v>500.86710734362862</v>
      </c>
      <c r="BV85" s="106">
        <v>6.4298861834598728</v>
      </c>
      <c r="BW85" s="106">
        <v>964.48292751898089</v>
      </c>
      <c r="BX85" s="106">
        <v>4.4323588278792618</v>
      </c>
      <c r="BY85" s="106">
        <v>664.85382418188931</v>
      </c>
      <c r="BZ85" s="106">
        <v>5.6020874239984089</v>
      </c>
      <c r="CA85" s="106">
        <v>840.31311359976132</v>
      </c>
      <c r="CB85" s="106">
        <v>4.5584052763552414</v>
      </c>
      <c r="CC85" s="106">
        <v>683.76079145328617</v>
      </c>
      <c r="CD85" s="106">
        <v>7.4177705821791386</v>
      </c>
      <c r="CE85" s="106">
        <v>1112.6655873268708</v>
      </c>
      <c r="CF85" s="106">
        <v>20</v>
      </c>
      <c r="CG85" s="106">
        <v>3000</v>
      </c>
      <c r="CH85" s="106">
        <v>30</v>
      </c>
      <c r="CI85" s="106">
        <v>4500</v>
      </c>
      <c r="CJ85" s="106">
        <v>20</v>
      </c>
      <c r="CK85" s="106">
        <v>3000</v>
      </c>
      <c r="CL85" s="106">
        <v>34</v>
      </c>
      <c r="CM85" s="106">
        <v>5100</v>
      </c>
      <c r="CN85" s="106">
        <v>3</v>
      </c>
      <c r="CO85" s="106">
        <v>450</v>
      </c>
      <c r="CP85" s="106">
        <v>3.7105387615742704</v>
      </c>
      <c r="CQ85" s="106">
        <v>556.58081423614055</v>
      </c>
      <c r="CR85" s="106">
        <v>3</v>
      </c>
      <c r="CS85" s="106">
        <v>450</v>
      </c>
      <c r="CT85" s="106">
        <v>4</v>
      </c>
      <c r="CU85" s="106">
        <v>600</v>
      </c>
    </row>
    <row r="86" spans="2:99" x14ac:dyDescent="0.2">
      <c r="C86" s="105" t="s">
        <v>251</v>
      </c>
      <c r="D86" s="106">
        <v>12</v>
      </c>
      <c r="E86" s="106">
        <v>6480</v>
      </c>
      <c r="F86" s="106">
        <v>17</v>
      </c>
      <c r="G86" s="106">
        <v>9180</v>
      </c>
      <c r="H86" s="106">
        <v>14.718607803653866</v>
      </c>
      <c r="I86" s="106">
        <v>7948.0482139730875</v>
      </c>
      <c r="J86" s="106">
        <v>20.980358846266778</v>
      </c>
      <c r="K86" s="106">
        <v>11329.39377698406</v>
      </c>
      <c r="L86" s="106">
        <v>15</v>
      </c>
      <c r="M86" s="106">
        <v>8100</v>
      </c>
      <c r="N86" s="106">
        <v>16.818434060214393</v>
      </c>
      <c r="O86" s="106">
        <v>9081.9543925157723</v>
      </c>
      <c r="P86" s="106">
        <v>21</v>
      </c>
      <c r="Q86" s="106">
        <v>11340</v>
      </c>
      <c r="R86" s="106">
        <v>18</v>
      </c>
      <c r="S86" s="106">
        <v>9720</v>
      </c>
      <c r="T86" s="106">
        <v>5.5083928651195588</v>
      </c>
      <c r="U86" s="106">
        <v>2974.5321471645616</v>
      </c>
      <c r="V86" s="106">
        <v>7.6075004863262965</v>
      </c>
      <c r="W86" s="106">
        <v>4108.0502626161997</v>
      </c>
      <c r="X86" s="106">
        <v>4.5695770577574031</v>
      </c>
      <c r="Y86" s="106">
        <v>2467.5716111889978</v>
      </c>
      <c r="Z86" s="106">
        <v>6.6005725824756576</v>
      </c>
      <c r="AA86" s="106">
        <v>3564.3091945368551</v>
      </c>
      <c r="AB86" s="106">
        <v>9.6460158648437986</v>
      </c>
      <c r="AC86" s="106">
        <v>5208.8485670156515</v>
      </c>
      <c r="AD86" s="106">
        <v>12.63667097466244</v>
      </c>
      <c r="AE86" s="106">
        <v>6823.8023263177174</v>
      </c>
      <c r="AF86" s="106">
        <v>11.698169673087625</v>
      </c>
      <c r="AG86" s="106">
        <v>6317.0116234673178</v>
      </c>
      <c r="AH86" s="106">
        <v>10.699171656939715</v>
      </c>
      <c r="AI86" s="106">
        <v>5777.5526947474464</v>
      </c>
      <c r="AJ86" s="106">
        <v>5.5030359615936453</v>
      </c>
      <c r="AK86" s="106">
        <v>2971.6394192605685</v>
      </c>
      <c r="AL86" s="106">
        <v>5.5066452897406144</v>
      </c>
      <c r="AM86" s="106">
        <v>2973.5884564599319</v>
      </c>
      <c r="AN86" s="106">
        <v>5.4764499758902883</v>
      </c>
      <c r="AO86" s="106">
        <v>2957.2829869807556</v>
      </c>
      <c r="AP86" s="106">
        <v>3.5580288564538591</v>
      </c>
      <c r="AQ86" s="106">
        <v>1921.3355824850839</v>
      </c>
      <c r="AR86" s="106">
        <v>31.026131795711304</v>
      </c>
      <c r="AS86" s="106">
        <v>16754.111169684104</v>
      </c>
      <c r="AT86" s="106">
        <v>38.152139935138607</v>
      </c>
      <c r="AU86" s="106">
        <v>20602.155564974848</v>
      </c>
      <c r="AV86" s="106">
        <v>33.439842934367377</v>
      </c>
      <c r="AW86" s="106">
        <v>18057.515184558382</v>
      </c>
      <c r="AX86" s="106">
        <v>31.56008350415695</v>
      </c>
      <c r="AY86" s="106">
        <v>17042.445092244754</v>
      </c>
      <c r="AZ86" s="106">
        <v>48</v>
      </c>
      <c r="BA86" s="106">
        <v>25920</v>
      </c>
      <c r="BB86" s="106">
        <v>63</v>
      </c>
      <c r="BC86" s="106">
        <v>34020</v>
      </c>
      <c r="BD86" s="106">
        <v>53</v>
      </c>
      <c r="BE86" s="106">
        <v>28620</v>
      </c>
      <c r="BF86" s="106">
        <v>67</v>
      </c>
      <c r="BG86" s="106">
        <v>36180</v>
      </c>
      <c r="BH86" s="106">
        <v>5</v>
      </c>
      <c r="BI86" s="106">
        <v>2700</v>
      </c>
      <c r="BJ86" s="106">
        <v>6</v>
      </c>
      <c r="BK86" s="106">
        <v>3240</v>
      </c>
      <c r="BL86" s="106">
        <v>6</v>
      </c>
      <c r="BM86" s="106">
        <v>3240</v>
      </c>
      <c r="BN86" s="106">
        <v>5</v>
      </c>
      <c r="BO86" s="106">
        <v>2700</v>
      </c>
      <c r="BP86" s="106">
        <v>4</v>
      </c>
      <c r="BQ86" s="106">
        <v>2160</v>
      </c>
      <c r="BR86" s="106">
        <v>6</v>
      </c>
      <c r="BS86" s="106">
        <v>3240</v>
      </c>
      <c r="BT86" s="106">
        <v>3.3391140489575242</v>
      </c>
      <c r="BU86" s="106">
        <v>1803.1215864370631</v>
      </c>
      <c r="BV86" s="106">
        <v>5.3868975651138857</v>
      </c>
      <c r="BW86" s="106">
        <v>2908.9246851614985</v>
      </c>
      <c r="BX86" s="106">
        <v>3.3991004565039344</v>
      </c>
      <c r="BY86" s="106">
        <v>1835.5142465121246</v>
      </c>
      <c r="BZ86" s="106">
        <v>5.5017395199986741</v>
      </c>
      <c r="CA86" s="106">
        <v>2970.9393407992839</v>
      </c>
      <c r="CB86" s="106">
        <v>4.5584052763552414</v>
      </c>
      <c r="CC86" s="106">
        <v>2461.5388492318302</v>
      </c>
      <c r="CD86" s="106">
        <v>6.4499067808083037</v>
      </c>
      <c r="CE86" s="106">
        <v>3482.9496616364841</v>
      </c>
      <c r="CF86" s="106">
        <v>19</v>
      </c>
      <c r="CG86" s="106">
        <v>10260</v>
      </c>
      <c r="CH86" s="106">
        <v>32</v>
      </c>
      <c r="CI86" s="106">
        <v>17280</v>
      </c>
      <c r="CJ86" s="106">
        <v>17</v>
      </c>
      <c r="CK86" s="106">
        <v>9180</v>
      </c>
      <c r="CL86" s="106">
        <v>33</v>
      </c>
      <c r="CM86" s="106">
        <v>17820</v>
      </c>
      <c r="CN86" s="106">
        <v>3</v>
      </c>
      <c r="CO86" s="106">
        <v>1620</v>
      </c>
      <c r="CP86" s="106">
        <v>3.7523351593139336</v>
      </c>
      <c r="CQ86" s="106">
        <v>2026.260986029524</v>
      </c>
      <c r="CR86" s="106">
        <v>3</v>
      </c>
      <c r="CS86" s="106">
        <v>1620</v>
      </c>
      <c r="CT86" s="106">
        <v>5</v>
      </c>
      <c r="CU86" s="106">
        <v>2700</v>
      </c>
    </row>
    <row r="87" spans="2:99" x14ac:dyDescent="0.2">
      <c r="B87" s="105" t="s">
        <v>131</v>
      </c>
      <c r="C87" s="105" t="s">
        <v>252</v>
      </c>
      <c r="D87" s="106">
        <v>4</v>
      </c>
      <c r="E87" s="106">
        <v>7819.2</v>
      </c>
      <c r="F87" s="106">
        <v>5</v>
      </c>
      <c r="G87" s="106">
        <v>9774</v>
      </c>
      <c r="H87" s="106">
        <v>5.4538575602024411</v>
      </c>
      <c r="I87" s="106">
        <v>10661.200758683732</v>
      </c>
      <c r="J87" s="106">
        <v>6.4901794231333882</v>
      </c>
      <c r="K87" s="106">
        <v>12687.002736341146</v>
      </c>
      <c r="L87" s="106">
        <v>9</v>
      </c>
      <c r="M87" s="106">
        <v>17593.2</v>
      </c>
      <c r="N87" s="106">
        <v>7</v>
      </c>
      <c r="O87" s="106">
        <v>13683.6</v>
      </c>
      <c r="P87" s="106">
        <v>5</v>
      </c>
      <c r="Q87" s="106">
        <v>9774</v>
      </c>
      <c r="R87" s="106">
        <v>8</v>
      </c>
      <c r="S87" s="106">
        <v>15638.4</v>
      </c>
      <c r="T87" s="106">
        <v>8</v>
      </c>
      <c r="U87" s="106">
        <v>15638.4</v>
      </c>
      <c r="V87" s="106">
        <v>8</v>
      </c>
      <c r="W87" s="106">
        <v>15638.4</v>
      </c>
      <c r="X87" s="106">
        <v>9</v>
      </c>
      <c r="Y87" s="106">
        <v>17593.2</v>
      </c>
      <c r="Z87" s="106">
        <v>6</v>
      </c>
      <c r="AA87" s="106">
        <v>11728.8</v>
      </c>
      <c r="AB87" s="106">
        <v>20</v>
      </c>
      <c r="AC87" s="106">
        <v>39096</v>
      </c>
      <c r="AD87" s="106">
        <v>16.224367258966232</v>
      </c>
      <c r="AE87" s="106">
        <v>31715.393117827189</v>
      </c>
      <c r="AF87" s="106">
        <v>14</v>
      </c>
      <c r="AG87" s="106">
        <v>27367.200000000001</v>
      </c>
      <c r="AH87" s="106">
        <v>11</v>
      </c>
      <c r="AI87" s="106">
        <v>21502.799999999999</v>
      </c>
      <c r="AJ87" s="106">
        <v>2</v>
      </c>
      <c r="AK87" s="106">
        <v>3909.6</v>
      </c>
      <c r="AL87" s="106">
        <v>3</v>
      </c>
      <c r="AM87" s="106">
        <v>5864.4</v>
      </c>
      <c r="AN87" s="106">
        <v>2</v>
      </c>
      <c r="AO87" s="106">
        <v>3909.6</v>
      </c>
      <c r="AP87" s="106">
        <v>3</v>
      </c>
      <c r="AQ87" s="106">
        <v>5864.4</v>
      </c>
      <c r="AR87" s="106">
        <v>23.317824595405696</v>
      </c>
      <c r="AS87" s="106">
        <v>45581.683519099053</v>
      </c>
      <c r="AT87" s="106">
        <v>23.304106729965238</v>
      </c>
      <c r="AU87" s="106">
        <v>45554.867835736048</v>
      </c>
      <c r="AV87" s="106">
        <v>42.231403328737613</v>
      </c>
      <c r="AW87" s="106">
        <v>82553.947227016281</v>
      </c>
      <c r="AX87" s="106">
        <v>26.270014452642549</v>
      </c>
      <c r="AY87" s="106">
        <v>51352.624252025656</v>
      </c>
      <c r="AZ87" s="106">
        <v>22</v>
      </c>
      <c r="BA87" s="106">
        <v>43005.599999999999</v>
      </c>
      <c r="BB87" s="106">
        <v>28</v>
      </c>
      <c r="BC87" s="106">
        <v>54734.400000000001</v>
      </c>
      <c r="BD87" s="106">
        <v>31</v>
      </c>
      <c r="BE87" s="106">
        <v>60598.799999999996</v>
      </c>
      <c r="BF87" s="106">
        <v>35</v>
      </c>
      <c r="BG87" s="106">
        <v>68418</v>
      </c>
      <c r="BH87" s="106">
        <v>4.5492174451210126</v>
      </c>
      <c r="BI87" s="106">
        <v>8892.8102617225559</v>
      </c>
      <c r="BJ87" s="106">
        <v>5.727026497570626</v>
      </c>
      <c r="BK87" s="106">
        <v>11195.191397451059</v>
      </c>
      <c r="BL87" s="106">
        <v>5</v>
      </c>
      <c r="BM87" s="106">
        <v>9774</v>
      </c>
      <c r="BN87" s="106">
        <v>4.6331142867418063</v>
      </c>
      <c r="BO87" s="106">
        <v>9056.8118077228828</v>
      </c>
      <c r="BP87" s="106">
        <v>19</v>
      </c>
      <c r="BQ87" s="106">
        <v>37141.199999999997</v>
      </c>
      <c r="BR87" s="106">
        <v>16.620524946631466</v>
      </c>
      <c r="BS87" s="106">
        <v>32489.802165675188</v>
      </c>
      <c r="BT87" s="106">
        <v>11</v>
      </c>
      <c r="BU87" s="106">
        <v>21502.799999999999</v>
      </c>
      <c r="BV87" s="106">
        <v>17.547590260455543</v>
      </c>
      <c r="BW87" s="106">
        <v>34302.029441138497</v>
      </c>
      <c r="BX87" s="106">
        <v>7.4323588278792618</v>
      </c>
      <c r="BY87" s="106">
        <v>14528.775036738381</v>
      </c>
      <c r="BZ87" s="106">
        <v>9.4682902186654285</v>
      </c>
      <c r="CA87" s="106">
        <v>18508.613719447178</v>
      </c>
      <c r="CB87" s="106">
        <v>8.4786330940187788</v>
      </c>
      <c r="CC87" s="106">
        <v>16574.03197218791</v>
      </c>
      <c r="CD87" s="106">
        <v>6.7069963698416197</v>
      </c>
      <c r="CE87" s="106">
        <v>13110.836503766397</v>
      </c>
      <c r="CF87" s="106">
        <v>7</v>
      </c>
      <c r="CG87" s="106">
        <v>13683.6</v>
      </c>
      <c r="CH87" s="106">
        <v>9</v>
      </c>
      <c r="CI87" s="106">
        <v>17593.2</v>
      </c>
      <c r="CJ87" s="106">
        <v>11</v>
      </c>
      <c r="CK87" s="106">
        <v>21502.799999999999</v>
      </c>
      <c r="CL87" s="106">
        <v>7</v>
      </c>
      <c r="CM87" s="106">
        <v>13683.6</v>
      </c>
      <c r="CN87" s="106">
        <v>21</v>
      </c>
      <c r="CO87" s="106">
        <v>41050.799999999996</v>
      </c>
      <c r="CP87" s="106">
        <v>18</v>
      </c>
      <c r="CQ87" s="106">
        <v>35186.400000000001</v>
      </c>
      <c r="CR87" s="106">
        <v>25</v>
      </c>
      <c r="CS87" s="106">
        <v>48870</v>
      </c>
      <c r="CT87" s="106">
        <v>27</v>
      </c>
      <c r="CU87" s="106">
        <v>52779.6</v>
      </c>
    </row>
    <row r="88" spans="2:99" x14ac:dyDescent="0.2">
      <c r="C88" s="105" t="s">
        <v>253</v>
      </c>
      <c r="D88" s="106">
        <v>4</v>
      </c>
      <c r="E88" s="106">
        <v>7569.5999999999995</v>
      </c>
      <c r="F88" s="106">
        <v>5</v>
      </c>
      <c r="G88" s="106">
        <v>9462</v>
      </c>
      <c r="H88" s="106">
        <v>5.4916790235526447</v>
      </c>
      <c r="I88" s="106">
        <v>10392.453384171024</v>
      </c>
      <c r="J88" s="106">
        <v>6.5278855326051879</v>
      </c>
      <c r="K88" s="106">
        <v>12353.370581902056</v>
      </c>
      <c r="L88" s="106">
        <v>9</v>
      </c>
      <c r="M88" s="106">
        <v>17031.599999999999</v>
      </c>
      <c r="N88" s="106">
        <v>6</v>
      </c>
      <c r="O88" s="106">
        <v>11354.4</v>
      </c>
      <c r="P88" s="106">
        <v>5</v>
      </c>
      <c r="Q88" s="106">
        <v>9462</v>
      </c>
      <c r="R88" s="106">
        <v>7</v>
      </c>
      <c r="S88" s="106">
        <v>13246.8</v>
      </c>
      <c r="T88" s="106">
        <v>9</v>
      </c>
      <c r="U88" s="106">
        <v>17031.599999999999</v>
      </c>
      <c r="V88" s="106">
        <v>8</v>
      </c>
      <c r="W88" s="106">
        <v>15139.199999999999</v>
      </c>
      <c r="X88" s="106">
        <v>9</v>
      </c>
      <c r="Y88" s="106">
        <v>17031.599999999999</v>
      </c>
      <c r="Z88" s="106">
        <v>7</v>
      </c>
      <c r="AA88" s="106">
        <v>13246.8</v>
      </c>
      <c r="AB88" s="106">
        <v>21</v>
      </c>
      <c r="AC88" s="106">
        <v>39740.399999999994</v>
      </c>
      <c r="AD88" s="106">
        <v>17.27334194932488</v>
      </c>
      <c r="AE88" s="106">
        <v>32688.072304902402</v>
      </c>
      <c r="AF88" s="106">
        <v>15</v>
      </c>
      <c r="AG88" s="106">
        <v>28385.999999999996</v>
      </c>
      <c r="AH88" s="106">
        <v>12</v>
      </c>
      <c r="AI88" s="106">
        <v>22708.799999999999</v>
      </c>
      <c r="AJ88" s="106">
        <v>3</v>
      </c>
      <c r="AK88" s="106">
        <v>5677.2</v>
      </c>
      <c r="AL88" s="106">
        <v>3</v>
      </c>
      <c r="AM88" s="106">
        <v>5677.2</v>
      </c>
      <c r="AN88" s="106">
        <v>2</v>
      </c>
      <c r="AO88" s="106">
        <v>3784.7999999999997</v>
      </c>
      <c r="AP88" s="106">
        <v>3</v>
      </c>
      <c r="AQ88" s="106">
        <v>5677.2</v>
      </c>
      <c r="AR88" s="106">
        <v>25.297960558192838</v>
      </c>
      <c r="AS88" s="106">
        <v>47873.860560324123</v>
      </c>
      <c r="AT88" s="106">
        <v>25.304106729965238</v>
      </c>
      <c r="AU88" s="106">
        <v>47885.491575786211</v>
      </c>
      <c r="AV88" s="106">
        <v>40.231403328737613</v>
      </c>
      <c r="AW88" s="106">
        <v>76133.907659303048</v>
      </c>
      <c r="AX88" s="106">
        <v>24.300016058491721</v>
      </c>
      <c r="AY88" s="106">
        <v>45985.350389089726</v>
      </c>
      <c r="AZ88" s="106">
        <v>22</v>
      </c>
      <c r="BA88" s="106">
        <v>41632.799999999996</v>
      </c>
      <c r="BB88" s="106">
        <v>23</v>
      </c>
      <c r="BC88" s="106">
        <v>43525.2</v>
      </c>
      <c r="BD88" s="106">
        <v>30</v>
      </c>
      <c r="BE88" s="106">
        <v>56771.999999999993</v>
      </c>
      <c r="BF88" s="106">
        <v>35</v>
      </c>
      <c r="BG88" s="106">
        <v>66234</v>
      </c>
      <c r="BH88" s="106">
        <v>3.549217445121013</v>
      </c>
      <c r="BI88" s="106">
        <v>6716.5390931470047</v>
      </c>
      <c r="BJ88" s="106">
        <v>5.727026497570626</v>
      </c>
      <c r="BK88" s="106">
        <v>10837.824944002652</v>
      </c>
      <c r="BL88" s="106">
        <v>5</v>
      </c>
      <c r="BM88" s="106">
        <v>9462</v>
      </c>
      <c r="BN88" s="106">
        <v>4.6331142867418063</v>
      </c>
      <c r="BO88" s="106">
        <v>8767.7054762301941</v>
      </c>
      <c r="BP88" s="106">
        <v>18.653852105497531</v>
      </c>
      <c r="BQ88" s="106">
        <v>35300.549724443525</v>
      </c>
      <c r="BR88" s="106">
        <v>17.620524946631466</v>
      </c>
      <c r="BS88" s="106">
        <v>33345.081409005383</v>
      </c>
      <c r="BT88" s="106">
        <v>11</v>
      </c>
      <c r="BU88" s="106">
        <v>20816.399999999998</v>
      </c>
      <c r="BV88" s="106">
        <v>20.676556115493504</v>
      </c>
      <c r="BW88" s="106">
        <v>39128.314792959907</v>
      </c>
      <c r="BX88" s="106">
        <v>7.4656171992545897</v>
      </c>
      <c r="BY88" s="106">
        <v>14127.933987869385</v>
      </c>
      <c r="BZ88" s="106">
        <v>10.468290218665429</v>
      </c>
      <c r="CA88" s="106">
        <v>19810.192409802454</v>
      </c>
      <c r="CB88" s="106">
        <v>8.5185191851870101</v>
      </c>
      <c r="CC88" s="106">
        <v>16120.445706047896</v>
      </c>
      <c r="CD88" s="106">
        <v>7.7391325684707839</v>
      </c>
      <c r="CE88" s="106">
        <v>14645.534472574111</v>
      </c>
      <c r="CF88" s="106">
        <v>7</v>
      </c>
      <c r="CG88" s="106">
        <v>13246.8</v>
      </c>
      <c r="CH88" s="106">
        <v>11</v>
      </c>
      <c r="CI88" s="106">
        <v>20816.399999999998</v>
      </c>
      <c r="CJ88" s="106">
        <v>10</v>
      </c>
      <c r="CK88" s="106">
        <v>18924</v>
      </c>
      <c r="CL88" s="106">
        <v>7</v>
      </c>
      <c r="CM88" s="106">
        <v>13246.8</v>
      </c>
      <c r="CN88" s="106">
        <v>24</v>
      </c>
      <c r="CO88" s="106">
        <v>45417.599999999999</v>
      </c>
      <c r="CP88" s="106">
        <v>19</v>
      </c>
      <c r="CQ88" s="106">
        <v>35955.599999999999</v>
      </c>
      <c r="CR88" s="106">
        <v>26</v>
      </c>
      <c r="CS88" s="106">
        <v>49202.399999999994</v>
      </c>
      <c r="CT88" s="106">
        <v>29</v>
      </c>
      <c r="CU88" s="106">
        <v>54879.6</v>
      </c>
    </row>
    <row r="89" spans="2:99" x14ac:dyDescent="0.2">
      <c r="C89" s="105" t="s">
        <v>254</v>
      </c>
      <c r="D89" s="106">
        <v>4</v>
      </c>
      <c r="E89" s="106">
        <v>9590.4</v>
      </c>
      <c r="F89" s="106">
        <v>5</v>
      </c>
      <c r="G89" s="106">
        <v>11988</v>
      </c>
      <c r="H89" s="106">
        <v>5.4160360968522374</v>
      </c>
      <c r="I89" s="106">
        <v>12985.488145812924</v>
      </c>
      <c r="J89" s="106">
        <v>6.4901794231333882</v>
      </c>
      <c r="K89" s="106">
        <v>15560.854184904611</v>
      </c>
      <c r="L89" s="106">
        <v>8</v>
      </c>
      <c r="M89" s="106">
        <v>19180.8</v>
      </c>
      <c r="N89" s="106">
        <v>6</v>
      </c>
      <c r="O89" s="106">
        <v>14385.599999999999</v>
      </c>
      <c r="P89" s="106">
        <v>5</v>
      </c>
      <c r="Q89" s="106">
        <v>11988</v>
      </c>
      <c r="R89" s="106">
        <v>6</v>
      </c>
      <c r="S89" s="106">
        <v>14385.599999999999</v>
      </c>
      <c r="T89" s="106">
        <v>8</v>
      </c>
      <c r="U89" s="106">
        <v>19180.8</v>
      </c>
      <c r="V89" s="106">
        <v>7</v>
      </c>
      <c r="W89" s="106">
        <v>16783.2</v>
      </c>
      <c r="X89" s="106">
        <v>8</v>
      </c>
      <c r="Y89" s="106">
        <v>19180.8</v>
      </c>
      <c r="Z89" s="106">
        <v>7</v>
      </c>
      <c r="AA89" s="106">
        <v>16783.2</v>
      </c>
      <c r="AB89" s="106">
        <v>20</v>
      </c>
      <c r="AC89" s="106">
        <v>47952</v>
      </c>
      <c r="AD89" s="106">
        <v>15</v>
      </c>
      <c r="AE89" s="106">
        <v>35964</v>
      </c>
      <c r="AF89" s="106">
        <v>14</v>
      </c>
      <c r="AG89" s="106">
        <v>33566.400000000001</v>
      </c>
      <c r="AH89" s="106">
        <v>11</v>
      </c>
      <c r="AI89" s="106">
        <v>26373.599999999999</v>
      </c>
      <c r="AJ89" s="106">
        <v>3</v>
      </c>
      <c r="AK89" s="106">
        <v>7192.7999999999993</v>
      </c>
      <c r="AL89" s="106">
        <v>3</v>
      </c>
      <c r="AM89" s="106">
        <v>7192.7999999999993</v>
      </c>
      <c r="AN89" s="106">
        <v>2</v>
      </c>
      <c r="AO89" s="106">
        <v>4795.2</v>
      </c>
      <c r="AP89" s="106">
        <v>4.4508750267800332</v>
      </c>
      <c r="AQ89" s="106">
        <v>10671.417964207807</v>
      </c>
      <c r="AR89" s="106">
        <v>25.278096520979982</v>
      </c>
      <c r="AS89" s="106">
        <v>60606.764218701603</v>
      </c>
      <c r="AT89" s="106">
        <v>22.280713904583298</v>
      </c>
      <c r="AU89" s="106">
        <v>53420.23965762891</v>
      </c>
      <c r="AV89" s="106">
        <v>38.205691847766765</v>
      </c>
      <c r="AW89" s="106">
        <v>91601.96677420559</v>
      </c>
      <c r="AX89" s="106">
        <v>22.240012846793377</v>
      </c>
      <c r="AY89" s="106">
        <v>53322.654801471799</v>
      </c>
      <c r="AZ89" s="106">
        <v>21</v>
      </c>
      <c r="BA89" s="106">
        <v>50349.599999999999</v>
      </c>
      <c r="BB89" s="106">
        <v>22</v>
      </c>
      <c r="BC89" s="106">
        <v>52747.199999999997</v>
      </c>
      <c r="BD89" s="106">
        <v>25</v>
      </c>
      <c r="BE89" s="106">
        <v>59940</v>
      </c>
      <c r="BF89" s="106">
        <v>28</v>
      </c>
      <c r="BG89" s="106">
        <v>67132.800000000003</v>
      </c>
      <c r="BH89" s="106">
        <v>3.5148913548009495</v>
      </c>
      <c r="BI89" s="106">
        <v>8427.303512270757</v>
      </c>
      <c r="BJ89" s="106">
        <v>5.6504973925631914</v>
      </c>
      <c r="BK89" s="106">
        <v>13547.632548409507</v>
      </c>
      <c r="BL89" s="106">
        <v>5</v>
      </c>
      <c r="BM89" s="106">
        <v>11988</v>
      </c>
      <c r="BN89" s="106">
        <v>4.5664706776110897</v>
      </c>
      <c r="BO89" s="106">
        <v>10948.570096640347</v>
      </c>
      <c r="BP89" s="106">
        <v>19.722762609893262</v>
      </c>
      <c r="BQ89" s="106">
        <v>47287.295633480084</v>
      </c>
      <c r="BR89" s="106">
        <v>15.504773164729219</v>
      </c>
      <c r="BS89" s="106">
        <v>37174.244139754774</v>
      </c>
      <c r="BT89" s="106">
        <v>11</v>
      </c>
      <c r="BU89" s="106">
        <v>26373.599999999999</v>
      </c>
      <c r="BV89" s="106">
        <v>16.547590260455543</v>
      </c>
      <c r="BW89" s="106">
        <v>39674.502408468208</v>
      </c>
      <c r="BX89" s="106">
        <v>7.4656171992545897</v>
      </c>
      <c r="BY89" s="106">
        <v>17899.563796932802</v>
      </c>
      <c r="BZ89" s="106">
        <v>9.4682902186654285</v>
      </c>
      <c r="CA89" s="106">
        <v>22701.17262827223</v>
      </c>
      <c r="CB89" s="106">
        <v>7.478633094018778</v>
      </c>
      <c r="CC89" s="106">
        <v>17930.77070621942</v>
      </c>
      <c r="CD89" s="106">
        <v>6.7069963698416197</v>
      </c>
      <c r="CE89" s="106">
        <v>16080.694496332268</v>
      </c>
      <c r="CF89" s="106">
        <v>7</v>
      </c>
      <c r="CG89" s="106">
        <v>16783.2</v>
      </c>
      <c r="CH89" s="106">
        <v>9</v>
      </c>
      <c r="CI89" s="106">
        <v>21578.399999999998</v>
      </c>
      <c r="CJ89" s="106">
        <v>11</v>
      </c>
      <c r="CK89" s="106">
        <v>26373.599999999999</v>
      </c>
      <c r="CL89" s="106">
        <v>7</v>
      </c>
      <c r="CM89" s="106">
        <v>16783.2</v>
      </c>
      <c r="CN89" s="106">
        <v>22</v>
      </c>
      <c r="CO89" s="106">
        <v>52747.199999999997</v>
      </c>
      <c r="CP89" s="106">
        <v>19</v>
      </c>
      <c r="CQ89" s="106">
        <v>45554.400000000001</v>
      </c>
      <c r="CR89" s="106">
        <v>25</v>
      </c>
      <c r="CS89" s="106">
        <v>59940</v>
      </c>
      <c r="CT89" s="106">
        <v>25</v>
      </c>
      <c r="CU89" s="106">
        <v>59940</v>
      </c>
    </row>
    <row r="90" spans="2:99" x14ac:dyDescent="0.2">
      <c r="C90" s="105" t="s">
        <v>255</v>
      </c>
      <c r="D90" s="106">
        <v>4</v>
      </c>
      <c r="E90" s="106">
        <v>8788.7999999999993</v>
      </c>
      <c r="F90" s="106">
        <v>5</v>
      </c>
      <c r="G90" s="106">
        <v>10986</v>
      </c>
      <c r="H90" s="106">
        <v>5.4916790235526447</v>
      </c>
      <c r="I90" s="106">
        <v>12066.31715054987</v>
      </c>
      <c r="J90" s="106">
        <v>5.4901794231333882</v>
      </c>
      <c r="K90" s="106">
        <v>12063.02222850868</v>
      </c>
      <c r="L90" s="106">
        <v>10</v>
      </c>
      <c r="M90" s="106">
        <v>21972</v>
      </c>
      <c r="N90" s="106">
        <v>6</v>
      </c>
      <c r="O90" s="106">
        <v>13183.199999999999</v>
      </c>
      <c r="P90" s="106">
        <v>5</v>
      </c>
      <c r="Q90" s="106">
        <v>10986</v>
      </c>
      <c r="R90" s="106">
        <v>8</v>
      </c>
      <c r="S90" s="106">
        <v>17577.599999999999</v>
      </c>
      <c r="T90" s="106">
        <v>8</v>
      </c>
      <c r="U90" s="106">
        <v>17577.599999999999</v>
      </c>
      <c r="V90" s="106">
        <v>7</v>
      </c>
      <c r="W90" s="106">
        <v>15380.399999999998</v>
      </c>
      <c r="X90" s="106">
        <v>9</v>
      </c>
      <c r="Y90" s="106">
        <v>19774.8</v>
      </c>
      <c r="Z90" s="106">
        <v>7</v>
      </c>
      <c r="AA90" s="106">
        <v>15380.399999999998</v>
      </c>
      <c r="AB90" s="106">
        <v>18</v>
      </c>
      <c r="AC90" s="106">
        <v>39549.599999999999</v>
      </c>
      <c r="AD90" s="106">
        <v>13</v>
      </c>
      <c r="AE90" s="106">
        <v>28563.599999999999</v>
      </c>
      <c r="AF90" s="106">
        <v>13</v>
      </c>
      <c r="AG90" s="106">
        <v>28563.599999999999</v>
      </c>
      <c r="AH90" s="106">
        <v>11</v>
      </c>
      <c r="AI90" s="106">
        <v>24169.199999999997</v>
      </c>
      <c r="AJ90" s="106">
        <v>3</v>
      </c>
      <c r="AK90" s="106">
        <v>6591.5999999999995</v>
      </c>
      <c r="AL90" s="106">
        <v>3</v>
      </c>
      <c r="AM90" s="106">
        <v>6591.5999999999995</v>
      </c>
      <c r="AN90" s="106">
        <v>2</v>
      </c>
      <c r="AO90" s="106">
        <v>4394.3999999999996</v>
      </c>
      <c r="AP90" s="106">
        <v>4.636884645597986</v>
      </c>
      <c r="AQ90" s="106">
        <v>10188.162943307894</v>
      </c>
      <c r="AR90" s="106">
        <v>22.297960558192838</v>
      </c>
      <c r="AS90" s="106">
        <v>48993.078938461302</v>
      </c>
      <c r="AT90" s="106">
        <v>23.327499555347181</v>
      </c>
      <c r="AU90" s="106">
        <v>51255.18202300882</v>
      </c>
      <c r="AV90" s="106">
        <v>35.205691847766765</v>
      </c>
      <c r="AW90" s="106">
        <v>77353.946127913136</v>
      </c>
      <c r="AX90" s="106">
        <v>26.270014452642549</v>
      </c>
      <c r="AY90" s="106">
        <v>57720.475755346204</v>
      </c>
      <c r="AZ90" s="106">
        <v>21</v>
      </c>
      <c r="BA90" s="106">
        <v>46141.2</v>
      </c>
      <c r="BB90" s="106">
        <v>23</v>
      </c>
      <c r="BC90" s="106">
        <v>50535.6</v>
      </c>
      <c r="BD90" s="106">
        <v>29</v>
      </c>
      <c r="BE90" s="106">
        <v>63718.799999999996</v>
      </c>
      <c r="BF90" s="106">
        <v>30</v>
      </c>
      <c r="BG90" s="106">
        <v>65916</v>
      </c>
      <c r="BH90" s="106">
        <v>4.5492174451210126</v>
      </c>
      <c r="BI90" s="106">
        <v>9995.5405704198874</v>
      </c>
      <c r="BJ90" s="106">
        <v>5.6887619450669087</v>
      </c>
      <c r="BK90" s="106">
        <v>12499.34774570101</v>
      </c>
      <c r="BL90" s="106">
        <v>5</v>
      </c>
      <c r="BM90" s="106">
        <v>10986</v>
      </c>
      <c r="BN90" s="106">
        <v>4.5997924821764471</v>
      </c>
      <c r="BO90" s="106">
        <v>10106.664041838088</v>
      </c>
      <c r="BP90" s="106">
        <v>18.860583618684725</v>
      </c>
      <c r="BQ90" s="106">
        <v>41440.474326974072</v>
      </c>
      <c r="BR90" s="106">
        <v>15.659108873932217</v>
      </c>
      <c r="BS90" s="106">
        <v>34406.194017803864</v>
      </c>
      <c r="BT90" s="106">
        <v>11</v>
      </c>
      <c r="BU90" s="106">
        <v>24169.199999999997</v>
      </c>
      <c r="BV90" s="106">
        <v>19.418624405417582</v>
      </c>
      <c r="BW90" s="106">
        <v>42666.601543583507</v>
      </c>
      <c r="BX90" s="106">
        <v>6.4656171992545897</v>
      </c>
      <c r="BY90" s="106">
        <v>14206.254110202182</v>
      </c>
      <c r="BZ90" s="106">
        <v>10.468290218665429</v>
      </c>
      <c r="CA90" s="106">
        <v>23000.927268451676</v>
      </c>
      <c r="CB90" s="106">
        <v>8.5185191851870101</v>
      </c>
      <c r="CC90" s="106">
        <v>18716.890353692896</v>
      </c>
      <c r="CD90" s="106">
        <v>6.6748601712124547</v>
      </c>
      <c r="CE90" s="106">
        <v>14666.002768188004</v>
      </c>
      <c r="CF90" s="106">
        <v>6</v>
      </c>
      <c r="CG90" s="106">
        <v>13183.199999999999</v>
      </c>
      <c r="CH90" s="106">
        <v>10</v>
      </c>
      <c r="CI90" s="106">
        <v>21972</v>
      </c>
      <c r="CJ90" s="106">
        <v>9</v>
      </c>
      <c r="CK90" s="106">
        <v>19774.8</v>
      </c>
      <c r="CL90" s="106">
        <v>7</v>
      </c>
      <c r="CM90" s="106">
        <v>15380.399999999998</v>
      </c>
      <c r="CN90" s="106">
        <v>20</v>
      </c>
      <c r="CO90" s="106">
        <v>43944</v>
      </c>
      <c r="CP90" s="106">
        <v>19.250778386437979</v>
      </c>
      <c r="CQ90" s="106">
        <v>42297.810270681526</v>
      </c>
      <c r="CR90" s="106">
        <v>25</v>
      </c>
      <c r="CS90" s="106">
        <v>54929.999999999993</v>
      </c>
      <c r="CT90" s="106">
        <v>25.331294387848565</v>
      </c>
      <c r="CU90" s="106">
        <v>55657.920028980865</v>
      </c>
    </row>
    <row r="91" spans="2:99" x14ac:dyDescent="0.2">
      <c r="C91" s="105" t="s">
        <v>256</v>
      </c>
      <c r="D91" s="106">
        <v>4</v>
      </c>
      <c r="E91" s="106">
        <v>9187.1999999999989</v>
      </c>
      <c r="F91" s="106">
        <v>5</v>
      </c>
      <c r="G91" s="106">
        <v>11483.999999999998</v>
      </c>
      <c r="H91" s="106">
        <v>5.4160360968522374</v>
      </c>
      <c r="I91" s="106">
        <v>12439.551707250217</v>
      </c>
      <c r="J91" s="106">
        <v>5.5278855326051879</v>
      </c>
      <c r="K91" s="106">
        <v>12696.447491287594</v>
      </c>
      <c r="L91" s="106">
        <v>8</v>
      </c>
      <c r="M91" s="106">
        <v>18374.399999999998</v>
      </c>
      <c r="N91" s="106">
        <v>6</v>
      </c>
      <c r="O91" s="106">
        <v>13780.8</v>
      </c>
      <c r="P91" s="106">
        <v>4</v>
      </c>
      <c r="Q91" s="106">
        <v>9187.1999999999989</v>
      </c>
      <c r="R91" s="106">
        <v>7</v>
      </c>
      <c r="S91" s="106">
        <v>16077.599999999999</v>
      </c>
      <c r="T91" s="106">
        <v>8</v>
      </c>
      <c r="U91" s="106">
        <v>18374.399999999998</v>
      </c>
      <c r="V91" s="106">
        <v>7</v>
      </c>
      <c r="W91" s="106">
        <v>16077.599999999999</v>
      </c>
      <c r="X91" s="106">
        <v>8</v>
      </c>
      <c r="Y91" s="106">
        <v>18374.399999999998</v>
      </c>
      <c r="Z91" s="106">
        <v>6</v>
      </c>
      <c r="AA91" s="106">
        <v>13780.8</v>
      </c>
      <c r="AB91" s="106">
        <v>17</v>
      </c>
      <c r="AC91" s="106">
        <v>39045.599999999999</v>
      </c>
      <c r="AD91" s="106">
        <v>15.32231663968353</v>
      </c>
      <c r="AE91" s="106">
        <v>35192.296858025125</v>
      </c>
      <c r="AF91" s="106">
        <v>15</v>
      </c>
      <c r="AG91" s="106">
        <v>34451.999999999993</v>
      </c>
      <c r="AH91" s="106">
        <v>10</v>
      </c>
      <c r="AI91" s="106">
        <v>22967.999999999996</v>
      </c>
      <c r="AJ91" s="106">
        <v>2</v>
      </c>
      <c r="AK91" s="106">
        <v>4593.5999999999995</v>
      </c>
      <c r="AL91" s="106">
        <v>3</v>
      </c>
      <c r="AM91" s="106">
        <v>6890.4</v>
      </c>
      <c r="AN91" s="106">
        <v>2</v>
      </c>
      <c r="AO91" s="106">
        <v>4593.5999999999995</v>
      </c>
      <c r="AP91" s="106">
        <v>4.4880769505436238</v>
      </c>
      <c r="AQ91" s="106">
        <v>10308.215140008593</v>
      </c>
      <c r="AR91" s="106">
        <v>22.317824595405696</v>
      </c>
      <c r="AS91" s="106">
        <v>51259.579530727795</v>
      </c>
      <c r="AT91" s="106">
        <v>22.327499555347181</v>
      </c>
      <c r="AU91" s="106">
        <v>51281.800978721396</v>
      </c>
      <c r="AV91" s="106">
        <v>40.231403328737613</v>
      </c>
      <c r="AW91" s="106">
        <v>92403.487165444545</v>
      </c>
      <c r="AX91" s="106">
        <v>23.270014452642549</v>
      </c>
      <c r="AY91" s="106">
        <v>53446.569194829397</v>
      </c>
      <c r="AZ91" s="106">
        <v>22</v>
      </c>
      <c r="BA91" s="106">
        <v>50529.599999999991</v>
      </c>
      <c r="BB91" s="106">
        <v>26</v>
      </c>
      <c r="BC91" s="106">
        <v>59716.799999999996</v>
      </c>
      <c r="BD91" s="106">
        <v>28</v>
      </c>
      <c r="BE91" s="106">
        <v>64310.399999999994</v>
      </c>
      <c r="BF91" s="106">
        <v>28</v>
      </c>
      <c r="BG91" s="106">
        <v>64310.399999999994</v>
      </c>
      <c r="BH91" s="106">
        <v>3.4805652644808864</v>
      </c>
      <c r="BI91" s="106">
        <v>7994.1622994596992</v>
      </c>
      <c r="BJ91" s="106">
        <v>5.6122328400594741</v>
      </c>
      <c r="BK91" s="106">
        <v>12890.176387048599</v>
      </c>
      <c r="BL91" s="106">
        <v>5</v>
      </c>
      <c r="BM91" s="106">
        <v>11483.999999999998</v>
      </c>
      <c r="BN91" s="106">
        <v>4.6331142867418063</v>
      </c>
      <c r="BO91" s="106">
        <v>10641.336893788579</v>
      </c>
      <c r="BP91" s="106">
        <v>18</v>
      </c>
      <c r="BQ91" s="106">
        <v>41342.399999999994</v>
      </c>
      <c r="BR91" s="106">
        <v>16.697692801232964</v>
      </c>
      <c r="BS91" s="106">
        <v>38351.260825871868</v>
      </c>
      <c r="BT91" s="106">
        <v>11.52601322030886</v>
      </c>
      <c r="BU91" s="106">
        <v>26472.947164405385</v>
      </c>
      <c r="BV91" s="106">
        <v>18.332647168725607</v>
      </c>
      <c r="BW91" s="106">
        <v>42106.424017128971</v>
      </c>
      <c r="BX91" s="106">
        <v>7.4988755706299184</v>
      </c>
      <c r="BY91" s="106">
        <v>17223.417410622795</v>
      </c>
      <c r="BZ91" s="106">
        <v>9.5017395199986741</v>
      </c>
      <c r="CA91" s="106">
        <v>21823.595329532953</v>
      </c>
      <c r="CB91" s="106">
        <v>7.5185191851870101</v>
      </c>
      <c r="CC91" s="106">
        <v>17268.534864537523</v>
      </c>
      <c r="CD91" s="106">
        <v>7.6105877739541263</v>
      </c>
      <c r="CE91" s="106">
        <v>17479.997999217834</v>
      </c>
      <c r="CF91" s="106">
        <v>6</v>
      </c>
      <c r="CG91" s="106">
        <v>13780.8</v>
      </c>
      <c r="CH91" s="106">
        <v>9</v>
      </c>
      <c r="CI91" s="106">
        <v>20671.199999999997</v>
      </c>
      <c r="CJ91" s="106">
        <v>9</v>
      </c>
      <c r="CK91" s="106">
        <v>20671.199999999997</v>
      </c>
      <c r="CL91" s="106">
        <v>7</v>
      </c>
      <c r="CM91" s="106">
        <v>16077.599999999999</v>
      </c>
      <c r="CN91" s="106">
        <v>20</v>
      </c>
      <c r="CO91" s="106">
        <v>45935.999999999993</v>
      </c>
      <c r="CP91" s="106">
        <v>18</v>
      </c>
      <c r="CQ91" s="106">
        <v>41342.399999999994</v>
      </c>
      <c r="CR91" s="106">
        <v>22</v>
      </c>
      <c r="CS91" s="106">
        <v>50529.599999999991</v>
      </c>
      <c r="CT91" s="106">
        <v>27</v>
      </c>
      <c r="CU91" s="106">
        <v>62013.599999999991</v>
      </c>
    </row>
    <row r="92" spans="2:99" x14ac:dyDescent="0.2">
      <c r="C92" s="105" t="s">
        <v>257</v>
      </c>
      <c r="D92" s="106">
        <v>4</v>
      </c>
      <c r="E92" s="106">
        <v>5683.2</v>
      </c>
      <c r="F92" s="106">
        <v>5</v>
      </c>
      <c r="G92" s="106">
        <v>7104</v>
      </c>
      <c r="H92" s="106">
        <v>6.4916790235526447</v>
      </c>
      <c r="I92" s="106">
        <v>9223.3775566635977</v>
      </c>
      <c r="J92" s="106">
        <v>6</v>
      </c>
      <c r="K92" s="106">
        <v>8524.7999999999993</v>
      </c>
      <c r="L92" s="106">
        <v>10</v>
      </c>
      <c r="M92" s="106">
        <v>14208</v>
      </c>
      <c r="N92" s="106">
        <v>6</v>
      </c>
      <c r="O92" s="106">
        <v>8524.7999999999993</v>
      </c>
      <c r="P92" s="106">
        <v>5</v>
      </c>
      <c r="Q92" s="106">
        <v>7104</v>
      </c>
      <c r="R92" s="106">
        <v>7</v>
      </c>
      <c r="S92" s="106">
        <v>9945.6</v>
      </c>
      <c r="T92" s="106">
        <v>8</v>
      </c>
      <c r="U92" s="106">
        <v>11366.4</v>
      </c>
      <c r="V92" s="106">
        <v>8</v>
      </c>
      <c r="W92" s="106">
        <v>11366.4</v>
      </c>
      <c r="X92" s="106">
        <v>10</v>
      </c>
      <c r="Y92" s="106">
        <v>14208</v>
      </c>
      <c r="Z92" s="106">
        <v>8</v>
      </c>
      <c r="AA92" s="106">
        <v>11366.4</v>
      </c>
      <c r="AB92" s="106">
        <v>20</v>
      </c>
      <c r="AC92" s="106">
        <v>28416</v>
      </c>
      <c r="AD92" s="106">
        <v>15</v>
      </c>
      <c r="AE92" s="106">
        <v>21312</v>
      </c>
      <c r="AF92" s="106">
        <v>15</v>
      </c>
      <c r="AG92" s="106">
        <v>21312</v>
      </c>
      <c r="AH92" s="106">
        <v>13</v>
      </c>
      <c r="AI92" s="106">
        <v>18470.399999999998</v>
      </c>
      <c r="AJ92" s="106">
        <v>3</v>
      </c>
      <c r="AK92" s="106">
        <v>4262.3999999999996</v>
      </c>
      <c r="AL92" s="106">
        <v>3</v>
      </c>
      <c r="AM92" s="106">
        <v>4262.3999999999996</v>
      </c>
      <c r="AN92" s="106">
        <v>2</v>
      </c>
      <c r="AO92" s="106">
        <v>2841.6</v>
      </c>
      <c r="AP92" s="106">
        <v>4.8228942644159396</v>
      </c>
      <c r="AQ92" s="106">
        <v>6852.3681708821669</v>
      </c>
      <c r="AR92" s="106">
        <v>31.317824595405696</v>
      </c>
      <c r="AS92" s="106">
        <v>44496.365185152412</v>
      </c>
      <c r="AT92" s="106">
        <v>28.350892380729121</v>
      </c>
      <c r="AU92" s="106">
        <v>40280.947894539931</v>
      </c>
      <c r="AV92" s="106">
        <v>41.231403328737613</v>
      </c>
      <c r="AW92" s="106">
        <v>58581.577849470399</v>
      </c>
      <c r="AX92" s="106">
        <v>30.300016058491721</v>
      </c>
      <c r="AY92" s="106">
        <v>43050.262815905036</v>
      </c>
      <c r="AZ92" s="106">
        <v>25</v>
      </c>
      <c r="BA92" s="106">
        <v>35520</v>
      </c>
      <c r="BB92" s="106">
        <v>30</v>
      </c>
      <c r="BC92" s="106">
        <v>42624</v>
      </c>
      <c r="BD92" s="106">
        <v>32</v>
      </c>
      <c r="BE92" s="106">
        <v>45465.599999999999</v>
      </c>
      <c r="BF92" s="106">
        <v>35</v>
      </c>
      <c r="BG92" s="106">
        <v>49728</v>
      </c>
      <c r="BH92" s="106">
        <v>4.5492174451210126</v>
      </c>
      <c r="BI92" s="106">
        <v>6463.5281460279348</v>
      </c>
      <c r="BJ92" s="106">
        <v>5.6887619450669087</v>
      </c>
      <c r="BK92" s="106">
        <v>8082.5929715510638</v>
      </c>
      <c r="BL92" s="106">
        <v>6</v>
      </c>
      <c r="BM92" s="106">
        <v>8524.7999999999993</v>
      </c>
      <c r="BN92" s="106">
        <v>4.5997924821764471</v>
      </c>
      <c r="BO92" s="106">
        <v>6535.3851586762958</v>
      </c>
      <c r="BP92" s="106">
        <v>22.860583618684725</v>
      </c>
      <c r="BQ92" s="106">
        <v>32480.317205427255</v>
      </c>
      <c r="BR92" s="106">
        <v>16.852028510435961</v>
      </c>
      <c r="BS92" s="106">
        <v>23943.362107627414</v>
      </c>
      <c r="BT92" s="106">
        <v>12</v>
      </c>
      <c r="BU92" s="106">
        <v>17049.599999999999</v>
      </c>
      <c r="BV92" s="106">
        <v>19.633567497147517</v>
      </c>
      <c r="BW92" s="106">
        <v>27895.372699947191</v>
      </c>
      <c r="BX92" s="106">
        <v>8.4323588278792627</v>
      </c>
      <c r="BY92" s="106">
        <v>11980.695422650857</v>
      </c>
      <c r="BZ92" s="106">
        <v>10.535188821331918</v>
      </c>
      <c r="CA92" s="106">
        <v>14968.396277348389</v>
      </c>
      <c r="CB92" s="106">
        <v>8.4786330940187788</v>
      </c>
      <c r="CC92" s="106">
        <v>12046.441899981881</v>
      </c>
      <c r="CD92" s="106">
        <v>7.7069963698416197</v>
      </c>
      <c r="CE92" s="106">
        <v>10950.100442270974</v>
      </c>
      <c r="CF92" s="106">
        <v>7</v>
      </c>
      <c r="CG92" s="106">
        <v>9945.6</v>
      </c>
      <c r="CH92" s="106">
        <v>10</v>
      </c>
      <c r="CI92" s="106">
        <v>14208</v>
      </c>
      <c r="CJ92" s="106">
        <v>11</v>
      </c>
      <c r="CK92" s="106">
        <v>15628.8</v>
      </c>
      <c r="CL92" s="106">
        <v>8</v>
      </c>
      <c r="CM92" s="106">
        <v>11366.4</v>
      </c>
      <c r="CN92" s="106">
        <v>22</v>
      </c>
      <c r="CO92" s="106">
        <v>31257.599999999999</v>
      </c>
      <c r="CP92" s="106">
        <v>23</v>
      </c>
      <c r="CQ92" s="106">
        <v>32678.399999999998</v>
      </c>
      <c r="CR92" s="106">
        <v>27</v>
      </c>
      <c r="CS92" s="106">
        <v>38361.599999999999</v>
      </c>
      <c r="CT92" s="106">
        <v>28</v>
      </c>
      <c r="CU92" s="106">
        <v>39782.400000000001</v>
      </c>
    </row>
    <row r="93" spans="2:99" x14ac:dyDescent="0.2">
      <c r="C93" s="105" t="s">
        <v>258</v>
      </c>
      <c r="D93" s="106">
        <v>4</v>
      </c>
      <c r="E93" s="106">
        <v>7089.5999999999995</v>
      </c>
      <c r="F93" s="106">
        <v>5</v>
      </c>
      <c r="G93" s="106">
        <v>8862</v>
      </c>
      <c r="H93" s="106">
        <v>5.4160360968522374</v>
      </c>
      <c r="I93" s="106">
        <v>9599.3823780609055</v>
      </c>
      <c r="J93" s="106">
        <v>6.4901794231333882</v>
      </c>
      <c r="K93" s="106">
        <v>11503.194009561617</v>
      </c>
      <c r="L93" s="106">
        <v>10</v>
      </c>
      <c r="M93" s="106">
        <v>17724</v>
      </c>
      <c r="N93" s="106">
        <v>6</v>
      </c>
      <c r="O93" s="106">
        <v>10634.4</v>
      </c>
      <c r="P93" s="106">
        <v>5</v>
      </c>
      <c r="Q93" s="106">
        <v>8862</v>
      </c>
      <c r="R93" s="106">
        <v>7</v>
      </c>
      <c r="S93" s="106">
        <v>12406.8</v>
      </c>
      <c r="T93" s="106">
        <v>8</v>
      </c>
      <c r="U93" s="106">
        <v>14179.199999999999</v>
      </c>
      <c r="V93" s="106">
        <v>7</v>
      </c>
      <c r="W93" s="106">
        <v>12406.8</v>
      </c>
      <c r="X93" s="106">
        <v>9</v>
      </c>
      <c r="Y93" s="106">
        <v>15951.599999999999</v>
      </c>
      <c r="Z93" s="106">
        <v>7</v>
      </c>
      <c r="AA93" s="106">
        <v>12406.8</v>
      </c>
      <c r="AB93" s="106">
        <v>21</v>
      </c>
      <c r="AC93" s="106">
        <v>37220.399999999994</v>
      </c>
      <c r="AD93" s="106">
        <v>15.32231663968353</v>
      </c>
      <c r="AE93" s="106">
        <v>27157.274012175087</v>
      </c>
      <c r="AF93" s="106">
        <v>16</v>
      </c>
      <c r="AG93" s="106">
        <v>28358.399999999998</v>
      </c>
      <c r="AH93" s="106">
        <v>12</v>
      </c>
      <c r="AI93" s="106">
        <v>21268.799999999999</v>
      </c>
      <c r="AJ93" s="106">
        <v>2</v>
      </c>
      <c r="AK93" s="106">
        <v>3544.7999999999997</v>
      </c>
      <c r="AL93" s="106">
        <v>3</v>
      </c>
      <c r="AM93" s="106">
        <v>5317.2</v>
      </c>
      <c r="AN93" s="106">
        <v>2</v>
      </c>
      <c r="AO93" s="106">
        <v>3544.7999999999997</v>
      </c>
      <c r="AP93" s="106">
        <v>3</v>
      </c>
      <c r="AQ93" s="106">
        <v>5317.2</v>
      </c>
      <c r="AR93" s="106">
        <v>25.317824595405696</v>
      </c>
      <c r="AS93" s="106">
        <v>44873.312312897055</v>
      </c>
      <c r="AT93" s="106">
        <v>27.327499555347181</v>
      </c>
      <c r="AU93" s="106">
        <v>48435.260211897337</v>
      </c>
      <c r="AV93" s="106">
        <v>45.231403328737613</v>
      </c>
      <c r="AW93" s="106">
        <v>80168.139259854535</v>
      </c>
      <c r="AX93" s="106">
        <v>28.300016058491721</v>
      </c>
      <c r="AY93" s="106">
        <v>50158.948462070723</v>
      </c>
      <c r="AZ93" s="106">
        <v>23</v>
      </c>
      <c r="BA93" s="106">
        <v>40765.199999999997</v>
      </c>
      <c r="BB93" s="106">
        <v>28</v>
      </c>
      <c r="BC93" s="106">
        <v>49627.199999999997</v>
      </c>
      <c r="BD93" s="106">
        <v>28</v>
      </c>
      <c r="BE93" s="106">
        <v>49627.199999999997</v>
      </c>
      <c r="BF93" s="106">
        <v>32</v>
      </c>
      <c r="BG93" s="106">
        <v>56716.799999999996</v>
      </c>
      <c r="BH93" s="106">
        <v>3.5148913548009495</v>
      </c>
      <c r="BI93" s="106">
        <v>6229.7934372492027</v>
      </c>
      <c r="BJ93" s="106">
        <v>5.6122328400594741</v>
      </c>
      <c r="BK93" s="106">
        <v>9947.1214857214109</v>
      </c>
      <c r="BL93" s="106">
        <v>5.9484033205593585</v>
      </c>
      <c r="BM93" s="106">
        <v>10542.950045359406</v>
      </c>
      <c r="BN93" s="106">
        <v>4.6664360913071636</v>
      </c>
      <c r="BO93" s="106">
        <v>8270.7913282328154</v>
      </c>
      <c r="BP93" s="106">
        <v>21.688307357695397</v>
      </c>
      <c r="BQ93" s="106">
        <v>38440.355960779321</v>
      </c>
      <c r="BR93" s="106">
        <v>18.697692801232964</v>
      </c>
      <c r="BS93" s="106">
        <v>33139.790720905301</v>
      </c>
      <c r="BT93" s="106">
        <v>11</v>
      </c>
      <c r="BU93" s="106">
        <v>19496.399999999998</v>
      </c>
      <c r="BV93" s="106">
        <v>19.59057887880153</v>
      </c>
      <c r="BW93" s="106">
        <v>34722.342004787832</v>
      </c>
      <c r="BX93" s="106">
        <v>7.4656171992545897</v>
      </c>
      <c r="BY93" s="106">
        <v>13232.059923958834</v>
      </c>
      <c r="BZ93" s="106">
        <v>11.434840917332183</v>
      </c>
      <c r="CA93" s="106">
        <v>20267.112041879558</v>
      </c>
      <c r="CB93" s="106">
        <v>9.5185191851870101</v>
      </c>
      <c r="CC93" s="106">
        <v>16870.623403825455</v>
      </c>
      <c r="CD93" s="106">
        <v>7.771268767099949</v>
      </c>
      <c r="CE93" s="106">
        <v>13773.796762807948</v>
      </c>
      <c r="CF93" s="106">
        <v>7</v>
      </c>
      <c r="CG93" s="106">
        <v>12406.8</v>
      </c>
      <c r="CH93" s="106">
        <v>10</v>
      </c>
      <c r="CI93" s="106">
        <v>17724</v>
      </c>
      <c r="CJ93" s="106">
        <v>10</v>
      </c>
      <c r="CK93" s="106">
        <v>17724</v>
      </c>
      <c r="CL93" s="106">
        <v>7</v>
      </c>
      <c r="CM93" s="106">
        <v>12406.8</v>
      </c>
      <c r="CN93" s="106">
        <v>24</v>
      </c>
      <c r="CO93" s="106">
        <v>42537.599999999999</v>
      </c>
      <c r="CP93" s="106">
        <v>22</v>
      </c>
      <c r="CQ93" s="106">
        <v>38992.799999999996</v>
      </c>
      <c r="CR93" s="106">
        <v>28</v>
      </c>
      <c r="CS93" s="106">
        <v>49627.199999999997</v>
      </c>
      <c r="CT93" s="106">
        <v>29</v>
      </c>
      <c r="CU93" s="106">
        <v>51399.6</v>
      </c>
    </row>
    <row r="94" spans="2:99" x14ac:dyDescent="0.2">
      <c r="C94" s="105" t="s">
        <v>259</v>
      </c>
      <c r="D94" s="106">
        <v>4</v>
      </c>
      <c r="E94" s="106">
        <v>9580.7999999999993</v>
      </c>
      <c r="F94" s="106">
        <v>5</v>
      </c>
      <c r="G94" s="106">
        <v>11976</v>
      </c>
      <c r="H94" s="106">
        <v>5.4160360968522374</v>
      </c>
      <c r="I94" s="106">
        <v>12972.489659180477</v>
      </c>
      <c r="J94" s="106">
        <v>5.4901794231333882</v>
      </c>
      <c r="K94" s="106">
        <v>13150.07775428909</v>
      </c>
      <c r="L94" s="106">
        <v>9</v>
      </c>
      <c r="M94" s="106">
        <v>21556.799999999999</v>
      </c>
      <c r="N94" s="106">
        <v>6</v>
      </c>
      <c r="O94" s="106">
        <v>14371.199999999999</v>
      </c>
      <c r="P94" s="106">
        <v>5</v>
      </c>
      <c r="Q94" s="106">
        <v>11976</v>
      </c>
      <c r="R94" s="106">
        <v>7</v>
      </c>
      <c r="S94" s="106">
        <v>16766.399999999998</v>
      </c>
      <c r="T94" s="106">
        <v>7</v>
      </c>
      <c r="U94" s="106">
        <v>16766.399999999998</v>
      </c>
      <c r="V94" s="106">
        <v>7</v>
      </c>
      <c r="W94" s="106">
        <v>16766.399999999998</v>
      </c>
      <c r="X94" s="106">
        <v>8</v>
      </c>
      <c r="Y94" s="106">
        <v>19161.599999999999</v>
      </c>
      <c r="Z94" s="106">
        <v>7</v>
      </c>
      <c r="AA94" s="106">
        <v>16766.399999999998</v>
      </c>
      <c r="AB94" s="106">
        <v>19</v>
      </c>
      <c r="AC94" s="106">
        <v>45508.799999999996</v>
      </c>
      <c r="AD94" s="106">
        <v>14.224367258966232</v>
      </c>
      <c r="AE94" s="106">
        <v>34070.204458675915</v>
      </c>
      <c r="AF94" s="106">
        <v>15</v>
      </c>
      <c r="AG94" s="106">
        <v>35928</v>
      </c>
      <c r="AH94" s="106">
        <v>12</v>
      </c>
      <c r="AI94" s="106">
        <v>28742.399999999998</v>
      </c>
      <c r="AJ94" s="106">
        <v>2</v>
      </c>
      <c r="AK94" s="106">
        <v>4790.3999999999996</v>
      </c>
      <c r="AL94" s="106">
        <v>3</v>
      </c>
      <c r="AM94" s="106">
        <v>7185.5999999999995</v>
      </c>
      <c r="AN94" s="106">
        <v>2</v>
      </c>
      <c r="AO94" s="106">
        <v>4790.3999999999996</v>
      </c>
      <c r="AP94" s="106">
        <v>4.5996827218343954</v>
      </c>
      <c r="AQ94" s="106">
        <v>11017.160055337743</v>
      </c>
      <c r="AR94" s="106">
        <v>24.297960558192838</v>
      </c>
      <c r="AS94" s="106">
        <v>58198.475128983482</v>
      </c>
      <c r="AT94" s="106">
        <v>23.327499555347181</v>
      </c>
      <c r="AU94" s="106">
        <v>55874.026934967565</v>
      </c>
      <c r="AV94" s="106">
        <v>36.231403328737613</v>
      </c>
      <c r="AW94" s="106">
        <v>86781.457252992332</v>
      </c>
      <c r="AX94" s="106">
        <v>21.300016058491721</v>
      </c>
      <c r="AY94" s="106">
        <v>51017.798463299368</v>
      </c>
      <c r="AZ94" s="106">
        <v>22</v>
      </c>
      <c r="BA94" s="106">
        <v>52694.399999999994</v>
      </c>
      <c r="BB94" s="106">
        <v>21</v>
      </c>
      <c r="BC94" s="106">
        <v>50299.199999999997</v>
      </c>
      <c r="BD94" s="106">
        <v>29</v>
      </c>
      <c r="BE94" s="106">
        <v>69460.799999999988</v>
      </c>
      <c r="BF94" s="106">
        <v>28</v>
      </c>
      <c r="BG94" s="106">
        <v>67065.599999999991</v>
      </c>
      <c r="BH94" s="106">
        <v>3.5148913548009495</v>
      </c>
      <c r="BI94" s="106">
        <v>8418.8677730192339</v>
      </c>
      <c r="BJ94" s="106">
        <v>5.5739682875557568</v>
      </c>
      <c r="BK94" s="106">
        <v>13350.768842353547</v>
      </c>
      <c r="BL94" s="106">
        <v>5</v>
      </c>
      <c r="BM94" s="106">
        <v>11976</v>
      </c>
      <c r="BN94" s="106">
        <v>4.5997924821764471</v>
      </c>
      <c r="BO94" s="106">
        <v>11017.422953309026</v>
      </c>
      <c r="BP94" s="106">
        <v>16.550486348903938</v>
      </c>
      <c r="BQ94" s="106">
        <v>39641.724902894712</v>
      </c>
      <c r="BR94" s="106">
        <v>16.581941019330717</v>
      </c>
      <c r="BS94" s="106">
        <v>39717.06512950093</v>
      </c>
      <c r="BT94" s="106">
        <v>10</v>
      </c>
      <c r="BU94" s="106">
        <v>23952</v>
      </c>
      <c r="BV94" s="106">
        <v>19.418624405417582</v>
      </c>
      <c r="BW94" s="106">
        <v>46511.489175856186</v>
      </c>
      <c r="BX94" s="106">
        <v>7.399100456503934</v>
      </c>
      <c r="BY94" s="106">
        <v>17722.325413418221</v>
      </c>
      <c r="BZ94" s="106">
        <v>9.5017395199986741</v>
      </c>
      <c r="CA94" s="106">
        <v>22758.566498300821</v>
      </c>
      <c r="CB94" s="106">
        <v>7.5185191851870101</v>
      </c>
      <c r="CC94" s="106">
        <v>18008.357152359924</v>
      </c>
      <c r="CD94" s="106">
        <v>6.6748601712124547</v>
      </c>
      <c r="CE94" s="106">
        <v>15987.62508208807</v>
      </c>
      <c r="CF94" s="106">
        <v>7</v>
      </c>
      <c r="CG94" s="106">
        <v>16766.399999999998</v>
      </c>
      <c r="CH94" s="106">
        <v>9</v>
      </c>
      <c r="CI94" s="106">
        <v>21556.799999999999</v>
      </c>
      <c r="CJ94" s="106">
        <v>11</v>
      </c>
      <c r="CK94" s="106">
        <v>26347.199999999997</v>
      </c>
      <c r="CL94" s="106">
        <v>7</v>
      </c>
      <c r="CM94" s="106">
        <v>16766.399999999998</v>
      </c>
      <c r="CN94" s="106">
        <v>19</v>
      </c>
      <c r="CO94" s="106">
        <v>45508.799999999996</v>
      </c>
      <c r="CP94" s="106">
        <v>17.250778386437979</v>
      </c>
      <c r="CQ94" s="106">
        <v>41319.064391196247</v>
      </c>
      <c r="CR94" s="106">
        <v>23</v>
      </c>
      <c r="CS94" s="106">
        <v>55089.599999999999</v>
      </c>
      <c r="CT94" s="106">
        <v>22</v>
      </c>
      <c r="CU94" s="106">
        <v>52694.399999999994</v>
      </c>
    </row>
    <row r="95" spans="2:99" x14ac:dyDescent="0.2">
      <c r="B95" s="105" t="s">
        <v>132</v>
      </c>
      <c r="C95" s="105" t="s">
        <v>260</v>
      </c>
      <c r="D95" s="106">
        <v>6</v>
      </c>
      <c r="E95" s="106">
        <v>10396.799999999999</v>
      </c>
      <c r="F95" s="106">
        <v>6</v>
      </c>
      <c r="G95" s="106">
        <v>10396.799999999999</v>
      </c>
      <c r="H95" s="106">
        <v>5</v>
      </c>
      <c r="I95" s="106">
        <v>8664</v>
      </c>
      <c r="J95" s="106">
        <v>5.3951260504565672</v>
      </c>
      <c r="K95" s="106">
        <v>9348.6744202311402</v>
      </c>
      <c r="L95" s="106">
        <v>3.2853768996560104</v>
      </c>
      <c r="M95" s="106">
        <v>5692.9010917239348</v>
      </c>
      <c r="N95" s="106">
        <v>3.0639642782787089</v>
      </c>
      <c r="O95" s="106">
        <v>5309.2373014013465</v>
      </c>
      <c r="P95" s="106">
        <v>5.3229784653909258</v>
      </c>
      <c r="Q95" s="106">
        <v>9223.6570848293959</v>
      </c>
      <c r="R95" s="106">
        <v>4.9525247814060567</v>
      </c>
      <c r="S95" s="106">
        <v>8581.7349412204148</v>
      </c>
      <c r="T95" s="106">
        <v>9.9851530923716094</v>
      </c>
      <c r="U95" s="106">
        <v>17302.273278461525</v>
      </c>
      <c r="V95" s="106">
        <v>13.452718554258535</v>
      </c>
      <c r="W95" s="106">
        <v>23310.870710819188</v>
      </c>
      <c r="X95" s="106">
        <v>13.329013134767274</v>
      </c>
      <c r="Y95" s="106">
        <v>23096.513959924734</v>
      </c>
      <c r="Z95" s="106">
        <v>6</v>
      </c>
      <c r="AA95" s="106">
        <v>10396.799999999999</v>
      </c>
      <c r="AB95" s="106">
        <v>6.3975482245192605</v>
      </c>
      <c r="AC95" s="106">
        <v>11085.671563446975</v>
      </c>
      <c r="AD95" s="106">
        <v>5.489746903586493</v>
      </c>
      <c r="AE95" s="106">
        <v>9512.633434534675</v>
      </c>
      <c r="AF95" s="106">
        <v>5</v>
      </c>
      <c r="AG95" s="106">
        <v>8664</v>
      </c>
      <c r="AH95" s="106">
        <v>6</v>
      </c>
      <c r="AI95" s="106">
        <v>10396.799999999999</v>
      </c>
      <c r="AJ95" s="106">
        <v>41</v>
      </c>
      <c r="AK95" s="106">
        <v>71044.800000000003</v>
      </c>
      <c r="AL95" s="106">
        <v>30.796156883878108</v>
      </c>
      <c r="AM95" s="106">
        <v>53363.580648383984</v>
      </c>
      <c r="AN95" s="106">
        <v>38</v>
      </c>
      <c r="AO95" s="106">
        <v>65846.399999999994</v>
      </c>
      <c r="AP95" s="106">
        <v>25</v>
      </c>
      <c r="AQ95" s="106">
        <v>43320</v>
      </c>
      <c r="AR95" s="106">
        <v>3</v>
      </c>
      <c r="AS95" s="106">
        <v>5198.3999999999996</v>
      </c>
      <c r="AT95" s="106">
        <v>3.6316062853124178</v>
      </c>
      <c r="AU95" s="106">
        <v>6292.8473711893575</v>
      </c>
      <c r="AV95" s="106">
        <v>2</v>
      </c>
      <c r="AW95" s="106">
        <v>3465.6</v>
      </c>
      <c r="AX95" s="106">
        <v>4</v>
      </c>
      <c r="AY95" s="106">
        <v>6931.2</v>
      </c>
      <c r="AZ95" s="106">
        <v>7</v>
      </c>
      <c r="BA95" s="106">
        <v>12129.6</v>
      </c>
      <c r="BB95" s="106">
        <v>9</v>
      </c>
      <c r="BC95" s="106">
        <v>15595.199999999999</v>
      </c>
      <c r="BD95" s="106">
        <v>11</v>
      </c>
      <c r="BE95" s="106">
        <v>19060.8</v>
      </c>
      <c r="BF95" s="106">
        <v>6.555202336108966</v>
      </c>
      <c r="BG95" s="106">
        <v>11358.854608009617</v>
      </c>
      <c r="BH95" s="106">
        <v>8.9954566192818355</v>
      </c>
      <c r="BI95" s="106">
        <v>15587.327229891564</v>
      </c>
      <c r="BJ95" s="106">
        <v>13.765291050074342</v>
      </c>
      <c r="BK95" s="106">
        <v>23852.496331568818</v>
      </c>
      <c r="BL95" s="106">
        <v>7</v>
      </c>
      <c r="BM95" s="106">
        <v>12129.6</v>
      </c>
      <c r="BN95" s="106">
        <v>11.533148873045731</v>
      </c>
      <c r="BO95" s="106">
        <v>19984.64036721364</v>
      </c>
      <c r="BP95" s="106">
        <v>3</v>
      </c>
      <c r="BQ95" s="106">
        <v>5198.3999999999996</v>
      </c>
      <c r="BR95" s="106">
        <v>4</v>
      </c>
      <c r="BS95" s="106">
        <v>6931.2</v>
      </c>
      <c r="BT95" s="106">
        <v>4</v>
      </c>
      <c r="BU95" s="106">
        <v>6931.2</v>
      </c>
      <c r="BV95" s="106">
        <v>3</v>
      </c>
      <c r="BW95" s="106">
        <v>5198.3999999999996</v>
      </c>
      <c r="BX95" s="106">
        <v>9</v>
      </c>
      <c r="BY95" s="106">
        <v>15595.199999999999</v>
      </c>
      <c r="BZ95" s="106">
        <v>13</v>
      </c>
      <c r="CA95" s="106">
        <v>22526.399999999998</v>
      </c>
      <c r="CB95" s="106">
        <v>15</v>
      </c>
      <c r="CC95" s="106">
        <v>25992</v>
      </c>
      <c r="CD95" s="106">
        <v>15</v>
      </c>
      <c r="CE95" s="106">
        <v>25992</v>
      </c>
      <c r="CF95" s="106">
        <v>3</v>
      </c>
      <c r="CG95" s="106">
        <v>5198.3999999999996</v>
      </c>
      <c r="CH95" s="106">
        <v>3</v>
      </c>
      <c r="CI95" s="106">
        <v>5198.3999999999996</v>
      </c>
      <c r="CJ95" s="106">
        <v>3</v>
      </c>
      <c r="CK95" s="106">
        <v>5198.3999999999996</v>
      </c>
      <c r="CL95" s="106">
        <v>4</v>
      </c>
      <c r="CM95" s="106">
        <v>6931.2</v>
      </c>
      <c r="CN95" s="106">
        <v>3</v>
      </c>
      <c r="CO95" s="106">
        <v>5198.3999999999996</v>
      </c>
      <c r="CP95" s="106">
        <v>4</v>
      </c>
      <c r="CQ95" s="106">
        <v>6931.2</v>
      </c>
      <c r="CR95" s="106">
        <v>4</v>
      </c>
      <c r="CS95" s="106">
        <v>6931.2</v>
      </c>
      <c r="CT95" s="106">
        <v>4</v>
      </c>
      <c r="CU95" s="106">
        <v>6931.2</v>
      </c>
    </row>
    <row r="96" spans="2:99" x14ac:dyDescent="0.2">
      <c r="C96" s="105" t="s">
        <v>261</v>
      </c>
      <c r="D96" s="106">
        <v>7</v>
      </c>
      <c r="E96" s="106">
        <v>5762.4</v>
      </c>
      <c r="F96" s="106">
        <v>7</v>
      </c>
      <c r="G96" s="106">
        <v>5762.4</v>
      </c>
      <c r="H96" s="106">
        <v>5</v>
      </c>
      <c r="I96" s="106">
        <v>4116</v>
      </c>
      <c r="J96" s="106">
        <v>5.8098932546463571</v>
      </c>
      <c r="K96" s="106">
        <v>4782.7041272248807</v>
      </c>
      <c r="L96" s="106">
        <v>3.534159525395884</v>
      </c>
      <c r="M96" s="106">
        <v>2909.3201213058915</v>
      </c>
      <c r="N96" s="106">
        <v>4.3094944963430271</v>
      </c>
      <c r="O96" s="106">
        <v>3547.5758693895796</v>
      </c>
      <c r="P96" s="106">
        <v>5.5802242781058276</v>
      </c>
      <c r="Q96" s="106">
        <v>4593.6406257367171</v>
      </c>
      <c r="R96" s="106">
        <v>6.1641969550518478</v>
      </c>
      <c r="S96" s="106">
        <v>5074.3669333986809</v>
      </c>
      <c r="T96" s="106">
        <v>12.372500037224606</v>
      </c>
      <c r="U96" s="106">
        <v>10185.042030643295</v>
      </c>
      <c r="V96" s="106">
        <v>14.875327588224655</v>
      </c>
      <c r="W96" s="106">
        <v>12245.369670626535</v>
      </c>
      <c r="X96" s="106">
        <v>14.600240305127944</v>
      </c>
      <c r="Y96" s="106">
        <v>12018.917819181323</v>
      </c>
      <c r="Z96" s="106">
        <v>7</v>
      </c>
      <c r="AA96" s="106">
        <v>5762.4</v>
      </c>
      <c r="AB96" s="106">
        <v>7.4472417525841683</v>
      </c>
      <c r="AC96" s="106">
        <v>6130.5694107272866</v>
      </c>
      <c r="AD96" s="106">
        <v>6.5387215939451417</v>
      </c>
      <c r="AE96" s="106">
        <v>5382.6756161356407</v>
      </c>
      <c r="AF96" s="106">
        <v>5.6483004107242234</v>
      </c>
      <c r="AG96" s="106">
        <v>4649.6808981081804</v>
      </c>
      <c r="AH96" s="106">
        <v>8.6492308243011635</v>
      </c>
      <c r="AI96" s="106">
        <v>7120.0468145647174</v>
      </c>
      <c r="AJ96" s="106">
        <v>49.149796483642618</v>
      </c>
      <c r="AK96" s="106">
        <v>40460.112465334598</v>
      </c>
      <c r="AL96" s="106">
        <v>32.868534782412482</v>
      </c>
      <c r="AM96" s="106">
        <v>27057.377832881954</v>
      </c>
      <c r="AN96" s="106">
        <v>45</v>
      </c>
      <c r="AO96" s="106">
        <v>37044</v>
      </c>
      <c r="AP96" s="106">
        <v>27</v>
      </c>
      <c r="AQ96" s="106">
        <v>22226.399999999998</v>
      </c>
      <c r="AR96" s="106">
        <v>3</v>
      </c>
      <c r="AS96" s="106">
        <v>2469.6</v>
      </c>
      <c r="AT96" s="106">
        <v>3</v>
      </c>
      <c r="AU96" s="106">
        <v>2469.6</v>
      </c>
      <c r="AV96" s="106">
        <v>3</v>
      </c>
      <c r="AW96" s="106">
        <v>2469.6</v>
      </c>
      <c r="AX96" s="106">
        <v>5</v>
      </c>
      <c r="AY96" s="106">
        <v>4116</v>
      </c>
      <c r="AZ96" s="106">
        <v>7.6468622363862817</v>
      </c>
      <c r="BA96" s="106">
        <v>6294.8969929931864</v>
      </c>
      <c r="BB96" s="106">
        <v>9</v>
      </c>
      <c r="BC96" s="106">
        <v>7408.7999999999993</v>
      </c>
      <c r="BD96" s="106">
        <v>11.646071046566334</v>
      </c>
      <c r="BE96" s="106">
        <v>9587.045685533405</v>
      </c>
      <c r="BF96" s="106">
        <v>6.5089354747665524</v>
      </c>
      <c r="BG96" s="106">
        <v>5358.1556828278253</v>
      </c>
      <c r="BH96" s="106">
        <v>10.098434890242025</v>
      </c>
      <c r="BI96" s="106">
        <v>8313.0316016472352</v>
      </c>
      <c r="BJ96" s="106">
        <v>14.880084707585494</v>
      </c>
      <c r="BK96" s="106">
        <v>12249.285731284377</v>
      </c>
      <c r="BL96" s="106">
        <v>8.0578344729315923</v>
      </c>
      <c r="BM96" s="106">
        <v>6633.2093381172863</v>
      </c>
      <c r="BN96" s="106">
        <v>13.666436091307164</v>
      </c>
      <c r="BO96" s="106">
        <v>11250.210190364056</v>
      </c>
      <c r="BP96" s="106">
        <v>4</v>
      </c>
      <c r="BQ96" s="106">
        <v>3292.7999999999997</v>
      </c>
      <c r="BR96" s="106">
        <v>4</v>
      </c>
      <c r="BS96" s="106">
        <v>3292.7999999999997</v>
      </c>
      <c r="BT96" s="106">
        <v>4</v>
      </c>
      <c r="BU96" s="106">
        <v>3292.7999999999997</v>
      </c>
      <c r="BV96" s="106">
        <v>3</v>
      </c>
      <c r="BW96" s="106">
        <v>2469.6</v>
      </c>
      <c r="BX96" s="106">
        <v>9</v>
      </c>
      <c r="BY96" s="106">
        <v>7408.7999999999993</v>
      </c>
      <c r="BZ96" s="106">
        <v>15</v>
      </c>
      <c r="CA96" s="106">
        <v>12347.999999999998</v>
      </c>
      <c r="CB96" s="106">
        <v>17</v>
      </c>
      <c r="CC96" s="106">
        <v>13994.4</v>
      </c>
      <c r="CD96" s="106">
        <v>16</v>
      </c>
      <c r="CE96" s="106">
        <v>13171.199999999999</v>
      </c>
      <c r="CF96" s="106">
        <v>3.6445295484859903</v>
      </c>
      <c r="CG96" s="106">
        <v>3000.1767243136669</v>
      </c>
      <c r="CH96" s="106">
        <v>3</v>
      </c>
      <c r="CI96" s="106">
        <v>2469.6</v>
      </c>
      <c r="CJ96" s="106">
        <v>4</v>
      </c>
      <c r="CK96" s="106">
        <v>3292.7999999999997</v>
      </c>
      <c r="CL96" s="106">
        <v>4</v>
      </c>
      <c r="CM96" s="106">
        <v>3292.7999999999997</v>
      </c>
      <c r="CN96" s="106">
        <v>4</v>
      </c>
      <c r="CO96" s="106">
        <v>3292.7999999999997</v>
      </c>
      <c r="CP96" s="106">
        <v>5</v>
      </c>
      <c r="CQ96" s="106">
        <v>4116</v>
      </c>
      <c r="CR96" s="106">
        <v>4</v>
      </c>
      <c r="CS96" s="106">
        <v>3292.7999999999997</v>
      </c>
      <c r="CT96" s="106">
        <v>4</v>
      </c>
      <c r="CU96" s="106">
        <v>3292.7999999999997</v>
      </c>
    </row>
    <row r="97" spans="2:99" x14ac:dyDescent="0.2">
      <c r="C97" s="105" t="s">
        <v>262</v>
      </c>
      <c r="D97" s="106">
        <v>6</v>
      </c>
      <c r="E97" s="106">
        <v>10972.8</v>
      </c>
      <c r="F97" s="106">
        <v>6</v>
      </c>
      <c r="G97" s="106">
        <v>10972.8</v>
      </c>
      <c r="H97" s="106">
        <v>5</v>
      </c>
      <c r="I97" s="106">
        <v>9144</v>
      </c>
      <c r="J97" s="106">
        <v>5.3574199409847676</v>
      </c>
      <c r="K97" s="106">
        <v>9797.6495880729435</v>
      </c>
      <c r="L97" s="106">
        <v>4.3683044415693022</v>
      </c>
      <c r="M97" s="106">
        <v>7988.7551627419398</v>
      </c>
      <c r="N97" s="106">
        <v>3.1048859812894287</v>
      </c>
      <c r="O97" s="106">
        <v>5678.2154825821071</v>
      </c>
      <c r="P97" s="106">
        <v>5.3964772690237544</v>
      </c>
      <c r="Q97" s="106">
        <v>9869.0776295906417</v>
      </c>
      <c r="R97" s="106">
        <v>4.9525247814060567</v>
      </c>
      <c r="S97" s="106">
        <v>9057.1773202353961</v>
      </c>
      <c r="T97" s="106">
        <v>8.7430612518384869</v>
      </c>
      <c r="U97" s="106">
        <v>15989.310417362225</v>
      </c>
      <c r="V97" s="106">
        <v>12</v>
      </c>
      <c r="W97" s="106">
        <v>21945.599999999999</v>
      </c>
      <c r="X97" s="106">
        <v>13.46462671994761</v>
      </c>
      <c r="Y97" s="106">
        <v>24624.109345440189</v>
      </c>
      <c r="Z97" s="106">
        <v>6</v>
      </c>
      <c r="AA97" s="106">
        <v>10972.8</v>
      </c>
      <c r="AB97" s="106">
        <v>6.3478546964543527</v>
      </c>
      <c r="AC97" s="106">
        <v>11608.95666887572</v>
      </c>
      <c r="AD97" s="106">
        <v>5.5387215939451417</v>
      </c>
      <c r="AE97" s="106">
        <v>10129.214051006875</v>
      </c>
      <c r="AF97" s="106">
        <v>5</v>
      </c>
      <c r="AG97" s="106">
        <v>9144</v>
      </c>
      <c r="AH97" s="106">
        <v>7</v>
      </c>
      <c r="AI97" s="106">
        <v>12801.6</v>
      </c>
      <c r="AJ97" s="106">
        <v>40.006071923187292</v>
      </c>
      <c r="AK97" s="106">
        <v>73163.104333124924</v>
      </c>
      <c r="AL97" s="106">
        <v>31.759967934610923</v>
      </c>
      <c r="AM97" s="106">
        <v>58082.629358816455</v>
      </c>
      <c r="AN97" s="106">
        <v>38</v>
      </c>
      <c r="AO97" s="106">
        <v>69494.399999999994</v>
      </c>
      <c r="AP97" s="106">
        <v>23</v>
      </c>
      <c r="AQ97" s="106">
        <v>42062.400000000001</v>
      </c>
      <c r="AR97" s="106">
        <v>3</v>
      </c>
      <c r="AS97" s="106">
        <v>5486.4</v>
      </c>
      <c r="AT97" s="106">
        <v>3.6316062853124178</v>
      </c>
      <c r="AU97" s="106">
        <v>6641.4815745793494</v>
      </c>
      <c r="AV97" s="106">
        <v>2</v>
      </c>
      <c r="AW97" s="106">
        <v>3657.6</v>
      </c>
      <c r="AX97" s="106">
        <v>4</v>
      </c>
      <c r="AY97" s="106">
        <v>7315.2</v>
      </c>
      <c r="AZ97" s="106">
        <v>7</v>
      </c>
      <c r="BA97" s="106">
        <v>12801.6</v>
      </c>
      <c r="BB97" s="106">
        <v>10</v>
      </c>
      <c r="BC97" s="106">
        <v>18288</v>
      </c>
      <c r="BD97" s="106">
        <v>9</v>
      </c>
      <c r="BE97" s="106">
        <v>16459.2</v>
      </c>
      <c r="BF97" s="106">
        <v>6.5089354747665524</v>
      </c>
      <c r="BG97" s="106">
        <v>11903.541196253071</v>
      </c>
      <c r="BH97" s="106">
        <v>8.9954566192818355</v>
      </c>
      <c r="BI97" s="106">
        <v>16450.891065342621</v>
      </c>
      <c r="BJ97" s="106">
        <v>12.727026497570625</v>
      </c>
      <c r="BK97" s="106">
        <v>23275.186058757157</v>
      </c>
      <c r="BL97" s="106">
        <v>8.0578344729315923</v>
      </c>
      <c r="BM97" s="106">
        <v>14736.167684097296</v>
      </c>
      <c r="BN97" s="106">
        <v>11.56647067761109</v>
      </c>
      <c r="BO97" s="106">
        <v>21152.761575215161</v>
      </c>
      <c r="BP97" s="106">
        <v>4</v>
      </c>
      <c r="BQ97" s="106">
        <v>7315.2</v>
      </c>
      <c r="BR97" s="106">
        <v>3</v>
      </c>
      <c r="BS97" s="106">
        <v>5486.4</v>
      </c>
      <c r="BT97" s="106">
        <v>3</v>
      </c>
      <c r="BU97" s="106">
        <v>5486.4</v>
      </c>
      <c r="BV97" s="106">
        <v>3</v>
      </c>
      <c r="BW97" s="106">
        <v>5486.4</v>
      </c>
      <c r="BX97" s="106">
        <v>9</v>
      </c>
      <c r="BY97" s="106">
        <v>16459.2</v>
      </c>
      <c r="BZ97" s="106">
        <v>14</v>
      </c>
      <c r="CA97" s="106">
        <v>25603.200000000001</v>
      </c>
      <c r="CB97" s="106">
        <v>14</v>
      </c>
      <c r="CC97" s="106">
        <v>25603.200000000001</v>
      </c>
      <c r="CD97" s="106">
        <v>14</v>
      </c>
      <c r="CE97" s="106">
        <v>25603.200000000001</v>
      </c>
      <c r="CF97" s="106">
        <v>3.6445295484859903</v>
      </c>
      <c r="CG97" s="106">
        <v>6665.1156382711788</v>
      </c>
      <c r="CH97" s="106">
        <v>3</v>
      </c>
      <c r="CI97" s="106">
        <v>5486.4</v>
      </c>
      <c r="CJ97" s="106">
        <v>3</v>
      </c>
      <c r="CK97" s="106">
        <v>5486.4</v>
      </c>
      <c r="CL97" s="106">
        <v>4</v>
      </c>
      <c r="CM97" s="106">
        <v>7315.2</v>
      </c>
      <c r="CN97" s="106">
        <v>3</v>
      </c>
      <c r="CO97" s="106">
        <v>5486.4</v>
      </c>
      <c r="CP97" s="106">
        <v>5</v>
      </c>
      <c r="CQ97" s="106">
        <v>9144</v>
      </c>
      <c r="CR97" s="106">
        <v>4</v>
      </c>
      <c r="CS97" s="106">
        <v>7315.2</v>
      </c>
      <c r="CT97" s="106">
        <v>4</v>
      </c>
      <c r="CU97" s="106">
        <v>7315.2</v>
      </c>
    </row>
    <row r="98" spans="2:99" x14ac:dyDescent="0.2">
      <c r="C98" s="105" t="s">
        <v>263</v>
      </c>
      <c r="D98" s="106">
        <v>7</v>
      </c>
      <c r="E98" s="106">
        <v>8845.1999999999989</v>
      </c>
      <c r="F98" s="106">
        <v>6</v>
      </c>
      <c r="G98" s="106">
        <v>7581.5999999999995</v>
      </c>
      <c r="H98" s="106">
        <v>5</v>
      </c>
      <c r="I98" s="106">
        <v>6318</v>
      </c>
      <c r="J98" s="106">
        <v>5.5836565978155628</v>
      </c>
      <c r="K98" s="106">
        <v>7055.5084769997447</v>
      </c>
      <c r="L98" s="106">
        <v>4.4512319834825931</v>
      </c>
      <c r="M98" s="106">
        <v>5624.5767343286043</v>
      </c>
      <c r="N98" s="106">
        <v>3.2276510903215874</v>
      </c>
      <c r="O98" s="106">
        <v>4078.4599177303576</v>
      </c>
      <c r="P98" s="106">
        <v>5.5802242781058276</v>
      </c>
      <c r="Q98" s="106">
        <v>7051.1713978145235</v>
      </c>
      <c r="R98" s="106">
        <v>4.9878034770136885</v>
      </c>
      <c r="S98" s="106">
        <v>6302.588473554496</v>
      </c>
      <c r="T98" s="106">
        <v>9.9125255402116732</v>
      </c>
      <c r="U98" s="106">
        <v>12525.46727261147</v>
      </c>
      <c r="V98" s="106">
        <v>14.637610006618713</v>
      </c>
      <c r="W98" s="106">
        <v>18496.084004363405</v>
      </c>
      <c r="X98" s="106">
        <v>13.735853890308277</v>
      </c>
      <c r="Y98" s="106">
        <v>17356.624975793537</v>
      </c>
      <c r="Z98" s="106">
        <v>7</v>
      </c>
      <c r="AA98" s="106">
        <v>8845.1999999999989</v>
      </c>
      <c r="AB98" s="106">
        <v>6.3975482245192605</v>
      </c>
      <c r="AC98" s="106">
        <v>8083.9419365025369</v>
      </c>
      <c r="AD98" s="106">
        <v>5.5387215939451417</v>
      </c>
      <c r="AE98" s="106">
        <v>6998.7286061090808</v>
      </c>
      <c r="AF98" s="106">
        <v>4</v>
      </c>
      <c r="AG98" s="106">
        <v>5054.3999999999996</v>
      </c>
      <c r="AH98" s="106">
        <v>7</v>
      </c>
      <c r="AI98" s="106">
        <v>8845.1999999999989</v>
      </c>
      <c r="AJ98" s="106">
        <v>48.185727623756449</v>
      </c>
      <c r="AK98" s="106">
        <v>60887.485425378647</v>
      </c>
      <c r="AL98" s="106">
        <v>35.796156883878112</v>
      </c>
      <c r="AM98" s="106">
        <v>45232.023838468376</v>
      </c>
      <c r="AN98" s="106">
        <v>42</v>
      </c>
      <c r="AO98" s="106">
        <v>53071.199999999997</v>
      </c>
      <c r="AP98" s="106">
        <v>24</v>
      </c>
      <c r="AQ98" s="106">
        <v>30326.399999999998</v>
      </c>
      <c r="AR98" s="106">
        <v>3</v>
      </c>
      <c r="AS98" s="106">
        <v>3790.7999999999997</v>
      </c>
      <c r="AT98" s="106">
        <v>3.6082134599304765</v>
      </c>
      <c r="AU98" s="106">
        <v>4559.3385279681497</v>
      </c>
      <c r="AV98" s="106">
        <v>3</v>
      </c>
      <c r="AW98" s="106">
        <v>3790.7999999999997</v>
      </c>
      <c r="AX98" s="106">
        <v>5</v>
      </c>
      <c r="AY98" s="106">
        <v>6318</v>
      </c>
      <c r="AZ98" s="106">
        <v>8</v>
      </c>
      <c r="BA98" s="106">
        <v>10108.799999999999</v>
      </c>
      <c r="BB98" s="106">
        <v>9</v>
      </c>
      <c r="BC98" s="106">
        <v>11372.4</v>
      </c>
      <c r="BD98" s="106">
        <v>9.646071046566334</v>
      </c>
      <c r="BE98" s="106">
        <v>12188.775374441218</v>
      </c>
      <c r="BF98" s="106">
        <v>6</v>
      </c>
      <c r="BG98" s="106">
        <v>7581.5999999999995</v>
      </c>
      <c r="BH98" s="106">
        <v>9.0984348902420251</v>
      </c>
      <c r="BI98" s="106">
        <v>11496.782327309822</v>
      </c>
      <c r="BJ98" s="106">
        <v>13.80355560257806</v>
      </c>
      <c r="BK98" s="106">
        <v>17442.172859417635</v>
      </c>
      <c r="BL98" s="106">
        <v>9.0213574221408468</v>
      </c>
      <c r="BM98" s="106">
        <v>11399.387238617173</v>
      </c>
      <c r="BN98" s="106">
        <v>11.56647067761109</v>
      </c>
      <c r="BO98" s="106">
        <v>14615.392348229372</v>
      </c>
      <c r="BP98" s="106">
        <v>4</v>
      </c>
      <c r="BQ98" s="106">
        <v>5054.3999999999996</v>
      </c>
      <c r="BR98" s="106">
        <v>4</v>
      </c>
      <c r="BS98" s="106">
        <v>5054.3999999999996</v>
      </c>
      <c r="BT98" s="106">
        <v>4</v>
      </c>
      <c r="BU98" s="106">
        <v>5054.3999999999996</v>
      </c>
      <c r="BV98" s="106">
        <v>3</v>
      </c>
      <c r="BW98" s="106">
        <v>3790.7999999999997</v>
      </c>
      <c r="BX98" s="106">
        <v>10</v>
      </c>
      <c r="BY98" s="106">
        <v>12636</v>
      </c>
      <c r="BZ98" s="106">
        <v>15</v>
      </c>
      <c r="CA98" s="106">
        <v>18954</v>
      </c>
      <c r="CB98" s="106">
        <v>15</v>
      </c>
      <c r="CC98" s="106">
        <v>18954</v>
      </c>
      <c r="CD98" s="106">
        <v>15</v>
      </c>
      <c r="CE98" s="106">
        <v>18954</v>
      </c>
      <c r="CF98" s="106">
        <v>3</v>
      </c>
      <c r="CG98" s="106">
        <v>3790.7999999999997</v>
      </c>
      <c r="CH98" s="106">
        <v>3.4984927617188797</v>
      </c>
      <c r="CI98" s="106">
        <v>4420.6954537079764</v>
      </c>
      <c r="CJ98" s="106">
        <v>4</v>
      </c>
      <c r="CK98" s="106">
        <v>5054.3999999999996</v>
      </c>
      <c r="CL98" s="106">
        <v>4</v>
      </c>
      <c r="CM98" s="106">
        <v>5054.3999999999996</v>
      </c>
      <c r="CN98" s="106">
        <v>4</v>
      </c>
      <c r="CO98" s="106">
        <v>5054.3999999999996</v>
      </c>
      <c r="CP98" s="106">
        <v>5</v>
      </c>
      <c r="CQ98" s="106">
        <v>6318</v>
      </c>
      <c r="CR98" s="106">
        <v>4</v>
      </c>
      <c r="CS98" s="106">
        <v>5054.3999999999996</v>
      </c>
      <c r="CT98" s="106">
        <v>4</v>
      </c>
      <c r="CU98" s="106">
        <v>5054.3999999999996</v>
      </c>
    </row>
    <row r="99" spans="2:99" x14ac:dyDescent="0.2">
      <c r="C99" s="105" t="s">
        <v>264</v>
      </c>
      <c r="D99" s="106">
        <v>4</v>
      </c>
      <c r="E99" s="106">
        <v>21926.399999999998</v>
      </c>
      <c r="F99" s="106">
        <v>4</v>
      </c>
      <c r="G99" s="106">
        <v>21926.399999999998</v>
      </c>
      <c r="H99" s="106">
        <v>4</v>
      </c>
      <c r="I99" s="106">
        <v>21926.399999999998</v>
      </c>
      <c r="J99" s="106">
        <v>4.0557710652103749</v>
      </c>
      <c r="K99" s="106">
        <v>22232.114671057188</v>
      </c>
      <c r="L99" s="106">
        <v>2.912202961046201</v>
      </c>
      <c r="M99" s="106">
        <v>15963.531751270853</v>
      </c>
      <c r="N99" s="106">
        <v>2.8184340602143916</v>
      </c>
      <c r="O99" s="106">
        <v>15449.528144471207</v>
      </c>
      <c r="P99" s="106">
        <v>3.9554844472267794</v>
      </c>
      <c r="Q99" s="106">
        <v>21682.38354591831</v>
      </c>
      <c r="R99" s="106">
        <v>3.5997378253297398</v>
      </c>
      <c r="S99" s="106">
        <v>19732.322863327499</v>
      </c>
      <c r="T99" s="106">
        <v>6.0652040983457418</v>
      </c>
      <c r="U99" s="106">
        <v>33247.022785492016</v>
      </c>
      <c r="V99" s="106">
        <v>8.9244572618008853</v>
      </c>
      <c r="W99" s="106">
        <v>48920.304926287725</v>
      </c>
      <c r="X99" s="106">
        <v>9.9221723792262715</v>
      </c>
      <c r="Y99" s="106">
        <v>54389.380113966727</v>
      </c>
      <c r="Z99" s="106">
        <v>4</v>
      </c>
      <c r="AA99" s="106">
        <v>21926.399999999998</v>
      </c>
      <c r="AB99" s="106">
        <v>4.2981611683894458</v>
      </c>
      <c r="AC99" s="106">
        <v>23560.800260643584</v>
      </c>
      <c r="AD99" s="106">
        <v>4.3917975228691937</v>
      </c>
      <c r="AE99" s="106">
        <v>24074.077301359768</v>
      </c>
      <c r="AF99" s="106">
        <v>4</v>
      </c>
      <c r="AG99" s="106">
        <v>21926.399999999998</v>
      </c>
      <c r="AH99" s="106">
        <v>5</v>
      </c>
      <c r="AI99" s="106">
        <v>27407.999999999996</v>
      </c>
      <c r="AJ99" s="106">
        <v>23.790485082504301</v>
      </c>
      <c r="AK99" s="106">
        <v>130409.92302825557</v>
      </c>
      <c r="AL99" s="106">
        <v>16.615212137542176</v>
      </c>
      <c r="AM99" s="106">
        <v>91077.946853151181</v>
      </c>
      <c r="AN99" s="106">
        <v>19</v>
      </c>
      <c r="AO99" s="106">
        <v>104150.39999999999</v>
      </c>
      <c r="AP99" s="106">
        <v>14</v>
      </c>
      <c r="AQ99" s="106">
        <v>76742.399999999994</v>
      </c>
      <c r="AR99" s="106">
        <v>2</v>
      </c>
      <c r="AS99" s="106">
        <v>10963.199999999999</v>
      </c>
      <c r="AT99" s="106">
        <v>2.3976780314930037</v>
      </c>
      <c r="AU99" s="106">
        <v>13143.111897432049</v>
      </c>
      <c r="AV99" s="106">
        <v>2</v>
      </c>
      <c r="AW99" s="106">
        <v>10963.199999999999</v>
      </c>
      <c r="AX99" s="106">
        <v>3</v>
      </c>
      <c r="AY99" s="106">
        <v>16444.8</v>
      </c>
      <c r="AZ99" s="106">
        <v>5</v>
      </c>
      <c r="BA99" s="106">
        <v>27407.999999999996</v>
      </c>
      <c r="BB99" s="106">
        <v>6</v>
      </c>
      <c r="BC99" s="106">
        <v>32889.599999999999</v>
      </c>
      <c r="BD99" s="106">
        <v>7.4969777281279484</v>
      </c>
      <c r="BE99" s="106">
        <v>41095.433114506159</v>
      </c>
      <c r="BF99" s="106">
        <v>4.3701348907393109</v>
      </c>
      <c r="BG99" s="106">
        <v>23955.331417076606</v>
      </c>
      <c r="BH99" s="106">
        <v>6.7208478967213292</v>
      </c>
      <c r="BI99" s="106">
        <v>36840.999830667635</v>
      </c>
      <c r="BJ99" s="106">
        <v>8.5357037350520404</v>
      </c>
      <c r="BK99" s="106">
        <v>46789.313594061263</v>
      </c>
      <c r="BL99" s="106">
        <v>5.7295410158148909</v>
      </c>
      <c r="BM99" s="106">
        <v>31407.052032290903</v>
      </c>
      <c r="BN99" s="106">
        <v>9.4331834593496566</v>
      </c>
      <c r="BO99" s="106">
        <v>51708.938450771071</v>
      </c>
      <c r="BP99" s="106">
        <v>3</v>
      </c>
      <c r="BQ99" s="106">
        <v>16444.8</v>
      </c>
      <c r="BR99" s="106">
        <v>3</v>
      </c>
      <c r="BS99" s="106">
        <v>16444.8</v>
      </c>
      <c r="BT99" s="106">
        <v>3</v>
      </c>
      <c r="BU99" s="106">
        <v>16444.8</v>
      </c>
      <c r="BV99" s="106">
        <v>2</v>
      </c>
      <c r="BW99" s="106">
        <v>10963.199999999999</v>
      </c>
      <c r="BX99" s="106">
        <v>6</v>
      </c>
      <c r="BY99" s="106">
        <v>32889.599999999999</v>
      </c>
      <c r="BZ99" s="106">
        <v>8</v>
      </c>
      <c r="CA99" s="106">
        <v>43852.799999999996</v>
      </c>
      <c r="CB99" s="106">
        <v>9</v>
      </c>
      <c r="CC99" s="106">
        <v>49334.399999999994</v>
      </c>
      <c r="CD99" s="106">
        <v>11</v>
      </c>
      <c r="CE99" s="106">
        <v>60297.599999999991</v>
      </c>
      <c r="CF99" s="106">
        <v>2</v>
      </c>
      <c r="CG99" s="106">
        <v>10963.199999999999</v>
      </c>
      <c r="CH99" s="106">
        <v>3</v>
      </c>
      <c r="CI99" s="106">
        <v>16444.8</v>
      </c>
      <c r="CJ99" s="106">
        <v>2</v>
      </c>
      <c r="CK99" s="106">
        <v>10963.199999999999</v>
      </c>
      <c r="CL99" s="106">
        <v>3</v>
      </c>
      <c r="CM99" s="106">
        <v>16444.8</v>
      </c>
      <c r="CN99" s="106">
        <v>2</v>
      </c>
      <c r="CO99" s="106">
        <v>10963.199999999999</v>
      </c>
      <c r="CP99" s="106">
        <v>3</v>
      </c>
      <c r="CQ99" s="106">
        <v>16444.8</v>
      </c>
      <c r="CR99" s="106">
        <v>3</v>
      </c>
      <c r="CS99" s="106">
        <v>16444.8</v>
      </c>
      <c r="CT99" s="106">
        <v>3</v>
      </c>
      <c r="CU99" s="106">
        <v>16444.8</v>
      </c>
    </row>
    <row r="100" spans="2:99" x14ac:dyDescent="0.2">
      <c r="C100" s="105" t="s">
        <v>265</v>
      </c>
      <c r="D100" s="106">
        <v>6</v>
      </c>
      <c r="E100" s="106">
        <v>9734.4</v>
      </c>
      <c r="F100" s="106">
        <v>7</v>
      </c>
      <c r="G100" s="106">
        <v>11356.8</v>
      </c>
      <c r="H100" s="106">
        <v>5</v>
      </c>
      <c r="I100" s="106">
        <v>8111.9999999999991</v>
      </c>
      <c r="J100" s="106">
        <v>5.5082443788719644</v>
      </c>
      <c r="K100" s="106">
        <v>8936.5756802818742</v>
      </c>
      <c r="L100" s="106">
        <v>4.3268406706126568</v>
      </c>
      <c r="M100" s="106">
        <v>7019.8663040019737</v>
      </c>
      <c r="N100" s="106">
        <v>3.3094944963430271</v>
      </c>
      <c r="O100" s="106">
        <v>5369.3238708669269</v>
      </c>
      <c r="P100" s="106">
        <v>5.3597278672073401</v>
      </c>
      <c r="Q100" s="106">
        <v>8695.6224917571872</v>
      </c>
      <c r="R100" s="106">
        <v>5.0583608682289523</v>
      </c>
      <c r="S100" s="106">
        <v>8206.6846726146523</v>
      </c>
      <c r="T100" s="106">
        <v>8</v>
      </c>
      <c r="U100" s="106">
        <v>12979.199999999999</v>
      </c>
      <c r="V100" s="106">
        <v>11</v>
      </c>
      <c r="W100" s="106">
        <v>17846.399999999998</v>
      </c>
      <c r="X100" s="106">
        <v>12.383258568839409</v>
      </c>
      <c r="Y100" s="106">
        <v>20090.598702085055</v>
      </c>
      <c r="Z100" s="106">
        <v>6</v>
      </c>
      <c r="AA100" s="106">
        <v>9734.4</v>
      </c>
      <c r="AB100" s="106">
        <v>6.3975482245192605</v>
      </c>
      <c r="AC100" s="106">
        <v>10379.382239460047</v>
      </c>
      <c r="AD100" s="106">
        <v>5.5876962843037914</v>
      </c>
      <c r="AE100" s="106">
        <v>9065.4784516544696</v>
      </c>
      <c r="AF100" s="106">
        <v>5</v>
      </c>
      <c r="AG100" s="106">
        <v>8111.9999999999991</v>
      </c>
      <c r="AH100" s="106">
        <v>6.6492308243011644</v>
      </c>
      <c r="AI100" s="106">
        <v>10787.712089346209</v>
      </c>
      <c r="AJ100" s="106">
        <v>41.077934203414955</v>
      </c>
      <c r="AK100" s="106">
        <v>66644.840451620417</v>
      </c>
      <c r="AL100" s="106">
        <v>33.904723731679667</v>
      </c>
      <c r="AM100" s="106">
        <v>55007.023782277087</v>
      </c>
      <c r="AN100" s="106">
        <v>37</v>
      </c>
      <c r="AO100" s="106">
        <v>60028.799999999996</v>
      </c>
      <c r="AP100" s="106">
        <v>25</v>
      </c>
      <c r="AQ100" s="106">
        <v>40560</v>
      </c>
      <c r="AR100" s="106">
        <v>3</v>
      </c>
      <c r="AS100" s="106">
        <v>4867.2</v>
      </c>
      <c r="AT100" s="106">
        <v>3</v>
      </c>
      <c r="AU100" s="106">
        <v>4867.2</v>
      </c>
      <c r="AV100" s="106">
        <v>2</v>
      </c>
      <c r="AW100" s="106">
        <v>3244.7999999999997</v>
      </c>
      <c r="AX100" s="106">
        <v>4</v>
      </c>
      <c r="AY100" s="106">
        <v>6489.5999999999995</v>
      </c>
      <c r="AZ100" s="106">
        <v>7.6468622363862817</v>
      </c>
      <c r="BA100" s="106">
        <v>12406.269292313102</v>
      </c>
      <c r="BB100" s="106">
        <v>10</v>
      </c>
      <c r="BC100" s="106">
        <v>16223.999999999998</v>
      </c>
      <c r="BD100" s="106">
        <v>9</v>
      </c>
      <c r="BE100" s="106">
        <v>14601.599999999999</v>
      </c>
      <c r="BF100" s="106">
        <v>6.555202336108966</v>
      </c>
      <c r="BG100" s="106">
        <v>10635.160270103186</v>
      </c>
      <c r="BH100" s="106">
        <v>8.0984348902420251</v>
      </c>
      <c r="BI100" s="106">
        <v>13138.90076592866</v>
      </c>
      <c r="BJ100" s="106">
        <v>13.80355560257806</v>
      </c>
      <c r="BK100" s="106">
        <v>22394.888609622642</v>
      </c>
      <c r="BL100" s="106">
        <v>7.9848803713501031</v>
      </c>
      <c r="BM100" s="106">
        <v>12954.669914478407</v>
      </c>
      <c r="BN100" s="106">
        <v>13.533148873045731</v>
      </c>
      <c r="BO100" s="106">
        <v>21956.180731629393</v>
      </c>
      <c r="BP100" s="106">
        <v>3</v>
      </c>
      <c r="BQ100" s="106">
        <v>4867.2</v>
      </c>
      <c r="BR100" s="106">
        <v>4</v>
      </c>
      <c r="BS100" s="106">
        <v>6489.5999999999995</v>
      </c>
      <c r="BT100" s="106">
        <v>4</v>
      </c>
      <c r="BU100" s="106">
        <v>6489.5999999999995</v>
      </c>
      <c r="BV100" s="106">
        <v>4</v>
      </c>
      <c r="BW100" s="106">
        <v>6489.5999999999995</v>
      </c>
      <c r="BX100" s="106">
        <v>8</v>
      </c>
      <c r="BY100" s="106">
        <v>12979.199999999999</v>
      </c>
      <c r="BZ100" s="106">
        <v>14</v>
      </c>
      <c r="CA100" s="106">
        <v>22713.599999999999</v>
      </c>
      <c r="CB100" s="106">
        <v>15</v>
      </c>
      <c r="CC100" s="106">
        <v>24335.999999999996</v>
      </c>
      <c r="CD100" s="106">
        <v>16</v>
      </c>
      <c r="CE100" s="106">
        <v>25958.399999999998</v>
      </c>
      <c r="CF100" s="106">
        <v>3.6445295484859903</v>
      </c>
      <c r="CG100" s="106">
        <v>5912.8847394636705</v>
      </c>
      <c r="CH100" s="106">
        <v>4</v>
      </c>
      <c r="CI100" s="106">
        <v>6489.5999999999995</v>
      </c>
      <c r="CJ100" s="106">
        <v>3</v>
      </c>
      <c r="CK100" s="106">
        <v>4867.2</v>
      </c>
      <c r="CL100" s="106">
        <v>4</v>
      </c>
      <c r="CM100" s="106">
        <v>6489.5999999999995</v>
      </c>
      <c r="CN100" s="106">
        <v>3</v>
      </c>
      <c r="CO100" s="106">
        <v>4867.2</v>
      </c>
      <c r="CP100" s="106">
        <v>5</v>
      </c>
      <c r="CQ100" s="106">
        <v>8111.9999999999991</v>
      </c>
      <c r="CR100" s="106">
        <v>4</v>
      </c>
      <c r="CS100" s="106">
        <v>6489.5999999999995</v>
      </c>
      <c r="CT100" s="106">
        <v>4</v>
      </c>
      <c r="CU100" s="106">
        <v>6489.5999999999995</v>
      </c>
    </row>
    <row r="101" spans="2:99" x14ac:dyDescent="0.2">
      <c r="C101" s="105" t="s">
        <v>266</v>
      </c>
      <c r="D101" s="106">
        <v>6</v>
      </c>
      <c r="E101" s="106">
        <v>7142.4</v>
      </c>
      <c r="F101" s="106">
        <v>6</v>
      </c>
      <c r="G101" s="106">
        <v>7142.4</v>
      </c>
      <c r="H101" s="106">
        <v>5</v>
      </c>
      <c r="I101" s="106">
        <v>5951.9999999999991</v>
      </c>
      <c r="J101" s="106">
        <v>5.6590688167591612</v>
      </c>
      <c r="K101" s="106">
        <v>6736.5555194701046</v>
      </c>
      <c r="L101" s="106">
        <v>4.4926957544392385</v>
      </c>
      <c r="M101" s="106">
        <v>5348.1050260844686</v>
      </c>
      <c r="N101" s="106">
        <v>3.2276510903215874</v>
      </c>
      <c r="O101" s="106">
        <v>3842.1958579188172</v>
      </c>
      <c r="P101" s="106">
        <v>5.4699760726565838</v>
      </c>
      <c r="Q101" s="106">
        <v>6511.459516890397</v>
      </c>
      <c r="R101" s="106">
        <v>5.0936395638365841</v>
      </c>
      <c r="S101" s="106">
        <v>6063.4685367910688</v>
      </c>
      <c r="T101" s="106">
        <v>11.154617380744796</v>
      </c>
      <c r="U101" s="106">
        <v>13278.456530038604</v>
      </c>
      <c r="V101" s="106">
        <v>13.664023071241596</v>
      </c>
      <c r="W101" s="106">
        <v>16265.653064005994</v>
      </c>
      <c r="X101" s="106">
        <v>14.681608456236145</v>
      </c>
      <c r="Y101" s="106">
        <v>17476.986706303505</v>
      </c>
      <c r="Z101" s="106">
        <v>7</v>
      </c>
      <c r="AA101" s="106">
        <v>8332.7999999999993</v>
      </c>
      <c r="AB101" s="106">
        <v>6.3975482245192605</v>
      </c>
      <c r="AC101" s="106">
        <v>7615.6414064677265</v>
      </c>
      <c r="AD101" s="106">
        <v>5.5876962843037914</v>
      </c>
      <c r="AE101" s="106">
        <v>6651.5936568352327</v>
      </c>
      <c r="AF101" s="106">
        <v>5.598431148360822</v>
      </c>
      <c r="AG101" s="106">
        <v>6664.3724390087218</v>
      </c>
      <c r="AH101" s="106">
        <v>7</v>
      </c>
      <c r="AI101" s="106">
        <v>8332.7999999999993</v>
      </c>
      <c r="AJ101" s="106">
        <v>40.257589903984112</v>
      </c>
      <c r="AK101" s="106">
        <v>47922.635021702685</v>
      </c>
      <c r="AL101" s="106">
        <v>30.868534782412482</v>
      </c>
      <c r="AM101" s="106">
        <v>36745.903804983813</v>
      </c>
      <c r="AN101" s="106">
        <v>40</v>
      </c>
      <c r="AO101" s="106">
        <v>47615.999999999993</v>
      </c>
      <c r="AP101" s="106">
        <v>29</v>
      </c>
      <c r="AQ101" s="106">
        <v>34521.599999999999</v>
      </c>
      <c r="AR101" s="106">
        <v>3</v>
      </c>
      <c r="AS101" s="106">
        <v>3571.2</v>
      </c>
      <c r="AT101" s="106">
        <v>3.7017847614582418</v>
      </c>
      <c r="AU101" s="106">
        <v>4406.6045800398906</v>
      </c>
      <c r="AV101" s="106">
        <v>3</v>
      </c>
      <c r="AW101" s="106">
        <v>3571.2</v>
      </c>
      <c r="AX101" s="106">
        <v>5</v>
      </c>
      <c r="AY101" s="106">
        <v>5951.9999999999991</v>
      </c>
      <c r="AZ101" s="106">
        <v>8.6468622363862817</v>
      </c>
      <c r="BA101" s="106">
        <v>10293.224806194228</v>
      </c>
      <c r="BB101" s="106">
        <v>9</v>
      </c>
      <c r="BC101" s="106">
        <v>10713.599999999999</v>
      </c>
      <c r="BD101" s="106">
        <v>10.646071046566334</v>
      </c>
      <c r="BE101" s="106">
        <v>12673.082973832563</v>
      </c>
      <c r="BF101" s="106">
        <v>7</v>
      </c>
      <c r="BG101" s="106">
        <v>8332.7999999999993</v>
      </c>
      <c r="BH101" s="106">
        <v>9.1670870708821521</v>
      </c>
      <c r="BI101" s="106">
        <v>10912.500449178113</v>
      </c>
      <c r="BJ101" s="106">
        <v>15.841820155081777</v>
      </c>
      <c r="BK101" s="106">
        <v>18858.102712609347</v>
      </c>
      <c r="BL101" s="106">
        <v>8.0578344729315923</v>
      </c>
      <c r="BM101" s="106">
        <v>9592.0461565777659</v>
      </c>
      <c r="BN101" s="106">
        <v>14.599792482176447</v>
      </c>
      <c r="BO101" s="106">
        <v>17379.59297078284</v>
      </c>
      <c r="BP101" s="106">
        <v>4</v>
      </c>
      <c r="BQ101" s="106">
        <v>4761.5999999999995</v>
      </c>
      <c r="BR101" s="106">
        <v>4</v>
      </c>
      <c r="BS101" s="106">
        <v>4761.5999999999995</v>
      </c>
      <c r="BT101" s="106">
        <v>4</v>
      </c>
      <c r="BU101" s="106">
        <v>4761.5999999999995</v>
      </c>
      <c r="BV101" s="106">
        <v>3</v>
      </c>
      <c r="BW101" s="106">
        <v>3571.2</v>
      </c>
      <c r="BX101" s="106">
        <v>10</v>
      </c>
      <c r="BY101" s="106">
        <v>11903.999999999998</v>
      </c>
      <c r="BZ101" s="106">
        <v>14</v>
      </c>
      <c r="CA101" s="106">
        <v>16665.599999999999</v>
      </c>
      <c r="CB101" s="106">
        <v>17</v>
      </c>
      <c r="CC101" s="106">
        <v>20236.8</v>
      </c>
      <c r="CD101" s="106">
        <v>16</v>
      </c>
      <c r="CE101" s="106">
        <v>19046.399999999998</v>
      </c>
      <c r="CF101" s="106">
        <v>2.6445295484859903</v>
      </c>
      <c r="CG101" s="106">
        <v>3148.0479745177227</v>
      </c>
      <c r="CH101" s="106">
        <v>4</v>
      </c>
      <c r="CI101" s="106">
        <v>4761.5999999999995</v>
      </c>
      <c r="CJ101" s="106">
        <v>4</v>
      </c>
      <c r="CK101" s="106">
        <v>4761.5999999999995</v>
      </c>
      <c r="CL101" s="106">
        <v>4</v>
      </c>
      <c r="CM101" s="106">
        <v>4761.5999999999995</v>
      </c>
      <c r="CN101" s="106">
        <v>3</v>
      </c>
      <c r="CO101" s="106">
        <v>3571.2</v>
      </c>
      <c r="CP101" s="106">
        <v>5</v>
      </c>
      <c r="CQ101" s="106">
        <v>5951.9999999999991</v>
      </c>
      <c r="CR101" s="106">
        <v>4</v>
      </c>
      <c r="CS101" s="106">
        <v>4761.5999999999995</v>
      </c>
      <c r="CT101" s="106">
        <v>4</v>
      </c>
      <c r="CU101" s="106">
        <v>4761.5999999999995</v>
      </c>
    </row>
    <row r="102" spans="2:99" x14ac:dyDescent="0.2">
      <c r="C102" s="105" t="s">
        <v>267</v>
      </c>
      <c r="D102" s="106">
        <v>7</v>
      </c>
      <c r="E102" s="106">
        <v>13574.399999999998</v>
      </c>
      <c r="F102" s="106">
        <v>6</v>
      </c>
      <c r="G102" s="106">
        <v>11635.199999999999</v>
      </c>
      <c r="H102" s="106">
        <v>4</v>
      </c>
      <c r="I102" s="106">
        <v>7756.7999999999993</v>
      </c>
      <c r="J102" s="106">
        <v>5.4705382694001656</v>
      </c>
      <c r="K102" s="106">
        <v>10608.467812020801</v>
      </c>
      <c r="L102" s="106">
        <v>3.2853768996560104</v>
      </c>
      <c r="M102" s="106">
        <v>6371.0028838129347</v>
      </c>
      <c r="N102" s="106">
        <v>3.1458076843001486</v>
      </c>
      <c r="O102" s="106">
        <v>6100.3502613948476</v>
      </c>
      <c r="P102" s="106">
        <v>5.3229784653909258</v>
      </c>
      <c r="Q102" s="106">
        <v>10322.319840086082</v>
      </c>
      <c r="R102" s="106">
        <v>4.9878034770136885</v>
      </c>
      <c r="S102" s="106">
        <v>9672.3485026249436</v>
      </c>
      <c r="T102" s="106">
        <v>8</v>
      </c>
      <c r="U102" s="106">
        <v>15513.599999999999</v>
      </c>
      <c r="V102" s="106">
        <v>13.452718554258535</v>
      </c>
      <c r="W102" s="106">
        <v>26087.511820418149</v>
      </c>
      <c r="X102" s="106">
        <v>13.518872154019743</v>
      </c>
      <c r="Y102" s="106">
        <v>26215.796881075083</v>
      </c>
      <c r="Z102" s="106">
        <v>6</v>
      </c>
      <c r="AA102" s="106">
        <v>11635.199999999999</v>
      </c>
      <c r="AB102" s="106">
        <v>5.3975482245192605</v>
      </c>
      <c r="AC102" s="106">
        <v>10466.925516987749</v>
      </c>
      <c r="AD102" s="106">
        <v>5.5876962843037914</v>
      </c>
      <c r="AE102" s="106">
        <v>10835.660634521912</v>
      </c>
      <c r="AF102" s="106">
        <v>4</v>
      </c>
      <c r="AG102" s="106">
        <v>7756.7999999999993</v>
      </c>
      <c r="AH102" s="106">
        <v>7</v>
      </c>
      <c r="AI102" s="106">
        <v>13574.399999999998</v>
      </c>
      <c r="AJ102" s="106">
        <v>36.077934203414955</v>
      </c>
      <c r="AK102" s="106">
        <v>69962.330007262281</v>
      </c>
      <c r="AL102" s="106">
        <v>29.868534782412482</v>
      </c>
      <c r="AM102" s="106">
        <v>57921.062650054278</v>
      </c>
      <c r="AN102" s="106">
        <v>41</v>
      </c>
      <c r="AO102" s="106">
        <v>79507.199999999997</v>
      </c>
      <c r="AP102" s="106">
        <v>24</v>
      </c>
      <c r="AQ102" s="106">
        <v>46540.799999999996</v>
      </c>
      <c r="AR102" s="106">
        <v>3</v>
      </c>
      <c r="AS102" s="106">
        <v>5817.5999999999995</v>
      </c>
      <c r="AT102" s="106">
        <v>3.5380349837846521</v>
      </c>
      <c r="AU102" s="106">
        <v>6860.9574405551966</v>
      </c>
      <c r="AV102" s="106">
        <v>2</v>
      </c>
      <c r="AW102" s="106">
        <v>3878.3999999999996</v>
      </c>
      <c r="AX102" s="106">
        <v>4</v>
      </c>
      <c r="AY102" s="106">
        <v>7756.7999999999993</v>
      </c>
      <c r="AZ102" s="106">
        <v>7.6468622363862817</v>
      </c>
      <c r="BA102" s="106">
        <v>14828.795248800276</v>
      </c>
      <c r="BB102" s="106">
        <v>9</v>
      </c>
      <c r="BC102" s="106">
        <v>17452.8</v>
      </c>
      <c r="BD102" s="106">
        <v>10.646071046566334</v>
      </c>
      <c r="BE102" s="106">
        <v>20644.860973501432</v>
      </c>
      <c r="BF102" s="106">
        <v>6.5089354747665524</v>
      </c>
      <c r="BG102" s="106">
        <v>12622.127672667297</v>
      </c>
      <c r="BH102" s="106">
        <v>9.0641087999219625</v>
      </c>
      <c r="BI102" s="106">
        <v>17577.119784808667</v>
      </c>
      <c r="BJ102" s="106">
        <v>12.765291050074342</v>
      </c>
      <c r="BK102" s="106">
        <v>24754.452404304164</v>
      </c>
      <c r="BL102" s="106">
        <v>7.0213574221408477</v>
      </c>
      <c r="BM102" s="106">
        <v>13615.81631301553</v>
      </c>
      <c r="BN102" s="106">
        <v>10.533148873045731</v>
      </c>
      <c r="BO102" s="106">
        <v>20425.882294610277</v>
      </c>
      <c r="BP102" s="106">
        <v>3</v>
      </c>
      <c r="BQ102" s="106">
        <v>5817.5999999999995</v>
      </c>
      <c r="BR102" s="106">
        <v>4</v>
      </c>
      <c r="BS102" s="106">
        <v>7756.7999999999993</v>
      </c>
      <c r="BT102" s="106">
        <v>4</v>
      </c>
      <c r="BU102" s="106">
        <v>7756.7999999999993</v>
      </c>
      <c r="BV102" s="106">
        <v>3</v>
      </c>
      <c r="BW102" s="106">
        <v>5817.5999999999995</v>
      </c>
      <c r="BX102" s="106">
        <v>8</v>
      </c>
      <c r="BY102" s="106">
        <v>15513.599999999999</v>
      </c>
      <c r="BZ102" s="106">
        <v>14</v>
      </c>
      <c r="CA102" s="106">
        <v>27148.799999999996</v>
      </c>
      <c r="CB102" s="106">
        <v>15</v>
      </c>
      <c r="CC102" s="106">
        <v>29087.999999999996</v>
      </c>
      <c r="CD102" s="106">
        <v>14</v>
      </c>
      <c r="CE102" s="106">
        <v>27148.799999999996</v>
      </c>
      <c r="CF102" s="106">
        <v>3.6445295484859903</v>
      </c>
      <c r="CG102" s="106">
        <v>7067.471700424032</v>
      </c>
      <c r="CH102" s="106">
        <v>3</v>
      </c>
      <c r="CI102" s="106">
        <v>5817.5999999999995</v>
      </c>
      <c r="CJ102" s="106">
        <v>3</v>
      </c>
      <c r="CK102" s="106">
        <v>5817.5999999999995</v>
      </c>
      <c r="CL102" s="106">
        <v>4</v>
      </c>
      <c r="CM102" s="106">
        <v>7756.7999999999993</v>
      </c>
      <c r="CN102" s="106">
        <v>3</v>
      </c>
      <c r="CO102" s="106">
        <v>5817.5999999999995</v>
      </c>
      <c r="CP102" s="106">
        <v>5</v>
      </c>
      <c r="CQ102" s="106">
        <v>9696</v>
      </c>
      <c r="CR102" s="106">
        <v>3</v>
      </c>
      <c r="CS102" s="106">
        <v>5817.5999999999995</v>
      </c>
      <c r="CT102" s="106">
        <v>4</v>
      </c>
      <c r="CU102" s="106">
        <v>7756.7999999999993</v>
      </c>
    </row>
    <row r="103" spans="2:99" x14ac:dyDescent="0.2">
      <c r="C103" s="105" t="s">
        <v>268</v>
      </c>
      <c r="D103" s="106">
        <v>7</v>
      </c>
      <c r="E103" s="106">
        <v>14196</v>
      </c>
      <c r="F103" s="106">
        <v>7</v>
      </c>
      <c r="G103" s="106">
        <v>14196</v>
      </c>
      <c r="H103" s="106">
        <v>5</v>
      </c>
      <c r="I103" s="106">
        <v>10140</v>
      </c>
      <c r="J103" s="106">
        <v>5.5836565978155628</v>
      </c>
      <c r="K103" s="106">
        <v>11323.655580369961</v>
      </c>
      <c r="L103" s="106">
        <v>4.4097682125259476</v>
      </c>
      <c r="M103" s="106">
        <v>8943.0099350026212</v>
      </c>
      <c r="N103" s="106">
        <v>3.186729387310868</v>
      </c>
      <c r="O103" s="106">
        <v>6462.68719746644</v>
      </c>
      <c r="P103" s="106">
        <v>5.3229784653909258</v>
      </c>
      <c r="Q103" s="106">
        <v>10795.000327812797</v>
      </c>
      <c r="R103" s="106">
        <v>5.0583608682289523</v>
      </c>
      <c r="S103" s="106">
        <v>10258.355840768316</v>
      </c>
      <c r="T103" s="106">
        <v>8.7914796199451111</v>
      </c>
      <c r="U103" s="106">
        <v>17829.120669248685</v>
      </c>
      <c r="V103" s="106">
        <v>13.505544683504301</v>
      </c>
      <c r="W103" s="106">
        <v>27389.24461814672</v>
      </c>
      <c r="X103" s="106">
        <v>14.491749436983676</v>
      </c>
      <c r="Y103" s="106">
        <v>29389.267858202897</v>
      </c>
      <c r="Z103" s="106">
        <v>6</v>
      </c>
      <c r="AA103" s="106">
        <v>12168</v>
      </c>
      <c r="AB103" s="106">
        <v>6.3975482245192605</v>
      </c>
      <c r="AC103" s="106">
        <v>12974.227799325061</v>
      </c>
      <c r="AD103" s="106">
        <v>5.489746903586493</v>
      </c>
      <c r="AE103" s="106">
        <v>11133.206720473408</v>
      </c>
      <c r="AF103" s="106">
        <v>5.5485618859974197</v>
      </c>
      <c r="AG103" s="106">
        <v>11252.483504802767</v>
      </c>
      <c r="AH103" s="106">
        <v>7</v>
      </c>
      <c r="AI103" s="106">
        <v>14196</v>
      </c>
      <c r="AJ103" s="106">
        <v>35.042003063301124</v>
      </c>
      <c r="AK103" s="106">
        <v>71065.182212374682</v>
      </c>
      <c r="AL103" s="106">
        <v>29.759967934610923</v>
      </c>
      <c r="AM103" s="106">
        <v>60353.214971390953</v>
      </c>
      <c r="AN103" s="106">
        <v>40</v>
      </c>
      <c r="AO103" s="106">
        <v>81120</v>
      </c>
      <c r="AP103" s="106">
        <v>24</v>
      </c>
      <c r="AQ103" s="106">
        <v>48672</v>
      </c>
      <c r="AR103" s="106">
        <v>3</v>
      </c>
      <c r="AS103" s="106">
        <v>6084</v>
      </c>
      <c r="AT103" s="106">
        <v>3.5848206345485347</v>
      </c>
      <c r="AU103" s="106">
        <v>7270.0162468644285</v>
      </c>
      <c r="AV103" s="106">
        <v>2</v>
      </c>
      <c r="AW103" s="106">
        <v>4056</v>
      </c>
      <c r="AX103" s="106">
        <v>4</v>
      </c>
      <c r="AY103" s="106">
        <v>8112</v>
      </c>
      <c r="AZ103" s="106">
        <v>7</v>
      </c>
      <c r="BA103" s="106">
        <v>14196</v>
      </c>
      <c r="BB103" s="106">
        <v>8</v>
      </c>
      <c r="BC103" s="106">
        <v>16224</v>
      </c>
      <c r="BD103" s="106">
        <v>10</v>
      </c>
      <c r="BE103" s="106">
        <v>20280</v>
      </c>
      <c r="BF103" s="106">
        <v>5.555202336108966</v>
      </c>
      <c r="BG103" s="106">
        <v>11265.950337628983</v>
      </c>
      <c r="BH103" s="106">
        <v>8.8924783483216459</v>
      </c>
      <c r="BI103" s="106">
        <v>18033.946090396297</v>
      </c>
      <c r="BJ103" s="106">
        <v>13.727026497570625</v>
      </c>
      <c r="BK103" s="106">
        <v>27838.409737073227</v>
      </c>
      <c r="BL103" s="106">
        <v>7</v>
      </c>
      <c r="BM103" s="106">
        <v>14196</v>
      </c>
      <c r="BN103" s="106">
        <v>12.599792482176447</v>
      </c>
      <c r="BO103" s="106">
        <v>25552.379153853835</v>
      </c>
      <c r="BP103" s="106">
        <v>4</v>
      </c>
      <c r="BQ103" s="106">
        <v>8112</v>
      </c>
      <c r="BR103" s="106">
        <v>4</v>
      </c>
      <c r="BS103" s="106">
        <v>8112</v>
      </c>
      <c r="BT103" s="106">
        <v>4</v>
      </c>
      <c r="BU103" s="106">
        <v>8112</v>
      </c>
      <c r="BV103" s="106">
        <v>3</v>
      </c>
      <c r="BW103" s="106">
        <v>6084</v>
      </c>
      <c r="BX103" s="106">
        <v>9</v>
      </c>
      <c r="BY103" s="106">
        <v>18252</v>
      </c>
      <c r="BZ103" s="106">
        <v>14</v>
      </c>
      <c r="CA103" s="106">
        <v>28392</v>
      </c>
      <c r="CB103" s="106">
        <v>15</v>
      </c>
      <c r="CC103" s="106">
        <v>30420</v>
      </c>
      <c r="CD103" s="106">
        <v>14</v>
      </c>
      <c r="CE103" s="106">
        <v>28392</v>
      </c>
      <c r="CF103" s="106">
        <v>2</v>
      </c>
      <c r="CG103" s="106">
        <v>4056</v>
      </c>
      <c r="CH103" s="106">
        <v>3</v>
      </c>
      <c r="CI103" s="106">
        <v>6084</v>
      </c>
      <c r="CJ103" s="106">
        <v>3</v>
      </c>
      <c r="CK103" s="106">
        <v>6084</v>
      </c>
      <c r="CL103" s="106">
        <v>3</v>
      </c>
      <c r="CM103" s="106">
        <v>6084</v>
      </c>
      <c r="CN103" s="106">
        <v>3</v>
      </c>
      <c r="CO103" s="106">
        <v>6084</v>
      </c>
      <c r="CP103" s="106">
        <v>4</v>
      </c>
      <c r="CQ103" s="106">
        <v>8112</v>
      </c>
      <c r="CR103" s="106">
        <v>3</v>
      </c>
      <c r="CS103" s="106">
        <v>6084</v>
      </c>
      <c r="CT103" s="106">
        <v>4</v>
      </c>
      <c r="CU103" s="106">
        <v>8112</v>
      </c>
    </row>
    <row r="104" spans="2:99" x14ac:dyDescent="0.2">
      <c r="C104" s="105" t="s">
        <v>269</v>
      </c>
      <c r="D104" s="106">
        <v>6</v>
      </c>
      <c r="E104" s="106">
        <v>12434.400000000001</v>
      </c>
      <c r="F104" s="106">
        <v>6</v>
      </c>
      <c r="G104" s="106">
        <v>12434.400000000001</v>
      </c>
      <c r="H104" s="106">
        <v>5</v>
      </c>
      <c r="I104" s="106">
        <v>10362</v>
      </c>
      <c r="J104" s="106">
        <v>4.3574199409847676</v>
      </c>
      <c r="K104" s="106">
        <v>9030.3170856968336</v>
      </c>
      <c r="L104" s="106">
        <v>3.3683044415693022</v>
      </c>
      <c r="M104" s="106">
        <v>6980.474124708222</v>
      </c>
      <c r="N104" s="106">
        <v>3.186729387310868</v>
      </c>
      <c r="O104" s="106">
        <v>6604.1779822630433</v>
      </c>
      <c r="P104" s="106">
        <v>5.2862290635745106</v>
      </c>
      <c r="Q104" s="106">
        <v>10955.181111351816</v>
      </c>
      <c r="R104" s="106">
        <v>4.9525247814060567</v>
      </c>
      <c r="S104" s="106">
        <v>10263.612356985912</v>
      </c>
      <c r="T104" s="106">
        <v>8.9851530923716094</v>
      </c>
      <c r="U104" s="106">
        <v>18620.831268630925</v>
      </c>
      <c r="V104" s="106">
        <v>12.531957748127184</v>
      </c>
      <c r="W104" s="106">
        <v>25971.229237218777</v>
      </c>
      <c r="X104" s="106">
        <v>13.545994871055809</v>
      </c>
      <c r="Y104" s="106">
        <v>28072.719770776061</v>
      </c>
      <c r="Z104" s="106">
        <v>6</v>
      </c>
      <c r="AA104" s="106">
        <v>12434.400000000001</v>
      </c>
      <c r="AB104" s="106">
        <v>6.3975482245192605</v>
      </c>
      <c r="AC104" s="106">
        <v>13258.278940493716</v>
      </c>
      <c r="AD104" s="106">
        <v>5.5387215939451417</v>
      </c>
      <c r="AE104" s="106">
        <v>11478.446631291912</v>
      </c>
      <c r="AF104" s="106">
        <v>4</v>
      </c>
      <c r="AG104" s="106">
        <v>8289.6</v>
      </c>
      <c r="AH104" s="106">
        <v>7</v>
      </c>
      <c r="AI104" s="106">
        <v>14506.800000000001</v>
      </c>
      <c r="AJ104" s="106">
        <v>38.970140783073461</v>
      </c>
      <c r="AK104" s="106">
        <v>80761.719758841442</v>
      </c>
      <c r="AL104" s="106">
        <v>27.796156883878108</v>
      </c>
      <c r="AM104" s="106">
        <v>57604.755526148998</v>
      </c>
      <c r="AN104" s="106">
        <v>36</v>
      </c>
      <c r="AO104" s="106">
        <v>74606.400000000009</v>
      </c>
      <c r="AP104" s="106">
        <v>22</v>
      </c>
      <c r="AQ104" s="106">
        <v>45592.800000000003</v>
      </c>
      <c r="AR104" s="106">
        <v>3</v>
      </c>
      <c r="AS104" s="106">
        <v>6217.2000000000007</v>
      </c>
      <c r="AT104" s="106">
        <v>3</v>
      </c>
      <c r="AU104" s="106">
        <v>6217.2000000000007</v>
      </c>
      <c r="AV104" s="106">
        <v>2</v>
      </c>
      <c r="AW104" s="106">
        <v>4144.8</v>
      </c>
      <c r="AX104" s="106">
        <v>4</v>
      </c>
      <c r="AY104" s="106">
        <v>8289.6</v>
      </c>
      <c r="AZ104" s="106">
        <v>7</v>
      </c>
      <c r="BA104" s="106">
        <v>14506.800000000001</v>
      </c>
      <c r="BB104" s="106">
        <v>9</v>
      </c>
      <c r="BC104" s="106">
        <v>18651.600000000002</v>
      </c>
      <c r="BD104" s="106">
        <v>10</v>
      </c>
      <c r="BE104" s="106">
        <v>20724</v>
      </c>
      <c r="BF104" s="106">
        <v>6.462668613424138</v>
      </c>
      <c r="BG104" s="106">
        <v>13393.234434460184</v>
      </c>
      <c r="BH104" s="106">
        <v>8.9611305289617729</v>
      </c>
      <c r="BI104" s="106">
        <v>18571.046908220378</v>
      </c>
      <c r="BJ104" s="106">
        <v>13.80355560257806</v>
      </c>
      <c r="BK104" s="106">
        <v>28606.488630782773</v>
      </c>
      <c r="BL104" s="106">
        <v>6.9484033205593585</v>
      </c>
      <c r="BM104" s="106">
        <v>14399.871041527214</v>
      </c>
      <c r="BN104" s="106">
        <v>10.56647067761109</v>
      </c>
      <c r="BO104" s="106">
        <v>21897.953832281222</v>
      </c>
      <c r="BP104" s="106">
        <v>3</v>
      </c>
      <c r="BQ104" s="106">
        <v>6217.2000000000007</v>
      </c>
      <c r="BR104" s="106">
        <v>4</v>
      </c>
      <c r="BS104" s="106">
        <v>8289.6</v>
      </c>
      <c r="BT104" s="106">
        <v>4</v>
      </c>
      <c r="BU104" s="106">
        <v>8289.6</v>
      </c>
      <c r="BV104" s="106">
        <v>3</v>
      </c>
      <c r="BW104" s="106">
        <v>6217.2000000000007</v>
      </c>
      <c r="BX104" s="106">
        <v>8</v>
      </c>
      <c r="BY104" s="106">
        <v>16579.2</v>
      </c>
      <c r="BZ104" s="106">
        <v>13</v>
      </c>
      <c r="CA104" s="106">
        <v>26941.200000000001</v>
      </c>
      <c r="CB104" s="106">
        <v>13</v>
      </c>
      <c r="CC104" s="106">
        <v>26941.200000000001</v>
      </c>
      <c r="CD104" s="106">
        <v>14</v>
      </c>
      <c r="CE104" s="106">
        <v>29013.600000000002</v>
      </c>
      <c r="CF104" s="106">
        <v>2</v>
      </c>
      <c r="CG104" s="106">
        <v>4144.8</v>
      </c>
      <c r="CH104" s="106">
        <v>3</v>
      </c>
      <c r="CI104" s="106">
        <v>6217.2000000000007</v>
      </c>
      <c r="CJ104" s="106">
        <v>3</v>
      </c>
      <c r="CK104" s="106">
        <v>6217.2000000000007</v>
      </c>
      <c r="CL104" s="106">
        <v>4</v>
      </c>
      <c r="CM104" s="106">
        <v>8289.6</v>
      </c>
      <c r="CN104" s="106">
        <v>3</v>
      </c>
      <c r="CO104" s="106">
        <v>6217.2000000000007</v>
      </c>
      <c r="CP104" s="106">
        <v>5</v>
      </c>
      <c r="CQ104" s="106">
        <v>10362</v>
      </c>
      <c r="CR104" s="106">
        <v>4</v>
      </c>
      <c r="CS104" s="106">
        <v>8289.6</v>
      </c>
      <c r="CT104" s="106">
        <v>4</v>
      </c>
      <c r="CU104" s="106">
        <v>8289.6</v>
      </c>
    </row>
    <row r="105" spans="2:99" x14ac:dyDescent="0.2">
      <c r="C105" s="105" t="s">
        <v>270</v>
      </c>
      <c r="D105" s="106">
        <v>7</v>
      </c>
      <c r="E105" s="106">
        <v>13986</v>
      </c>
      <c r="F105" s="106">
        <v>6</v>
      </c>
      <c r="G105" s="106">
        <v>11988</v>
      </c>
      <c r="H105" s="106">
        <v>5</v>
      </c>
      <c r="I105" s="106">
        <v>9990</v>
      </c>
      <c r="J105" s="106">
        <v>5.4705382694001656</v>
      </c>
      <c r="K105" s="106">
        <v>10930.135462261531</v>
      </c>
      <c r="L105" s="106">
        <v>3.3683044415693022</v>
      </c>
      <c r="M105" s="106">
        <v>6729.8722742554655</v>
      </c>
      <c r="N105" s="106">
        <v>3.0639642782787089</v>
      </c>
      <c r="O105" s="106">
        <v>6121.8006280008603</v>
      </c>
      <c r="P105" s="106">
        <v>5.5067254744729981</v>
      </c>
      <c r="Q105" s="106">
        <v>11002.437497997051</v>
      </c>
      <c r="R105" s="106">
        <v>5.0230821726213204</v>
      </c>
      <c r="S105" s="106">
        <v>10036.118180897398</v>
      </c>
      <c r="T105" s="106">
        <v>8</v>
      </c>
      <c r="U105" s="106">
        <v>15984</v>
      </c>
      <c r="V105" s="106">
        <v>11.664023071241596</v>
      </c>
      <c r="W105" s="106">
        <v>23304.718096340708</v>
      </c>
      <c r="X105" s="106">
        <v>13.301890417731208</v>
      </c>
      <c r="Y105" s="106">
        <v>26577.177054626954</v>
      </c>
      <c r="Z105" s="106">
        <v>6</v>
      </c>
      <c r="AA105" s="106">
        <v>11988</v>
      </c>
      <c r="AB105" s="106">
        <v>6.3975482245192605</v>
      </c>
      <c r="AC105" s="106">
        <v>12782.301352589482</v>
      </c>
      <c r="AD105" s="106">
        <v>5.489746903586493</v>
      </c>
      <c r="AE105" s="106">
        <v>10968.514313365813</v>
      </c>
      <c r="AF105" s="106">
        <v>5</v>
      </c>
      <c r="AG105" s="106">
        <v>9990</v>
      </c>
      <c r="AH105" s="106">
        <v>7</v>
      </c>
      <c r="AI105" s="106">
        <v>13986</v>
      </c>
      <c r="AJ105" s="106">
        <v>39.970140783073461</v>
      </c>
      <c r="AK105" s="106">
        <v>79860.341284580776</v>
      </c>
      <c r="AL105" s="106">
        <v>30.723778985343735</v>
      </c>
      <c r="AM105" s="106">
        <v>61386.110412716786</v>
      </c>
      <c r="AN105" s="106">
        <v>37</v>
      </c>
      <c r="AO105" s="106">
        <v>73926</v>
      </c>
      <c r="AP105" s="106">
        <v>24</v>
      </c>
      <c r="AQ105" s="106">
        <v>47952</v>
      </c>
      <c r="AR105" s="106">
        <v>3</v>
      </c>
      <c r="AS105" s="106">
        <v>5994</v>
      </c>
      <c r="AT105" s="106">
        <v>3.5848206345485347</v>
      </c>
      <c r="AU105" s="106">
        <v>7162.471627827972</v>
      </c>
      <c r="AV105" s="106">
        <v>2</v>
      </c>
      <c r="AW105" s="106">
        <v>3996</v>
      </c>
      <c r="AX105" s="106">
        <v>4</v>
      </c>
      <c r="AY105" s="106">
        <v>7992</v>
      </c>
      <c r="AZ105" s="106">
        <v>7</v>
      </c>
      <c r="BA105" s="106">
        <v>13986</v>
      </c>
      <c r="BB105" s="106">
        <v>9</v>
      </c>
      <c r="BC105" s="106">
        <v>17982</v>
      </c>
      <c r="BD105" s="106">
        <v>10</v>
      </c>
      <c r="BE105" s="106">
        <v>19980</v>
      </c>
      <c r="BF105" s="106">
        <v>6.5089354747665524</v>
      </c>
      <c r="BG105" s="106">
        <v>13004.853078583572</v>
      </c>
      <c r="BH105" s="106">
        <v>7.9268044386417094</v>
      </c>
      <c r="BI105" s="106">
        <v>15837.755268406136</v>
      </c>
      <c r="BJ105" s="106">
        <v>14.727026497570625</v>
      </c>
      <c r="BK105" s="106">
        <v>29424.598942146109</v>
      </c>
      <c r="BL105" s="106">
        <v>7.9484033205593585</v>
      </c>
      <c r="BM105" s="106">
        <v>15880.909834477598</v>
      </c>
      <c r="BN105" s="106">
        <v>11.599792482176447</v>
      </c>
      <c r="BO105" s="106">
        <v>23176.385379388543</v>
      </c>
      <c r="BP105" s="106">
        <v>4</v>
      </c>
      <c r="BQ105" s="106">
        <v>7992</v>
      </c>
      <c r="BR105" s="106">
        <v>4</v>
      </c>
      <c r="BS105" s="106">
        <v>7992</v>
      </c>
      <c r="BT105" s="106">
        <v>4</v>
      </c>
      <c r="BU105" s="106">
        <v>7992</v>
      </c>
      <c r="BV105" s="106">
        <v>3</v>
      </c>
      <c r="BW105" s="106">
        <v>5994</v>
      </c>
      <c r="BX105" s="106">
        <v>9</v>
      </c>
      <c r="BY105" s="106">
        <v>17982</v>
      </c>
      <c r="BZ105" s="106">
        <v>13</v>
      </c>
      <c r="CA105" s="106">
        <v>25974</v>
      </c>
      <c r="CB105" s="106">
        <v>13</v>
      </c>
      <c r="CC105" s="106">
        <v>25974</v>
      </c>
      <c r="CD105" s="106">
        <v>15</v>
      </c>
      <c r="CE105" s="106">
        <v>29970</v>
      </c>
      <c r="CF105" s="106">
        <v>2.6905673733778466</v>
      </c>
      <c r="CG105" s="106">
        <v>5375.7536120089371</v>
      </c>
      <c r="CH105" s="106">
        <v>3</v>
      </c>
      <c r="CI105" s="106">
        <v>5994</v>
      </c>
      <c r="CJ105" s="106">
        <v>3</v>
      </c>
      <c r="CK105" s="106">
        <v>5994</v>
      </c>
      <c r="CL105" s="106">
        <v>4</v>
      </c>
      <c r="CM105" s="106">
        <v>7992</v>
      </c>
      <c r="CN105" s="106">
        <v>3</v>
      </c>
      <c r="CO105" s="106">
        <v>5994</v>
      </c>
      <c r="CP105" s="106">
        <v>4</v>
      </c>
      <c r="CQ105" s="106">
        <v>7992</v>
      </c>
      <c r="CR105" s="106">
        <v>4</v>
      </c>
      <c r="CS105" s="106">
        <v>7992</v>
      </c>
      <c r="CT105" s="106">
        <v>4</v>
      </c>
      <c r="CU105" s="106">
        <v>7992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171</v>
      </c>
      <c r="E109" s="106">
        <f>SUM(L$6:L$19)+SUM(N$6:N$19)+SUM(P$6:P$19)+SUM(R$6:R$19)</f>
        <v>179</v>
      </c>
      <c r="F109" s="106">
        <f>SUM(T$6:T$19)+SUM(V$6:V$19)+SUM(X$6:X$19)+SUM(Z$6:Z$19)</f>
        <v>238</v>
      </c>
      <c r="G109" s="106">
        <f>SUM(AB$6:AB$19)+SUM(AD$6:AD$19)+SUM(AF$6:AF$19)+SUM(AH$6:AH$19)</f>
        <v>1594</v>
      </c>
      <c r="H109" s="106">
        <f>SUM(AJ$6:AJ$19)+SUM(AL$6:AL$19)+SUM(AN$6:AN$19)+SUM(AP$6:AP$19)</f>
        <v>182</v>
      </c>
      <c r="I109" s="106">
        <f>SUM(AR$6:AR$19)+SUM(AT$6:AT$19)+SUM(AV$6:AV$19)+SUM(AX$6:AX$19)</f>
        <v>561</v>
      </c>
      <c r="J109" s="106">
        <f>SUM(AZ$6:AZ$19)+SUM(BB$6:BB$19)+SUM(BD$6:BD$19)+SUM(BF$6:BF$19)</f>
        <v>233</v>
      </c>
      <c r="K109" s="106">
        <f>SUM(BH$6:BH$19)+SUM(BJ$6:BJ$19)+SUM(BL$6:BL$19)+SUM(BN$6:BN$19)</f>
        <v>416</v>
      </c>
      <c r="L109" s="106">
        <f>SUM(BP$6:BP$19)+SUM(BR$6:BR$19)+SUM(BT$6:BT$19)+SUM(BV$6:BV$19)</f>
        <v>2113</v>
      </c>
      <c r="M109" s="106">
        <f>SUM(BX$6:BX$19)+SUM(BZ$6:BZ$19)+SUM(CB$6:CB$19)+SUM(CD$6:CD$19)</f>
        <v>223</v>
      </c>
      <c r="N109" s="106">
        <f>SUM(CF$6:CF$19)+SUM(CH$6:CH$19)+SUM(CJ$6:CJ$19)+SUM(CL$6:CL$19)</f>
        <v>2020</v>
      </c>
      <c r="O109" s="106">
        <f>SUM(CN$6:CN$19)+SUM(CP$6:CP$19)+SUM(CR$6:CR$19)+SUM(CT$6:CT$19)</f>
        <v>416</v>
      </c>
    </row>
    <row r="110" spans="2:99" x14ac:dyDescent="0.2">
      <c r="C110" s="105" t="s">
        <v>127</v>
      </c>
      <c r="D110" s="106">
        <f>SUM(D$20:D$36)+SUM(F$20:F$36)+SUM(H$20:H$36)+SUM(J$20:J$36)</f>
        <v>234</v>
      </c>
      <c r="E110" s="106">
        <f>SUM(L$20:L$36)+SUM(N$20:N$36)+SUM(P$20:P$36)+SUM(R$20:R$36)</f>
        <v>1115</v>
      </c>
      <c r="F110" s="106">
        <f>SUM(T$20:T$36)+SUM(V$20:V$36)+SUM(X$20:X$36)+SUM(Z$20:Z$36)</f>
        <v>231</v>
      </c>
      <c r="G110" s="106">
        <f>SUM(AB$20:AB$36)+SUM(AD$20:AD$36)+SUM(AF$20:AF$36)+SUM(AH$20:AH$36)</f>
        <v>212</v>
      </c>
      <c r="H110" s="106">
        <f>SUM(AJ$20:AJ$36)+SUM(AL$20:AL$36)+SUM(AN$20:AN$36)+SUM(AP$20:AP$36)</f>
        <v>775</v>
      </c>
      <c r="I110" s="106">
        <f>SUM(AR$20:AR$36)+SUM(AT$20:AT$36)+SUM(AV$20:AV$36)+SUM(AX$20:AX$36)</f>
        <v>1943</v>
      </c>
      <c r="J110" s="106">
        <f>SUM(AZ$20:AZ$36)+SUM(BB$20:BB$36)+SUM(BD$20:BD$36)+SUM(BF$20:BF$36)</f>
        <v>201</v>
      </c>
      <c r="K110" s="106">
        <f>SUM(BH$20:BH$36)+SUM(BJ$20:BJ$36)+SUM(BL$20:BL$36)+SUM(BN$20:BN$36)</f>
        <v>952</v>
      </c>
      <c r="L110" s="106">
        <f>SUM(BP$20:BP$36)+SUM(BR$20:BR$36)+SUM(BT$20:BT$36)+SUM(BV$20:BV$36)</f>
        <v>190</v>
      </c>
      <c r="M110" s="106">
        <f>SUM(BX$20:BX$36)+SUM(BZ$20:BZ$36)+SUM(CB$20:CB$36)+SUM(CD$20:CD$36)</f>
        <v>1269</v>
      </c>
      <c r="N110" s="106">
        <f>SUM(CF$20:CF$36)+SUM(CH$20:CH$36)+SUM(CJ$20:CJ$36)+SUM(CL$20:CL$36)</f>
        <v>1780</v>
      </c>
      <c r="O110" s="106">
        <f>SUM(CN$20:CN$36)+SUM(CP$20:CP$36)+SUM(CR$20:CR$36)+SUM(CT$20:CT$36)</f>
        <v>1331</v>
      </c>
    </row>
    <row r="111" spans="2:99" x14ac:dyDescent="0.2">
      <c r="C111" s="105" t="s">
        <v>128</v>
      </c>
      <c r="D111" s="106">
        <f>SUM(D$37:D$48)+SUM(F$37:F$48)+SUM(H$37:H$48)+SUM(J$37:J$48)</f>
        <v>552</v>
      </c>
      <c r="E111" s="106">
        <f>SUM(L$37:L$48)+SUM(N$37:N$48)+SUM(P$37:P$48)+SUM(R$37:R$48)</f>
        <v>3236</v>
      </c>
      <c r="F111" s="106">
        <f>SUM(T$37:T$48)+SUM(V$37:V$48)+SUM(X$37:X$48)+SUM(Z$37:Z$48)</f>
        <v>244</v>
      </c>
      <c r="G111" s="106">
        <f>SUM(AB$37:AB$48)+SUM(AD$37:AD$48)+SUM(AF$37:AF$48)+SUM(AH$37:AH$48)</f>
        <v>3266</v>
      </c>
      <c r="H111" s="106">
        <f>SUM(AJ$37:AJ$48)+SUM(AL$37:AL$48)+SUM(AN$37:AN$48)+SUM(AP$37:AP$48)</f>
        <v>2739</v>
      </c>
      <c r="I111" s="106">
        <f>SUM(AR$37:AR$48)+SUM(AT$37:AT$48)+SUM(AV$37:AV$48)+SUM(AX$37:AX$48)</f>
        <v>917</v>
      </c>
      <c r="J111" s="106">
        <f>SUM(AZ$37:AZ$48)+SUM(BB$37:BB$48)+SUM(BD$37:BD$48)+SUM(BF$37:BF$48)</f>
        <v>266</v>
      </c>
      <c r="K111" s="106">
        <f>SUM(BH$37:BH$48)+SUM(BJ$37:BJ$48)+SUM(BL$37:BL$48)+SUM(BN$37:BN$48)</f>
        <v>3125</v>
      </c>
      <c r="L111" s="106">
        <f>SUM(BP$37:BP$48)+SUM(BR$37:BR$48)+SUM(BT$37:BT$48)+SUM(BV$37:BV$48)</f>
        <v>1192</v>
      </c>
      <c r="M111" s="106">
        <f>SUM(BX$37:BX$48)+SUM(BZ$37:BZ$48)+SUM(CB$37:CB$48)+SUM(CD$37:CD$48)</f>
        <v>379</v>
      </c>
      <c r="N111" s="106">
        <f>SUM(CF$37:CF$48)+SUM(CH$37:CH$48)+SUM(CJ$37:CJ$48)+SUM(CL$37:CL$48)</f>
        <v>241</v>
      </c>
      <c r="O111" s="106">
        <f>SUM(CN$37:CN$48)+SUM(CP$37:CP$48)+SUM(CR$37:CR$48)+SUM(CT$37:CT$48)</f>
        <v>292</v>
      </c>
    </row>
    <row r="112" spans="2:99" x14ac:dyDescent="0.2">
      <c r="C112" s="105" t="s">
        <v>129</v>
      </c>
      <c r="D112" s="106">
        <f>SUM(D$49:D$70)+SUM(F$49:F$70)+SUM(H$49:H$70)+SUM(J$49:J$70)</f>
        <v>523</v>
      </c>
      <c r="E112" s="106">
        <f>SUM(L$49:L$70)+SUM(N$49:N$70)+SUM(P$49:P$70)+SUM(R$49:R$70)</f>
        <v>2217.6206418365364</v>
      </c>
      <c r="F112" s="106">
        <f>SUM(T$49:T$70)+SUM(V$49:V$70)+SUM(X$49:X$70)+SUM(Z$49:Z$70)</f>
        <v>322.37162491670676</v>
      </c>
      <c r="G112" s="106">
        <f>SUM(AB$49:AB$70)+SUM(AD$49:AD$70)+SUM(AF$49:AF$70)+SUM(AH$49:AH$70)</f>
        <v>692.26595498612608</v>
      </c>
      <c r="H112" s="106">
        <f>SUM(AJ$49:AJ$70)+SUM(AL$49:AL$70)+SUM(AN$49:AN$70)+SUM(AP$49:AP$70)</f>
        <v>590.55792048147737</v>
      </c>
      <c r="I112" s="106">
        <f>SUM(AR$49:AR$70)+SUM(AT$49:AT$70)+SUM(AV$49:AV$70)+SUM(AX$49:AX$70)</f>
        <v>334.0039410909979</v>
      </c>
      <c r="J112" s="106">
        <f>SUM(AZ$49:AZ$70)+SUM(BB$49:BB$70)+SUM(BD$49:BD$70)+SUM(BF$49:BF$70)</f>
        <v>677</v>
      </c>
      <c r="K112" s="106">
        <f>SUM(BH$49:BH$70)+SUM(BJ$49:BJ$70)+SUM(BL$49:BL$70)+SUM(BN$49:BN$70)</f>
        <v>353.33175944277986</v>
      </c>
      <c r="L112" s="106">
        <f>SUM(BP$49:BP$70)+SUM(BR$49:BR$70)+SUM(BT$49:BT$70)+SUM(BV$49:BV$70)</f>
        <v>313.23023859835058</v>
      </c>
      <c r="M112" s="106">
        <f>SUM(BX$49:BX$70)+SUM(BZ$49:BZ$70)+SUM(CB$49:CB$70)+SUM(CD$49:CD$70)</f>
        <v>5392</v>
      </c>
      <c r="N112" s="106">
        <f>SUM(CF$49:CF$70)+SUM(CH$49:CH$70)+SUM(CJ$49:CJ$70)+SUM(CL$49:CL$70)</f>
        <v>1948.1538596578457</v>
      </c>
      <c r="O112" s="106">
        <f>SUM(CN$49:CN$70)+SUM(CP$49:CP$70)+SUM(CR$49:CR$70)+SUM(CT$49:CT$70)</f>
        <v>291.729578666924</v>
      </c>
    </row>
    <row r="113" spans="2:15" x14ac:dyDescent="0.2">
      <c r="C113" s="105" t="s">
        <v>130</v>
      </c>
      <c r="D113" s="106">
        <f>SUM(D$71:D$86)+SUM(F$71:F$86)+SUM(H$71:H$86)+SUM(J$71:J$86)</f>
        <v>1049.6541966195841</v>
      </c>
      <c r="E113" s="106">
        <f>SUM(L$71:L$86)+SUM(N$71:N$86)+SUM(P$71:P$86)+SUM(R$71:R$86)</f>
        <v>1132.1203763238652</v>
      </c>
      <c r="F113" s="106">
        <f>SUM(T$71:T$86)+SUM(V$71:V$86)+SUM(X$71:X$86)+SUM(Z$71:Z$86)</f>
        <v>388.77252307574651</v>
      </c>
      <c r="G113" s="106">
        <f>SUM(AB$71:AB$86)+SUM(AD$71:AD$86)+SUM(AF$71:AF$86)+SUM(AH$71:AH$86)</f>
        <v>673.03215635992115</v>
      </c>
      <c r="H113" s="106">
        <f>SUM(AJ$71:AJ$86)+SUM(AL$71:AL$86)+SUM(AN$71:AN$86)+SUM(AP$71:AP$86)</f>
        <v>318.66251995451364</v>
      </c>
      <c r="I113" s="106">
        <f>SUM(AR$71:AR$86)+SUM(AT$71:AT$86)+SUM(AV$71:AV$86)+SUM(AX$71:AX$86)</f>
        <v>2184.136132852027</v>
      </c>
      <c r="J113" s="106">
        <f>SUM(AZ$71:AZ$86)+SUM(BB$71:BB$86)+SUM(BD$71:BD$86)+SUM(BF$71:BF$86)</f>
        <v>3640</v>
      </c>
      <c r="K113" s="106">
        <f>SUM(BH$71:BH$86)+SUM(BJ$71:BJ$86)+SUM(BL$71:BL$86)+SUM(BN$71:BN$86)</f>
        <v>336</v>
      </c>
      <c r="L113" s="106">
        <f>SUM(BP$71:BP$86)+SUM(BR$71:BR$86)+SUM(BT$71:BT$86)+SUM(BV$71:BV$86)</f>
        <v>290.36350509555257</v>
      </c>
      <c r="M113" s="106">
        <f>SUM(BX$71:BX$86)+SUM(BZ$71:BZ$86)+SUM(CB$71:CB$86)+SUM(CD$71:CD$86)</f>
        <v>344.14612866193613</v>
      </c>
      <c r="N113" s="106">
        <f>SUM(CF$71:CF$86)+SUM(CH$71:CH$86)+SUM(CJ$71:CJ$86)+SUM(CL$71:CL$86)</f>
        <v>1522</v>
      </c>
      <c r="O113" s="106">
        <f>SUM(CN$71:CN$86)+SUM(CP$71:CP$86)+SUM(CR$71:CR$86)+SUM(CT$71:CT$86)</f>
        <v>224.40730303717609</v>
      </c>
    </row>
    <row r="114" spans="2:15" x14ac:dyDescent="0.2">
      <c r="C114" s="105" t="s">
        <v>131</v>
      </c>
      <c r="D114" s="106">
        <f>SUM(D$87:D$94)+SUM(F$87:F$94)+SUM(H$87:H$94)+SUM(J$87:J$94)</f>
        <v>165.09970719914665</v>
      </c>
      <c r="E114" s="106">
        <f>SUM(L$87:L$94)+SUM(N$87:N$94)+SUM(P$87:P$94)+SUM(R$87:R$94)</f>
        <v>218</v>
      </c>
      <c r="F114" s="106">
        <f>SUM(T$87:T$94)+SUM(V$87:V$94)+SUM(X$87:X$94)+SUM(Z$87:Z$94)</f>
        <v>248</v>
      </c>
      <c r="G114" s="106">
        <f>SUM(AB$87:AB$94)+SUM(AD$87:AD$94)+SUM(AF$87:AF$94)+SUM(AH$87:AH$94)</f>
        <v>486.36670974662445</v>
      </c>
      <c r="H114" s="106">
        <f>SUM(AJ$87:AJ$94)+SUM(AL$87:AL$94)+SUM(AN$87:AN$94)+SUM(AP$87:AP$94)</f>
        <v>91.998413609171976</v>
      </c>
      <c r="I114" s="106">
        <f>SUM(AR$87:AR$94)+SUM(AT$87:AT$94)+SUM(AV$87:AV$94)+SUM(AX$87:AX$94)</f>
        <v>916.04301865046</v>
      </c>
      <c r="J114" s="106">
        <f>SUM(AZ$87:AZ$94)+SUM(BB$87:BB$94)+SUM(BD$87:BD$94)+SUM(BF$87:BF$94)</f>
        <v>862</v>
      </c>
      <c r="K114" s="106">
        <f>SUM(BH$87:BH$94)+SUM(BJ$87:BJ$94)+SUM(BL$87:BL$94)+SUM(BN$87:BN$94)</f>
        <v>155.38264775111313</v>
      </c>
      <c r="L114" s="106">
        <f>SUM(BP$87:BP$94)+SUM(BR$87:BR$94)+SUM(BT$87:BT$94)+SUM(BV$87:BV$94)</f>
        <v>529.26265493573987</v>
      </c>
      <c r="M114" s="106">
        <f>SUM(BX$87:BX$94)+SUM(BZ$87:BZ$94)+SUM(CB$87:CB$94)+SUM(CD$87:CD$94)</f>
        <v>264.0920259026999</v>
      </c>
      <c r="N114" s="106">
        <f>SUM(CF$87:CF$94)+SUM(CH$87:CH$94)+SUM(CJ$87:CJ$94)+SUM(CL$87:CL$94)</f>
        <v>270</v>
      </c>
      <c r="O114" s="106">
        <f>SUM(CN$87:CN$94)+SUM(CP$87:CP$94)+SUM(CR$87:CR$94)+SUM(CT$87:CT$94)</f>
        <v>740.83285116072466</v>
      </c>
    </row>
    <row r="115" spans="2:15" x14ac:dyDescent="0.2">
      <c r="C115" s="105" t="s">
        <v>132</v>
      </c>
      <c r="D115" s="106">
        <f>SUM(D$95:D$105)+SUM(F$95:F$105)+SUM(H$95:H$105)+SUM(J$95:J$105)</f>
        <v>247.25133318234543</v>
      </c>
      <c r="E115" s="106">
        <f>SUM(L$95:L$105)+SUM(N$95:N$105)+SUM(P$95:P$105)+SUM(R$95:R$105)</f>
        <v>190.38193615992412</v>
      </c>
      <c r="F115" s="106">
        <f>SUM(T$95:T$105)+SUM(V$95:V$105)+SUM(X$95:X$105)+SUM(Z$95:Z$105)</f>
        <v>453.69335498657301</v>
      </c>
      <c r="G115" s="106">
        <f>SUM(AB$95:AB$105)+SUM(AD$95:AD$105)+SUM(AF$95:AF$105)+SUM(AH$95:AH$105)</f>
        <v>257.14641196958746</v>
      </c>
      <c r="H115" s="106">
        <f>SUM(AJ$95:AJ$105)+SUM(AL$95:AL$105)+SUM(AN$95:AN$105)+SUM(AP$95:AP$105)</f>
        <v>1438.285549776012</v>
      </c>
      <c r="I115" s="106">
        <f>SUM(AR$95:AR$105)+SUM(AT$95:AT$105)+SUM(AV$95:AV$105)+SUM(AX$95:AX$105)</f>
        <v>139.67856507638828</v>
      </c>
      <c r="J115" s="106">
        <f>SUM(AZ$95:AZ$105)+SUM(BB$95:BB$105)+SUM(BD$95:BD$105)+SUM(BF$95:BF$105)</f>
        <v>354.20286327149495</v>
      </c>
      <c r="K115" s="106">
        <f>SUM(BH$95:BH$105)+SUM(BJ$95:BJ$105)+SUM(BL$95:BL$105)+SUM(BN$95:BN$105)</f>
        <v>458.42391393157118</v>
      </c>
      <c r="L115" s="106">
        <f>SUM(BP$95:BP$105)+SUM(BR$95:BR$105)+SUM(BT$95:BT$105)+SUM(BV$95:BV$105)</f>
        <v>156</v>
      </c>
      <c r="M115" s="106">
        <f>SUM(BX$95:BX$105)+SUM(BZ$95:BZ$105)+SUM(CB$95:CB$105)+SUM(CD$95:CD$105)</f>
        <v>560</v>
      </c>
      <c r="N115" s="106">
        <f>SUM(CF$95:CF$105)+SUM(CH$95:CH$105)+SUM(CJ$95:CJ$105)+SUM(CL$95:CL$105)</f>
        <v>144.41170787752668</v>
      </c>
      <c r="O115" s="106">
        <f>SUM(CN$95:CN$105)+SUM(CP$95:CP$105)+SUM(CR$95:CR$105)+SUM(CT$95:CT$105)</f>
        <v>168</v>
      </c>
    </row>
    <row r="116" spans="2:15" x14ac:dyDescent="0.2">
      <c r="C116" s="105" t="s">
        <v>277</v>
      </c>
      <c r="D116" s="106">
        <f t="shared" ref="D116:O116" si="0">SUM(D$109:D$115)</f>
        <v>2942.0052370010762</v>
      </c>
      <c r="E116" s="106">
        <f t="shared" si="0"/>
        <v>8288.1229543203262</v>
      </c>
      <c r="F116" s="106">
        <f t="shared" si="0"/>
        <v>2125.8375029790263</v>
      </c>
      <c r="G116" s="106">
        <f t="shared" si="0"/>
        <v>7180.8112330622589</v>
      </c>
      <c r="H116" s="106">
        <f t="shared" si="0"/>
        <v>6135.5044038211745</v>
      </c>
      <c r="I116" s="106">
        <f t="shared" si="0"/>
        <v>6994.8616576698732</v>
      </c>
      <c r="J116" s="106">
        <f t="shared" si="0"/>
        <v>6233.2028632714946</v>
      </c>
      <c r="K116" s="106">
        <f t="shared" si="0"/>
        <v>5796.1383211254642</v>
      </c>
      <c r="L116" s="106">
        <f t="shared" si="0"/>
        <v>4783.8563986296431</v>
      </c>
      <c r="M116" s="106">
        <f t="shared" si="0"/>
        <v>8431.2381545646349</v>
      </c>
      <c r="N116" s="106">
        <f t="shared" si="0"/>
        <v>7925.5655675353728</v>
      </c>
      <c r="O116" s="106">
        <f t="shared" si="0"/>
        <v>3463.9697328648244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1154602.0884007972</v>
      </c>
      <c r="E120" s="106">
        <f>E109*pricing!E33*2000</f>
        <v>1226287.7214614486</v>
      </c>
      <c r="F120" s="106">
        <f>F109*pricing!F33*2000</f>
        <v>1239223.9605976371</v>
      </c>
      <c r="G120" s="106">
        <f>G109*pricing!G33*2000</f>
        <v>4574181.1982219927</v>
      </c>
      <c r="H120" s="106">
        <f>H109*pricing!H33*2000</f>
        <v>1174808.3985919112</v>
      </c>
      <c r="I120" s="106">
        <f>I109*pricing!I33*2000</f>
        <v>2291568.9847184983</v>
      </c>
      <c r="J120" s="106">
        <f>J109*pricing!J33*2000</f>
        <v>1353062.9932569705</v>
      </c>
      <c r="K120" s="106">
        <f>K109*pricing!K33*2000</f>
        <v>2138509.3427433213</v>
      </c>
      <c r="L120" s="106">
        <f>L109*pricing!L33*2000</f>
        <v>5784122.6151068909</v>
      </c>
      <c r="M120" s="106">
        <f>M109*pricing!M33*2000</f>
        <v>1452998.7670301287</v>
      </c>
      <c r="N120" s="106">
        <f>N109*pricing!N33*2000</f>
        <v>5835872.1353949392</v>
      </c>
      <c r="O120" s="106">
        <f>O109*pricing!O33*2000</f>
        <v>1981281.4263998456</v>
      </c>
    </row>
    <row r="121" spans="2:15" x14ac:dyDescent="0.2">
      <c r="C121" s="105" t="s">
        <v>127</v>
      </c>
      <c r="D121" s="106">
        <f>D110*pricing!D34*2000</f>
        <v>1459568.181945811</v>
      </c>
      <c r="E121" s="106">
        <f>E110*pricing!E34*2000</f>
        <v>3448568.830518499</v>
      </c>
      <c r="F121" s="106">
        <f>F110*pricing!F34*2000</f>
        <v>1391331.0230916613</v>
      </c>
      <c r="G121" s="106">
        <f>G110*pricing!G34*2000</f>
        <v>1335102.9003197982</v>
      </c>
      <c r="H121" s="106">
        <f>H110*pricing!H34*2000</f>
        <v>2995156.4322269391</v>
      </c>
      <c r="I121" s="106">
        <f>I110*pricing!I34*2000</f>
        <v>5157835.2972199842</v>
      </c>
      <c r="J121" s="106">
        <f>J110*pricing!J34*2000</f>
        <v>1325608.8215550301</v>
      </c>
      <c r="K121" s="106">
        <f>K110*pricing!K34*2000</f>
        <v>3571014.4168347311</v>
      </c>
      <c r="L121" s="106">
        <f>L110*pricing!L34*2000</f>
        <v>1268340.355090148</v>
      </c>
      <c r="M121" s="106">
        <f>M110*pricing!M34*2000</f>
        <v>3928200.9290439324</v>
      </c>
      <c r="N121" s="106">
        <f>N110*pricing!N34*2000</f>
        <v>5118600.1613970213</v>
      </c>
      <c r="O121" s="106">
        <f>O110*pricing!O34*2000</f>
        <v>4063242.5374835627</v>
      </c>
    </row>
    <row r="122" spans="2:15" x14ac:dyDescent="0.2">
      <c r="C122" s="105" t="s">
        <v>128</v>
      </c>
      <c r="D122" s="106">
        <f>D111*pricing!D35*2000</f>
        <v>2521320.4043495092</v>
      </c>
      <c r="E122" s="106">
        <f>E111*pricing!E35*2000</f>
        <v>7022883.9923987025</v>
      </c>
      <c r="F122" s="106">
        <f>F111*pricing!F35*2000</f>
        <v>1608198.9567508728</v>
      </c>
      <c r="G122" s="106">
        <f>G111*pricing!G35*2000</f>
        <v>7256138.1578106051</v>
      </c>
      <c r="H122" s="106">
        <f>H111*pricing!H35*2000</f>
        <v>6580759.8957554596</v>
      </c>
      <c r="I122" s="106">
        <f>I111*pricing!I35*2000</f>
        <v>3245880.7248790516</v>
      </c>
      <c r="J122" s="106">
        <f>J111*pricing!J35*2000</f>
        <v>1619992.2510204655</v>
      </c>
      <c r="K122" s="106">
        <f>K111*pricing!K35*2000</f>
        <v>7710776.7241264917</v>
      </c>
      <c r="L122" s="106">
        <f>L111*pricing!L35*2000</f>
        <v>3730774.7941569174</v>
      </c>
      <c r="M122" s="106">
        <f>M111*pricing!M35*2000</f>
        <v>1953227.2671390497</v>
      </c>
      <c r="N122" s="106">
        <f>N111*pricing!N35*2000</f>
        <v>1566147.3464634474</v>
      </c>
      <c r="O122" s="106">
        <f>O111*pricing!O35*2000</f>
        <v>1757685.4467085619</v>
      </c>
    </row>
    <row r="123" spans="2:15" x14ac:dyDescent="0.2">
      <c r="C123" s="105" t="s">
        <v>129</v>
      </c>
      <c r="D123" s="106">
        <f>D112*pricing!D36*2000</f>
        <v>2746111.5261771777</v>
      </c>
      <c r="E123" s="106">
        <f>E112*pricing!E36*2000</f>
        <v>5974853.2373005999</v>
      </c>
      <c r="F123" s="106">
        <f>F112*pricing!F36*2000</f>
        <v>2017282.4923384807</v>
      </c>
      <c r="G123" s="106">
        <f>G112*pricing!G36*2000</f>
        <v>3239839.081988025</v>
      </c>
      <c r="H123" s="106">
        <f>H112*pricing!H36*2000</f>
        <v>2909707.2382007767</v>
      </c>
      <c r="I123" s="106">
        <f>I112*pricing!I36*2000</f>
        <v>2036739.7725506683</v>
      </c>
      <c r="J123" s="106">
        <f>J112*pricing!J36*2000</f>
        <v>3306907.6428872254</v>
      </c>
      <c r="K123" s="106">
        <f>K112*pricing!K36*2000</f>
        <v>2075513.7715087635</v>
      </c>
      <c r="L123" s="106">
        <f>L112*pricing!L36*2000</f>
        <v>2101411.0279851248</v>
      </c>
      <c r="M123" s="106">
        <f>M112*pricing!M36*2000</f>
        <v>10929836.292087302</v>
      </c>
      <c r="N123" s="106">
        <f>N112*pricing!N36*2000</f>
        <v>5911315.0453311047</v>
      </c>
      <c r="O123" s="106">
        <f>O112*pricing!O36*2000</f>
        <v>1928264.8536720048</v>
      </c>
    </row>
    <row r="124" spans="2:15" x14ac:dyDescent="0.2">
      <c r="C124" s="105" t="s">
        <v>130</v>
      </c>
      <c r="D124" s="106">
        <f>D113*pricing!D37*2000</f>
        <v>3456706.6273736325</v>
      </c>
      <c r="E124" s="106">
        <f>E113*pricing!E37*2000</f>
        <v>3648963.8112655138</v>
      </c>
      <c r="F124" s="106">
        <f>F113*pricing!F37*2000</f>
        <v>1920063.6244421029</v>
      </c>
      <c r="G124" s="106">
        <f>G113*pricing!G37*2000</f>
        <v>2859476.4416339239</v>
      </c>
      <c r="H124" s="106">
        <f>H113*pricing!H37*2000</f>
        <v>1755511.4992176322</v>
      </c>
      <c r="I124" s="106">
        <f>I113*pricing!I37*2000</f>
        <v>5355621.8017070908</v>
      </c>
      <c r="J124" s="106">
        <f>J113*pricing!J37*2000</f>
        <v>7497542.5539756585</v>
      </c>
      <c r="K124" s="106">
        <f>K113*pricing!K37*2000</f>
        <v>1797392.7481596232</v>
      </c>
      <c r="L124" s="106">
        <f>L113*pricing!L37*2000</f>
        <v>1662628.2305781774</v>
      </c>
      <c r="M124" s="106">
        <f>M113*pricing!M37*2000</f>
        <v>1896873.8235230404</v>
      </c>
      <c r="N124" s="106">
        <f>N113*pricing!N37*2000</f>
        <v>4342775.2245859075</v>
      </c>
      <c r="O124" s="106">
        <f>O113*pricing!O37*2000</f>
        <v>1381409.1739786598</v>
      </c>
    </row>
    <row r="125" spans="2:15" x14ac:dyDescent="0.2">
      <c r="C125" s="105" t="s">
        <v>131</v>
      </c>
      <c r="D125" s="106">
        <f>D114*pricing!D38*2000</f>
        <v>849426.95798235468</v>
      </c>
      <c r="E125" s="106">
        <f>E114*pricing!E38*2000</f>
        <v>966555.53749975341</v>
      </c>
      <c r="F125" s="106">
        <f>F114*pricing!F38*2000</f>
        <v>1112048.6649963204</v>
      </c>
      <c r="G125" s="106">
        <f>G114*pricing!G38*2000</f>
        <v>1525854.3354653409</v>
      </c>
      <c r="H125" s="106">
        <f>H114*pricing!H38*2000</f>
        <v>623746.91510232631</v>
      </c>
      <c r="I125" s="106">
        <f>I114*pricing!I38*2000</f>
        <v>2182150.8990639518</v>
      </c>
      <c r="J125" s="106">
        <f>J114*pricing!J38*2000</f>
        <v>2134022.0230784565</v>
      </c>
      <c r="K125" s="106">
        <f>K114*pricing!K38*2000</f>
        <v>922867.48792300641</v>
      </c>
      <c r="L125" s="106">
        <f>L114*pricing!L38*2000</f>
        <v>1848753.1930173996</v>
      </c>
      <c r="M125" s="106">
        <f>M114*pricing!M38*2000</f>
        <v>1192957.2811195171</v>
      </c>
      <c r="N125" s="106">
        <f>N114*pricing!N38*2000</f>
        <v>1185402.4034986102</v>
      </c>
      <c r="O125" s="106">
        <f>O114*pricing!O38*2000</f>
        <v>2137733.0995694287</v>
      </c>
    </row>
    <row r="126" spans="2:15" x14ac:dyDescent="0.2">
      <c r="C126" s="105" t="s">
        <v>132</v>
      </c>
      <c r="D126" s="106">
        <f>D115*pricing!D39*2000</f>
        <v>1415893.9844532539</v>
      </c>
      <c r="E126" s="106">
        <f>E115*pricing!E39*2000</f>
        <v>1328689.2121062709</v>
      </c>
      <c r="F126" s="106">
        <f>F115*pricing!F39*2000</f>
        <v>2017179.3719106023</v>
      </c>
      <c r="G126" s="106">
        <f>G115*pricing!G39*2000</f>
        <v>1387896.8832662571</v>
      </c>
      <c r="H126" s="106">
        <f>H115*pricing!H39*2000</f>
        <v>3640933.7727570198</v>
      </c>
      <c r="I126" s="106">
        <f>I115*pricing!I39*2000</f>
        <v>971089.68017323036</v>
      </c>
      <c r="J126" s="106">
        <f>J115*pricing!J39*2000</f>
        <v>1656481.0702117383</v>
      </c>
      <c r="K126" s="106">
        <f>K115*pricing!K39*2000</f>
        <v>1966618.7969458851</v>
      </c>
      <c r="L126" s="106">
        <f>L115*pricing!L39*2000</f>
        <v>948342.10352769995</v>
      </c>
      <c r="M126" s="106">
        <f>M115*pricing!M39*2000</f>
        <v>2246759.543244577</v>
      </c>
      <c r="N126" s="106">
        <f>N115*pricing!N39*2000</f>
        <v>1006668.9106050335</v>
      </c>
      <c r="O126" s="106">
        <f>O115*pricing!O39*2000</f>
        <v>1106290.0161178939</v>
      </c>
    </row>
    <row r="127" spans="2:15" x14ac:dyDescent="0.2">
      <c r="C127" s="105" t="s">
        <v>277</v>
      </c>
      <c r="D127" s="106">
        <f>SUM(D$120:D$126)</f>
        <v>13603629.770682534</v>
      </c>
      <c r="E127" s="106">
        <f t="shared" ref="E127:O127" si="1">SUM(E$120:E$126)</f>
        <v>23616802.342550788</v>
      </c>
      <c r="F127" s="106">
        <f t="shared" si="1"/>
        <v>11305328.094127677</v>
      </c>
      <c r="G127" s="106">
        <f t="shared" si="1"/>
        <v>22178488.998705946</v>
      </c>
      <c r="H127" s="106">
        <f t="shared" si="1"/>
        <v>19680624.151852064</v>
      </c>
      <c r="I127" s="106">
        <f t="shared" si="1"/>
        <v>21240887.160312477</v>
      </c>
      <c r="J127" s="106">
        <f t="shared" si="1"/>
        <v>18893617.355985545</v>
      </c>
      <c r="K127" s="106">
        <f t="shared" si="1"/>
        <v>20182693.288241826</v>
      </c>
      <c r="L127" s="106">
        <f t="shared" si="1"/>
        <v>17344372.319462359</v>
      </c>
      <c r="M127" s="106">
        <f t="shared" si="1"/>
        <v>23600853.903187547</v>
      </c>
      <c r="N127" s="106">
        <f t="shared" si="1"/>
        <v>24966781.227276057</v>
      </c>
      <c r="O127" s="106">
        <f t="shared" si="1"/>
        <v>14355906.553929957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84852</v>
      </c>
      <c r="E131" s="112">
        <f>SUM(M$6:M$19)+SUM(O$6:O$19)+SUM(Q$6:Q$19)+SUM(S$6:S$19)</f>
        <v>90572.4</v>
      </c>
      <c r="F131" s="112">
        <f>SUM(U$6:U$19)+SUM(W$6:W$19)+SUM(Y$6:Y$19)+SUM(AA$6:AA$19)</f>
        <v>120268.79999999999</v>
      </c>
      <c r="G131" s="112">
        <f>SUM(AC$6:AC$19)+SUM(AE$6:AE$19)+SUM(AG$6:AG$19)+SUM(AI$6:AI$19)</f>
        <v>800655.59999999986</v>
      </c>
      <c r="H131" s="112">
        <f>SUM(AK$6:AK$19)+SUM(AM$6:AM$19)+SUM(AO$6:AO$19)+SUM(AQ$6:AQ$19)</f>
        <v>91791.6</v>
      </c>
      <c r="I131" s="112">
        <f>SUM(AS$6:AS$19)+SUM(AU$6:AU$19)+SUM(AW$6:AW$19)+SUM(AY$6:AY$19)</f>
        <v>281584.8</v>
      </c>
      <c r="J131" s="112">
        <f>SUM(BA$6:BA$19)+SUM(BC$6:BC$19)+SUM(BE$6:BE$19)+SUM(BG$6:BG$19)</f>
        <v>116293.2</v>
      </c>
      <c r="K131" s="112">
        <f>SUM(BI$6:BI$19)+SUM(BK$6:BK$19)+SUM(BM$6:BM$19)+SUM(BO$6:BO$19)</f>
        <v>209438.39999999997</v>
      </c>
      <c r="L131" s="112">
        <f>SUM(BQ$6:BQ$19)+SUM(BS$6:BS$19)+SUM(BU$6:BU$19)+SUM(BW$6:BW$19)</f>
        <v>1054852.7999999998</v>
      </c>
      <c r="M131" s="112">
        <f>SUM(BY$6:BY$19)+SUM(CA$6:CA$19)+SUM(CC$6:CC$19)+SUM(CE$6:CE$19)</f>
        <v>112414.8</v>
      </c>
      <c r="N131" s="112">
        <f>SUM(CG$6:CG$19)+SUM(CI$6:CI$19)+SUM(CK$6:CK$19)+SUM(CM$6:CM$19)</f>
        <v>1009474.8</v>
      </c>
      <c r="O131" s="112">
        <f>SUM(CO$6:CO$19)+SUM(CQ$6:CQ$19)+SUM(CS$6:CS$19)+SUM(CU$6:CU$19)</f>
        <v>210569.99999999997</v>
      </c>
    </row>
    <row r="132" spans="2:15" x14ac:dyDescent="0.2">
      <c r="C132" s="111" t="s">
        <v>127</v>
      </c>
      <c r="D132" s="112">
        <f>SUM(E$20:E$36)+SUM(G$20:G$36)+SUM(I$20:I$36)+SUM(K$20:K$36)</f>
        <v>99747.599999999991</v>
      </c>
      <c r="E132" s="112">
        <f>SUM(M$20:M$36)+SUM(O$20:O$36)+SUM(Q$20:Q$36)+SUM(S$20:S$36)</f>
        <v>470571.6</v>
      </c>
      <c r="F132" s="112">
        <f>SUM(U$20:U$36)+SUM(W$20:W$36)+SUM(Y$20:Y$36)+SUM(AA$20:AA$36)</f>
        <v>98541.6</v>
      </c>
      <c r="G132" s="112">
        <f>SUM(AC$20:AC$36)+SUM(AE$20:AE$36)+SUM(AG$20:AG$36)+SUM(AI$20:AI$36)</f>
        <v>89614.800000000017</v>
      </c>
      <c r="H132" s="112">
        <f>SUM(AK$20:AK$36)+SUM(AM$20:AM$36)+SUM(AO$20:AO$36)+SUM(AQ$20:AQ$36)</f>
        <v>329970</v>
      </c>
      <c r="I132" s="112">
        <f>SUM(AS$20:AS$36)+SUM(AU$20:AU$36)+SUM(AW$20:AW$36)+SUM(AY$20:AY$36)</f>
        <v>822799.2</v>
      </c>
      <c r="J132" s="112">
        <f>SUM(BA$20:BA$36)+SUM(BC$20:BC$36)+SUM(BE$20:BE$36)+SUM(BG$20:BG$36)</f>
        <v>85198.8</v>
      </c>
      <c r="K132" s="112">
        <f>SUM(BI$20:BI$36)+SUM(BK$20:BK$36)+SUM(BM$20:BM$36)+SUM(BO$20:BO$36)</f>
        <v>403748.39999999991</v>
      </c>
      <c r="L132" s="112">
        <f>SUM(BQ$20:BQ$36)+SUM(BS$20:BS$36)+SUM(BU$20:BU$36)+SUM(BW$20:BW$36)</f>
        <v>81481.200000000012</v>
      </c>
      <c r="M132" s="112">
        <f>SUM(BY$20:BY$36)+SUM(CA$20:CA$36)+SUM(CC$20:CC$36)+SUM(CE$20:CE$36)</f>
        <v>537424.80000000005</v>
      </c>
      <c r="N132" s="112">
        <f>SUM(CG$20:CG$36)+SUM(CI$20:CI$36)+SUM(CK$20:CK$36)+SUM(CM$20:CM$36)</f>
        <v>754865.99999999988</v>
      </c>
      <c r="O132" s="112">
        <f>SUM(CO$20:CO$36)+SUM(CQ$20:CQ$36)+SUM(CS$20:CS$36)+SUM(CU$20:CU$36)</f>
        <v>563236.80000000005</v>
      </c>
    </row>
    <row r="133" spans="2:15" x14ac:dyDescent="0.2">
      <c r="C133" s="111" t="s">
        <v>128</v>
      </c>
      <c r="D133" s="112">
        <f>SUM(E$37:E$48)+SUM(G$37:G$48)+SUM(I$37:I$48)+SUM(K$37:K$48)</f>
        <v>579680.4</v>
      </c>
      <c r="E133" s="112">
        <f>SUM(M$37:M$48)+SUM(O$37:O$48)+SUM(Q$37:Q$48)+SUM(S$37:S$48)</f>
        <v>3366719.9999999995</v>
      </c>
      <c r="F133" s="112">
        <f>SUM(U$37:U$48)+SUM(W$37:W$48)+SUM(Y$37:Y$48)+SUM(AA$37:AA$48)</f>
        <v>256165.2</v>
      </c>
      <c r="G133" s="112">
        <f>SUM(AC$37:AC$48)+SUM(AE$37:AE$48)+SUM(AG$37:AG$48)+SUM(AI$37:AI$48)</f>
        <v>3397377.5999999996</v>
      </c>
      <c r="H133" s="112">
        <f>SUM(AK$37:AK$48)+SUM(AM$37:AM$48)+SUM(AO$37:AO$48)+SUM(AQ$37:AQ$48)</f>
        <v>2855040</v>
      </c>
      <c r="I133" s="112">
        <f>SUM(AS$37:AS$48)+SUM(AU$37:AU$48)+SUM(AW$37:AW$48)+SUM(AY$37:AY$48)</f>
        <v>958762.79999999993</v>
      </c>
      <c r="J133" s="112">
        <f>SUM(BA$37:BA$48)+SUM(BC$37:BC$48)+SUM(BE$37:BE$48)+SUM(BG$37:BG$48)</f>
        <v>280376.40000000002</v>
      </c>
      <c r="K133" s="112">
        <f>SUM(BI$37:BI$48)+SUM(BK$37:BK$48)+SUM(BM$37:BM$48)+SUM(BO$37:BO$48)</f>
        <v>3252176.4</v>
      </c>
      <c r="L133" s="112">
        <f>SUM(BQ$37:BQ$48)+SUM(BS$37:BS$48)+SUM(BU$37:BU$48)+SUM(BW$37:BW$48)</f>
        <v>1243346.3999999999</v>
      </c>
      <c r="M133" s="112">
        <f>SUM(BY$37:BY$48)+SUM(CA$37:CA$48)+SUM(CC$37:CC$48)+SUM(CE$37:CE$48)</f>
        <v>395248.8</v>
      </c>
      <c r="N133" s="112">
        <f>SUM(CG$37:CG$48)+SUM(CI$37:CI$48)+SUM(CK$37:CK$48)+SUM(CM$37:CM$48)</f>
        <v>253132.80000000002</v>
      </c>
      <c r="O133" s="112">
        <f>SUM(CO$37:CO$48)+SUM(CQ$37:CQ$48)+SUM(CS$37:CS$48)+SUM(CU$37:CU$48)</f>
        <v>307918.8</v>
      </c>
    </row>
    <row r="134" spans="2:15" x14ac:dyDescent="0.2">
      <c r="C134" s="111" t="s">
        <v>129</v>
      </c>
      <c r="D134" s="112">
        <f>SUM(E$49:E$70)+SUM(G$49:G$70)+SUM(I$49:I$70)+SUM(K$49:K$70)</f>
        <v>442601.99999999994</v>
      </c>
      <c r="E134" s="112">
        <f>SUM(M$49:M$70)+SUM(O$49:O$70)+SUM(Q$49:Q$70)+SUM(S$49:S$70)</f>
        <v>1856261.5899401465</v>
      </c>
      <c r="F134" s="112">
        <f>SUM(U$49:U$70)+SUM(W$49:W$70)+SUM(Y$49:Y$70)+SUM(AA$49:AA$70)</f>
        <v>273958.49437455949</v>
      </c>
      <c r="G134" s="112">
        <f>SUM(AC$49:AC$70)+SUM(AE$49:AE$70)+SUM(AG$49:AG$70)+SUM(AI$49:AI$70)</f>
        <v>585139.59806526895</v>
      </c>
      <c r="H134" s="112">
        <f>SUM(AK$49:AK$70)+SUM(AM$49:AM$70)+SUM(AO$49:AO$70)+SUM(AQ$49:AQ$70)</f>
        <v>502107.04263386299</v>
      </c>
      <c r="I134" s="112">
        <f>SUM(AS$49:AS$70)+SUM(AU$49:AU$70)+SUM(AW$49:AW$70)+SUM(AY$49:AY$70)</f>
        <v>283796.10810331383</v>
      </c>
      <c r="J134" s="112">
        <f>SUM(BA$49:BA$70)+SUM(BC$49:BC$70)+SUM(BE$49:BE$70)+SUM(BG$49:BG$70)</f>
        <v>571126.79999999993</v>
      </c>
      <c r="K134" s="112">
        <f>SUM(BI$49:BI$70)+SUM(BK$49:BK$70)+SUM(BM$49:BM$70)+SUM(BO$49:BO$70)</f>
        <v>300930.43110424641</v>
      </c>
      <c r="L134" s="112">
        <f>SUM(BQ$49:BQ$70)+SUM(BS$49:BS$70)+SUM(BU$49:BU$70)+SUM(BW$49:BW$70)</f>
        <v>267418.00287105434</v>
      </c>
      <c r="M134" s="112">
        <f>SUM(BY$49:BY$70)+SUM(CA$49:CA$70)+SUM(CC$49:CC$70)+SUM(CE$49:CE$70)</f>
        <v>4476954</v>
      </c>
      <c r="N134" s="112">
        <f>SUM(CG$49:CG$70)+SUM(CI$49:CI$70)+SUM(CK$49:CK$70)+SUM(CM$49:CM$70)</f>
        <v>1630457.0570839841</v>
      </c>
      <c r="O134" s="112">
        <f>SUM(CO$49:CO$70)+SUM(CQ$49:CQ$70)+SUM(CS$49:CS$70)+SUM(CU$49:CU$70)</f>
        <v>247969.71805921168</v>
      </c>
    </row>
    <row r="135" spans="2:15" x14ac:dyDescent="0.2">
      <c r="C135" s="111" t="s">
        <v>130</v>
      </c>
      <c r="D135" s="112">
        <f>SUM(E$71:E$86)+SUM(G$71:G$86)+SUM(I$71:I$86)+SUM(K$71:K$86)</f>
        <v>581856.54866895871</v>
      </c>
      <c r="E135" s="112">
        <f>SUM(M$71:M$86)+SUM(O$71:O$86)+SUM(Q$71:Q$86)+SUM(S$71:S$86)</f>
        <v>628287.36470023636</v>
      </c>
      <c r="F135" s="112">
        <f>SUM(U$71:U$86)+SUM(W$71:W$86)+SUM(Y$71:Y$86)+SUM(AA$71:AA$86)</f>
        <v>217023.01774940488</v>
      </c>
      <c r="G135" s="112">
        <f>SUM(AC$71:AC$86)+SUM(AE$71:AE$86)+SUM(AG$71:AG$86)+SUM(AI$71:AI$86)</f>
        <v>374523.40625974501</v>
      </c>
      <c r="H135" s="112">
        <f>SUM(AK$71:AK$86)+SUM(AM$71:AM$86)+SUM(AO$71:AO$86)+SUM(AQ$71:AQ$86)</f>
        <v>177158.24766394295</v>
      </c>
      <c r="I135" s="112">
        <f>SUM(AS$71:AS$86)+SUM(AU$71:AU$86)+SUM(AW$71:AW$86)+SUM(AY$71:AY$86)</f>
        <v>1207700.2061450272</v>
      </c>
      <c r="J135" s="112">
        <f>SUM(BA$71:BA$86)+SUM(BC$71:BC$86)+SUM(BE$71:BE$86)+SUM(BG$71:BG$86)</f>
        <v>2011694.4</v>
      </c>
      <c r="K135" s="112">
        <f>SUM(BI$71:BI$86)+SUM(BK$71:BK$86)+SUM(BM$71:BM$86)+SUM(BO$71:BO$86)</f>
        <v>187780.8</v>
      </c>
      <c r="L135" s="112">
        <f>SUM(BQ$71:BQ$86)+SUM(BS$71:BS$86)+SUM(BU$71:BU$86)+SUM(BW$71:BW$86)</f>
        <v>161937.00012601935</v>
      </c>
      <c r="M135" s="112">
        <f>SUM(BY$71:BY$86)+SUM(CA$71:CA$86)+SUM(CC$71:CC$86)+SUM(CE$71:CE$86)</f>
        <v>192839.13720587001</v>
      </c>
      <c r="N135" s="112">
        <f>SUM(CG$71:CG$86)+SUM(CI$71:CI$86)+SUM(CK$71:CK$86)+SUM(CM$71:CM$86)</f>
        <v>843178.8</v>
      </c>
      <c r="O135" s="112">
        <f>SUM(CO$71:CO$86)+SUM(CQ$71:CQ$86)+SUM(CS$71:CS$86)+SUM(CU$71:CU$86)</f>
        <v>125612.7430725473</v>
      </c>
    </row>
    <row r="136" spans="2:15" x14ac:dyDescent="0.2">
      <c r="C136" s="111" t="s">
        <v>131</v>
      </c>
      <c r="D136" s="112">
        <f>SUM(E$87:E$94)+SUM(G$87:G$94)+SUM(I$87:I$94)+SUM(K$87:K$94)</f>
        <v>335823.82972716755</v>
      </c>
      <c r="E136" s="112">
        <f>SUM(M$87:M$94)+SUM(O$87:O$94)+SUM(Q$87:Q$94)+SUM(S$87:S$94)</f>
        <v>442942.8</v>
      </c>
      <c r="F136" s="112">
        <f>SUM(U$87:U$94)+SUM(W$87:W$94)+SUM(Y$87:Y$94)+SUM(AA$87:AA$94)</f>
        <v>502408.79999999993</v>
      </c>
      <c r="G136" s="112">
        <f>SUM(AC$87:AC$94)+SUM(AE$87:AE$94)+SUM(AG$87:AG$94)+SUM(AI$87:AI$94)</f>
        <v>987329.24075160571</v>
      </c>
      <c r="H136" s="112">
        <f>SUM(AK$87:AK$94)+SUM(AM$87:AM$94)+SUM(AO$87:AO$94)+SUM(AQ$87:AQ$94)</f>
        <v>188094.5242737442</v>
      </c>
      <c r="I136" s="112">
        <f>SUM(AS$87:AS$94)+SUM(AU$87:AU$94)+SUM(AW$87:AW$94)+SUM(AY$87:AY$94)</f>
        <v>1847504.0499568707</v>
      </c>
      <c r="J136" s="112">
        <f>SUM(BA$87:BA$94)+SUM(BC$87:BC$94)+SUM(BE$87:BE$94)+SUM(BG$87:BG$94)</f>
        <v>1739863.2</v>
      </c>
      <c r="K136" s="112">
        <f>SUM(BI$87:BI$94)+SUM(BK$87:BK$94)+SUM(BM$87:BM$94)+SUM(BO$87:BO$94)</f>
        <v>315571.63921735273</v>
      </c>
      <c r="L136" s="112">
        <f>SUM(BQ$87:BQ$94)+SUM(BS$87:BS$94)+SUM(BU$87:BU$94)+SUM(BW$87:BW$94)</f>
        <v>1072481.1415184191</v>
      </c>
      <c r="M136" s="112">
        <f>SUM(BY$87:BY$94)+SUM(CA$87:CA$94)+SUM(CC$87:CC$94)+SUM(CE$87:CE$94)</f>
        <v>534990.2858615272</v>
      </c>
      <c r="N136" s="112">
        <f>SUM(CG$87:CG$94)+SUM(CI$87:CI$94)+SUM(CK$87:CK$94)+SUM(CM$87:CM$94)</f>
        <v>548574</v>
      </c>
      <c r="O136" s="112">
        <f>SUM(CO$87:CO$94)+SUM(CQ$87:CQ$94)+SUM(CS$87:CS$94)+SUM(CU$87:CU$94)</f>
        <v>1497423.9946908588</v>
      </c>
    </row>
    <row r="137" spans="2:15" x14ac:dyDescent="0.2">
      <c r="C137" s="111" t="s">
        <v>132</v>
      </c>
      <c r="D137" s="112">
        <f>SUM(E$95:E$105)+SUM(G$95:G$105)+SUM(I$95:I$105)+SUM(K$95:K$105)</f>
        <v>467627.55842368695</v>
      </c>
      <c r="E137" s="112">
        <f>SUM(M$95:M$105)+SUM(O$95:O$105)+SUM(Q$95:Q$105)+SUM(S$95:S$105)</f>
        <v>362085.69761492615</v>
      </c>
      <c r="F137" s="112">
        <f>SUM(U$95:U$105)+SUM(W$95:W$105)+SUM(Y$95:Y$105)+SUM(AA$95:AA$105)</f>
        <v>848741.80358809198</v>
      </c>
      <c r="G137" s="112">
        <f>SUM(AC$95:AC$105)+SUM(AE$95:AE$105)+SUM(AG$95:AG$105)+SUM(AI$95:AI$105)</f>
        <v>487636.02225863922</v>
      </c>
      <c r="H137" s="112">
        <f>SUM(AK$95:AK$105)+SUM(AM$95:AM$105)+SUM(AO$95:AO$105)+SUM(AQ$95:AQ$105)</f>
        <v>2620941.7036677497</v>
      </c>
      <c r="I137" s="112">
        <f>SUM(AS$95:AS$105)+SUM(AU$95:AU$105)+SUM(AW$95:AW$105)+SUM(AY$95:AY$105)</f>
        <v>263305.62926645641</v>
      </c>
      <c r="J137" s="112">
        <f>SUM(BA$95:BA$105)+SUM(BC$95:BC$105)+SUM(BE$95:BE$105)+SUM(BG$95:BG$105)</f>
        <v>668468.39315972594</v>
      </c>
      <c r="K137" s="112">
        <f>SUM(BI$95:BI$105)+SUM(BK$95:BK$105)+SUM(BM$95:BM$105)+SUM(BO$95:BO$105)</f>
        <v>864290.74378096312</v>
      </c>
      <c r="L137" s="112">
        <f>SUM(BQ$95:BQ$105)+SUM(BS$95:BS$105)+SUM(BU$95:BU$105)+SUM(BW$95:BW$105)</f>
        <v>298377.59999999998</v>
      </c>
      <c r="M137" s="112">
        <f>SUM(BY$95:BY$105)+SUM(CA$95:CA$105)+SUM(CC$95:CC$105)+SUM(CE$95:CE$105)</f>
        <v>1043739.5999999999</v>
      </c>
      <c r="N137" s="112">
        <f>SUM(CG$95:CG$105)+SUM(CI$95:CI$105)+SUM(CK$95:CK$105)+SUM(CM$95:CM$105)</f>
        <v>272855.34584270715</v>
      </c>
      <c r="O137" s="112">
        <f>SUM(CO$95:CO$105)+SUM(CQ$95:CQ$105)+SUM(CS$95:CS$105)+SUM(CU$95:CU$105)</f>
        <v>316639.19999999995</v>
      </c>
    </row>
    <row r="138" spans="2:15" x14ac:dyDescent="0.2">
      <c r="C138" s="111" t="s">
        <v>277</v>
      </c>
      <c r="D138" s="106">
        <f t="shared" ref="D138:O138" si="2">SUM(D$131:D$137)</f>
        <v>2592189.9368198132</v>
      </c>
      <c r="E138" s="106">
        <f t="shared" si="2"/>
        <v>7217441.4522553077</v>
      </c>
      <c r="F138" s="106">
        <f t="shared" si="2"/>
        <v>2317107.715712056</v>
      </c>
      <c r="G138" s="106">
        <f t="shared" si="2"/>
        <v>6722276.2673352594</v>
      </c>
      <c r="H138" s="106">
        <f t="shared" si="2"/>
        <v>6765103.1182393003</v>
      </c>
      <c r="I138" s="106">
        <f t="shared" si="2"/>
        <v>5665452.7934716688</v>
      </c>
      <c r="J138" s="106">
        <f t="shared" si="2"/>
        <v>5473021.1931597255</v>
      </c>
      <c r="K138" s="106">
        <f t="shared" si="2"/>
        <v>5533936.8141025621</v>
      </c>
      <c r="L138" s="106">
        <f t="shared" si="2"/>
        <v>4179894.144515492</v>
      </c>
      <c r="M138" s="106">
        <f t="shared" si="2"/>
        <v>7293611.4230673974</v>
      </c>
      <c r="N138" s="106">
        <f t="shared" si="2"/>
        <v>5312538.8029266912</v>
      </c>
      <c r="O138" s="106">
        <f t="shared" si="2"/>
        <v>3269371.2558226176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166</v>
      </c>
      <c r="B1" s="105" t="s">
        <v>167</v>
      </c>
      <c r="C1" s="105" t="s">
        <v>168</v>
      </c>
      <c r="D1" s="105" t="s">
        <v>169</v>
      </c>
      <c r="E1" s="105" t="s">
        <v>170</v>
      </c>
    </row>
    <row r="2" spans="1:5" x14ac:dyDescent="0.2">
      <c r="A2" s="105" t="s">
        <v>126</v>
      </c>
      <c r="B2" s="105" t="s">
        <v>171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172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173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174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175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176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177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178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179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180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181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182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183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184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185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186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187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188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189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190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191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192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193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194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195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196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197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198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199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200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201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202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203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204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205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206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207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208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209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210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211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212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213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214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215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216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217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218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219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220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221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222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223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224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225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226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227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228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229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230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231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232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233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234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235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236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237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238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239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240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241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242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243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244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245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246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247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248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249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250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251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252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253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254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255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256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257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258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259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260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261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262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263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264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265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266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267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268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269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270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2016-10-10T14:49:03Z</dcterms:modified>
</cp:coreProperties>
</file>