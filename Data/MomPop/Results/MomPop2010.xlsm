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T19" i="20" s="1"/>
  <c r="S15" i="20"/>
  <c r="S14" i="20"/>
  <c r="H40" i="20"/>
  <c r="H39" i="20"/>
  <c r="S39" i="20" s="1"/>
  <c r="H38" i="20"/>
  <c r="H35" i="20"/>
  <c r="S42" i="20" s="1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X260" i="14"/>
  <c r="AY14" i="14"/>
  <c r="AX259" i="14" s="1"/>
  <c r="AX181" i="14"/>
  <c r="AX179" i="14"/>
  <c r="AX177" i="14"/>
  <c r="AX175" i="14"/>
  <c r="AW259" i="14"/>
  <c r="AX14" i="14"/>
  <c r="AW181" i="14"/>
  <c r="AW179" i="14"/>
  <c r="AW177" i="14"/>
  <c r="AW260" i="14" s="1"/>
  <c r="AW175" i="14"/>
  <c r="AW14" i="14"/>
  <c r="AV259" i="14" s="1"/>
  <c r="AV181" i="14"/>
  <c r="AV179" i="14"/>
  <c r="AV177" i="14"/>
  <c r="AV175" i="14"/>
  <c r="AV260" i="14" s="1"/>
  <c r="AV14" i="14"/>
  <c r="AU259" i="14" s="1"/>
  <c r="AU181" i="14"/>
  <c r="AU179" i="14"/>
  <c r="AU177" i="14"/>
  <c r="AU175" i="14"/>
  <c r="AT260" i="14"/>
  <c r="AU14" i="14"/>
  <c r="AT259" i="14" s="1"/>
  <c r="AT181" i="14"/>
  <c r="AT179" i="14"/>
  <c r="AT177" i="14"/>
  <c r="AT175" i="14"/>
  <c r="AS259" i="14"/>
  <c r="AT14" i="14"/>
  <c r="AS181" i="14"/>
  <c r="AS179" i="14"/>
  <c r="AS177" i="14"/>
  <c r="AS260" i="14" s="1"/>
  <c r="AS175" i="14"/>
  <c r="AS14" i="14"/>
  <c r="AR259" i="14" s="1"/>
  <c r="AR181" i="14"/>
  <c r="AR179" i="14"/>
  <c r="AR177" i="14"/>
  <c r="AR175" i="14"/>
  <c r="AR260" i="14" s="1"/>
  <c r="AR14" i="14"/>
  <c r="AQ259" i="14" s="1"/>
  <c r="AQ181" i="14"/>
  <c r="AQ179" i="14"/>
  <c r="AQ177" i="14"/>
  <c r="AQ175" i="14"/>
  <c r="AP260" i="14"/>
  <c r="AQ14" i="14"/>
  <c r="AP259" i="14" s="1"/>
  <c r="AP181" i="14"/>
  <c r="AP179" i="14"/>
  <c r="AP177" i="14"/>
  <c r="AP175" i="14"/>
  <c r="AO259" i="14"/>
  <c r="AP14" i="14"/>
  <c r="AO181" i="14"/>
  <c r="AO179" i="14"/>
  <c r="AO177" i="14"/>
  <c r="AO260" i="14" s="1"/>
  <c r="AO175" i="14"/>
  <c r="AO14" i="14"/>
  <c r="AN259" i="14" s="1"/>
  <c r="AN181" i="14"/>
  <c r="AN179" i="14"/>
  <c r="AN177" i="14"/>
  <c r="AN175" i="14"/>
  <c r="AN260" i="14" s="1"/>
  <c r="AN14" i="14"/>
  <c r="AM259" i="14" s="1"/>
  <c r="AM181" i="14"/>
  <c r="AM179" i="14"/>
  <c r="AM177" i="14"/>
  <c r="AM175" i="14"/>
  <c r="AL260" i="14"/>
  <c r="AM14" i="14"/>
  <c r="AL259" i="14" s="1"/>
  <c r="AL181" i="14"/>
  <c r="AL179" i="14"/>
  <c r="AL177" i="14"/>
  <c r="AL175" i="14"/>
  <c r="AK259" i="14"/>
  <c r="AL14" i="14"/>
  <c r="AK181" i="14"/>
  <c r="AK179" i="14"/>
  <c r="AK177" i="14"/>
  <c r="AK260" i="14" s="1"/>
  <c r="AK175" i="14"/>
  <c r="AK14" i="14"/>
  <c r="AJ259" i="14" s="1"/>
  <c r="AJ181" i="14"/>
  <c r="AJ179" i="14"/>
  <c r="AJ177" i="14"/>
  <c r="AJ175" i="14"/>
  <c r="AJ260" i="14" s="1"/>
  <c r="AJ14" i="14"/>
  <c r="AI259" i="14" s="1"/>
  <c r="AI181" i="14"/>
  <c r="AI179" i="14"/>
  <c r="AI177" i="14"/>
  <c r="AI175" i="14"/>
  <c r="AH260" i="14"/>
  <c r="AI14" i="14"/>
  <c r="AH259" i="14" s="1"/>
  <c r="AH181" i="14"/>
  <c r="AH179" i="14"/>
  <c r="AH177" i="14"/>
  <c r="AH175" i="14"/>
  <c r="AG259" i="14"/>
  <c r="AH14" i="14"/>
  <c r="AG181" i="14"/>
  <c r="AG179" i="14"/>
  <c r="AG177" i="14"/>
  <c r="AG260" i="14" s="1"/>
  <c r="AG175" i="14"/>
  <c r="AG14" i="14"/>
  <c r="AF259" i="14" s="1"/>
  <c r="AF181" i="14"/>
  <c r="AF179" i="14"/>
  <c r="AF177" i="14"/>
  <c r="AF175" i="14"/>
  <c r="AF260" i="14" s="1"/>
  <c r="AF14" i="14"/>
  <c r="AE259" i="14" s="1"/>
  <c r="AE181" i="14"/>
  <c r="AE179" i="14"/>
  <c r="AE177" i="14"/>
  <c r="AE175" i="14"/>
  <c r="AD260" i="14"/>
  <c r="AE14" i="14"/>
  <c r="AD259" i="14" s="1"/>
  <c r="AD181" i="14"/>
  <c r="AD179" i="14"/>
  <c r="AD177" i="14"/>
  <c r="AD175" i="14"/>
  <c r="AC259" i="14"/>
  <c r="AD14" i="14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B260" i="14" s="1"/>
  <c r="AB14" i="14"/>
  <c r="AA259" i="14" s="1"/>
  <c r="AA181" i="14"/>
  <c r="AA179" i="14"/>
  <c r="AA177" i="14"/>
  <c r="AA175" i="14"/>
  <c r="Z260" i="14"/>
  <c r="AA14" i="14"/>
  <c r="Z259" i="14" s="1"/>
  <c r="Z181" i="14"/>
  <c r="Z179" i="14"/>
  <c r="Z177" i="14"/>
  <c r="Z175" i="14"/>
  <c r="Y259" i="14"/>
  <c r="Z14" i="14"/>
  <c r="Y181" i="14"/>
  <c r="Y179" i="14"/>
  <c r="Y177" i="14"/>
  <c r="Y175" i="14"/>
  <c r="Y14" i="14"/>
  <c r="X259" i="14" s="1"/>
  <c r="X181" i="14"/>
  <c r="X179" i="14"/>
  <c r="X177" i="14"/>
  <c r="X175" i="14"/>
  <c r="X260" i="14" s="1"/>
  <c r="X14" i="14"/>
  <c r="W259" i="14" s="1"/>
  <c r="W181" i="14"/>
  <c r="W179" i="14"/>
  <c r="W177" i="14"/>
  <c r="W175" i="14"/>
  <c r="V260" i="14"/>
  <c r="W14" i="14"/>
  <c r="V259" i="14" s="1"/>
  <c r="V181" i="14"/>
  <c r="V179" i="14"/>
  <c r="V177" i="14"/>
  <c r="V175" i="14"/>
  <c r="U259" i="14"/>
  <c r="V14" i="14"/>
  <c r="U181" i="14"/>
  <c r="U179" i="14"/>
  <c r="U177" i="14"/>
  <c r="U175" i="14"/>
  <c r="U260" i="14" s="1"/>
  <c r="U14" i="14"/>
  <c r="T259" i="14" s="1"/>
  <c r="T181" i="14"/>
  <c r="T179" i="14"/>
  <c r="T177" i="14"/>
  <c r="T175" i="14"/>
  <c r="T260" i="14" s="1"/>
  <c r="T14" i="14"/>
  <c r="S259" i="14" s="1"/>
  <c r="S181" i="14"/>
  <c r="S179" i="14"/>
  <c r="S177" i="14"/>
  <c r="S175" i="14"/>
  <c r="R260" i="14"/>
  <c r="S14" i="14"/>
  <c r="R259" i="14" s="1"/>
  <c r="R181" i="14"/>
  <c r="R179" i="14"/>
  <c r="R177" i="14"/>
  <c r="R175" i="14"/>
  <c r="Q259" i="14"/>
  <c r="R14" i="14"/>
  <c r="Q181" i="14"/>
  <c r="Q179" i="14"/>
  <c r="Q177" i="14"/>
  <c r="Q175" i="14"/>
  <c r="Q14" i="14"/>
  <c r="P259" i="14" s="1"/>
  <c r="P181" i="14"/>
  <c r="P179" i="14"/>
  <c r="P177" i="14"/>
  <c r="P175" i="14"/>
  <c r="P260" i="14" s="1"/>
  <c r="P14" i="14"/>
  <c r="O259" i="14" s="1"/>
  <c r="O181" i="14"/>
  <c r="O179" i="14"/>
  <c r="O177" i="14"/>
  <c r="O175" i="14"/>
  <c r="N260" i="14"/>
  <c r="O14" i="14"/>
  <c r="N259" i="14" s="1"/>
  <c r="N181" i="14"/>
  <c r="N179" i="14"/>
  <c r="N177" i="14"/>
  <c r="N175" i="14"/>
  <c r="M259" i="14"/>
  <c r="N14" i="14"/>
  <c r="M181" i="14"/>
  <c r="M179" i="14"/>
  <c r="M177" i="14"/>
  <c r="M175" i="14"/>
  <c r="M260" i="14" s="1"/>
  <c r="M14" i="14"/>
  <c r="L259" i="14" s="1"/>
  <c r="L181" i="14"/>
  <c r="L179" i="14"/>
  <c r="L177" i="14"/>
  <c r="L175" i="14"/>
  <c r="L260" i="14" s="1"/>
  <c r="L14" i="14"/>
  <c r="K259" i="14" s="1"/>
  <c r="K181" i="14"/>
  <c r="K179" i="14"/>
  <c r="K177" i="14"/>
  <c r="K175" i="14"/>
  <c r="J260" i="14"/>
  <c r="K14" i="14"/>
  <c r="J259" i="14" s="1"/>
  <c r="J181" i="14"/>
  <c r="J179" i="14"/>
  <c r="J177" i="14"/>
  <c r="J175" i="14"/>
  <c r="I259" i="14"/>
  <c r="J14" i="14"/>
  <c r="I181" i="14"/>
  <c r="I179" i="14"/>
  <c r="I177" i="14"/>
  <c r="I175" i="14"/>
  <c r="I14" i="14"/>
  <c r="H259" i="14" s="1"/>
  <c r="H181" i="14"/>
  <c r="H179" i="14"/>
  <c r="H177" i="14"/>
  <c r="H175" i="14"/>
  <c r="H260" i="14" s="1"/>
  <c r="H14" i="14"/>
  <c r="G259" i="14" s="1"/>
  <c r="G181" i="14"/>
  <c r="G179" i="14"/>
  <c r="G177" i="14"/>
  <c r="G175" i="14"/>
  <c r="F260" i="14"/>
  <c r="G14" i="14"/>
  <c r="F259" i="14" s="1"/>
  <c r="F181" i="14"/>
  <c r="F179" i="14"/>
  <c r="F177" i="14"/>
  <c r="F175" i="14"/>
  <c r="E259" i="14"/>
  <c r="F14" i="14"/>
  <c r="E181" i="14"/>
  <c r="E179" i="14"/>
  <c r="E177" i="14"/>
  <c r="E175" i="14"/>
  <c r="E260" i="14" s="1"/>
  <c r="E14" i="14"/>
  <c r="D181" i="14"/>
  <c r="D179" i="14"/>
  <c r="D177" i="14"/>
  <c r="D175" i="14"/>
  <c r="D260" i="14" s="1"/>
  <c r="AZ14" i="15"/>
  <c r="AY259" i="15" s="1"/>
  <c r="AY181" i="15"/>
  <c r="AY179" i="15"/>
  <c r="AY177" i="15"/>
  <c r="AY175" i="15"/>
  <c r="AX260" i="15"/>
  <c r="AY14" i="15"/>
  <c r="AX259" i="15" s="1"/>
  <c r="AX181" i="15"/>
  <c r="AX179" i="15"/>
  <c r="AX177" i="15"/>
  <c r="AX175" i="15"/>
  <c r="AW259" i="15"/>
  <c r="AX14" i="15"/>
  <c r="AW181" i="15"/>
  <c r="AW179" i="15"/>
  <c r="AW177" i="15"/>
  <c r="AW260" i="15" s="1"/>
  <c r="AW175" i="15"/>
  <c r="AW14" i="15"/>
  <c r="AV259" i="15" s="1"/>
  <c r="AV181" i="15"/>
  <c r="AV179" i="15"/>
  <c r="AV177" i="15"/>
  <c r="AV175" i="15"/>
  <c r="AV260" i="15" s="1"/>
  <c r="AV14" i="15"/>
  <c r="AU259" i="15" s="1"/>
  <c r="AU181" i="15"/>
  <c r="AU179" i="15"/>
  <c r="AU177" i="15"/>
  <c r="AU175" i="15"/>
  <c r="AT260" i="15"/>
  <c r="AU14" i="15"/>
  <c r="AT259" i="15" s="1"/>
  <c r="AT181" i="15"/>
  <c r="AT179" i="15"/>
  <c r="AT177" i="15"/>
  <c r="AT175" i="15"/>
  <c r="AS259" i="15"/>
  <c r="AT14" i="15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260" i="15" s="1"/>
  <c r="AR14" i="15"/>
  <c r="AQ259" i="15" s="1"/>
  <c r="AQ181" i="15"/>
  <c r="AQ179" i="15"/>
  <c r="AQ177" i="15"/>
  <c r="AQ175" i="15"/>
  <c r="AP260" i="15"/>
  <c r="AQ14" i="15"/>
  <c r="AP259" i="15" s="1"/>
  <c r="AP181" i="15"/>
  <c r="AP179" i="15"/>
  <c r="AP177" i="15"/>
  <c r="AP175" i="15"/>
  <c r="AO259" i="15"/>
  <c r="AP14" i="15"/>
  <c r="AO181" i="15"/>
  <c r="AO179" i="15"/>
  <c r="AO177" i="15"/>
  <c r="AO175" i="15"/>
  <c r="AO14" i="15"/>
  <c r="AN259" i="15" s="1"/>
  <c r="AN181" i="15"/>
  <c r="AN179" i="15"/>
  <c r="AN177" i="15"/>
  <c r="AN175" i="15"/>
  <c r="AN260" i="15" s="1"/>
  <c r="AN14" i="15"/>
  <c r="AM259" i="15" s="1"/>
  <c r="AM181" i="15"/>
  <c r="AM179" i="15"/>
  <c r="AM177" i="15"/>
  <c r="AM175" i="15"/>
  <c r="AL259" i="15"/>
  <c r="AM14" i="15"/>
  <c r="AL181" i="15"/>
  <c r="AL179" i="15"/>
  <c r="AL260" i="15" s="1"/>
  <c r="AL177" i="15"/>
  <c r="AL175" i="15"/>
  <c r="AK259" i="15"/>
  <c r="AL14" i="15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J260" i="15" s="1"/>
  <c r="AJ14" i="15"/>
  <c r="AI259" i="15" s="1"/>
  <c r="AI181" i="15"/>
  <c r="AI179" i="15"/>
  <c r="AI177" i="15"/>
  <c r="AI175" i="15"/>
  <c r="AH259" i="15"/>
  <c r="AI14" i="15"/>
  <c r="AH181" i="15"/>
  <c r="AH179" i="15"/>
  <c r="AH260" i="15" s="1"/>
  <c r="AH177" i="15"/>
  <c r="AH175" i="15"/>
  <c r="AG259" i="15"/>
  <c r="AH14" i="15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F260" i="15" s="1"/>
  <c r="AF14" i="15"/>
  <c r="AE259" i="15" s="1"/>
  <c r="AE181" i="15"/>
  <c r="AE179" i="15"/>
  <c r="AE177" i="15"/>
  <c r="AE175" i="15"/>
  <c r="AD259" i="15"/>
  <c r="AE14" i="15"/>
  <c r="AD181" i="15"/>
  <c r="AD179" i="15"/>
  <c r="AD260" i="15" s="1"/>
  <c r="AD177" i="15"/>
  <c r="AD175" i="15"/>
  <c r="AC259" i="15"/>
  <c r="AD14" i="15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B14" i="15"/>
  <c r="AA259" i="15" s="1"/>
  <c r="AA181" i="15"/>
  <c r="AA179" i="15"/>
  <c r="AA177" i="15"/>
  <c r="AA175" i="15"/>
  <c r="AA260" i="15" s="1"/>
  <c r="AA14" i="15"/>
  <c r="Z259" i="15" s="1"/>
  <c r="Z181" i="15"/>
  <c r="Z179" i="15"/>
  <c r="Z260" i="15" s="1"/>
  <c r="Z177" i="15"/>
  <c r="Z175" i="15"/>
  <c r="Y259" i="15"/>
  <c r="Z14" i="15"/>
  <c r="Y181" i="15"/>
  <c r="Y179" i="15"/>
  <c r="Y177" i="15"/>
  <c r="Y175" i="15"/>
  <c r="Y14" i="15"/>
  <c r="X259" i="15" s="1"/>
  <c r="X181" i="15"/>
  <c r="X179" i="15"/>
  <c r="X177" i="15"/>
  <c r="X175" i="15"/>
  <c r="X260" i="15" s="1"/>
  <c r="X14" i="15"/>
  <c r="W259" i="15" s="1"/>
  <c r="W181" i="15"/>
  <c r="W179" i="15"/>
  <c r="W177" i="15"/>
  <c r="W175" i="15"/>
  <c r="V259" i="15"/>
  <c r="W14" i="15"/>
  <c r="V181" i="15"/>
  <c r="V179" i="15"/>
  <c r="V260" i="15" s="1"/>
  <c r="V177" i="15"/>
  <c r="V175" i="15"/>
  <c r="U259" i="15"/>
  <c r="V14" i="15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177" i="15"/>
  <c r="S175" i="15"/>
  <c r="R260" i="15"/>
  <c r="S14" i="15"/>
  <c r="R259" i="15" s="1"/>
  <c r="R181" i="15"/>
  <c r="R179" i="15"/>
  <c r="R177" i="15"/>
  <c r="R175" i="15"/>
  <c r="Q259" i="15"/>
  <c r="R14" i="15"/>
  <c r="Q181" i="15"/>
  <c r="Q179" i="15"/>
  <c r="Q177" i="15"/>
  <c r="Q175" i="15"/>
  <c r="Q14" i="15"/>
  <c r="P259" i="15" s="1"/>
  <c r="P181" i="15"/>
  <c r="P179" i="15"/>
  <c r="P177" i="15"/>
  <c r="P175" i="15"/>
  <c r="P260" i="15" s="1"/>
  <c r="P14" i="15"/>
  <c r="O259" i="15" s="1"/>
  <c r="O181" i="15"/>
  <c r="O179" i="15"/>
  <c r="O177" i="15"/>
  <c r="O175" i="15"/>
  <c r="O260" i="15" s="1"/>
  <c r="O14" i="15"/>
  <c r="N259" i="15" s="1"/>
  <c r="N181" i="15"/>
  <c r="N179" i="15"/>
  <c r="N260" i="15" s="1"/>
  <c r="N177" i="15"/>
  <c r="N175" i="15"/>
  <c r="M259" i="15"/>
  <c r="N14" i="15"/>
  <c r="M181" i="15"/>
  <c r="M179" i="15"/>
  <c r="M177" i="15"/>
  <c r="M175" i="15"/>
  <c r="M260" i="15" s="1"/>
  <c r="M14" i="15"/>
  <c r="L259" i="15" s="1"/>
  <c r="L181" i="15"/>
  <c r="L179" i="15"/>
  <c r="L177" i="15"/>
  <c r="L175" i="15"/>
  <c r="L260" i="15" s="1"/>
  <c r="L14" i="15"/>
  <c r="K259" i="15" s="1"/>
  <c r="K181" i="15"/>
  <c r="K179" i="15"/>
  <c r="K177" i="15"/>
  <c r="K175" i="15"/>
  <c r="J260" i="15"/>
  <c r="K14" i="15"/>
  <c r="J259" i="15" s="1"/>
  <c r="J181" i="15"/>
  <c r="J179" i="15"/>
  <c r="J177" i="15"/>
  <c r="J175" i="15"/>
  <c r="I259" i="15"/>
  <c r="J14" i="15"/>
  <c r="I181" i="15"/>
  <c r="I179" i="15"/>
  <c r="I177" i="15"/>
  <c r="I175" i="15"/>
  <c r="I14" i="15"/>
  <c r="H259" i="15" s="1"/>
  <c r="H181" i="15"/>
  <c r="H179" i="15"/>
  <c r="H177" i="15"/>
  <c r="H175" i="15"/>
  <c r="H260" i="15" s="1"/>
  <c r="H14" i="15"/>
  <c r="G259" i="15" s="1"/>
  <c r="G181" i="15"/>
  <c r="G179" i="15"/>
  <c r="G177" i="15"/>
  <c r="G175" i="15"/>
  <c r="G260" i="15" s="1"/>
  <c r="G14" i="15"/>
  <c r="F259" i="15" s="1"/>
  <c r="F181" i="15"/>
  <c r="F179" i="15"/>
  <c r="F260" i="15" s="1"/>
  <c r="F177" i="15"/>
  <c r="F175" i="15"/>
  <c r="E259" i="15"/>
  <c r="F14" i="15"/>
  <c r="E181" i="15"/>
  <c r="E179" i="15"/>
  <c r="E177" i="15"/>
  <c r="E175" i="15"/>
  <c r="E260" i="15" s="1"/>
  <c r="E14" i="15"/>
  <c r="D181" i="15"/>
  <c r="D179" i="15"/>
  <c r="D177" i="15"/>
  <c r="D175" i="15"/>
  <c r="D260" i="15" s="1"/>
  <c r="AY14" i="16"/>
  <c r="AY15" i="16"/>
  <c r="AY16" i="16"/>
  <c r="AY10" i="16"/>
  <c r="AY13" i="16" s="1"/>
  <c r="AY17" i="16"/>
  <c r="AY29" i="16"/>
  <c r="AX14" i="16"/>
  <c r="AX10" i="16" s="1"/>
  <c r="AX13" i="16" s="1"/>
  <c r="AX15" i="16"/>
  <c r="AX16" i="16"/>
  <c r="AX17" i="16"/>
  <c r="AX29" i="16"/>
  <c r="AW14" i="16"/>
  <c r="AW15" i="16"/>
  <c r="AW10" i="16" s="1"/>
  <c r="AW13" i="16" s="1"/>
  <c r="AW16" i="16"/>
  <c r="AW17" i="16"/>
  <c r="AW29" i="16"/>
  <c r="AV14" i="16"/>
  <c r="AV15" i="16"/>
  <c r="AV16" i="16"/>
  <c r="AV10" i="16" s="1"/>
  <c r="AV13" i="16" s="1"/>
  <c r="AV17" i="16"/>
  <c r="AV29" i="16"/>
  <c r="AU14" i="16"/>
  <c r="AU15" i="16"/>
  <c r="AU16" i="16"/>
  <c r="AU10" i="16"/>
  <c r="AU13" i="16" s="1"/>
  <c r="AU17" i="16"/>
  <c r="AU29" i="16"/>
  <c r="AT21" i="16"/>
  <c r="AT22" i="16"/>
  <c r="AT29" i="16"/>
  <c r="AT44" i="16"/>
  <c r="AS21" i="16"/>
  <c r="AS33" i="16" s="1"/>
  <c r="AS22" i="16"/>
  <c r="AS23" i="16"/>
  <c r="AS29" i="16"/>
  <c r="AS39" i="16"/>
  <c r="AS44" i="16"/>
  <c r="AS50" i="16" s="1"/>
  <c r="AR15" i="16"/>
  <c r="AS16" i="16" s="1"/>
  <c r="AT17" i="16" s="1"/>
  <c r="AR17" i="16"/>
  <c r="AR21" i="16"/>
  <c r="AR22" i="16"/>
  <c r="AR34" i="16" s="1"/>
  <c r="AR23" i="16"/>
  <c r="AR24" i="16"/>
  <c r="AR29" i="16"/>
  <c r="AR33" i="16"/>
  <c r="AR35" i="16"/>
  <c r="AR39" i="16"/>
  <c r="AR40" i="16"/>
  <c r="AR44" i="16"/>
  <c r="AR45" i="16"/>
  <c r="AR50" i="16"/>
  <c r="AQ14" i="16"/>
  <c r="AQ15" i="16"/>
  <c r="AR16" i="16" s="1"/>
  <c r="AS17" i="16" s="1"/>
  <c r="AQ16" i="16"/>
  <c r="AQ17" i="16"/>
  <c r="AQ29" i="16"/>
  <c r="AP14" i="16"/>
  <c r="AP15" i="16"/>
  <c r="AP16" i="16"/>
  <c r="AP10" i="16" s="1"/>
  <c r="AP13" i="16" s="1"/>
  <c r="AP17" i="16"/>
  <c r="AP29" i="16"/>
  <c r="AO14" i="16"/>
  <c r="AO10" i="16" s="1"/>
  <c r="AO15" i="16"/>
  <c r="AO16" i="16"/>
  <c r="AO13" i="16"/>
  <c r="AO17" i="16"/>
  <c r="AO29" i="16"/>
  <c r="AN14" i="16"/>
  <c r="AN15" i="16"/>
  <c r="AN10" i="16" s="1"/>
  <c r="AN13" i="16" s="1"/>
  <c r="AN16" i="16"/>
  <c r="AN17" i="16"/>
  <c r="AN29" i="16"/>
  <c r="AM14" i="16"/>
  <c r="AM10" i="16" s="1"/>
  <c r="AM15" i="16"/>
  <c r="AM16" i="16"/>
  <c r="AM13" i="16"/>
  <c r="AM17" i="16"/>
  <c r="AM29" i="16"/>
  <c r="AL15" i="16"/>
  <c r="AL16" i="16"/>
  <c r="AL21" i="16"/>
  <c r="AL22" i="16"/>
  <c r="AL24" i="16" s="1"/>
  <c r="AL29" i="16"/>
  <c r="AK14" i="16"/>
  <c r="AK15" i="16"/>
  <c r="AK16" i="16"/>
  <c r="AL17" i="16" s="1"/>
  <c r="AK10" i="16"/>
  <c r="AK13" i="16" s="1"/>
  <c r="AL14" i="16" s="1"/>
  <c r="AL10" i="16" s="1"/>
  <c r="AL13" i="16" s="1"/>
  <c r="AK17" i="16"/>
  <c r="AK29" i="16"/>
  <c r="AJ14" i="16"/>
  <c r="AJ10" i="16" s="1"/>
  <c r="AJ15" i="16"/>
  <c r="AJ16" i="16"/>
  <c r="AJ13" i="16"/>
  <c r="AJ17" i="16"/>
  <c r="AJ29" i="16"/>
  <c r="AI14" i="16"/>
  <c r="AI15" i="16"/>
  <c r="AI16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0" i="16" s="1"/>
  <c r="AG13" i="16" s="1"/>
  <c r="AG16" i="16"/>
  <c r="AG17" i="16"/>
  <c r="AG29" i="16"/>
  <c r="AF14" i="16"/>
  <c r="AF15" i="16"/>
  <c r="AF16" i="16"/>
  <c r="AF10" i="16" s="1"/>
  <c r="AF13" i="16" s="1"/>
  <c r="AF17" i="16"/>
  <c r="AF29" i="16"/>
  <c r="AE14" i="16"/>
  <c r="AE15" i="16"/>
  <c r="AE16" i="16"/>
  <c r="AE10" i="16"/>
  <c r="AE13" i="16" s="1"/>
  <c r="AE17" i="16"/>
  <c r="AE29" i="16"/>
  <c r="AD14" i="16"/>
  <c r="AD10" i="16" s="1"/>
  <c r="AD15" i="16"/>
  <c r="AD16" i="16"/>
  <c r="AD13" i="16"/>
  <c r="AD17" i="16"/>
  <c r="AD29" i="16"/>
  <c r="AC14" i="16"/>
  <c r="AC15" i="16"/>
  <c r="AC10" i="16" s="1"/>
  <c r="AC13" i="16" s="1"/>
  <c r="AC16" i="16"/>
  <c r="AC17" i="16"/>
  <c r="AC29" i="16"/>
  <c r="AB14" i="16"/>
  <c r="AB15" i="16"/>
  <c r="AB16" i="16"/>
  <c r="AB10" i="16" s="1"/>
  <c r="AB13" i="16" s="1"/>
  <c r="AB17" i="16"/>
  <c r="AB29" i="16"/>
  <c r="AA14" i="16"/>
  <c r="AA15" i="16"/>
  <c r="AA16" i="16"/>
  <c r="AA10" i="16"/>
  <c r="AA13" i="16" s="1"/>
  <c r="AA17" i="16"/>
  <c r="AA29" i="16"/>
  <c r="Z14" i="16"/>
  <c r="Z10" i="16" s="1"/>
  <c r="Z13" i="16" s="1"/>
  <c r="Z15" i="16"/>
  <c r="Z16" i="16"/>
  <c r="Z17" i="16"/>
  <c r="Z29" i="16"/>
  <c r="Y14" i="16"/>
  <c r="Y15" i="16"/>
  <c r="Y10" i="16" s="1"/>
  <c r="Y13" i="16" s="1"/>
  <c r="Y16" i="16"/>
  <c r="Y17" i="16"/>
  <c r="Y29" i="16"/>
  <c r="X14" i="16"/>
  <c r="X15" i="16"/>
  <c r="X16" i="16"/>
  <c r="X17" i="16"/>
  <c r="X29" i="16"/>
  <c r="W14" i="16"/>
  <c r="W15" i="16"/>
  <c r="W10" i="16" s="1"/>
  <c r="W16" i="16"/>
  <c r="W13" i="16"/>
  <c r="W17" i="16"/>
  <c r="W29" i="16"/>
  <c r="V14" i="16"/>
  <c r="V15" i="16"/>
  <c r="V16" i="16"/>
  <c r="V17" i="16"/>
  <c r="V29" i="16"/>
  <c r="U14" i="16"/>
  <c r="U15" i="16"/>
  <c r="U16" i="16"/>
  <c r="U10" i="16"/>
  <c r="U13" i="16" s="1"/>
  <c r="U17" i="16"/>
  <c r="U29" i="16"/>
  <c r="T14" i="16"/>
  <c r="T15" i="16"/>
  <c r="T16" i="16"/>
  <c r="T17" i="16"/>
  <c r="T29" i="16"/>
  <c r="S14" i="16"/>
  <c r="S15" i="16"/>
  <c r="S16" i="16"/>
  <c r="S10" i="16"/>
  <c r="S13" i="16" s="1"/>
  <c r="S17" i="16"/>
  <c r="S29" i="16"/>
  <c r="R14" i="16"/>
  <c r="R15" i="16"/>
  <c r="R16" i="16"/>
  <c r="R17" i="16"/>
  <c r="R29" i="16"/>
  <c r="Q14" i="16"/>
  <c r="Q15" i="16"/>
  <c r="Q16" i="16"/>
  <c r="Q17" i="16"/>
  <c r="Q29" i="16"/>
  <c r="P14" i="16"/>
  <c r="P15" i="16"/>
  <c r="P16" i="16"/>
  <c r="P10" i="16"/>
  <c r="P13" i="16" s="1"/>
  <c r="P17" i="16"/>
  <c r="P29" i="16"/>
  <c r="O14" i="16"/>
  <c r="O15" i="16"/>
  <c r="O16" i="16"/>
  <c r="O10" i="16"/>
  <c r="O13" i="16" s="1"/>
  <c r="O17" i="16"/>
  <c r="O29" i="16"/>
  <c r="N14" i="16"/>
  <c r="N15" i="16"/>
  <c r="N16" i="16"/>
  <c r="N17" i="16"/>
  <c r="N29" i="16"/>
  <c r="M14" i="16"/>
  <c r="M15" i="16"/>
  <c r="M16" i="16"/>
  <c r="M17" i="16"/>
  <c r="M29" i="16"/>
  <c r="L14" i="16"/>
  <c r="L15" i="16"/>
  <c r="L16" i="16"/>
  <c r="L10" i="16"/>
  <c r="L13" i="16" s="1"/>
  <c r="L17" i="16"/>
  <c r="L29" i="16"/>
  <c r="K14" i="16"/>
  <c r="K15" i="16"/>
  <c r="K16" i="16"/>
  <c r="K10" i="16"/>
  <c r="K13" i="16" s="1"/>
  <c r="K17" i="16"/>
  <c r="K29" i="16"/>
  <c r="J14" i="16"/>
  <c r="J15" i="16"/>
  <c r="J16" i="16"/>
  <c r="J17" i="16"/>
  <c r="J29" i="16"/>
  <c r="I14" i="16"/>
  <c r="I15" i="16"/>
  <c r="I10" i="16" s="1"/>
  <c r="I13" i="16" s="1"/>
  <c r="I16" i="16"/>
  <c r="I17" i="16"/>
  <c r="I29" i="16"/>
  <c r="H14" i="16"/>
  <c r="H15" i="16"/>
  <c r="H16" i="16"/>
  <c r="H10" i="16"/>
  <c r="H13" i="16" s="1"/>
  <c r="H17" i="16"/>
  <c r="H29" i="16"/>
  <c r="G14" i="16"/>
  <c r="G15" i="16"/>
  <c r="G16" i="16"/>
  <c r="G10" i="16"/>
  <c r="G13" i="16" s="1"/>
  <c r="G17" i="16"/>
  <c r="G29" i="16"/>
  <c r="F14" i="16"/>
  <c r="F15" i="16"/>
  <c r="F16" i="16"/>
  <c r="F17" i="16"/>
  <c r="F29" i="16"/>
  <c r="E14" i="16"/>
  <c r="E15" i="16"/>
  <c r="E10" i="16" s="1"/>
  <c r="E13" i="16" s="1"/>
  <c r="E16" i="16"/>
  <c r="E17" i="16"/>
  <c r="E29" i="16"/>
  <c r="D14" i="16"/>
  <c r="D15" i="16"/>
  <c r="D16" i="16"/>
  <c r="D10" i="16"/>
  <c r="D17" i="16"/>
  <c r="D27" i="16"/>
  <c r="D29" i="16"/>
  <c r="AY14" i="17"/>
  <c r="AY15" i="17"/>
  <c r="AY16" i="17"/>
  <c r="AY10" i="17"/>
  <c r="AY13" i="17" s="1"/>
  <c r="AY17" i="17"/>
  <c r="AY29" i="17"/>
  <c r="AX14" i="17"/>
  <c r="AX15" i="17"/>
  <c r="AX16" i="17"/>
  <c r="AX17" i="17"/>
  <c r="AX29" i="17"/>
  <c r="AW14" i="17"/>
  <c r="AW15" i="17"/>
  <c r="AW10" i="17" s="1"/>
  <c r="AW13" i="17" s="1"/>
  <c r="AW16" i="17"/>
  <c r="AW17" i="17"/>
  <c r="AW29" i="17"/>
  <c r="AV14" i="17"/>
  <c r="AV15" i="17"/>
  <c r="AV16" i="17"/>
  <c r="AV10" i="17"/>
  <c r="AV13" i="17" s="1"/>
  <c r="AV17" i="17"/>
  <c r="AV29" i="17"/>
  <c r="AU14" i="17"/>
  <c r="AU15" i="17"/>
  <c r="AU16" i="17"/>
  <c r="AU10" i="17"/>
  <c r="AU13" i="17" s="1"/>
  <c r="AU17" i="17"/>
  <c r="AU29" i="17"/>
  <c r="AT14" i="17"/>
  <c r="AT15" i="17"/>
  <c r="AT16" i="17"/>
  <c r="AT17" i="17"/>
  <c r="AT29" i="17"/>
  <c r="AS14" i="17"/>
  <c r="AS15" i="17"/>
  <c r="AS10" i="17" s="1"/>
  <c r="AS13" i="17" s="1"/>
  <c r="AS16" i="17"/>
  <c r="AS17" i="17"/>
  <c r="AS29" i="17"/>
  <c r="AR14" i="17"/>
  <c r="AR15" i="17"/>
  <c r="AR16" i="17"/>
  <c r="AR10" i="17"/>
  <c r="AR13" i="17" s="1"/>
  <c r="AR17" i="17"/>
  <c r="AR29" i="17"/>
  <c r="AQ14" i="17"/>
  <c r="AQ15" i="17"/>
  <c r="AQ16" i="17"/>
  <c r="AQ10" i="17"/>
  <c r="AQ13" i="17" s="1"/>
  <c r="AQ17" i="17"/>
  <c r="AQ29" i="17"/>
  <c r="AP14" i="17"/>
  <c r="AP15" i="17"/>
  <c r="AP16" i="17"/>
  <c r="AP17" i="17"/>
  <c r="AP29" i="17"/>
  <c r="AO14" i="17"/>
  <c r="AO15" i="17"/>
  <c r="AO10" i="17" s="1"/>
  <c r="AO13" i="17" s="1"/>
  <c r="AO16" i="17"/>
  <c r="AO17" i="17"/>
  <c r="AO29" i="17"/>
  <c r="AN14" i="17"/>
  <c r="AN15" i="17"/>
  <c r="AN16" i="17"/>
  <c r="AN10" i="17"/>
  <c r="AN13" i="17" s="1"/>
  <c r="AN17" i="17"/>
  <c r="AN29" i="17"/>
  <c r="AM14" i="17"/>
  <c r="AM15" i="17"/>
  <c r="AM16" i="17"/>
  <c r="AM10" i="17"/>
  <c r="AM13" i="17" s="1"/>
  <c r="AM17" i="17"/>
  <c r="AM29" i="17"/>
  <c r="AL14" i="17"/>
  <c r="AL15" i="17"/>
  <c r="AL16" i="17"/>
  <c r="AL17" i="17"/>
  <c r="AL29" i="17"/>
  <c r="AK14" i="17"/>
  <c r="AK10" i="17" s="1"/>
  <c r="AK13" i="17" s="1"/>
  <c r="AK15" i="17"/>
  <c r="AK16" i="17"/>
  <c r="AK17" i="17"/>
  <c r="AK29" i="17"/>
  <c r="AJ14" i="17"/>
  <c r="AJ15" i="17"/>
  <c r="AJ16" i="17"/>
  <c r="AJ10" i="17"/>
  <c r="AJ13" i="17" s="1"/>
  <c r="AJ17" i="17"/>
  <c r="AJ29" i="17"/>
  <c r="AI14" i="17"/>
  <c r="AI15" i="17"/>
  <c r="AI16" i="17"/>
  <c r="AI17" i="17"/>
  <c r="AI29" i="17"/>
  <c r="AH14" i="17"/>
  <c r="AH15" i="17"/>
  <c r="AH10" i="17" s="1"/>
  <c r="AH13" i="17" s="1"/>
  <c r="AH16" i="17"/>
  <c r="AH17" i="17"/>
  <c r="AH29" i="17"/>
  <c r="AG14" i="17"/>
  <c r="AG10" i="17" s="1"/>
  <c r="AG13" i="17" s="1"/>
  <c r="AG15" i="17"/>
  <c r="AG16" i="17"/>
  <c r="AG17" i="17"/>
  <c r="AG29" i="17"/>
  <c r="AF15" i="17"/>
  <c r="AF21" i="17"/>
  <c r="AF22" i="17"/>
  <c r="AF34" i="17" s="1"/>
  <c r="AF40" i="17" s="1"/>
  <c r="AF23" i="17"/>
  <c r="AF29" i="17"/>
  <c r="AF33" i="17"/>
  <c r="AF39" i="17" s="1"/>
  <c r="AF35" i="17"/>
  <c r="AF44" i="17"/>
  <c r="AF45" i="17"/>
  <c r="AF50" i="17"/>
  <c r="AE14" i="17"/>
  <c r="AE15" i="17"/>
  <c r="AF16" i="17" s="1"/>
  <c r="AE16" i="17"/>
  <c r="AF17" i="17" s="1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7" i="17"/>
  <c r="AC29" i="17"/>
  <c r="AB14" i="17"/>
  <c r="AB15" i="17"/>
  <c r="AB16" i="17"/>
  <c r="AB10" i="17"/>
  <c r="AB13" i="17" s="1"/>
  <c r="AB17" i="17"/>
  <c r="AB29" i="17"/>
  <c r="AA14" i="17"/>
  <c r="AA15" i="17"/>
  <c r="AA16" i="17"/>
  <c r="AA17" i="17"/>
  <c r="AA29" i="17"/>
  <c r="Z14" i="17"/>
  <c r="Z15" i="17"/>
  <c r="Z16" i="17"/>
  <c r="Z10" i="17"/>
  <c r="Z13" i="17" s="1"/>
  <c r="Z17" i="17"/>
  <c r="Z29" i="17"/>
  <c r="Y14" i="17"/>
  <c r="Y15" i="17"/>
  <c r="Y16" i="17"/>
  <c r="Y17" i="17"/>
  <c r="Y29" i="17"/>
  <c r="X14" i="17"/>
  <c r="X15" i="17"/>
  <c r="X16" i="17"/>
  <c r="X10" i="17"/>
  <c r="X13" i="17" s="1"/>
  <c r="X17" i="17"/>
  <c r="X29" i="17"/>
  <c r="W14" i="17"/>
  <c r="W15" i="17"/>
  <c r="W16" i="17"/>
  <c r="W17" i="17"/>
  <c r="W29" i="17"/>
  <c r="V14" i="17"/>
  <c r="V15" i="17"/>
  <c r="V16" i="17"/>
  <c r="V10" i="17"/>
  <c r="V13" i="17" s="1"/>
  <c r="V17" i="17"/>
  <c r="V29" i="17"/>
  <c r="U14" i="17"/>
  <c r="U15" i="17"/>
  <c r="U16" i="17"/>
  <c r="U17" i="17"/>
  <c r="U29" i="17"/>
  <c r="T14" i="17"/>
  <c r="T15" i="17"/>
  <c r="T16" i="17"/>
  <c r="T10" i="17"/>
  <c r="T13" i="17" s="1"/>
  <c r="T17" i="17"/>
  <c r="T29" i="17"/>
  <c r="S21" i="17"/>
  <c r="S22" i="17"/>
  <c r="S23" i="17"/>
  <c r="S24" i="17"/>
  <c r="S29" i="17"/>
  <c r="S34" i="17"/>
  <c r="S40" i="17" s="1"/>
  <c r="S45" i="17"/>
  <c r="S51" i="17"/>
  <c r="R14" i="17"/>
  <c r="S15" i="17" s="1"/>
  <c r="R15" i="17"/>
  <c r="S16" i="17" s="1"/>
  <c r="R16" i="17"/>
  <c r="S17" i="17" s="1"/>
  <c r="R10" i="17"/>
  <c r="R13" i="17" s="1"/>
  <c r="S14" i="17" s="1"/>
  <c r="S10" i="17" s="1"/>
  <c r="S13" i="17" s="1"/>
  <c r="R17" i="17"/>
  <c r="R29" i="17"/>
  <c r="Q14" i="17"/>
  <c r="Q15" i="17"/>
  <c r="Q16" i="17"/>
  <c r="Q17" i="17"/>
  <c r="Q29" i="17"/>
  <c r="P14" i="17"/>
  <c r="P15" i="17"/>
  <c r="P10" i="17" s="1"/>
  <c r="P13" i="17" s="1"/>
  <c r="P16" i="17"/>
  <c r="P17" i="17"/>
  <c r="P29" i="17"/>
  <c r="O14" i="17"/>
  <c r="O10" i="17" s="1"/>
  <c r="O13" i="17" s="1"/>
  <c r="O15" i="17"/>
  <c r="O16" i="17"/>
  <c r="O17" i="17"/>
  <c r="O29" i="17"/>
  <c r="N14" i="17"/>
  <c r="N15" i="17"/>
  <c r="N10" i="17" s="1"/>
  <c r="N13" i="17" s="1"/>
  <c r="N16" i="17"/>
  <c r="N17" i="17"/>
  <c r="N29" i="17"/>
  <c r="M14" i="17"/>
  <c r="M10" i="17" s="1"/>
  <c r="M13" i="17" s="1"/>
  <c r="N22" i="17" s="1"/>
  <c r="M15" i="17"/>
  <c r="M16" i="17"/>
  <c r="M17" i="17"/>
  <c r="M29" i="17"/>
  <c r="L14" i="17"/>
  <c r="L15" i="17"/>
  <c r="L10" i="17" s="1"/>
  <c r="L13" i="17" s="1"/>
  <c r="L16" i="17"/>
  <c r="L17" i="17"/>
  <c r="L22" i="17"/>
  <c r="L29" i="17"/>
  <c r="K14" i="17"/>
  <c r="K10" i="17" s="1"/>
  <c r="K13" i="17" s="1"/>
  <c r="K15" i="17"/>
  <c r="K16" i="17"/>
  <c r="K17" i="17"/>
  <c r="K29" i="17"/>
  <c r="J21" i="17"/>
  <c r="J22" i="17"/>
  <c r="J34" i="17" s="1"/>
  <c r="J40" i="17" s="1"/>
  <c r="J23" i="17"/>
  <c r="J29" i="17"/>
  <c r="J33" i="17"/>
  <c r="J39" i="17" s="1"/>
  <c r="J35" i="17"/>
  <c r="J44" i="17"/>
  <c r="J45" i="17"/>
  <c r="J50" i="17"/>
  <c r="I14" i="17"/>
  <c r="I15" i="17"/>
  <c r="J16" i="17" s="1"/>
  <c r="I16" i="17"/>
  <c r="J17" i="17" s="1"/>
  <c r="I17" i="17"/>
  <c r="I29" i="17"/>
  <c r="H14" i="17"/>
  <c r="H15" i="17"/>
  <c r="H16" i="17"/>
  <c r="H10" i="17"/>
  <c r="H13" i="17" s="1"/>
  <c r="H17" i="17"/>
  <c r="H29" i="17"/>
  <c r="G14" i="17"/>
  <c r="G15" i="17"/>
  <c r="G16" i="17"/>
  <c r="G17" i="17"/>
  <c r="G29" i="17"/>
  <c r="F14" i="17"/>
  <c r="F15" i="17"/>
  <c r="F16" i="17"/>
  <c r="F10" i="17"/>
  <c r="F13" i="17" s="1"/>
  <c r="F17" i="17"/>
  <c r="F29" i="17"/>
  <c r="E14" i="17"/>
  <c r="E15" i="17"/>
  <c r="E16" i="17"/>
  <c r="E17" i="17"/>
  <c r="E27" i="17"/>
  <c r="E29" i="17"/>
  <c r="D14" i="17"/>
  <c r="D15" i="17"/>
  <c r="D16" i="17"/>
  <c r="D10" i="17"/>
  <c r="D17" i="17"/>
  <c r="D21" i="17"/>
  <c r="D22" i="17"/>
  <c r="D45" i="17" s="1"/>
  <c r="D51" i="17" s="1"/>
  <c r="D23" i="17"/>
  <c r="D24" i="17"/>
  <c r="D27" i="17"/>
  <c r="D30" i="17" s="1"/>
  <c r="D29" i="17"/>
  <c r="D33" i="17"/>
  <c r="D39" i="17" s="1"/>
  <c r="D44" i="17"/>
  <c r="D50" i="17"/>
  <c r="AY14" i="18"/>
  <c r="AY15" i="18"/>
  <c r="AY16" i="18"/>
  <c r="AY17" i="18"/>
  <c r="AY29" i="18"/>
  <c r="AX14" i="18"/>
  <c r="AX15" i="18"/>
  <c r="AX16" i="18"/>
  <c r="AX10" i="18"/>
  <c r="AX13" i="18" s="1"/>
  <c r="AX17" i="18"/>
  <c r="AX29" i="18"/>
  <c r="AW14" i="18"/>
  <c r="AW15" i="18"/>
  <c r="AW16" i="18"/>
  <c r="AW17" i="18"/>
  <c r="AW29" i="18"/>
  <c r="AV14" i="18"/>
  <c r="AV15" i="18"/>
  <c r="AV16" i="18"/>
  <c r="AV10" i="18"/>
  <c r="AV13" i="18" s="1"/>
  <c r="AV17" i="18"/>
  <c r="AV29" i="18"/>
  <c r="AU14" i="18"/>
  <c r="AU15" i="18"/>
  <c r="AU16" i="18"/>
  <c r="AU17" i="18"/>
  <c r="AU29" i="18"/>
  <c r="AT14" i="18"/>
  <c r="AT15" i="18"/>
  <c r="AT16" i="18"/>
  <c r="AT10" i="18"/>
  <c r="AT13" i="18" s="1"/>
  <c r="AT17" i="18"/>
  <c r="AT29" i="18"/>
  <c r="AS14" i="18"/>
  <c r="AS15" i="18"/>
  <c r="AS16" i="18"/>
  <c r="AS17" i="18"/>
  <c r="AS29" i="18"/>
  <c r="AR14" i="18"/>
  <c r="AR15" i="18"/>
  <c r="AR16" i="18"/>
  <c r="AR10" i="18"/>
  <c r="AR13" i="18" s="1"/>
  <c r="AR17" i="18"/>
  <c r="AR29" i="18"/>
  <c r="AQ14" i="18"/>
  <c r="AQ15" i="18"/>
  <c r="AQ16" i="18"/>
  <c r="AQ17" i="18"/>
  <c r="AQ29" i="18"/>
  <c r="AP14" i="18"/>
  <c r="AP15" i="18"/>
  <c r="AP16" i="18"/>
  <c r="AP10" i="18"/>
  <c r="AP13" i="18" s="1"/>
  <c r="AP17" i="18"/>
  <c r="AP29" i="18"/>
  <c r="AO14" i="18"/>
  <c r="AO15" i="18"/>
  <c r="AO16" i="18"/>
  <c r="AO17" i="18"/>
  <c r="AO29" i="18"/>
  <c r="AN14" i="18"/>
  <c r="AN15" i="18"/>
  <c r="AN16" i="18"/>
  <c r="AN10" i="18"/>
  <c r="AN13" i="18" s="1"/>
  <c r="AN17" i="18"/>
  <c r="AN29" i="18"/>
  <c r="AM14" i="18"/>
  <c r="AM15" i="18"/>
  <c r="AM16" i="18"/>
  <c r="AM17" i="18"/>
  <c r="AM29" i="18"/>
  <c r="AL14" i="18"/>
  <c r="AL15" i="18"/>
  <c r="AL16" i="18"/>
  <c r="AL10" i="18"/>
  <c r="AL13" i="18" s="1"/>
  <c r="AL17" i="18"/>
  <c r="AL29" i="18"/>
  <c r="AK14" i="18"/>
  <c r="AK15" i="18"/>
  <c r="AK16" i="18"/>
  <c r="AK17" i="18"/>
  <c r="AK29" i="18"/>
  <c r="AJ14" i="18"/>
  <c r="AJ15" i="18"/>
  <c r="AJ16" i="18"/>
  <c r="AJ10" i="18"/>
  <c r="AJ13" i="18" s="1"/>
  <c r="AJ17" i="18"/>
  <c r="AJ29" i="18"/>
  <c r="AI14" i="18"/>
  <c r="AI15" i="18"/>
  <c r="AI16" i="18"/>
  <c r="AI17" i="18"/>
  <c r="AI29" i="18"/>
  <c r="AH14" i="18"/>
  <c r="AH15" i="18"/>
  <c r="AH16" i="18"/>
  <c r="AH10" i="18"/>
  <c r="AH13" i="18" s="1"/>
  <c r="AH17" i="18"/>
  <c r="AH29" i="18"/>
  <c r="AG14" i="18"/>
  <c r="AG15" i="18"/>
  <c r="AG16" i="18"/>
  <c r="AG17" i="18"/>
  <c r="AG29" i="18"/>
  <c r="AF14" i="18"/>
  <c r="AF15" i="18"/>
  <c r="AF16" i="18"/>
  <c r="AF10" i="18"/>
  <c r="AF13" i="18" s="1"/>
  <c r="AF17" i="18"/>
  <c r="AF29" i="18"/>
  <c r="AE14" i="18"/>
  <c r="AE15" i="18"/>
  <c r="AE16" i="18"/>
  <c r="AE17" i="18"/>
  <c r="AE29" i="18"/>
  <c r="AD14" i="18"/>
  <c r="AD15" i="18"/>
  <c r="AD16" i="18"/>
  <c r="AD10" i="18"/>
  <c r="AD13" i="18" s="1"/>
  <c r="AD17" i="18"/>
  <c r="AD29" i="18"/>
  <c r="AC14" i="18"/>
  <c r="AC15" i="18"/>
  <c r="AC16" i="18"/>
  <c r="AC17" i="18"/>
  <c r="AC29" i="18"/>
  <c r="AB14" i="18"/>
  <c r="AB15" i="18"/>
  <c r="AB16" i="18"/>
  <c r="AB10" i="18"/>
  <c r="AB13" i="18" s="1"/>
  <c r="AB17" i="18"/>
  <c r="AB29" i="18"/>
  <c r="AA14" i="18"/>
  <c r="AA15" i="18"/>
  <c r="AA16" i="18"/>
  <c r="AA17" i="18"/>
  <c r="AA29" i="18"/>
  <c r="Z14" i="18"/>
  <c r="Z15" i="18"/>
  <c r="Z16" i="18"/>
  <c r="Z10" i="18"/>
  <c r="Z13" i="18" s="1"/>
  <c r="Z17" i="18"/>
  <c r="Z29" i="18"/>
  <c r="Y14" i="18"/>
  <c r="Y15" i="18"/>
  <c r="Y16" i="18"/>
  <c r="Y17" i="18"/>
  <c r="Y29" i="18"/>
  <c r="X14" i="18"/>
  <c r="X15" i="18"/>
  <c r="X16" i="18"/>
  <c r="X10" i="18"/>
  <c r="X13" i="18" s="1"/>
  <c r="X17" i="18"/>
  <c r="X29" i="18"/>
  <c r="W14" i="18"/>
  <c r="W15" i="18"/>
  <c r="W16" i="18"/>
  <c r="W17" i="18"/>
  <c r="W29" i="18"/>
  <c r="V14" i="18"/>
  <c r="V15" i="18"/>
  <c r="V16" i="18"/>
  <c r="V10" i="18"/>
  <c r="V13" i="18" s="1"/>
  <c r="V17" i="18"/>
  <c r="V29" i="18"/>
  <c r="U14" i="18"/>
  <c r="U15" i="18"/>
  <c r="U16" i="18"/>
  <c r="U17" i="18"/>
  <c r="U29" i="18"/>
  <c r="T14" i="18"/>
  <c r="T15" i="18"/>
  <c r="T16" i="18"/>
  <c r="T10" i="18"/>
  <c r="T13" i="18" s="1"/>
  <c r="T17" i="18"/>
  <c r="T29" i="18"/>
  <c r="S14" i="18"/>
  <c r="S15" i="18"/>
  <c r="S16" i="18"/>
  <c r="S17" i="18"/>
  <c r="S29" i="18"/>
  <c r="R14" i="18"/>
  <c r="R15" i="18"/>
  <c r="R16" i="18"/>
  <c r="R10" i="18"/>
  <c r="R13" i="18" s="1"/>
  <c r="R17" i="18"/>
  <c r="R29" i="18"/>
  <c r="Q14" i="18"/>
  <c r="Q15" i="18"/>
  <c r="Q16" i="18"/>
  <c r="Q17" i="18"/>
  <c r="Q29" i="18"/>
  <c r="P14" i="18"/>
  <c r="P15" i="18"/>
  <c r="P16" i="18"/>
  <c r="P10" i="18"/>
  <c r="P13" i="18" s="1"/>
  <c r="P17" i="18"/>
  <c r="P29" i="18"/>
  <c r="O14" i="18"/>
  <c r="O15" i="18"/>
  <c r="O16" i="18"/>
  <c r="O17" i="18"/>
  <c r="O29" i="18"/>
  <c r="N14" i="18"/>
  <c r="N15" i="18"/>
  <c r="N16" i="18"/>
  <c r="N10" i="18"/>
  <c r="N13" i="18" s="1"/>
  <c r="N17" i="18"/>
  <c r="N29" i="18"/>
  <c r="M14" i="18"/>
  <c r="M15" i="18"/>
  <c r="M16" i="18"/>
  <c r="M17" i="18"/>
  <c r="M29" i="18"/>
  <c r="L14" i="18"/>
  <c r="L15" i="18"/>
  <c r="L16" i="18"/>
  <c r="L10" i="18"/>
  <c r="L13" i="18" s="1"/>
  <c r="L17" i="18"/>
  <c r="L29" i="18"/>
  <c r="K14" i="18"/>
  <c r="K15" i="18"/>
  <c r="K16" i="18"/>
  <c r="K17" i="18"/>
  <c r="K29" i="18"/>
  <c r="J14" i="18"/>
  <c r="J15" i="18"/>
  <c r="J16" i="18"/>
  <c r="J10" i="18"/>
  <c r="J13" i="18" s="1"/>
  <c r="J17" i="18"/>
  <c r="J29" i="18"/>
  <c r="I14" i="18"/>
  <c r="I15" i="18"/>
  <c r="I16" i="18"/>
  <c r="I17" i="18"/>
  <c r="I29" i="18"/>
  <c r="H14" i="18"/>
  <c r="H15" i="18"/>
  <c r="H16" i="18"/>
  <c r="H10" i="18"/>
  <c r="H13" i="18" s="1"/>
  <c r="H17" i="18"/>
  <c r="H29" i="18"/>
  <c r="G14" i="18"/>
  <c r="G15" i="18"/>
  <c r="G16" i="18"/>
  <c r="G10" i="18"/>
  <c r="G13" i="18" s="1"/>
  <c r="G17" i="18"/>
  <c r="G29" i="18"/>
  <c r="F14" i="18"/>
  <c r="F10" i="18" s="1"/>
  <c r="F13" i="18" s="1"/>
  <c r="F15" i="18"/>
  <c r="F16" i="18"/>
  <c r="F17" i="18"/>
  <c r="F29" i="18"/>
  <c r="E15" i="18"/>
  <c r="E21" i="18"/>
  <c r="E23" i="18" s="1"/>
  <c r="E22" i="18"/>
  <c r="E34" i="18" s="1"/>
  <c r="E40" i="18" s="1"/>
  <c r="E24" i="18"/>
  <c r="E29" i="18"/>
  <c r="E33" i="18"/>
  <c r="E44" i="18"/>
  <c r="E46" i="18" s="1"/>
  <c r="E45" i="18"/>
  <c r="E51" i="18" s="1"/>
  <c r="E50" i="18"/>
  <c r="D14" i="18"/>
  <c r="D10" i="18" s="1"/>
  <c r="D15" i="18"/>
  <c r="E16" i="18" s="1"/>
  <c r="D16" i="18"/>
  <c r="E17" i="18" s="1"/>
  <c r="D17" i="18"/>
  <c r="D21" i="18"/>
  <c r="D27" i="18"/>
  <c r="D30" i="18" s="1"/>
  <c r="D29" i="18"/>
  <c r="B21" i="16"/>
  <c r="B21" i="17"/>
  <c r="AE21" i="17" s="1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B22" i="17"/>
  <c r="P22" i="17" s="1"/>
  <c r="D24" i="18" l="1"/>
  <c r="D34" i="18"/>
  <c r="D40" i="18" s="1"/>
  <c r="D45" i="18"/>
  <c r="D51" i="18" s="1"/>
  <c r="G21" i="18"/>
  <c r="G22" i="18"/>
  <c r="AE33" i="17"/>
  <c r="AE23" i="17"/>
  <c r="AE44" i="17"/>
  <c r="D13" i="18"/>
  <c r="E14" i="18" s="1"/>
  <c r="E10" i="18" s="1"/>
  <c r="E13" i="18" s="1"/>
  <c r="E35" i="18"/>
  <c r="P34" i="17"/>
  <c r="P40" i="17" s="1"/>
  <c r="P45" i="17"/>
  <c r="P51" i="17" s="1"/>
  <c r="P24" i="17"/>
  <c r="H21" i="18"/>
  <c r="H22" i="18"/>
  <c r="N34" i="17"/>
  <c r="N40" i="17" s="1"/>
  <c r="N45" i="17"/>
  <c r="N51" i="17" s="1"/>
  <c r="N24" i="17"/>
  <c r="M22" i="18"/>
  <c r="F27" i="17"/>
  <c r="E30" i="17"/>
  <c r="T21" i="17"/>
  <c r="T22" i="17"/>
  <c r="AN22" i="17"/>
  <c r="AN21" i="17"/>
  <c r="B22" i="16"/>
  <c r="D22" i="16" s="1"/>
  <c r="AQ21" i="16"/>
  <c r="D21" i="16"/>
  <c r="T21" i="16"/>
  <c r="E27" i="18"/>
  <c r="K22" i="18"/>
  <c r="K21" i="18"/>
  <c r="M22" i="17"/>
  <c r="M21" i="17"/>
  <c r="P21" i="17"/>
  <c r="W21" i="17"/>
  <c r="D44" i="18"/>
  <c r="M21" i="18"/>
  <c r="O22" i="17"/>
  <c r="O21" i="17"/>
  <c r="AI22" i="17"/>
  <c r="AI21" i="17"/>
  <c r="AY21" i="18"/>
  <c r="AW21" i="18"/>
  <c r="AU21" i="18"/>
  <c r="AS21" i="18"/>
  <c r="AQ21" i="18"/>
  <c r="AO21" i="18"/>
  <c r="AM21" i="18"/>
  <c r="AK21" i="18"/>
  <c r="AI21" i="18"/>
  <c r="D33" i="18"/>
  <c r="AZ17" i="18"/>
  <c r="E39" i="18"/>
  <c r="O22" i="18"/>
  <c r="O21" i="18"/>
  <c r="Q22" i="18"/>
  <c r="Q21" i="18"/>
  <c r="S22" i="18"/>
  <c r="S21" i="18"/>
  <c r="U22" i="18"/>
  <c r="U21" i="18"/>
  <c r="AZ17" i="17"/>
  <c r="L21" i="17"/>
  <c r="Q22" i="17"/>
  <c r="Q21" i="17"/>
  <c r="L34" i="17"/>
  <c r="L40" i="17" s="1"/>
  <c r="L45" i="17"/>
  <c r="L51" i="17" s="1"/>
  <c r="L24" i="17"/>
  <c r="H22" i="16"/>
  <c r="H21" i="16"/>
  <c r="AA21" i="17"/>
  <c r="I21" i="17"/>
  <c r="G21" i="17"/>
  <c r="Y21" i="17"/>
  <c r="AC21" i="17"/>
  <c r="U21" i="17"/>
  <c r="D23" i="18"/>
  <c r="I22" i="18"/>
  <c r="I21" i="18"/>
  <c r="N21" i="17"/>
  <c r="F22" i="16"/>
  <c r="F21" i="16"/>
  <c r="I10" i="18"/>
  <c r="I13" i="18" s="1"/>
  <c r="K10" i="18"/>
  <c r="K13" i="18" s="1"/>
  <c r="M10" i="18"/>
  <c r="M13" i="18" s="1"/>
  <c r="O10" i="18"/>
  <c r="O13" i="18" s="1"/>
  <c r="Q10" i="18"/>
  <c r="Q13" i="18" s="1"/>
  <c r="S10" i="18"/>
  <c r="S13" i="18" s="1"/>
  <c r="U10" i="18"/>
  <c r="U13" i="18" s="1"/>
  <c r="W10" i="18"/>
  <c r="W13" i="18" s="1"/>
  <c r="Y10" i="18"/>
  <c r="Y13" i="18" s="1"/>
  <c r="AA10" i="18"/>
  <c r="AA13" i="18" s="1"/>
  <c r="AC10" i="18"/>
  <c r="AC13" i="18" s="1"/>
  <c r="AE10" i="18"/>
  <c r="AE13" i="18" s="1"/>
  <c r="AG10" i="18"/>
  <c r="AG13" i="18" s="1"/>
  <c r="AI10" i="18"/>
  <c r="AI13" i="18" s="1"/>
  <c r="AK10" i="18"/>
  <c r="AK13" i="18" s="1"/>
  <c r="AM10" i="18"/>
  <c r="AM13" i="18" s="1"/>
  <c r="AO10" i="18"/>
  <c r="AO13" i="18" s="1"/>
  <c r="AQ10" i="18"/>
  <c r="AQ13" i="18" s="1"/>
  <c r="AS10" i="18"/>
  <c r="AS13" i="18" s="1"/>
  <c r="AU10" i="18"/>
  <c r="AU13" i="18" s="1"/>
  <c r="AW10" i="18"/>
  <c r="AW13" i="18" s="1"/>
  <c r="AY10" i="18"/>
  <c r="AY13" i="18" s="1"/>
  <c r="E10" i="17"/>
  <c r="E13" i="17" s="1"/>
  <c r="G10" i="17"/>
  <c r="G13" i="17" s="1"/>
  <c r="I10" i="17"/>
  <c r="I13" i="17" s="1"/>
  <c r="J14" i="17" s="1"/>
  <c r="J24" i="17"/>
  <c r="AI10" i="17"/>
  <c r="AI13" i="17" s="1"/>
  <c r="AX22" i="17"/>
  <c r="AX21" i="17"/>
  <c r="T10" i="16"/>
  <c r="T13" i="16" s="1"/>
  <c r="AP21" i="16"/>
  <c r="AP22" i="16"/>
  <c r="W22" i="18"/>
  <c r="Y22" i="18"/>
  <c r="AA22" i="18"/>
  <c r="AC22" i="18"/>
  <c r="AE22" i="18"/>
  <c r="AG22" i="18"/>
  <c r="AI22" i="18"/>
  <c r="AK22" i="18"/>
  <c r="AM22" i="18"/>
  <c r="AO22" i="18"/>
  <c r="AQ22" i="18"/>
  <c r="AS22" i="18"/>
  <c r="AU22" i="18"/>
  <c r="AW22" i="18"/>
  <c r="AY22" i="18"/>
  <c r="D13" i="17"/>
  <c r="G22" i="17"/>
  <c r="I22" i="17"/>
  <c r="J46" i="17"/>
  <c r="J51" i="17"/>
  <c r="J15" i="17"/>
  <c r="AH21" i="17"/>
  <c r="AH22" i="17"/>
  <c r="AK22" i="17"/>
  <c r="AK21" i="17"/>
  <c r="AL22" i="17"/>
  <c r="AL21" i="17"/>
  <c r="AP22" i="17"/>
  <c r="AP21" i="17"/>
  <c r="AR22" i="17"/>
  <c r="AR21" i="17"/>
  <c r="J22" i="16"/>
  <c r="J21" i="16"/>
  <c r="L22" i="16"/>
  <c r="L21" i="16"/>
  <c r="W21" i="18"/>
  <c r="Y21" i="18"/>
  <c r="AA21" i="18"/>
  <c r="AC21" i="18"/>
  <c r="AE21" i="18"/>
  <c r="AG21" i="18"/>
  <c r="D46" i="17"/>
  <c r="D34" i="17"/>
  <c r="Q10" i="17"/>
  <c r="Q13" i="17" s="1"/>
  <c r="S33" i="17"/>
  <c r="S44" i="17"/>
  <c r="AT22" i="17"/>
  <c r="AT21" i="17"/>
  <c r="AV22" i="17"/>
  <c r="AV21" i="17"/>
  <c r="D30" i="16"/>
  <c r="E27" i="16"/>
  <c r="P22" i="16"/>
  <c r="P21" i="16"/>
  <c r="AD21" i="16"/>
  <c r="AD22" i="16"/>
  <c r="AE22" i="16"/>
  <c r="U10" i="17"/>
  <c r="U13" i="17" s="1"/>
  <c r="W10" i="17"/>
  <c r="W13" i="17" s="1"/>
  <c r="Y10" i="17"/>
  <c r="Y13" i="17" s="1"/>
  <c r="AA10" i="17"/>
  <c r="AA13" i="17" s="1"/>
  <c r="AC10" i="17"/>
  <c r="AC13" i="17" s="1"/>
  <c r="AE10" i="17"/>
  <c r="AE13" i="17" s="1"/>
  <c r="AF14" i="17" s="1"/>
  <c r="AF10" i="17" s="1"/>
  <c r="AF13" i="17" s="1"/>
  <c r="AF24" i="17"/>
  <c r="AI21" i="16"/>
  <c r="AI22" i="16"/>
  <c r="AK21" i="16"/>
  <c r="AK22" i="16"/>
  <c r="AN21" i="16"/>
  <c r="AN22" i="16"/>
  <c r="U22" i="17"/>
  <c r="W22" i="17"/>
  <c r="Y22" i="17"/>
  <c r="AA22" i="17"/>
  <c r="AC22" i="17"/>
  <c r="AE22" i="17"/>
  <c r="AF46" i="17"/>
  <c r="AF51" i="17"/>
  <c r="AO22" i="17"/>
  <c r="AO21" i="17"/>
  <c r="AS22" i="17"/>
  <c r="AS21" i="17"/>
  <c r="AW22" i="17"/>
  <c r="AW21" i="17"/>
  <c r="D13" i="16"/>
  <c r="I22" i="16"/>
  <c r="I21" i="16"/>
  <c r="M22" i="16"/>
  <c r="M21" i="16"/>
  <c r="Q22" i="16"/>
  <c r="Q21" i="16"/>
  <c r="T22" i="16"/>
  <c r="AE21" i="16"/>
  <c r="AF21" i="16"/>
  <c r="AM22" i="16"/>
  <c r="AM21" i="16"/>
  <c r="AS34" i="16"/>
  <c r="AS24" i="16"/>
  <c r="AS45" i="16"/>
  <c r="D259" i="14"/>
  <c r="AZ259" i="14" s="1"/>
  <c r="BA14" i="14"/>
  <c r="M10" i="16"/>
  <c r="M13" i="16" s="1"/>
  <c r="Q10" i="16"/>
  <c r="Q13" i="16" s="1"/>
  <c r="AA21" i="16"/>
  <c r="AA22" i="16"/>
  <c r="AB22" i="16"/>
  <c r="AB21" i="16"/>
  <c r="AL23" i="16"/>
  <c r="AL33" i="16"/>
  <c r="AL44" i="16"/>
  <c r="AL10" i="17"/>
  <c r="AL13" i="17" s="1"/>
  <c r="AP10" i="17"/>
  <c r="AP13" i="17" s="1"/>
  <c r="AT10" i="17"/>
  <c r="AT13" i="17" s="1"/>
  <c r="AX10" i="17"/>
  <c r="AX13" i="17" s="1"/>
  <c r="F10" i="16"/>
  <c r="F13" i="16" s="1"/>
  <c r="J10" i="16"/>
  <c r="J13" i="16" s="1"/>
  <c r="N10" i="16"/>
  <c r="N13" i="16" s="1"/>
  <c r="R10" i="16"/>
  <c r="R13" i="16" s="1"/>
  <c r="V22" i="16"/>
  <c r="V21" i="16"/>
  <c r="X22" i="16"/>
  <c r="X21" i="16"/>
  <c r="AG22" i="16"/>
  <c r="AG21" i="16"/>
  <c r="H8" i="20"/>
  <c r="S9" i="20"/>
  <c r="V10" i="16"/>
  <c r="V13" i="16" s="1"/>
  <c r="X10" i="16"/>
  <c r="X13" i="16" s="1"/>
  <c r="Z21" i="16"/>
  <c r="Z22" i="16"/>
  <c r="AC22" i="16"/>
  <c r="AC21" i="16"/>
  <c r="AH21" i="16"/>
  <c r="AH22" i="16"/>
  <c r="AT24" i="16"/>
  <c r="AT45" i="16"/>
  <c r="AT51" i="16" s="1"/>
  <c r="AT34" i="16"/>
  <c r="AT40" i="16" s="1"/>
  <c r="AZ17" i="16"/>
  <c r="AF22" i="16"/>
  <c r="AO21" i="16"/>
  <c r="AO22" i="16"/>
  <c r="AQ22" i="16"/>
  <c r="AR51" i="16"/>
  <c r="AR46" i="16"/>
  <c r="AT50" i="16"/>
  <c r="AV21" i="16"/>
  <c r="AY21" i="16"/>
  <c r="AY22" i="16"/>
  <c r="D259" i="15"/>
  <c r="AZ259" i="15" s="1"/>
  <c r="BA14" i="15"/>
  <c r="Y260" i="15"/>
  <c r="AQ10" i="16"/>
  <c r="AQ13" i="16" s="1"/>
  <c r="AR14" i="16" s="1"/>
  <c r="AT33" i="16"/>
  <c r="AT23" i="16"/>
  <c r="AI10" i="16"/>
  <c r="AI13" i="16" s="1"/>
  <c r="AL45" i="16"/>
  <c r="AL51" i="16" s="1"/>
  <c r="AL34" i="16"/>
  <c r="AL40" i="16" s="1"/>
  <c r="AW22" i="16"/>
  <c r="AW21" i="16"/>
  <c r="T43" i="20"/>
  <c r="AX21" i="16"/>
  <c r="AX22" i="16"/>
  <c r="I260" i="15"/>
  <c r="K260" i="15"/>
  <c r="AZ260" i="15" s="1"/>
  <c r="Q260" i="15"/>
  <c r="S260" i="15"/>
  <c r="AE260" i="15"/>
  <c r="AO260" i="15"/>
  <c r="AQ260" i="15"/>
  <c r="AY260" i="15"/>
  <c r="I260" i="14"/>
  <c r="K260" i="14"/>
  <c r="Q260" i="14"/>
  <c r="S260" i="14"/>
  <c r="Y260" i="14"/>
  <c r="AA260" i="14"/>
  <c r="AI260" i="14"/>
  <c r="AQ260" i="14"/>
  <c r="AY260" i="14"/>
  <c r="S31" i="20"/>
  <c r="T32" i="20" s="1"/>
  <c r="S7" i="20"/>
  <c r="H7" i="20"/>
  <c r="S8" i="20"/>
  <c r="H9" i="20"/>
  <c r="S10" i="20"/>
  <c r="H10" i="20"/>
  <c r="AM260" i="15"/>
  <c r="AU260" i="15"/>
  <c r="G260" i="14"/>
  <c r="AZ260" i="14" s="1"/>
  <c r="O260" i="14"/>
  <c r="W260" i="14"/>
  <c r="AE260" i="14"/>
  <c r="AM260" i="14"/>
  <c r="AU260" i="14"/>
  <c r="AV22" i="16"/>
  <c r="W260" i="15"/>
  <c r="AI260" i="15"/>
  <c r="AW45" i="16" l="1"/>
  <c r="AW51" i="16" s="1"/>
  <c r="AW34" i="16"/>
  <c r="AW40" i="16" s="1"/>
  <c r="AW24" i="16"/>
  <c r="AY33" i="16"/>
  <c r="AY44" i="16"/>
  <c r="AY23" i="16"/>
  <c r="AG23" i="16"/>
  <c r="AG44" i="16"/>
  <c r="AG33" i="16"/>
  <c r="AQ21" i="17"/>
  <c r="AQ22" i="17"/>
  <c r="AA33" i="16"/>
  <c r="AA44" i="16"/>
  <c r="AA23" i="16"/>
  <c r="AE33" i="16"/>
  <c r="AE44" i="16"/>
  <c r="AE23" i="16"/>
  <c r="AS23" i="17"/>
  <c r="AS33" i="17"/>
  <c r="AS44" i="17"/>
  <c r="AA24" i="17"/>
  <c r="AA45" i="17"/>
  <c r="AA51" i="17" s="1"/>
  <c r="AA34" i="17"/>
  <c r="AA40" i="17" s="1"/>
  <c r="AK33" i="16"/>
  <c r="AK23" i="16"/>
  <c r="AK44" i="16"/>
  <c r="AD34" i="16"/>
  <c r="AD40" i="16" s="1"/>
  <c r="AD45" i="16"/>
  <c r="AD51" i="16" s="1"/>
  <c r="AD24" i="16"/>
  <c r="E30" i="16"/>
  <c r="F27" i="16"/>
  <c r="AG33" i="18"/>
  <c r="AG23" i="18"/>
  <c r="AG44" i="18"/>
  <c r="AP44" i="17"/>
  <c r="AP23" i="17"/>
  <c r="AP33" i="17"/>
  <c r="AK33" i="17"/>
  <c r="AK44" i="17"/>
  <c r="AK23" i="17"/>
  <c r="AW24" i="18"/>
  <c r="AW45" i="18"/>
  <c r="AW51" i="18" s="1"/>
  <c r="AW34" i="18"/>
  <c r="AW40" i="18" s="1"/>
  <c r="AG24" i="18"/>
  <c r="AG45" i="18"/>
  <c r="AG51" i="18" s="1"/>
  <c r="AG34" i="18"/>
  <c r="AG40" i="18" s="1"/>
  <c r="AL21" i="18"/>
  <c r="AL22" i="18"/>
  <c r="N21" i="18"/>
  <c r="N22" i="18"/>
  <c r="H24" i="16"/>
  <c r="H45" i="16"/>
  <c r="H51" i="16" s="1"/>
  <c r="H34" i="16"/>
  <c r="H40" i="16" s="1"/>
  <c r="AI33" i="18"/>
  <c r="AI23" i="18"/>
  <c r="AI44" i="18"/>
  <c r="AY33" i="18"/>
  <c r="AY23" i="18"/>
  <c r="AY44" i="18"/>
  <c r="O45" i="17"/>
  <c r="O51" i="17" s="1"/>
  <c r="O24" i="17"/>
  <c r="O34" i="17"/>
  <c r="O40" i="17" s="1"/>
  <c r="K45" i="18"/>
  <c r="K51" i="18" s="1"/>
  <c r="K24" i="18"/>
  <c r="K34" i="18"/>
  <c r="K40" i="18" s="1"/>
  <c r="T34" i="17"/>
  <c r="T40" i="17" s="1"/>
  <c r="T45" i="17"/>
  <c r="T51" i="17" s="1"/>
  <c r="T24" i="17"/>
  <c r="AZ10" i="18"/>
  <c r="AV24" i="16"/>
  <c r="AV45" i="16"/>
  <c r="AV51" i="16" s="1"/>
  <c r="AV34" i="16"/>
  <c r="AV40" i="16" s="1"/>
  <c r="AW23" i="16"/>
  <c r="AW44" i="16"/>
  <c r="AW33" i="16"/>
  <c r="AJ21" i="16"/>
  <c r="AJ22" i="16"/>
  <c r="AY24" i="16"/>
  <c r="AY34" i="16"/>
  <c r="AY40" i="16" s="1"/>
  <c r="AY45" i="16"/>
  <c r="AY51" i="16" s="1"/>
  <c r="AO24" i="16"/>
  <c r="AO34" i="16"/>
  <c r="AO40" i="16" s="1"/>
  <c r="AO45" i="16"/>
  <c r="AO51" i="16" s="1"/>
  <c r="AH44" i="16"/>
  <c r="AH33" i="16"/>
  <c r="AH23" i="16"/>
  <c r="Z44" i="16"/>
  <c r="Z33" i="16"/>
  <c r="Z23" i="16"/>
  <c r="X24" i="16"/>
  <c r="X45" i="16"/>
  <c r="X51" i="16" s="1"/>
  <c r="X34" i="16"/>
  <c r="X40" i="16" s="1"/>
  <c r="O21" i="16"/>
  <c r="O22" i="16"/>
  <c r="AU21" i="17"/>
  <c r="AU22" i="17"/>
  <c r="AL39" i="16"/>
  <c r="AL35" i="16"/>
  <c r="AA24" i="16"/>
  <c r="AA34" i="16"/>
  <c r="AA40" i="16" s="1"/>
  <c r="AA45" i="16"/>
  <c r="AA51" i="16" s="1"/>
  <c r="AF23" i="16"/>
  <c r="AF33" i="16"/>
  <c r="AF44" i="16"/>
  <c r="Q45" i="16"/>
  <c r="Q51" i="16" s="1"/>
  <c r="Q24" i="16"/>
  <c r="Q34" i="16"/>
  <c r="Q40" i="16" s="1"/>
  <c r="I45" i="16"/>
  <c r="I51" i="16" s="1"/>
  <c r="I24" i="16"/>
  <c r="I34" i="16"/>
  <c r="I40" i="16" s="1"/>
  <c r="AW45" i="17"/>
  <c r="AW51" i="17" s="1"/>
  <c r="AW24" i="17"/>
  <c r="AW34" i="17"/>
  <c r="AW40" i="17" s="1"/>
  <c r="AO45" i="17"/>
  <c r="AO51" i="17" s="1"/>
  <c r="AO24" i="17"/>
  <c r="AO34" i="17"/>
  <c r="AO40" i="17" s="1"/>
  <c r="AC45" i="17"/>
  <c r="AC51" i="17" s="1"/>
  <c r="AC24" i="17"/>
  <c r="AC34" i="17"/>
  <c r="AC40" i="17" s="1"/>
  <c r="U45" i="17"/>
  <c r="U51" i="17" s="1"/>
  <c r="U24" i="17"/>
  <c r="U34" i="17"/>
  <c r="U40" i="17" s="1"/>
  <c r="AK24" i="16"/>
  <c r="AK34" i="16"/>
  <c r="AK40" i="16" s="1"/>
  <c r="AK45" i="16"/>
  <c r="AK51" i="16" s="1"/>
  <c r="Z21" i="17"/>
  <c r="Z22" i="17"/>
  <c r="AE24" i="16"/>
  <c r="AE34" i="16"/>
  <c r="AE40" i="16" s="1"/>
  <c r="AE45" i="16"/>
  <c r="AE51" i="16" s="1"/>
  <c r="P24" i="16"/>
  <c r="P45" i="16"/>
  <c r="P51" i="16" s="1"/>
  <c r="P34" i="16"/>
  <c r="P40" i="16" s="1"/>
  <c r="AV24" i="17"/>
  <c r="AV45" i="17"/>
  <c r="AV51" i="17" s="1"/>
  <c r="AV34" i="17"/>
  <c r="AV40" i="17" s="1"/>
  <c r="S35" i="17"/>
  <c r="S39" i="17"/>
  <c r="AA33" i="18"/>
  <c r="AA23" i="18"/>
  <c r="AA44" i="18"/>
  <c r="L24" i="16"/>
  <c r="L45" i="16"/>
  <c r="L51" i="16" s="1"/>
  <c r="L34" i="16"/>
  <c r="L40" i="16" s="1"/>
  <c r="AR24" i="17"/>
  <c r="AR45" i="17"/>
  <c r="AR51" i="17" s="1"/>
  <c r="AR34" i="17"/>
  <c r="AR40" i="17" s="1"/>
  <c r="AL34" i="17"/>
  <c r="AL40" i="17" s="1"/>
  <c r="AL24" i="17"/>
  <c r="AL45" i="17"/>
  <c r="AL51" i="17" s="1"/>
  <c r="AH44" i="17"/>
  <c r="AH23" i="17"/>
  <c r="AH33" i="17"/>
  <c r="I24" i="17"/>
  <c r="I45" i="17"/>
  <c r="I51" i="17" s="1"/>
  <c r="I34" i="17"/>
  <c r="I40" i="17" s="1"/>
  <c r="AY45" i="18"/>
  <c r="AY51" i="18" s="1"/>
  <c r="AY24" i="18"/>
  <c r="AY34" i="18"/>
  <c r="AY40" i="18" s="1"/>
  <c r="AQ45" i="18"/>
  <c r="AQ51" i="18" s="1"/>
  <c r="AQ24" i="18"/>
  <c r="AQ34" i="18"/>
  <c r="AQ40" i="18" s="1"/>
  <c r="AI45" i="18"/>
  <c r="AI51" i="18" s="1"/>
  <c r="AI24" i="18"/>
  <c r="AI34" i="18"/>
  <c r="AI40" i="18" s="1"/>
  <c r="AA45" i="18"/>
  <c r="AA51" i="18" s="1"/>
  <c r="AA24" i="18"/>
  <c r="AA34" i="18"/>
  <c r="AA40" i="18" s="1"/>
  <c r="AP23" i="16"/>
  <c r="AP33" i="16"/>
  <c r="AP44" i="16"/>
  <c r="AJ21" i="17"/>
  <c r="AJ22" i="17"/>
  <c r="F21" i="17"/>
  <c r="F22" i="17"/>
  <c r="AV21" i="18"/>
  <c r="AV22" i="18"/>
  <c r="AN21" i="18"/>
  <c r="AN22" i="18"/>
  <c r="AF21" i="18"/>
  <c r="AF22" i="18"/>
  <c r="X21" i="18"/>
  <c r="X22" i="18"/>
  <c r="P21" i="18"/>
  <c r="P22" i="18"/>
  <c r="F44" i="16"/>
  <c r="F23" i="16"/>
  <c r="F33" i="16"/>
  <c r="I24" i="18"/>
  <c r="I45" i="18"/>
  <c r="I51" i="18" s="1"/>
  <c r="I34" i="18"/>
  <c r="I40" i="18" s="1"/>
  <c r="Y33" i="17"/>
  <c r="Y23" i="17"/>
  <c r="Y44" i="17"/>
  <c r="H33" i="16"/>
  <c r="H23" i="16"/>
  <c r="H44" i="16"/>
  <c r="S33" i="18"/>
  <c r="S44" i="18"/>
  <c r="S23" i="18"/>
  <c r="O33" i="18"/>
  <c r="O44" i="18"/>
  <c r="O23" i="18"/>
  <c r="D39" i="18"/>
  <c r="D35" i="18"/>
  <c r="AO33" i="18"/>
  <c r="AO23" i="18"/>
  <c r="AO44" i="18"/>
  <c r="AW33" i="18"/>
  <c r="AW23" i="18"/>
  <c r="AW44" i="18"/>
  <c r="O33" i="17"/>
  <c r="O23" i="17"/>
  <c r="O44" i="17"/>
  <c r="W33" i="17"/>
  <c r="W23" i="17"/>
  <c r="W44" i="17"/>
  <c r="K33" i="18"/>
  <c r="K44" i="18"/>
  <c r="K23" i="18"/>
  <c r="D33" i="16"/>
  <c r="D23" i="16"/>
  <c r="D44" i="16"/>
  <c r="AN24" i="17"/>
  <c r="AN45" i="17"/>
  <c r="AN51" i="17" s="1"/>
  <c r="AN34" i="17"/>
  <c r="AN40" i="17" s="1"/>
  <c r="F30" i="17"/>
  <c r="G27" i="17"/>
  <c r="F21" i="18"/>
  <c r="F22" i="18"/>
  <c r="AE39" i="17"/>
  <c r="AC23" i="16"/>
  <c r="AC44" i="16"/>
  <c r="AC33" i="16"/>
  <c r="V23" i="16"/>
  <c r="V33" i="16"/>
  <c r="V44" i="16"/>
  <c r="M23" i="16"/>
  <c r="M33" i="16"/>
  <c r="M44" i="16"/>
  <c r="E22" i="16"/>
  <c r="E21" i="16"/>
  <c r="X21" i="17"/>
  <c r="X22" i="17"/>
  <c r="AT44" i="17"/>
  <c r="AT33" i="17"/>
  <c r="AT23" i="17"/>
  <c r="Y33" i="18"/>
  <c r="Y23" i="18"/>
  <c r="Y44" i="18"/>
  <c r="AO24" i="18"/>
  <c r="AO45" i="18"/>
  <c r="AO51" i="18" s="1"/>
  <c r="AO34" i="18"/>
  <c r="AO40" i="18" s="1"/>
  <c r="Y24" i="18"/>
  <c r="Y45" i="18"/>
  <c r="Y51" i="18" s="1"/>
  <c r="Y34" i="18"/>
  <c r="Y40" i="18" s="1"/>
  <c r="AT21" i="18"/>
  <c r="AT22" i="18"/>
  <c r="V21" i="18"/>
  <c r="V22" i="18"/>
  <c r="F45" i="16"/>
  <c r="F51" i="16" s="1"/>
  <c r="F34" i="16"/>
  <c r="F40" i="16" s="1"/>
  <c r="F24" i="16"/>
  <c r="G33" i="17"/>
  <c r="G23" i="17"/>
  <c r="G44" i="17"/>
  <c r="Q33" i="17"/>
  <c r="Q23" i="17"/>
  <c r="Q44" i="17"/>
  <c r="O45" i="18"/>
  <c r="O51" i="18" s="1"/>
  <c r="O24" i="18"/>
  <c r="O34" i="18"/>
  <c r="O40" i="18" s="1"/>
  <c r="AQ33" i="18"/>
  <c r="AQ23" i="18"/>
  <c r="AQ44" i="18"/>
  <c r="P44" i="17"/>
  <c r="P23" i="17"/>
  <c r="P33" i="17"/>
  <c r="AQ33" i="16"/>
  <c r="AQ44" i="16"/>
  <c r="AQ23" i="16"/>
  <c r="M24" i="18"/>
  <c r="M45" i="18"/>
  <c r="M51" i="18" s="1"/>
  <c r="M34" i="18"/>
  <c r="M40" i="18" s="1"/>
  <c r="T11" i="20"/>
  <c r="T45" i="20" s="1"/>
  <c r="AX44" i="16"/>
  <c r="AX33" i="16"/>
  <c r="AX23" i="16"/>
  <c r="AT39" i="16"/>
  <c r="AT35" i="16"/>
  <c r="AV23" i="16"/>
  <c r="AV33" i="16"/>
  <c r="AV44" i="16"/>
  <c r="AF24" i="16"/>
  <c r="AF45" i="16"/>
  <c r="AF51" i="16" s="1"/>
  <c r="AF34" i="16"/>
  <c r="AF40" i="16" s="1"/>
  <c r="AC45" i="16"/>
  <c r="AC51" i="16" s="1"/>
  <c r="AC34" i="16"/>
  <c r="AC40" i="16" s="1"/>
  <c r="AC24" i="16"/>
  <c r="W21" i="16"/>
  <c r="W22" i="16"/>
  <c r="AG45" i="16"/>
  <c r="AG51" i="16" s="1"/>
  <c r="AG34" i="16"/>
  <c r="AG40" i="16" s="1"/>
  <c r="AG24" i="16"/>
  <c r="V45" i="16"/>
  <c r="V51" i="16" s="1"/>
  <c r="V34" i="16"/>
  <c r="V40" i="16" s="1"/>
  <c r="V24" i="16"/>
  <c r="G21" i="16"/>
  <c r="G22" i="16"/>
  <c r="AM21" i="17"/>
  <c r="AM22" i="17"/>
  <c r="AB23" i="16"/>
  <c r="AB33" i="16"/>
  <c r="AB44" i="16"/>
  <c r="R22" i="16"/>
  <c r="R21" i="16"/>
  <c r="AM23" i="16"/>
  <c r="AM33" i="16"/>
  <c r="AM44" i="16"/>
  <c r="T24" i="16"/>
  <c r="T34" i="16"/>
  <c r="T40" i="16" s="1"/>
  <c r="T45" i="16"/>
  <c r="T51" i="16" s="1"/>
  <c r="M45" i="16"/>
  <c r="M51" i="16" s="1"/>
  <c r="M24" i="16"/>
  <c r="M34" i="16"/>
  <c r="M40" i="16" s="1"/>
  <c r="AS45" i="17"/>
  <c r="AS51" i="17" s="1"/>
  <c r="AS24" i="17"/>
  <c r="AS34" i="17"/>
  <c r="AS40" i="17" s="1"/>
  <c r="Y45" i="17"/>
  <c r="Y51" i="17" s="1"/>
  <c r="Y24" i="17"/>
  <c r="Y34" i="17"/>
  <c r="Y40" i="17" s="1"/>
  <c r="AN34" i="16"/>
  <c r="AN40" i="16" s="1"/>
  <c r="AN45" i="16"/>
  <c r="AN51" i="16" s="1"/>
  <c r="AN24" i="16"/>
  <c r="AI24" i="16"/>
  <c r="AI34" i="16"/>
  <c r="AI40" i="16" s="1"/>
  <c r="AI45" i="16"/>
  <c r="AI51" i="16" s="1"/>
  <c r="AD21" i="17"/>
  <c r="AD22" i="17"/>
  <c r="V21" i="17"/>
  <c r="V22" i="17"/>
  <c r="AD44" i="16"/>
  <c r="AD33" i="16"/>
  <c r="AD23" i="16"/>
  <c r="AT45" i="17"/>
  <c r="AT51" i="17" s="1"/>
  <c r="AT34" i="17"/>
  <c r="AT40" i="17" s="1"/>
  <c r="AT24" i="17"/>
  <c r="D40" i="17"/>
  <c r="D35" i="17"/>
  <c r="AE33" i="18"/>
  <c r="AE23" i="18"/>
  <c r="AE44" i="18"/>
  <c r="W33" i="18"/>
  <c r="W23" i="18"/>
  <c r="W44" i="18"/>
  <c r="J45" i="16"/>
  <c r="J51" i="16" s="1"/>
  <c r="J34" i="16"/>
  <c r="J40" i="16" s="1"/>
  <c r="J24" i="16"/>
  <c r="AP45" i="17"/>
  <c r="AP51" i="17" s="1"/>
  <c r="AP34" i="17"/>
  <c r="AP40" i="17" s="1"/>
  <c r="AP24" i="17"/>
  <c r="AK45" i="17"/>
  <c r="AK51" i="17" s="1"/>
  <c r="AK24" i="17"/>
  <c r="AK34" i="17"/>
  <c r="AK40" i="17" s="1"/>
  <c r="E22" i="17"/>
  <c r="E21" i="17"/>
  <c r="AU45" i="18"/>
  <c r="AU51" i="18" s="1"/>
  <c r="AU24" i="18"/>
  <c r="AU34" i="18"/>
  <c r="AU40" i="18" s="1"/>
  <c r="AM45" i="18"/>
  <c r="AM51" i="18" s="1"/>
  <c r="AM24" i="18"/>
  <c r="AM34" i="18"/>
  <c r="AM40" i="18" s="1"/>
  <c r="AE45" i="18"/>
  <c r="AE51" i="18" s="1"/>
  <c r="AE24" i="18"/>
  <c r="AE34" i="18"/>
  <c r="AE40" i="18" s="1"/>
  <c r="W45" i="18"/>
  <c r="W51" i="18" s="1"/>
  <c r="W24" i="18"/>
  <c r="W34" i="18"/>
  <c r="W40" i="18" s="1"/>
  <c r="AX44" i="17"/>
  <c r="AX33" i="17"/>
  <c r="AX23" i="17"/>
  <c r="J10" i="17"/>
  <c r="AR21" i="18"/>
  <c r="AR22" i="18"/>
  <c r="AJ21" i="18"/>
  <c r="AJ22" i="18"/>
  <c r="AB21" i="18"/>
  <c r="AB22" i="18"/>
  <c r="T21" i="18"/>
  <c r="T22" i="18"/>
  <c r="L21" i="18"/>
  <c r="L22" i="18"/>
  <c r="N23" i="17"/>
  <c r="N44" i="17"/>
  <c r="N33" i="17"/>
  <c r="U33" i="17"/>
  <c r="U23" i="17"/>
  <c r="U44" i="17"/>
  <c r="I33" i="17"/>
  <c r="I23" i="17"/>
  <c r="I44" i="17"/>
  <c r="Q45" i="17"/>
  <c r="Q51" i="17" s="1"/>
  <c r="Q24" i="17"/>
  <c r="Q34" i="17"/>
  <c r="Q40" i="17" s="1"/>
  <c r="U33" i="18"/>
  <c r="U23" i="18"/>
  <c r="U44" i="18"/>
  <c r="Q33" i="18"/>
  <c r="Q44" i="18"/>
  <c r="Q23" i="18"/>
  <c r="AK33" i="18"/>
  <c r="AK23" i="18"/>
  <c r="AK44" i="18"/>
  <c r="AS33" i="18"/>
  <c r="AS23" i="18"/>
  <c r="AS44" i="18"/>
  <c r="AI33" i="17"/>
  <c r="AI23" i="17"/>
  <c r="AI44" i="17"/>
  <c r="M33" i="18"/>
  <c r="M44" i="18"/>
  <c r="M23" i="18"/>
  <c r="M33" i="17"/>
  <c r="M23" i="17"/>
  <c r="M44" i="17"/>
  <c r="F27" i="18"/>
  <c r="E30" i="18"/>
  <c r="D24" i="16"/>
  <c r="D45" i="16"/>
  <c r="D51" i="16" s="1"/>
  <c r="D34" i="16"/>
  <c r="D40" i="16" s="1"/>
  <c r="T23" i="17"/>
  <c r="T44" i="17"/>
  <c r="T33" i="17"/>
  <c r="H24" i="18"/>
  <c r="H45" i="18"/>
  <c r="H51" i="18" s="1"/>
  <c r="H34" i="18"/>
  <c r="H40" i="18" s="1"/>
  <c r="AE50" i="17"/>
  <c r="G33" i="18"/>
  <c r="G44" i="18"/>
  <c r="G23" i="18"/>
  <c r="AX34" i="16"/>
  <c r="AX40" i="16" s="1"/>
  <c r="AX45" i="16"/>
  <c r="AX51" i="16" s="1"/>
  <c r="AX24" i="16"/>
  <c r="AO33" i="16"/>
  <c r="AO44" i="16"/>
  <c r="AO23" i="16"/>
  <c r="Y22" i="16"/>
  <c r="Y21" i="16"/>
  <c r="K21" i="16"/>
  <c r="K22" i="16"/>
  <c r="AS40" i="16"/>
  <c r="AS35" i="16"/>
  <c r="AG22" i="17"/>
  <c r="AG21" i="17"/>
  <c r="R21" i="17"/>
  <c r="R22" i="17"/>
  <c r="J44" i="16"/>
  <c r="J23" i="16"/>
  <c r="J33" i="16"/>
  <c r="G45" i="17"/>
  <c r="G51" i="17" s="1"/>
  <c r="G24" i="17"/>
  <c r="G34" i="17"/>
  <c r="G40" i="17" s="1"/>
  <c r="U22" i="16"/>
  <c r="U21" i="16"/>
  <c r="AD21" i="18"/>
  <c r="AD22" i="18"/>
  <c r="S45" i="18"/>
  <c r="S51" i="18" s="1"/>
  <c r="S24" i="18"/>
  <c r="S34" i="18"/>
  <c r="S40" i="18" s="1"/>
  <c r="G24" i="18"/>
  <c r="G34" i="18"/>
  <c r="G40" i="18" s="1"/>
  <c r="G45" i="18"/>
  <c r="G51" i="18" s="1"/>
  <c r="AR10" i="16"/>
  <c r="AR13" i="16" s="1"/>
  <c r="AS14" i="16" s="1"/>
  <c r="AS15" i="16"/>
  <c r="AT16" i="16" s="1"/>
  <c r="AT46" i="16"/>
  <c r="AQ45" i="16"/>
  <c r="AQ51" i="16" s="1"/>
  <c r="AQ24" i="16"/>
  <c r="AQ34" i="16"/>
  <c r="AQ40" i="16" s="1"/>
  <c r="AH34" i="16"/>
  <c r="AH40" i="16" s="1"/>
  <c r="AH45" i="16"/>
  <c r="AH51" i="16" s="1"/>
  <c r="AH24" i="16"/>
  <c r="Z34" i="16"/>
  <c r="Z40" i="16" s="1"/>
  <c r="Z45" i="16"/>
  <c r="Z51" i="16" s="1"/>
  <c r="Z24" i="16"/>
  <c r="X33" i="16"/>
  <c r="X23" i="16"/>
  <c r="X44" i="16"/>
  <c r="S21" i="16"/>
  <c r="S22" i="16"/>
  <c r="AY21" i="17"/>
  <c r="AY22" i="17"/>
  <c r="AL46" i="16"/>
  <c r="AL50" i="16"/>
  <c r="AB24" i="16"/>
  <c r="AB45" i="16"/>
  <c r="AB51" i="16" s="1"/>
  <c r="AB34" i="16"/>
  <c r="AB40" i="16" s="1"/>
  <c r="N22" i="16"/>
  <c r="N21" i="16"/>
  <c r="AS51" i="16"/>
  <c r="AS46" i="16"/>
  <c r="AM45" i="16"/>
  <c r="AM51" i="16" s="1"/>
  <c r="AM34" i="16"/>
  <c r="AM40" i="16" s="1"/>
  <c r="AM24" i="16"/>
  <c r="Q23" i="16"/>
  <c r="Q33" i="16"/>
  <c r="Q44" i="16"/>
  <c r="I23" i="16"/>
  <c r="I33" i="16"/>
  <c r="I44" i="16"/>
  <c r="AW23" i="17"/>
  <c r="AW33" i="17"/>
  <c r="AW44" i="17"/>
  <c r="AO23" i="17"/>
  <c r="AO33" i="17"/>
  <c r="AO44" i="17"/>
  <c r="AE24" i="17"/>
  <c r="AE45" i="17"/>
  <c r="AE51" i="17" s="1"/>
  <c r="AE34" i="17"/>
  <c r="AE40" i="17" s="1"/>
  <c r="W24" i="17"/>
  <c r="W45" i="17"/>
  <c r="W51" i="17" s="1"/>
  <c r="W34" i="17"/>
  <c r="W40" i="17" s="1"/>
  <c r="AN44" i="16"/>
  <c r="AN23" i="16"/>
  <c r="AN33" i="16"/>
  <c r="AI33" i="16"/>
  <c r="AI44" i="16"/>
  <c r="AI23" i="16"/>
  <c r="AB21" i="17"/>
  <c r="AB22" i="17"/>
  <c r="P33" i="16"/>
  <c r="P23" i="16"/>
  <c r="P44" i="16"/>
  <c r="AV33" i="17"/>
  <c r="AV23" i="17"/>
  <c r="AV44" i="17"/>
  <c r="S50" i="17"/>
  <c r="S46" i="17"/>
  <c r="AC33" i="18"/>
  <c r="AC23" i="18"/>
  <c r="AC44" i="18"/>
  <c r="L33" i="16"/>
  <c r="L23" i="16"/>
  <c r="L44" i="16"/>
  <c r="AR33" i="17"/>
  <c r="AR23" i="17"/>
  <c r="AR44" i="17"/>
  <c r="AL44" i="17"/>
  <c r="AL23" i="17"/>
  <c r="AL33" i="17"/>
  <c r="AH34" i="17"/>
  <c r="AH40" i="17" s="1"/>
  <c r="AH24" i="17"/>
  <c r="AH45" i="17"/>
  <c r="AH51" i="17" s="1"/>
  <c r="AS24" i="18"/>
  <c r="AS45" i="18"/>
  <c r="AS51" i="18" s="1"/>
  <c r="AS34" i="18"/>
  <c r="AS40" i="18" s="1"/>
  <c r="AK24" i="18"/>
  <c r="AK45" i="18"/>
  <c r="AK51" i="18" s="1"/>
  <c r="AK34" i="18"/>
  <c r="AK40" i="18" s="1"/>
  <c r="AC24" i="18"/>
  <c r="AC45" i="18"/>
  <c r="AC51" i="18" s="1"/>
  <c r="AC34" i="18"/>
  <c r="AC40" i="18" s="1"/>
  <c r="AP24" i="16"/>
  <c r="AP34" i="16"/>
  <c r="AP40" i="16" s="1"/>
  <c r="AP45" i="16"/>
  <c r="AP51" i="16" s="1"/>
  <c r="AX45" i="17"/>
  <c r="AX51" i="17" s="1"/>
  <c r="AX34" i="17"/>
  <c r="AX40" i="17" s="1"/>
  <c r="AX24" i="17"/>
  <c r="H21" i="17"/>
  <c r="H22" i="17"/>
  <c r="AX21" i="18"/>
  <c r="AX22" i="18"/>
  <c r="AP21" i="18"/>
  <c r="AP22" i="18"/>
  <c r="AH21" i="18"/>
  <c r="AH22" i="18"/>
  <c r="Z21" i="18"/>
  <c r="Z22" i="18"/>
  <c r="R21" i="18"/>
  <c r="R22" i="18"/>
  <c r="J21" i="18"/>
  <c r="J22" i="18"/>
  <c r="I33" i="18"/>
  <c r="I44" i="18"/>
  <c r="I23" i="18"/>
  <c r="AC33" i="17"/>
  <c r="AC23" i="17"/>
  <c r="AC44" i="17"/>
  <c r="AA33" i="17"/>
  <c r="AA23" i="17"/>
  <c r="AA44" i="17"/>
  <c r="L44" i="17"/>
  <c r="L23" i="17"/>
  <c r="L33" i="17"/>
  <c r="U24" i="18"/>
  <c r="U45" i="18"/>
  <c r="U51" i="18" s="1"/>
  <c r="U34" i="18"/>
  <c r="U40" i="18" s="1"/>
  <c r="Q24" i="18"/>
  <c r="Q45" i="18"/>
  <c r="Q51" i="18" s="1"/>
  <c r="Q34" i="18"/>
  <c r="Q40" i="18" s="1"/>
  <c r="AM33" i="18"/>
  <c r="AM23" i="18"/>
  <c r="AM44" i="18"/>
  <c r="AU33" i="18"/>
  <c r="AU23" i="18"/>
  <c r="AU44" i="18"/>
  <c r="AI24" i="17"/>
  <c r="AI45" i="17"/>
  <c r="AI51" i="17" s="1"/>
  <c r="AI34" i="17"/>
  <c r="AI40" i="17" s="1"/>
  <c r="D46" i="18"/>
  <c r="D50" i="18"/>
  <c r="M24" i="17"/>
  <c r="M45" i="17"/>
  <c r="M51" i="17" s="1"/>
  <c r="M34" i="17"/>
  <c r="M40" i="17" s="1"/>
  <c r="T33" i="16"/>
  <c r="T23" i="16"/>
  <c r="T44" i="16"/>
  <c r="AN33" i="17"/>
  <c r="AN23" i="17"/>
  <c r="AN44" i="17"/>
  <c r="H23" i="18"/>
  <c r="H33" i="18"/>
  <c r="H44" i="18"/>
  <c r="AC50" i="17" l="1"/>
  <c r="AC46" i="17"/>
  <c r="AX34" i="18"/>
  <c r="AX40" i="18" s="1"/>
  <c r="AX24" i="18"/>
  <c r="AX45" i="18"/>
  <c r="AX51" i="18" s="1"/>
  <c r="L50" i="16"/>
  <c r="L46" i="16"/>
  <c r="U23" i="16"/>
  <c r="U33" i="16"/>
  <c r="U44" i="16"/>
  <c r="Y23" i="16"/>
  <c r="Y44" i="16"/>
  <c r="Y33" i="16"/>
  <c r="T39" i="17"/>
  <c r="T35" i="17"/>
  <c r="U50" i="17"/>
  <c r="U46" i="17"/>
  <c r="T34" i="18"/>
  <c r="T40" i="18" s="1"/>
  <c r="T24" i="18"/>
  <c r="T45" i="18"/>
  <c r="T51" i="18" s="1"/>
  <c r="AD34" i="17"/>
  <c r="AD40" i="17" s="1"/>
  <c r="AD45" i="17"/>
  <c r="AD51" i="17" s="1"/>
  <c r="AD24" i="17"/>
  <c r="R44" i="16"/>
  <c r="R33" i="16"/>
  <c r="R23" i="16"/>
  <c r="W44" i="16"/>
  <c r="W23" i="16"/>
  <c r="W33" i="16"/>
  <c r="AV39" i="16"/>
  <c r="AV35" i="16"/>
  <c r="H39" i="18"/>
  <c r="H35" i="18"/>
  <c r="J34" i="18"/>
  <c r="J40" i="18" s="1"/>
  <c r="J24" i="18"/>
  <c r="J45" i="18"/>
  <c r="J51" i="18" s="1"/>
  <c r="AP34" i="18"/>
  <c r="AP40" i="18" s="1"/>
  <c r="AP24" i="18"/>
  <c r="AP45" i="18"/>
  <c r="AP51" i="18" s="1"/>
  <c r="AB34" i="17"/>
  <c r="AB40" i="17" s="1"/>
  <c r="AB45" i="17"/>
  <c r="AB51" i="17" s="1"/>
  <c r="AB24" i="17"/>
  <c r="AI39" i="16"/>
  <c r="AI35" i="16"/>
  <c r="I46" i="16"/>
  <c r="I50" i="16"/>
  <c r="N45" i="16"/>
  <c r="N51" i="16" s="1"/>
  <c r="N34" i="16"/>
  <c r="N40" i="16" s="1"/>
  <c r="N24" i="16"/>
  <c r="S34" i="16"/>
  <c r="S40" i="16" s="1"/>
  <c r="S24" i="16"/>
  <c r="S45" i="16"/>
  <c r="S51" i="16" s="1"/>
  <c r="X35" i="16"/>
  <c r="X39" i="16"/>
  <c r="K34" i="16"/>
  <c r="K40" i="16" s="1"/>
  <c r="K24" i="16"/>
  <c r="K45" i="16"/>
  <c r="K51" i="16" s="1"/>
  <c r="AS50" i="18"/>
  <c r="AS46" i="18"/>
  <c r="Q35" i="18"/>
  <c r="Q39" i="18"/>
  <c r="U35" i="17"/>
  <c r="U39" i="17"/>
  <c r="L34" i="18"/>
  <c r="L40" i="18" s="1"/>
  <c r="L24" i="18"/>
  <c r="L45" i="18"/>
  <c r="L51" i="18" s="1"/>
  <c r="AR34" i="18"/>
  <c r="AR40" i="18" s="1"/>
  <c r="AR24" i="18"/>
  <c r="AR45" i="18"/>
  <c r="AR51" i="18" s="1"/>
  <c r="AX35" i="17"/>
  <c r="AX39" i="17"/>
  <c r="AE50" i="18"/>
  <c r="AE46" i="18"/>
  <c r="V34" i="17"/>
  <c r="V40" i="17" s="1"/>
  <c r="V45" i="17"/>
  <c r="V51" i="17" s="1"/>
  <c r="V24" i="17"/>
  <c r="T50" i="16"/>
  <c r="T46" i="16"/>
  <c r="AM35" i="18"/>
  <c r="AM39" i="18"/>
  <c r="AA35" i="17"/>
  <c r="AA39" i="17"/>
  <c r="J23" i="18"/>
  <c r="J44" i="18"/>
  <c r="J33" i="18"/>
  <c r="Z23" i="18"/>
  <c r="Z44" i="18"/>
  <c r="Z33" i="18"/>
  <c r="AP23" i="18"/>
  <c r="AP44" i="18"/>
  <c r="AP33" i="18"/>
  <c r="H44" i="17"/>
  <c r="H23" i="17"/>
  <c r="H33" i="17"/>
  <c r="AR39" i="17"/>
  <c r="AR35" i="17"/>
  <c r="AC50" i="18"/>
  <c r="AC46" i="18"/>
  <c r="P50" i="16"/>
  <c r="P46" i="16"/>
  <c r="AB23" i="17"/>
  <c r="AB44" i="17"/>
  <c r="AB33" i="17"/>
  <c r="AN35" i="16"/>
  <c r="AN39" i="16"/>
  <c r="AW46" i="17"/>
  <c r="AW50" i="17"/>
  <c r="I39" i="16"/>
  <c r="I35" i="16"/>
  <c r="S44" i="16"/>
  <c r="S23" i="16"/>
  <c r="S33" i="16"/>
  <c r="AD23" i="18"/>
  <c r="AD44" i="18"/>
  <c r="AD33" i="18"/>
  <c r="J46" i="16"/>
  <c r="J50" i="16"/>
  <c r="AG45" i="17"/>
  <c r="AG51" i="17" s="1"/>
  <c r="AG24" i="17"/>
  <c r="AG34" i="17"/>
  <c r="AG40" i="17" s="1"/>
  <c r="K44" i="16"/>
  <c r="K33" i="16"/>
  <c r="K23" i="16"/>
  <c r="AO50" i="16"/>
  <c r="AO46" i="16"/>
  <c r="AE46" i="17"/>
  <c r="M35" i="17"/>
  <c r="M39" i="17"/>
  <c r="AI50" i="17"/>
  <c r="AI46" i="17"/>
  <c r="AK35" i="18"/>
  <c r="AK39" i="18"/>
  <c r="U50" i="18"/>
  <c r="U46" i="18"/>
  <c r="I35" i="17"/>
  <c r="I39" i="17"/>
  <c r="N39" i="17"/>
  <c r="N35" i="17"/>
  <c r="L44" i="18"/>
  <c r="L23" i="18"/>
  <c r="L33" i="18"/>
  <c r="AB44" i="18"/>
  <c r="AB23" i="18"/>
  <c r="AB33" i="18"/>
  <c r="AR44" i="18"/>
  <c r="AR23" i="18"/>
  <c r="AR33" i="18"/>
  <c r="AX46" i="17"/>
  <c r="AX50" i="17"/>
  <c r="W50" i="18"/>
  <c r="W46" i="18"/>
  <c r="V44" i="17"/>
  <c r="V23" i="17"/>
  <c r="V33" i="17"/>
  <c r="AB39" i="16"/>
  <c r="AB35" i="16"/>
  <c r="G34" i="16"/>
  <c r="G40" i="16" s="1"/>
  <c r="G24" i="16"/>
  <c r="G45" i="16"/>
  <c r="G51" i="16" s="1"/>
  <c r="W34" i="16"/>
  <c r="W40" i="16" s="1"/>
  <c r="W45" i="16"/>
  <c r="W51" i="16" s="1"/>
  <c r="W24" i="16"/>
  <c r="AV46" i="16"/>
  <c r="AV50" i="16"/>
  <c r="P39" i="17"/>
  <c r="P35" i="17"/>
  <c r="G50" i="17"/>
  <c r="G46" i="17"/>
  <c r="AT34" i="18"/>
  <c r="AT40" i="18" s="1"/>
  <c r="AT24" i="18"/>
  <c r="AT45" i="18"/>
  <c r="AT51" i="18" s="1"/>
  <c r="Y50" i="18"/>
  <c r="Y46" i="18"/>
  <c r="AT35" i="17"/>
  <c r="AT39" i="17"/>
  <c r="E23" i="16"/>
  <c r="E33" i="16"/>
  <c r="E44" i="16"/>
  <c r="AC35" i="16"/>
  <c r="AC39" i="16"/>
  <c r="AE35" i="17"/>
  <c r="D50" i="16"/>
  <c r="D46" i="16"/>
  <c r="O35" i="17"/>
  <c r="O39" i="17"/>
  <c r="AO50" i="18"/>
  <c r="AO46" i="18"/>
  <c r="Y35" i="17"/>
  <c r="Y39" i="17"/>
  <c r="F35" i="16"/>
  <c r="F39" i="16"/>
  <c r="P44" i="18"/>
  <c r="P23" i="18"/>
  <c r="P33" i="18"/>
  <c r="AF44" i="18"/>
  <c r="AF23" i="18"/>
  <c r="AF33" i="18"/>
  <c r="AV44" i="18"/>
  <c r="AV23" i="18"/>
  <c r="AV33" i="18"/>
  <c r="AJ23" i="17"/>
  <c r="AJ44" i="17"/>
  <c r="AJ33" i="17"/>
  <c r="AF46" i="16"/>
  <c r="AF50" i="16"/>
  <c r="AU34" i="17"/>
  <c r="AU40" i="17" s="1"/>
  <c r="AU24" i="17"/>
  <c r="AU45" i="17"/>
  <c r="AU51" i="17" s="1"/>
  <c r="Z35" i="16"/>
  <c r="Z39" i="16"/>
  <c r="AH50" i="16"/>
  <c r="AH46" i="16"/>
  <c r="AJ44" i="16"/>
  <c r="AJ23" i="16"/>
  <c r="AJ33" i="16"/>
  <c r="AI50" i="18"/>
  <c r="AI46" i="18"/>
  <c r="AL34" i="18"/>
  <c r="AL40" i="18" s="1"/>
  <c r="AL24" i="18"/>
  <c r="AL45" i="18"/>
  <c r="AL51" i="18" s="1"/>
  <c r="AG35" i="18"/>
  <c r="AG39" i="18"/>
  <c r="AK35" i="16"/>
  <c r="AK39" i="16"/>
  <c r="AS46" i="17"/>
  <c r="AS50" i="17"/>
  <c r="AE50" i="16"/>
  <c r="AE46" i="16"/>
  <c r="AA39" i="16"/>
  <c r="AA35" i="16"/>
  <c r="AG46" i="16"/>
  <c r="AG50" i="16"/>
  <c r="AY39" i="16"/>
  <c r="AY35" i="16"/>
  <c r="AU35" i="18"/>
  <c r="AU39" i="18"/>
  <c r="L46" i="17"/>
  <c r="L50" i="17"/>
  <c r="R34" i="18"/>
  <c r="R40" i="18" s="1"/>
  <c r="R24" i="18"/>
  <c r="R45" i="18"/>
  <c r="R51" i="18" s="1"/>
  <c r="AO46" i="17"/>
  <c r="AO50" i="17"/>
  <c r="X50" i="16"/>
  <c r="X46" i="16"/>
  <c r="G27" i="18"/>
  <c r="F30" i="18"/>
  <c r="AS35" i="18"/>
  <c r="AS39" i="18"/>
  <c r="J13" i="17"/>
  <c r="AZ10" i="17"/>
  <c r="E33" i="17"/>
  <c r="E23" i="17"/>
  <c r="E44" i="17"/>
  <c r="AD35" i="16"/>
  <c r="AD39" i="16"/>
  <c r="G44" i="16"/>
  <c r="G33" i="16"/>
  <c r="G23" i="16"/>
  <c r="AQ35" i="18"/>
  <c r="AQ39" i="18"/>
  <c r="Q50" i="17"/>
  <c r="Q46" i="17"/>
  <c r="AT23" i="18"/>
  <c r="AT44" i="18"/>
  <c r="AT33" i="18"/>
  <c r="AT46" i="17"/>
  <c r="AT50" i="17"/>
  <c r="V50" i="16"/>
  <c r="V46" i="16"/>
  <c r="AC46" i="16"/>
  <c r="AC50" i="16"/>
  <c r="F34" i="18"/>
  <c r="F40" i="18" s="1"/>
  <c r="F45" i="18"/>
  <c r="F51" i="18" s="1"/>
  <c r="F24" i="18"/>
  <c r="AZ22" i="18"/>
  <c r="K50" i="18"/>
  <c r="K46" i="18"/>
  <c r="W35" i="17"/>
  <c r="W39" i="17"/>
  <c r="AW50" i="18"/>
  <c r="AW46" i="18"/>
  <c r="S50" i="18"/>
  <c r="S46" i="18"/>
  <c r="H39" i="16"/>
  <c r="H35" i="16"/>
  <c r="X34" i="18"/>
  <c r="X40" i="18" s="1"/>
  <c r="X24" i="18"/>
  <c r="X45" i="18"/>
  <c r="X51" i="18" s="1"/>
  <c r="AN34" i="18"/>
  <c r="AN40" i="18" s="1"/>
  <c r="AN24" i="18"/>
  <c r="AN45" i="18"/>
  <c r="AN51" i="18" s="1"/>
  <c r="F34" i="17"/>
  <c r="F40" i="17" s="1"/>
  <c r="F24" i="17"/>
  <c r="F45" i="17"/>
  <c r="F51" i="17" s="1"/>
  <c r="AP46" i="16"/>
  <c r="AP50" i="16"/>
  <c r="AH46" i="17"/>
  <c r="AH50" i="17"/>
  <c r="AA35" i="18"/>
  <c r="AA39" i="18"/>
  <c r="Z34" i="17"/>
  <c r="Z40" i="17" s="1"/>
  <c r="Z45" i="17"/>
  <c r="Z51" i="17" s="1"/>
  <c r="Z24" i="17"/>
  <c r="AF39" i="16"/>
  <c r="AF35" i="16"/>
  <c r="AU44" i="17"/>
  <c r="AU33" i="17"/>
  <c r="AU23" i="17"/>
  <c r="Z50" i="16"/>
  <c r="Z46" i="16"/>
  <c r="AW35" i="16"/>
  <c r="AW39" i="16"/>
  <c r="AY50" i="18"/>
  <c r="AY46" i="18"/>
  <c r="AL23" i="18"/>
  <c r="AL44" i="18"/>
  <c r="AL33" i="18"/>
  <c r="AK50" i="17"/>
  <c r="AK46" i="17"/>
  <c r="AP46" i="17"/>
  <c r="AP50" i="17"/>
  <c r="G27" i="16"/>
  <c r="F30" i="16"/>
  <c r="AS39" i="17"/>
  <c r="AS35" i="17"/>
  <c r="AE39" i="16"/>
  <c r="AE35" i="16"/>
  <c r="AQ34" i="17"/>
  <c r="AQ40" i="17" s="1"/>
  <c r="AQ24" i="17"/>
  <c r="AQ45" i="17"/>
  <c r="AQ51" i="17" s="1"/>
  <c r="H46" i="18"/>
  <c r="H50" i="18"/>
  <c r="T35" i="16"/>
  <c r="T39" i="16"/>
  <c r="AM50" i="18"/>
  <c r="AM46" i="18"/>
  <c r="AA50" i="17"/>
  <c r="AA46" i="17"/>
  <c r="I35" i="18"/>
  <c r="I39" i="18"/>
  <c r="R23" i="18"/>
  <c r="R44" i="18"/>
  <c r="R33" i="18"/>
  <c r="AH23" i="18"/>
  <c r="AH44" i="18"/>
  <c r="AH33" i="18"/>
  <c r="AX23" i="18"/>
  <c r="AX44" i="18"/>
  <c r="AX33" i="18"/>
  <c r="AR50" i="17"/>
  <c r="AR46" i="17"/>
  <c r="AC35" i="18"/>
  <c r="AC39" i="18"/>
  <c r="P39" i="16"/>
  <c r="P35" i="16"/>
  <c r="AI50" i="16"/>
  <c r="AI46" i="16"/>
  <c r="AN46" i="16"/>
  <c r="AN50" i="16"/>
  <c r="AO39" i="17"/>
  <c r="AO35" i="17"/>
  <c r="Q46" i="16"/>
  <c r="Q50" i="16"/>
  <c r="N44" i="16"/>
  <c r="N33" i="16"/>
  <c r="N23" i="16"/>
  <c r="AY44" i="17"/>
  <c r="AY33" i="17"/>
  <c r="AY23" i="17"/>
  <c r="U24" i="16"/>
  <c r="U45" i="16"/>
  <c r="U51" i="16" s="1"/>
  <c r="U34" i="16"/>
  <c r="U40" i="16" s="1"/>
  <c r="J35" i="16"/>
  <c r="J39" i="16"/>
  <c r="R44" i="17"/>
  <c r="R23" i="17"/>
  <c r="R33" i="17"/>
  <c r="Y45" i="16"/>
  <c r="Y51" i="16" s="1"/>
  <c r="Y34" i="16"/>
  <c r="Y40" i="16" s="1"/>
  <c r="Y24" i="16"/>
  <c r="G50" i="18"/>
  <c r="G46" i="18"/>
  <c r="T46" i="17"/>
  <c r="T50" i="17"/>
  <c r="M50" i="17"/>
  <c r="M46" i="17"/>
  <c r="M50" i="18"/>
  <c r="M46" i="18"/>
  <c r="AI35" i="17"/>
  <c r="AI39" i="17"/>
  <c r="AK50" i="18"/>
  <c r="AK46" i="18"/>
  <c r="Q50" i="18"/>
  <c r="Q46" i="18"/>
  <c r="U35" i="18"/>
  <c r="U39" i="18"/>
  <c r="I50" i="17"/>
  <c r="I46" i="17"/>
  <c r="T44" i="18"/>
  <c r="T23" i="18"/>
  <c r="T33" i="18"/>
  <c r="AJ44" i="18"/>
  <c r="AJ23" i="18"/>
  <c r="AJ33" i="18"/>
  <c r="E24" i="17"/>
  <c r="E45" i="17"/>
  <c r="E51" i="17" s="1"/>
  <c r="E34" i="17"/>
  <c r="E40" i="17" s="1"/>
  <c r="W35" i="18"/>
  <c r="W39" i="18"/>
  <c r="AD50" i="16"/>
  <c r="AD46" i="16"/>
  <c r="AD44" i="17"/>
  <c r="AD23" i="17"/>
  <c r="AD33" i="17"/>
  <c r="AM50" i="16"/>
  <c r="AM46" i="16"/>
  <c r="R45" i="16"/>
  <c r="R51" i="16" s="1"/>
  <c r="R34" i="16"/>
  <c r="R40" i="16" s="1"/>
  <c r="R24" i="16"/>
  <c r="AM34" i="17"/>
  <c r="AM40" i="17" s="1"/>
  <c r="AM24" i="17"/>
  <c r="AM45" i="17"/>
  <c r="AM51" i="17" s="1"/>
  <c r="AX35" i="16"/>
  <c r="AX39" i="16"/>
  <c r="AQ46" i="16"/>
  <c r="AQ50" i="16"/>
  <c r="P46" i="17"/>
  <c r="P50" i="17"/>
  <c r="G35" i="17"/>
  <c r="G39" i="17"/>
  <c r="V34" i="18"/>
  <c r="V40" i="18" s="1"/>
  <c r="V24" i="18"/>
  <c r="V45" i="18"/>
  <c r="V51" i="18" s="1"/>
  <c r="Y35" i="18"/>
  <c r="Y39" i="18"/>
  <c r="X34" i="17"/>
  <c r="X40" i="17" s="1"/>
  <c r="X45" i="17"/>
  <c r="X51" i="17" s="1"/>
  <c r="X24" i="17"/>
  <c r="M46" i="16"/>
  <c r="M50" i="16"/>
  <c r="V35" i="16"/>
  <c r="V39" i="16"/>
  <c r="F44" i="18"/>
  <c r="F23" i="18"/>
  <c r="F33" i="18"/>
  <c r="AZ21" i="18"/>
  <c r="D39" i="16"/>
  <c r="D35" i="16"/>
  <c r="K35" i="18"/>
  <c r="K39" i="18"/>
  <c r="O50" i="17"/>
  <c r="O46" i="17"/>
  <c r="AO35" i="18"/>
  <c r="AO39" i="18"/>
  <c r="O50" i="18"/>
  <c r="O46" i="18"/>
  <c r="S35" i="18"/>
  <c r="S39" i="18"/>
  <c r="Y50" i="17"/>
  <c r="Y46" i="17"/>
  <c r="F46" i="16"/>
  <c r="F50" i="16"/>
  <c r="X44" i="18"/>
  <c r="X23" i="18"/>
  <c r="X33" i="18"/>
  <c r="AN44" i="18"/>
  <c r="AN23" i="18"/>
  <c r="AN33" i="18"/>
  <c r="F23" i="17"/>
  <c r="F44" i="17"/>
  <c r="F33" i="17"/>
  <c r="AP39" i="16"/>
  <c r="AP35" i="16"/>
  <c r="Z44" i="17"/>
  <c r="Z23" i="17"/>
  <c r="Z33" i="17"/>
  <c r="O34" i="16"/>
  <c r="O40" i="16" s="1"/>
  <c r="O24" i="16"/>
  <c r="O45" i="16"/>
  <c r="O51" i="16" s="1"/>
  <c r="AW46" i="16"/>
  <c r="AW50" i="16"/>
  <c r="AI35" i="18"/>
  <c r="AI39" i="18"/>
  <c r="N34" i="18"/>
  <c r="N40" i="18" s="1"/>
  <c r="N24" i="18"/>
  <c r="N45" i="18"/>
  <c r="N51" i="18" s="1"/>
  <c r="AK35" i="17"/>
  <c r="AK39" i="17"/>
  <c r="AG50" i="18"/>
  <c r="AG46" i="18"/>
  <c r="AK50" i="16"/>
  <c r="AK46" i="16"/>
  <c r="AQ44" i="17"/>
  <c r="AQ33" i="17"/>
  <c r="AQ23" i="17"/>
  <c r="AN50" i="17"/>
  <c r="AN46" i="17"/>
  <c r="I50" i="18"/>
  <c r="I46" i="18"/>
  <c r="AH34" i="18"/>
  <c r="AH40" i="18" s="1"/>
  <c r="AH24" i="18"/>
  <c r="AH45" i="18"/>
  <c r="AH51" i="18" s="1"/>
  <c r="AL46" i="17"/>
  <c r="AL50" i="17"/>
  <c r="AV50" i="17"/>
  <c r="AV46" i="17"/>
  <c r="AW39" i="17"/>
  <c r="AW35" i="17"/>
  <c r="AY34" i="17"/>
  <c r="AY40" i="17" s="1"/>
  <c r="AY24" i="17"/>
  <c r="AY45" i="17"/>
  <c r="AY51" i="17" s="1"/>
  <c r="R34" i="17"/>
  <c r="R40" i="17" s="1"/>
  <c r="R24" i="17"/>
  <c r="R45" i="17"/>
  <c r="R51" i="17" s="1"/>
  <c r="AO39" i="16"/>
  <c r="AO35" i="16"/>
  <c r="N46" i="17"/>
  <c r="N50" i="17"/>
  <c r="AJ34" i="18"/>
  <c r="AJ40" i="18" s="1"/>
  <c r="AJ24" i="18"/>
  <c r="AJ45" i="18"/>
  <c r="AJ51" i="18" s="1"/>
  <c r="AE35" i="18"/>
  <c r="AE39" i="18"/>
  <c r="E45" i="16"/>
  <c r="E51" i="16" s="1"/>
  <c r="E24" i="16"/>
  <c r="E34" i="16"/>
  <c r="E40" i="16" s="1"/>
  <c r="AN39" i="17"/>
  <c r="AN35" i="17"/>
  <c r="AU50" i="18"/>
  <c r="AU46" i="18"/>
  <c r="L39" i="17"/>
  <c r="L35" i="17"/>
  <c r="AC35" i="17"/>
  <c r="AC39" i="17"/>
  <c r="Z34" i="18"/>
  <c r="Z40" i="18" s="1"/>
  <c r="Z24" i="18"/>
  <c r="Z45" i="18"/>
  <c r="Z51" i="18" s="1"/>
  <c r="H34" i="17"/>
  <c r="H40" i="17" s="1"/>
  <c r="H24" i="17"/>
  <c r="H45" i="17"/>
  <c r="H51" i="17" s="1"/>
  <c r="AL35" i="17"/>
  <c r="AL39" i="17"/>
  <c r="L39" i="16"/>
  <c r="L35" i="16"/>
  <c r="AV39" i="17"/>
  <c r="AV35" i="17"/>
  <c r="Q39" i="16"/>
  <c r="Q35" i="16"/>
  <c r="AT15" i="16"/>
  <c r="AS10" i="16"/>
  <c r="AS13" i="16" s="1"/>
  <c r="AT14" i="16" s="1"/>
  <c r="AT10" i="16" s="1"/>
  <c r="AT13" i="16" s="1"/>
  <c r="AD34" i="18"/>
  <c r="AD40" i="18" s="1"/>
  <c r="AD24" i="18"/>
  <c r="AD45" i="18"/>
  <c r="AD51" i="18" s="1"/>
  <c r="AG33" i="17"/>
  <c r="AG44" i="17"/>
  <c r="AG23" i="17"/>
  <c r="G35" i="18"/>
  <c r="G39" i="18"/>
  <c r="M35" i="18"/>
  <c r="M39" i="18"/>
  <c r="AB34" i="18"/>
  <c r="AB40" i="18" s="1"/>
  <c r="AB24" i="18"/>
  <c r="AB45" i="18"/>
  <c r="AB51" i="18" s="1"/>
  <c r="AZ10" i="16"/>
  <c r="AM35" i="16"/>
  <c r="AM39" i="16"/>
  <c r="AB46" i="16"/>
  <c r="AB50" i="16"/>
  <c r="AM44" i="17"/>
  <c r="AM33" i="17"/>
  <c r="AM23" i="17"/>
  <c r="AX50" i="16"/>
  <c r="AX46" i="16"/>
  <c r="AQ35" i="16"/>
  <c r="AQ39" i="16"/>
  <c r="AQ50" i="18"/>
  <c r="AQ46" i="18"/>
  <c r="Q35" i="17"/>
  <c r="Q39" i="17"/>
  <c r="V23" i="18"/>
  <c r="V44" i="18"/>
  <c r="V33" i="18"/>
  <c r="X23" i="17"/>
  <c r="X44" i="17"/>
  <c r="X33" i="17"/>
  <c r="M39" i="16"/>
  <c r="M35" i="16"/>
  <c r="H27" i="17"/>
  <c r="G30" i="17"/>
  <c r="W50" i="17"/>
  <c r="W46" i="17"/>
  <c r="AW35" i="18"/>
  <c r="AW39" i="18"/>
  <c r="O35" i="18"/>
  <c r="O39" i="18"/>
  <c r="H50" i="16"/>
  <c r="H46" i="16"/>
  <c r="P34" i="18"/>
  <c r="P40" i="18" s="1"/>
  <c r="P24" i="18"/>
  <c r="P45" i="18"/>
  <c r="P51" i="18" s="1"/>
  <c r="AF34" i="18"/>
  <c r="AF40" i="18" s="1"/>
  <c r="AF24" i="18"/>
  <c r="AF45" i="18"/>
  <c r="AF51" i="18" s="1"/>
  <c r="AV34" i="18"/>
  <c r="AV40" i="18" s="1"/>
  <c r="AV24" i="18"/>
  <c r="AV45" i="18"/>
  <c r="AV51" i="18" s="1"/>
  <c r="AJ34" i="17"/>
  <c r="AJ40" i="17" s="1"/>
  <c r="AJ24" i="17"/>
  <c r="AJ45" i="17"/>
  <c r="AJ51" i="17" s="1"/>
  <c r="AH39" i="17"/>
  <c r="AH35" i="17"/>
  <c r="AA50" i="18"/>
  <c r="AA46" i="18"/>
  <c r="O44" i="16"/>
  <c r="O33" i="16"/>
  <c r="O23" i="16"/>
  <c r="AH35" i="16"/>
  <c r="AH39" i="16"/>
  <c r="AJ34" i="16"/>
  <c r="AJ40" i="16" s="1"/>
  <c r="AJ45" i="16"/>
  <c r="AJ51" i="16" s="1"/>
  <c r="AJ24" i="16"/>
  <c r="AY35" i="18"/>
  <c r="AY39" i="18"/>
  <c r="N23" i="18"/>
  <c r="N44" i="18"/>
  <c r="N33" i="18"/>
  <c r="AP35" i="17"/>
  <c r="AP39" i="17"/>
  <c r="AA50" i="16"/>
  <c r="AA46" i="16"/>
  <c r="AG35" i="16"/>
  <c r="AG39" i="16"/>
  <c r="AY50" i="16"/>
  <c r="AY46" i="16"/>
  <c r="X46" i="17" l="1"/>
  <c r="X50" i="17"/>
  <c r="AD46" i="17"/>
  <c r="AD50" i="17"/>
  <c r="T39" i="18"/>
  <c r="T35" i="18"/>
  <c r="R46" i="18"/>
  <c r="R50" i="18"/>
  <c r="E35" i="17"/>
  <c r="E39" i="17"/>
  <c r="AR46" i="18"/>
  <c r="AR50" i="18"/>
  <c r="K35" i="16"/>
  <c r="K39" i="16"/>
  <c r="AD46" i="18"/>
  <c r="AD50" i="18"/>
  <c r="AB46" i="17"/>
  <c r="AB50" i="17"/>
  <c r="H39" i="17"/>
  <c r="H35" i="17"/>
  <c r="N39" i="18"/>
  <c r="N35" i="18"/>
  <c r="F46" i="18"/>
  <c r="F50" i="18"/>
  <c r="N35" i="16"/>
  <c r="N39" i="16"/>
  <c r="AX39" i="18"/>
  <c r="AX35" i="18"/>
  <c r="AL39" i="18"/>
  <c r="AL35" i="18"/>
  <c r="AJ39" i="16"/>
  <c r="AJ35" i="16"/>
  <c r="AF46" i="18"/>
  <c r="AF50" i="18"/>
  <c r="AB39" i="18"/>
  <c r="AB35" i="18"/>
  <c r="U46" i="16"/>
  <c r="U50" i="16"/>
  <c r="N46" i="18"/>
  <c r="N50" i="18"/>
  <c r="V39" i="18"/>
  <c r="V35" i="18"/>
  <c r="AM35" i="17"/>
  <c r="AM39" i="17"/>
  <c r="AG35" i="17"/>
  <c r="AG39" i="17"/>
  <c r="AU21" i="16"/>
  <c r="AU22" i="16"/>
  <c r="AQ35" i="17"/>
  <c r="AQ39" i="17"/>
  <c r="Z46" i="17"/>
  <c r="Z50" i="17"/>
  <c r="F46" i="17"/>
  <c r="F50" i="17"/>
  <c r="AN46" i="18"/>
  <c r="AN50" i="18"/>
  <c r="AD39" i="17"/>
  <c r="AD35" i="17"/>
  <c r="T46" i="18"/>
  <c r="T50" i="18"/>
  <c r="AY35" i="17"/>
  <c r="AY39" i="17"/>
  <c r="N46" i="16"/>
  <c r="N50" i="16"/>
  <c r="AX46" i="18"/>
  <c r="AX50" i="18"/>
  <c r="AL46" i="18"/>
  <c r="AL50" i="18"/>
  <c r="AT46" i="18"/>
  <c r="AT50" i="18"/>
  <c r="G50" i="16"/>
  <c r="G46" i="16"/>
  <c r="E50" i="17"/>
  <c r="E46" i="17"/>
  <c r="K22" i="17"/>
  <c r="K21" i="17"/>
  <c r="H27" i="18"/>
  <c r="G30" i="18"/>
  <c r="AJ46" i="17"/>
  <c r="AJ50" i="17"/>
  <c r="AV46" i="18"/>
  <c r="AV50" i="18"/>
  <c r="P39" i="18"/>
  <c r="P35" i="18"/>
  <c r="AR39" i="18"/>
  <c r="AR35" i="18"/>
  <c r="L46" i="18"/>
  <c r="L50" i="18"/>
  <c r="S39" i="16"/>
  <c r="S35" i="16"/>
  <c r="H46" i="17"/>
  <c r="H50" i="17"/>
  <c r="Z39" i="18"/>
  <c r="Z35" i="18"/>
  <c r="J46" i="18"/>
  <c r="J50" i="18"/>
  <c r="W35" i="16"/>
  <c r="W39" i="16"/>
  <c r="R35" i="16"/>
  <c r="R39" i="16"/>
  <c r="Y35" i="16"/>
  <c r="Y39" i="16"/>
  <c r="U39" i="16"/>
  <c r="U35" i="16"/>
  <c r="O35" i="16"/>
  <c r="O39" i="16"/>
  <c r="H30" i="17"/>
  <c r="I27" i="17"/>
  <c r="Z39" i="17"/>
  <c r="Z35" i="17"/>
  <c r="AN39" i="18"/>
  <c r="AN35" i="18"/>
  <c r="AZ23" i="18"/>
  <c r="AH39" i="18"/>
  <c r="AH35" i="18"/>
  <c r="H27" i="16"/>
  <c r="G30" i="16"/>
  <c r="AU50" i="17"/>
  <c r="AU46" i="17"/>
  <c r="AZ24" i="18"/>
  <c r="AV39" i="18"/>
  <c r="AV35" i="18"/>
  <c r="P46" i="18"/>
  <c r="P50" i="18"/>
  <c r="E39" i="16"/>
  <c r="E35" i="16"/>
  <c r="L39" i="18"/>
  <c r="L35" i="18"/>
  <c r="S50" i="16"/>
  <c r="S46" i="16"/>
  <c r="AP46" i="18"/>
  <c r="AP50" i="18"/>
  <c r="W46" i="16"/>
  <c r="W50" i="16"/>
  <c r="O50" i="16"/>
  <c r="O46" i="16"/>
  <c r="AG50" i="17"/>
  <c r="AG46" i="17"/>
  <c r="F39" i="17"/>
  <c r="F35" i="17"/>
  <c r="X46" i="18"/>
  <c r="X50" i="18"/>
  <c r="AJ39" i="18"/>
  <c r="AJ35" i="18"/>
  <c r="R39" i="17"/>
  <c r="R35" i="17"/>
  <c r="AH46" i="18"/>
  <c r="AH50" i="18"/>
  <c r="AT39" i="18"/>
  <c r="AT35" i="18"/>
  <c r="G35" i="16"/>
  <c r="G39" i="16"/>
  <c r="AJ39" i="17"/>
  <c r="AJ35" i="17"/>
  <c r="V46" i="17"/>
  <c r="V50" i="17"/>
  <c r="K50" i="16"/>
  <c r="K46" i="16"/>
  <c r="J39" i="18"/>
  <c r="J35" i="18"/>
  <c r="X39" i="17"/>
  <c r="X35" i="17"/>
  <c r="V46" i="18"/>
  <c r="V50" i="18"/>
  <c r="AM50" i="17"/>
  <c r="AM46" i="17"/>
  <c r="AQ50" i="17"/>
  <c r="AQ46" i="17"/>
  <c r="X39" i="18"/>
  <c r="X35" i="18"/>
  <c r="F35" i="18"/>
  <c r="F39" i="18"/>
  <c r="AJ46" i="18"/>
  <c r="AJ50" i="18"/>
  <c r="R46" i="17"/>
  <c r="R50" i="17"/>
  <c r="AY50" i="17"/>
  <c r="AY46" i="17"/>
  <c r="R39" i="18"/>
  <c r="R35" i="18"/>
  <c r="AU35" i="17"/>
  <c r="AU39" i="17"/>
  <c r="AJ50" i="16"/>
  <c r="AJ46" i="16"/>
  <c r="AF39" i="18"/>
  <c r="AF35" i="18"/>
  <c r="E46" i="16"/>
  <c r="E50" i="16"/>
  <c r="V39" i="17"/>
  <c r="V35" i="17"/>
  <c r="AB46" i="18"/>
  <c r="AB50" i="18"/>
  <c r="AD39" i="18"/>
  <c r="AD35" i="18"/>
  <c r="AB39" i="17"/>
  <c r="AB35" i="17"/>
  <c r="AP39" i="18"/>
  <c r="AP35" i="18"/>
  <c r="Z46" i="18"/>
  <c r="Z50" i="18"/>
  <c r="R46" i="16"/>
  <c r="R50" i="16"/>
  <c r="Y46" i="16"/>
  <c r="Y50" i="16"/>
  <c r="AU24" i="16" l="1"/>
  <c r="AZ24" i="16" s="1"/>
  <c r="AU34" i="16"/>
  <c r="AU40" i="16" s="1"/>
  <c r="AU45" i="16"/>
  <c r="AU51" i="16" s="1"/>
  <c r="AZ22" i="16"/>
  <c r="K45" i="17"/>
  <c r="K51" i="17" s="1"/>
  <c r="K24" i="17"/>
  <c r="AZ24" i="17" s="1"/>
  <c r="K34" i="17"/>
  <c r="K40" i="17" s="1"/>
  <c r="AZ22" i="17"/>
  <c r="AU33" i="16"/>
  <c r="AU44" i="16"/>
  <c r="AU23" i="16"/>
  <c r="AZ23" i="16" s="1"/>
  <c r="AZ21" i="16"/>
  <c r="J27" i="17"/>
  <c r="I30" i="17"/>
  <c r="K33" i="17"/>
  <c r="K23" i="17"/>
  <c r="AZ23" i="17" s="1"/>
  <c r="K44" i="17"/>
  <c r="AZ21" i="17"/>
  <c r="H30" i="16"/>
  <c r="I27" i="16"/>
  <c r="H30" i="18"/>
  <c r="I27" i="18"/>
  <c r="K35" i="17" l="1"/>
  <c r="K39" i="17"/>
  <c r="J27" i="18"/>
  <c r="I30" i="18"/>
  <c r="AU50" i="16"/>
  <c r="AU46" i="16"/>
  <c r="I30" i="16"/>
  <c r="J27" i="16"/>
  <c r="K50" i="17"/>
  <c r="K46" i="17"/>
  <c r="J30" i="17"/>
  <c r="K27" i="17"/>
  <c r="AU39" i="16"/>
  <c r="AU35" i="16"/>
  <c r="L27" i="17" l="1"/>
  <c r="K30" i="17"/>
  <c r="K27" i="16"/>
  <c r="J30" i="16"/>
  <c r="J30" i="18"/>
  <c r="K27" i="18"/>
  <c r="K30" i="16" l="1"/>
  <c r="L27" i="16"/>
  <c r="L27" i="18"/>
  <c r="K30" i="18"/>
  <c r="L30" i="17"/>
  <c r="M27" i="17"/>
  <c r="N27" i="17" l="1"/>
  <c r="M30" i="17"/>
  <c r="L30" i="16"/>
  <c r="M27" i="16"/>
  <c r="L30" i="18"/>
  <c r="M27" i="18"/>
  <c r="M30" i="16" l="1"/>
  <c r="N27" i="16"/>
  <c r="N27" i="18"/>
  <c r="M30" i="18"/>
  <c r="N30" i="17"/>
  <c r="O27" i="17"/>
  <c r="P27" i="17" l="1"/>
  <c r="O30" i="17"/>
  <c r="O27" i="16"/>
  <c r="N30" i="16"/>
  <c r="N30" i="18"/>
  <c r="O27" i="18"/>
  <c r="O30" i="16" l="1"/>
  <c r="P27" i="16"/>
  <c r="P27" i="18"/>
  <c r="O30" i="18"/>
  <c r="Q27" i="17"/>
  <c r="P30" i="17"/>
  <c r="P30" i="18" l="1"/>
  <c r="Q27" i="18"/>
  <c r="P30" i="16"/>
  <c r="Q27" i="16"/>
  <c r="R27" i="17"/>
  <c r="Q30" i="17"/>
  <c r="Q30" i="16" l="1"/>
  <c r="R27" i="16"/>
  <c r="R27" i="18"/>
  <c r="Q30" i="18"/>
  <c r="R30" i="17"/>
  <c r="S27" i="17"/>
  <c r="T27" i="17" l="1"/>
  <c r="S30" i="17"/>
  <c r="S27" i="16"/>
  <c r="R30" i="16"/>
  <c r="R30" i="18"/>
  <c r="S27" i="18"/>
  <c r="S30" i="16" l="1"/>
  <c r="T27" i="16"/>
  <c r="T27" i="18"/>
  <c r="S30" i="18"/>
  <c r="T30" i="17"/>
  <c r="U27" i="17"/>
  <c r="V27" i="17" l="1"/>
  <c r="U30" i="17"/>
  <c r="T30" i="16"/>
  <c r="U27" i="16"/>
  <c r="T30" i="18"/>
  <c r="U27" i="18"/>
  <c r="U30" i="16" l="1"/>
  <c r="V27" i="16"/>
  <c r="V27" i="18"/>
  <c r="U30" i="18"/>
  <c r="V30" i="17"/>
  <c r="W27" i="17"/>
  <c r="X27" i="17" l="1"/>
  <c r="W30" i="17"/>
  <c r="W27" i="16"/>
  <c r="V30" i="16"/>
  <c r="V30" i="18"/>
  <c r="W27" i="18"/>
  <c r="W30" i="16" l="1"/>
  <c r="X27" i="16"/>
  <c r="X27" i="18"/>
  <c r="W30" i="18"/>
  <c r="X30" i="17"/>
  <c r="Y27" i="17"/>
  <c r="Z27" i="17" l="1"/>
  <c r="Y30" i="17"/>
  <c r="Y27" i="16"/>
  <c r="X30" i="16"/>
  <c r="X30" i="18"/>
  <c r="Y27" i="18"/>
  <c r="Z27" i="16" l="1"/>
  <c r="Y30" i="16"/>
  <c r="Z27" i="18"/>
  <c r="Y30" i="18"/>
  <c r="Z30" i="17"/>
  <c r="AA27" i="17"/>
  <c r="AB27" i="17" l="1"/>
  <c r="AA30" i="17"/>
  <c r="Z30" i="18"/>
  <c r="AA27" i="18"/>
  <c r="AA27" i="16"/>
  <c r="Z30" i="16"/>
  <c r="AB27" i="18" l="1"/>
  <c r="AA30" i="18"/>
  <c r="AA30" i="16"/>
  <c r="AB27" i="16"/>
  <c r="AB30" i="17"/>
  <c r="AC27" i="17"/>
  <c r="AD27" i="17" l="1"/>
  <c r="AC30" i="17"/>
  <c r="AB30" i="16"/>
  <c r="AC27" i="16"/>
  <c r="AB30" i="18"/>
  <c r="AC27" i="18"/>
  <c r="AD27" i="16" l="1"/>
  <c r="AC30" i="16"/>
  <c r="AD27" i="18"/>
  <c r="AC30" i="18"/>
  <c r="AD30" i="17"/>
  <c r="AE27" i="17"/>
  <c r="AD30" i="18" l="1"/>
  <c r="AE27" i="18"/>
  <c r="AF27" i="17"/>
  <c r="AE30" i="17"/>
  <c r="AE27" i="16"/>
  <c r="AD30" i="16"/>
  <c r="AF27" i="18" l="1"/>
  <c r="AE30" i="18"/>
  <c r="AF30" i="17"/>
  <c r="AG27" i="17"/>
  <c r="AE30" i="16"/>
  <c r="AF27" i="16"/>
  <c r="AH27" i="17" l="1"/>
  <c r="AG30" i="17"/>
  <c r="AF30" i="16"/>
  <c r="AG27" i="16"/>
  <c r="AF30" i="18"/>
  <c r="AG27" i="18"/>
  <c r="AH27" i="16" l="1"/>
  <c r="AG30" i="16"/>
  <c r="AH27" i="18"/>
  <c r="AG30" i="18"/>
  <c r="AH30" i="17"/>
  <c r="AI27" i="17"/>
  <c r="AJ27" i="17" l="1"/>
  <c r="AI30" i="17"/>
  <c r="AH30" i="18"/>
  <c r="AI27" i="18"/>
  <c r="AI27" i="16"/>
  <c r="AH30" i="16"/>
  <c r="AJ27" i="18" l="1"/>
  <c r="AI30" i="18"/>
  <c r="AJ27" i="16"/>
  <c r="AI30" i="16"/>
  <c r="AJ30" i="17"/>
  <c r="AK27" i="17"/>
  <c r="AL27" i="17" l="1"/>
  <c r="AK30" i="17"/>
  <c r="AK27" i="16"/>
  <c r="AJ30" i="16"/>
  <c r="AJ30" i="18"/>
  <c r="AK27" i="18"/>
  <c r="AL27" i="16" l="1"/>
  <c r="AK30" i="16"/>
  <c r="AL27" i="18"/>
  <c r="AK30" i="18"/>
  <c r="AM27" i="17"/>
  <c r="AL30" i="17"/>
  <c r="AL30" i="18" l="1"/>
  <c r="AM27" i="18"/>
  <c r="AN27" i="17"/>
  <c r="AM30" i="17"/>
  <c r="AL30" i="16"/>
  <c r="AM27" i="16"/>
  <c r="AN27" i="16" l="1"/>
  <c r="AM30" i="16"/>
  <c r="AN27" i="18"/>
  <c r="AM30" i="18"/>
  <c r="AN30" i="17"/>
  <c r="AO27" i="17"/>
  <c r="AN30" i="18" l="1"/>
  <c r="AO27" i="18"/>
  <c r="AO30" i="17"/>
  <c r="AP27" i="17"/>
  <c r="AO27" i="16"/>
  <c r="AN30" i="16"/>
  <c r="AQ27" i="17" l="1"/>
  <c r="AP30" i="17"/>
  <c r="AP27" i="18"/>
  <c r="AO30" i="18"/>
  <c r="AP27" i="16"/>
  <c r="AO30" i="16"/>
  <c r="AP30" i="18" l="1"/>
  <c r="AQ27" i="18"/>
  <c r="AP30" i="16"/>
  <c r="AQ27" i="16"/>
  <c r="AQ30" i="17"/>
  <c r="AR27" i="17"/>
  <c r="AR30" i="17" l="1"/>
  <c r="AS27" i="17"/>
  <c r="AR27" i="18"/>
  <c r="AQ30" i="18"/>
  <c r="AR27" i="16"/>
  <c r="AQ30" i="16"/>
  <c r="AS30" i="17" l="1"/>
  <c r="AT27" i="17"/>
  <c r="AR30" i="18"/>
  <c r="AS27" i="18"/>
  <c r="AS27" i="16"/>
  <c r="AR30" i="16"/>
  <c r="AT27" i="18" l="1"/>
  <c r="AS30" i="18"/>
  <c r="AU27" i="17"/>
  <c r="AT30" i="17"/>
  <c r="AS30" i="16"/>
  <c r="AT27" i="16"/>
  <c r="AU27" i="16" l="1"/>
  <c r="AT30" i="16"/>
  <c r="AU30" i="17"/>
  <c r="AV27" i="17"/>
  <c r="AT30" i="18"/>
  <c r="AU27" i="18"/>
  <c r="AV30" i="17" l="1"/>
  <c r="AW27" i="17"/>
  <c r="AV27" i="18"/>
  <c r="AU30" i="18"/>
  <c r="AU30" i="16"/>
  <c r="AV27" i="16"/>
  <c r="AV30" i="16" l="1"/>
  <c r="AW27" i="16"/>
  <c r="AW30" i="17"/>
  <c r="AX27" i="17"/>
  <c r="AV30" i="18"/>
  <c r="AW27" i="18"/>
  <c r="AX27" i="18" l="1"/>
  <c r="AW30" i="18"/>
  <c r="AX27" i="16"/>
  <c r="AW30" i="16"/>
  <c r="AY27" i="17"/>
  <c r="AY30" i="17" s="1"/>
  <c r="AZ30" i="17" s="1"/>
  <c r="AX30" i="17"/>
  <c r="AY27" i="16" l="1"/>
  <c r="AY30" i="16" s="1"/>
  <c r="AZ30" i="16" s="1"/>
  <c r="AX30" i="16"/>
  <c r="AX30" i="18"/>
  <c r="AY27" i="18"/>
  <c r="AY30" i="18" s="1"/>
  <c r="AZ30" i="18" s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6" i="5"/>
  <c r="G16" i="5"/>
</calcChain>
</file>

<file path=xl/sharedStrings.xml><?xml version="1.0" encoding="utf-8"?>
<sst xmlns="http://schemas.openxmlformats.org/spreadsheetml/2006/main" count="2532" uniqueCount="414">
  <si>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</si>
  <si>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</si>
  <si>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</si>
  <si>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</si>
  <si>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</si>
  <si>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</si>
  <si>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</si>
  <si>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</si>
  <si>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</si>
  <si>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</si>
  <si>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</si>
  <si>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</si>
  <si>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</si>
  <si>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</si>
  <si>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</si>
  <si>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</si>
  <si>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</si>
  <si>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</si>
  <si>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</si>
  <si>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</si>
  <si>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</si>
  <si>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</si>
  <si>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</si>
  <si>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</si>
  <si>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</si>
  <si>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</si>
  <si>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</si>
  <si>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</si>
  <si>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</si>
  <si>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</si>
  <si>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</si>
  <si>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</si>
  <si>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</si>
  <si>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</si>
  <si>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</si>
  <si>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</si>
  <si>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</si>
  <si>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</si>
  <si>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</si>
  <si>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</si>
  <si>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</si>
  <si>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</si>
  <si>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</si>
  <si>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</si>
  <si>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</si>
  <si>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</si>
  <si>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</si>
  <si>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</si>
  <si>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</si>
  <si>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</si>
  <si>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</si>
  <si>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</si>
  <si>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</si>
  <si>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</si>
  <si>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</si>
  <si>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</si>
  <si>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</si>
  <si>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</si>
  <si>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</si>
  <si>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</si>
  <si>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</si>
  <si>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</si>
  <si>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</si>
  <si>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</si>
  <si>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</si>
  <si>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</si>
  <si>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</si>
  <si>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</si>
  <si>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</si>
  <si>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</si>
  <si>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</si>
  <si>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</si>
  <si>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</si>
  <si>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</si>
  <si>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</si>
  <si>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</si>
  <si>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</si>
  <si>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</si>
  <si>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</si>
  <si>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</si>
  <si>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</si>
  <si>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</si>
  <si>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</si>
  <si>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</si>
  <si>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</si>
  <si>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</si>
  <si>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</si>
  <si>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</si>
  <si>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</si>
  <si>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</si>
  <si>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</si>
  <si>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</si>
  <si>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</si>
  <si>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</si>
  <si>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</si>
  <si>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</si>
  <si>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</si>
  <si>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</si>
  <si>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</si>
  <si>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</si>
  <si>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</si>
  <si>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</si>
  <si>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</si>
  <si>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</si>
  <si>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</si>
  <si>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</si>
  <si>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</si>
  <si>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</si>
  <si>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</si>
  <si>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</si>
  <si>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</si>
  <si>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</si>
  <si>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</si>
  <si>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</si>
  <si>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</si>
  <si>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</si>
  <si>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</si>
  <si>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</si>
  <si>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</si>
  <si>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</si>
  <si>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</si>
  <si>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</si>
  <si>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</si>
  <si>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</si>
  <si>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</si>
  <si>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</si>
  <si>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</si>
  <si>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</si>
  <si>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</si>
  <si>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</si>
  <si>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</si>
  <si>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</si>
  <si>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</si>
  <si>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</si>
  <si>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</si>
  <si>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</si>
  <si>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</si>
  <si>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</si>
  <si>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</si>
  <si>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</si>
  <si>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</si>
  <si>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</si>
  <si>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</si>
  <si>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</si>
  <si>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</si>
  <si>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</si>
  <si>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</si>
  <si>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</si>
  <si>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</si>
  <si>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</si>
  <si>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</si>
  <si>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</si>
  <si>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</si>
  <si>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</si>
  <si>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</si>
  <si>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</si>
  <si>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</si>
  <si>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</si>
  <si>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</si>
  <si>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</si>
  <si>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</si>
  <si>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</si>
  <si>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</si>
  <si>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</si>
  <si>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</si>
  <si>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</si>
  <si>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</si>
  <si>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</si>
  <si>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</si>
  <si>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</si>
  <si>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</si>
  <si>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</si>
  <si>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</si>
  <si>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</si>
  <si>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</si>
  <si>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</si>
  <si>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</si>
  <si>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</si>
  <si>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</si>
  <si>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</si>
  <si>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</si>
  <si>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</si>
  <si>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</si>
  <si>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</si>
  <si>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</si>
  <si>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</si>
  <si>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</si>
  <si>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</si>
  <si>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</si>
  <si>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</si>
  <si>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</si>
  <si>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</si>
  <si>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</si>
  <si>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</si>
  <si>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</si>
  <si>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</si>
  <si>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</si>
  <si>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</si>
  <si>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</si>
  <si>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</si>
  <si>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</si>
  <si>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</si>
  <si>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</si>
  <si>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</si>
  <si>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</si>
  <si>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</si>
  <si>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</si>
  <si>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</si>
  <si>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</si>
  <si>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</si>
  <si>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</si>
  <si>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</si>
  <si>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</si>
  <si>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</si>
  <si>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</si>
  <si>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</si>
  <si>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</si>
  <si>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</si>
  <si>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</si>
  <si>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</si>
  <si>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</si>
  <si>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</si>
  <si>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</si>
  <si>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</si>
  <si>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</si>
  <si>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</si>
  <si>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</si>
  <si>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</si>
  <si>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</si>
  <si>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</si>
  <si>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</si>
  <si>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</si>
  <si>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</si>
  <si>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</si>
  <si>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</si>
  <si>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</si>
  <si>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</si>
  <si>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</si>
  <si>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</si>
  <si>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</si>
  <si>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</si>
  <si>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</si>
  <si>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</si>
  <si>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</si>
  <si>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</si>
  <si>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</si>
  <si>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</si>
  <si>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</si>
  <si>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</si>
  <si>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</si>
  <si>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</si>
  <si>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</si>
  <si>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</si>
  <si>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</si>
  <si>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</si>
  <si>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</si>
  <si>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</si>
  <si>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</si>
  <si>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</si>
  <si>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</si>
  <si>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</si>
  <si>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</si>
  <si>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</si>
  <si>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</si>
  <si>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</si>
  <si>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</si>
  <si>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</si>
  <si>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</si>
  <si>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</si>
  <si>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</si>
  <si>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</si>
  <si>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</si>
  <si>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</si>
  <si>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</si>
  <si>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</si>
  <si>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</si>
  <si>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</si>
  <si>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</si>
  <si>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</si>
  <si>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</si>
  <si>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</si>
  <si>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</si>
  <si>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</si>
  <si>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</si>
  <si>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</si>
  <si>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</si>
  <si>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</si>
  <si>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</si>
  <si>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</si>
  <si>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</si>
  <si>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</si>
  <si>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</si>
  <si>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</si>
  <si>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</si>
  <si>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</si>
  <si>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</si>
  <si>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</si>
  <si>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</si>
  <si>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</si>
  <si>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</si>
  <si>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</si>
  <si>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</si>
  <si>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</si>
  <si>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</si>
  <si>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</si>
  <si>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</si>
  <si>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</si>
  <si>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</si>
  <si>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</si>
  <si>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</si>
  <si>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</si>
  <si>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</si>
  <si>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</si>
  <si>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Yes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</si>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</sst>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2010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338</v>
      </c>
      <c r="D8">
        <v>2</v>
      </c>
      <c r="E8" t="s">
        <v>339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4" workbookViewId="0">
      <selection activeCell="I17" sqref="I17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-100</v>
      </c>
      <c r="D6" s="15">
        <v>121</v>
      </c>
      <c r="E6" s="15" t="s">
        <v>166</v>
      </c>
      <c r="F6" s="15" t="s">
        <v>6</v>
      </c>
      <c r="G6" s="15">
        <f t="shared" ref="G6:G15" si="0">$D6+$C6</f>
        <v>21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-7</v>
      </c>
      <c r="D10" s="15">
        <v>13</v>
      </c>
      <c r="E10" s="15" t="s">
        <v>166</v>
      </c>
      <c r="F10" s="15" t="s">
        <v>6</v>
      </c>
      <c r="G10" s="15">
        <f t="shared" si="0"/>
        <v>6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4105</v>
      </c>
      <c r="E12" s="15" t="s">
        <v>166</v>
      </c>
      <c r="F12" s="15" t="s">
        <v>6</v>
      </c>
      <c r="G12" s="15">
        <f t="shared" si="0"/>
        <v>3813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-3</v>
      </c>
      <c r="D25" s="15">
        <v>3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-13</v>
      </c>
      <c r="D27" s="15">
        <v>13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2005</v>
      </c>
      <c r="E28" s="49"/>
      <c r="F28" s="45">
        <f>basic_info!$D$5-4</f>
        <v>2006</v>
      </c>
      <c r="G28" s="49"/>
      <c r="H28" s="45">
        <f>basic_info!$D$5-3</f>
        <v>2007</v>
      </c>
      <c r="I28" s="49"/>
      <c r="J28" s="45">
        <f>basic_info!$D$5-2</f>
        <v>2008</v>
      </c>
      <c r="K28" s="49"/>
      <c r="L28" s="45">
        <f>basic_info!$D$5-1</f>
        <v>2009</v>
      </c>
      <c r="N28" s="45">
        <f>basic_info!$D$5</f>
        <v>2010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2010</v>
      </c>
      <c r="D30" s="44">
        <v>0.64606856993436812</v>
      </c>
      <c r="E30" s="35">
        <v>400000</v>
      </c>
      <c r="F30" s="47">
        <v>0.72055098531842476</v>
      </c>
      <c r="G30" s="46">
        <v>400000</v>
      </c>
      <c r="H30" s="47">
        <v>0.71377004027579827</v>
      </c>
      <c r="I30" s="46"/>
      <c r="J30" s="47">
        <v>0.86435813324293276</v>
      </c>
      <c r="K30" s="46"/>
      <c r="L30" s="47">
        <v>0.95621221546499158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2011</v>
      </c>
      <c r="D31" s="76"/>
      <c r="E31" s="75"/>
      <c r="F31" s="69">
        <v>0.6808876388132572</v>
      </c>
      <c r="G31" s="79">
        <v>400000</v>
      </c>
      <c r="H31" s="61">
        <v>0.71201828987937288</v>
      </c>
      <c r="I31" s="62">
        <v>400000</v>
      </c>
      <c r="J31" s="61">
        <v>0.87454112416799612</v>
      </c>
      <c r="K31" s="62"/>
      <c r="L31" s="61">
        <v>0.87348276589188312</v>
      </c>
      <c r="M31" s="62"/>
      <c r="N31" s="63">
        <v>0.74769820265075293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2012</v>
      </c>
      <c r="D32" s="76"/>
      <c r="E32" s="75"/>
      <c r="F32" s="75"/>
      <c r="G32" s="75"/>
      <c r="H32" s="69">
        <v>0.66759713542461396</v>
      </c>
      <c r="I32" s="79">
        <v>400000</v>
      </c>
      <c r="J32" s="61">
        <v>0.81134172439645946</v>
      </c>
      <c r="K32" s="62">
        <v>400000</v>
      </c>
      <c r="L32" s="61">
        <v>0.81188912511999345</v>
      </c>
      <c r="M32" s="62"/>
      <c r="N32" s="63">
        <v>0.69770012734349673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2013</v>
      </c>
      <c r="D33" s="76"/>
      <c r="E33" s="75"/>
      <c r="F33" s="75"/>
      <c r="G33" s="75"/>
      <c r="H33" s="75"/>
      <c r="I33" s="75"/>
      <c r="J33" s="69">
        <v>0.77419792761206629</v>
      </c>
      <c r="K33" s="79">
        <v>400000</v>
      </c>
      <c r="L33" s="61">
        <v>0.75988620984963406</v>
      </c>
      <c r="M33" s="62">
        <v>400000</v>
      </c>
      <c r="N33" s="63">
        <v>0.70400269357188838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2014</v>
      </c>
      <c r="D34" s="76"/>
      <c r="E34" s="75"/>
      <c r="F34" s="75"/>
      <c r="G34" s="75"/>
      <c r="H34" s="75"/>
      <c r="I34" s="75"/>
      <c r="J34" s="75"/>
      <c r="K34" s="75"/>
      <c r="L34" s="69">
        <v>0.72473765751123431</v>
      </c>
      <c r="M34" s="79">
        <v>400000</v>
      </c>
      <c r="N34" s="63">
        <v>0.71441382370859263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0.67398288510441784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2010</v>
      </c>
      <c r="D36" s="44">
        <v>1.051191025570035</v>
      </c>
      <c r="E36" s="35">
        <v>300000</v>
      </c>
      <c r="F36" s="73">
        <v>1.0390313119782215</v>
      </c>
      <c r="G36" s="74">
        <v>300000</v>
      </c>
      <c r="H36" s="73">
        <v>0.93822729942509209</v>
      </c>
      <c r="I36" s="74">
        <v>300000</v>
      </c>
      <c r="J36" s="73">
        <v>1.0511225064186411</v>
      </c>
      <c r="K36" s="74">
        <v>300000</v>
      </c>
      <c r="L36" s="66">
        <v>1.0950496136559948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2011</v>
      </c>
      <c r="D37" s="76"/>
      <c r="E37" s="75"/>
      <c r="F37" s="69">
        <v>0.95771333889663224</v>
      </c>
      <c r="G37" s="79">
        <v>300000</v>
      </c>
      <c r="H37" s="61">
        <v>0.89726357364389364</v>
      </c>
      <c r="I37" s="62">
        <v>300000</v>
      </c>
      <c r="J37" s="61">
        <v>0.95780442275518196</v>
      </c>
      <c r="K37" s="62">
        <v>300000</v>
      </c>
      <c r="L37" s="61">
        <v>1.0668653165767679</v>
      </c>
      <c r="M37" s="62">
        <v>300000</v>
      </c>
      <c r="N37" s="61">
        <v>1.1624333463677974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2012</v>
      </c>
      <c r="D38" s="76"/>
      <c r="E38" s="75"/>
      <c r="F38" s="75"/>
      <c r="G38" s="75"/>
      <c r="H38" s="69">
        <v>0.89032073213160046</v>
      </c>
      <c r="I38" s="79">
        <v>300000</v>
      </c>
      <c r="J38" s="61">
        <v>0.91383547859681491</v>
      </c>
      <c r="K38" s="62">
        <v>300000</v>
      </c>
      <c r="L38" s="61">
        <v>1.0175796433406761</v>
      </c>
      <c r="M38" s="62">
        <v>300000</v>
      </c>
      <c r="N38" s="61">
        <v>1.0991066984060751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2013</v>
      </c>
      <c r="D39" s="76"/>
      <c r="E39" s="75"/>
      <c r="F39" s="75"/>
      <c r="G39" s="75"/>
      <c r="H39" s="75"/>
      <c r="I39" s="75"/>
      <c r="J39" s="69">
        <v>0.87400841210782521</v>
      </c>
      <c r="K39" s="79">
        <v>300000</v>
      </c>
      <c r="L39" s="61">
        <v>0.98773074448833686</v>
      </c>
      <c r="M39" s="62">
        <v>300000</v>
      </c>
      <c r="N39" s="61">
        <v>1.0158087168858814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2014</v>
      </c>
      <c r="D40" s="76"/>
      <c r="E40" s="75"/>
      <c r="F40" s="75"/>
      <c r="G40" s="75"/>
      <c r="H40" s="75"/>
      <c r="I40" s="75"/>
      <c r="J40" s="75"/>
      <c r="K40" s="75"/>
      <c r="L40" s="69">
        <v>0.97905324764549728</v>
      </c>
      <c r="M40" s="79">
        <v>300000</v>
      </c>
      <c r="N40" s="61">
        <v>1.004390797006619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0.92318454591929922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20458</v>
      </c>
      <c r="L7" s="189"/>
      <c r="M7" s="189" t="s">
        <v>356</v>
      </c>
      <c r="S7" s="194">
        <f>SUM(ORA!$D$127:$O$127)</f>
        <v>75044512.486425295</v>
      </c>
    </row>
    <row r="8" spans="1:20" x14ac:dyDescent="0.2">
      <c r="A8" s="189"/>
      <c r="B8" s="189" t="s">
        <v>357</v>
      </c>
      <c r="G8" s="192"/>
      <c r="H8" s="195">
        <f>SUM(POJ!$D$116:$O$116)</f>
        <v>6108</v>
      </c>
      <c r="L8" s="189"/>
      <c r="M8" s="189" t="s">
        <v>357</v>
      </c>
      <c r="S8" s="196">
        <f>SUM(POJ!$D$127:$O$127)</f>
        <v>23924770.126731839</v>
      </c>
    </row>
    <row r="9" spans="1:20" x14ac:dyDescent="0.2">
      <c r="A9" s="189"/>
      <c r="B9" s="189" t="s">
        <v>358</v>
      </c>
      <c r="G9" s="192"/>
      <c r="H9" s="195">
        <f>SUM(ROJ!$D$116:$O$116)</f>
        <v>32863.479074861716</v>
      </c>
      <c r="L9" s="189"/>
      <c r="M9" s="189" t="s">
        <v>358</v>
      </c>
      <c r="S9" s="196">
        <f>SUM(ROJ!$D$127:$O$127)</f>
        <v>119856496.01743045</v>
      </c>
    </row>
    <row r="10" spans="1:20" x14ac:dyDescent="0.2">
      <c r="A10" s="189"/>
      <c r="B10" s="189" t="s">
        <v>359</v>
      </c>
      <c r="G10" s="192"/>
      <c r="H10" s="197">
        <f>SUM(FCOJ!$D$116:$O$116)</f>
        <v>68731.075324895355</v>
      </c>
      <c r="L10" s="189"/>
      <c r="M10" s="189" t="s">
        <v>359</v>
      </c>
      <c r="S10" s="198">
        <f>SUM(FCOJ!$D$127:$O$127)</f>
        <v>226712779.55159205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445538558.18217963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290793.42672843288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800000</v>
      </c>
      <c r="L14" s="189"/>
      <c r="M14" s="189" t="s">
        <v>365</v>
      </c>
      <c r="S14" s="194">
        <f>SUM(grove!$C$58:$AX$63)</f>
        <v>423154923.96985382</v>
      </c>
    </row>
    <row r="15" spans="1:20" x14ac:dyDescent="0.2">
      <c r="A15" s="189"/>
      <c r="B15" s="189" t="s">
        <v>366</v>
      </c>
      <c r="G15" s="192"/>
      <c r="H15" s="197">
        <f>raw_materials!$P$36</f>
        <v>1800000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1093295644.2022343</v>
      </c>
    </row>
    <row r="16" spans="1:20" x14ac:dyDescent="0.2">
      <c r="A16" s="189"/>
      <c r="B16" s="189" t="s">
        <v>368</v>
      </c>
      <c r="G16" s="192"/>
      <c r="H16" s="201">
        <v>162547.55707363365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3761802822.4223871</v>
      </c>
    </row>
    <row r="17" spans="1:21" x14ac:dyDescent="0.2">
      <c r="A17" s="189"/>
      <c r="B17" s="189" t="s">
        <v>370</v>
      </c>
      <c r="G17" s="192"/>
      <c r="H17" s="202">
        <v>0</v>
      </c>
      <c r="L17" s="189"/>
      <c r="M17" s="189" t="s">
        <v>371</v>
      </c>
      <c r="S17" s="196">
        <v>312349733.5620321</v>
      </c>
    </row>
    <row r="18" spans="1:21" x14ac:dyDescent="0.2">
      <c r="A18" s="189"/>
      <c r="B18" s="189" t="s">
        <v>372</v>
      </c>
      <c r="G18" s="192"/>
      <c r="H18" s="203">
        <v>1216606.7898888597</v>
      </c>
      <c r="L18" s="189"/>
      <c r="M18" s="189" t="s">
        <v>373</v>
      </c>
      <c r="S18" s="198">
        <v>466036852.91986352</v>
      </c>
    </row>
    <row r="19" spans="1:21" x14ac:dyDescent="0.2">
      <c r="A19" s="189"/>
      <c r="B19" s="189" t="s">
        <v>374</v>
      </c>
      <c r="G19" s="192"/>
      <c r="H19" s="202">
        <v>2758643.0545012336</v>
      </c>
      <c r="L19" s="189"/>
      <c r="M19" s="189" t="s">
        <v>375</v>
      </c>
      <c r="S19" s="204" t="s">
        <v>376</v>
      </c>
      <c r="T19" s="205">
        <f>SUM($S$14:$S$18)</f>
        <v>6056639977.0763702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0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325095114.1472677</v>
      </c>
    </row>
    <row r="23" spans="1:21" x14ac:dyDescent="0.2">
      <c r="A23" s="189"/>
      <c r="B23" s="189" t="s">
        <v>382</v>
      </c>
      <c r="G23" s="192"/>
      <c r="H23" s="193">
        <f>SUM(raw_materials!$O$31:$O$35)</f>
        <v>800000</v>
      </c>
      <c r="L23" s="189"/>
      <c r="M23" s="189" t="s">
        <v>383</v>
      </c>
      <c r="S23" s="196">
        <v>0</v>
      </c>
    </row>
    <row r="24" spans="1:21" x14ac:dyDescent="0.2">
      <c r="A24" s="189"/>
      <c r="B24" s="189" t="s">
        <v>384</v>
      </c>
      <c r="G24" s="192"/>
      <c r="H24" s="197">
        <f>SUM(raw_materials!$O$37:$O$41)</f>
        <v>1800000</v>
      </c>
      <c r="L24" s="189"/>
      <c r="M24" s="189" t="s">
        <v>385</v>
      </c>
      <c r="S24" s="198">
        <v>790794413.42775881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1115889527.5750265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9033156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-399</v>
      </c>
      <c r="L29" s="189"/>
      <c r="M29" s="189" t="s">
        <v>393</v>
      </c>
      <c r="S29" s="196">
        <v>52389239.988441683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210192975.11768499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142792241.85294825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414407612.95907491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34597500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-2234400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80650000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16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4130</v>
      </c>
    </row>
    <row r="42" spans="1:21" x14ac:dyDescent="0.2">
      <c r="L42" s="189"/>
      <c r="M42" s="189" t="s">
        <v>410</v>
      </c>
      <c r="S42" s="198">
        <f>H35*100000-H40*60/100*100000</f>
        <v>-960000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112057230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-7253455789.4282923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314</v>
      </c>
    </row>
    <row r="3" spans="2:14" x14ac:dyDescent="0.2">
      <c r="B3" s="109" t="s">
        <v>315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0.81220234009089987</v>
      </c>
      <c r="D5" s="106">
        <v>0.66184550088469896</v>
      </c>
      <c r="E5" s="106">
        <v>1.0312255985603151</v>
      </c>
      <c r="F5" s="106">
        <v>0.59435608810509022</v>
      </c>
      <c r="G5" s="106">
        <v>0.61748761595419221</v>
      </c>
      <c r="H5" s="106">
        <v>0.69967699492210211</v>
      </c>
      <c r="I5" s="106">
        <v>0.68020184257664129</v>
      </c>
      <c r="J5" s="106">
        <v>0.6792570322031446</v>
      </c>
      <c r="K5" s="106">
        <v>0.63706487451071381</v>
      </c>
      <c r="L5" s="106">
        <v>0.94201155875411302</v>
      </c>
      <c r="M5" s="106">
        <v>0.52485218545131629</v>
      </c>
      <c r="N5" s="106">
        <v>0.58061100835209456</v>
      </c>
    </row>
    <row r="6" spans="2:14" x14ac:dyDescent="0.2">
      <c r="B6" s="177" t="s">
        <v>105</v>
      </c>
      <c r="C6" s="106">
        <v>0.69405306973627978</v>
      </c>
      <c r="D6" s="106">
        <v>0.77570406314354112</v>
      </c>
      <c r="E6" s="106">
        <v>0.84202286077100585</v>
      </c>
      <c r="F6" s="106">
        <v>0.66444379340357729</v>
      </c>
      <c r="G6" s="106">
        <v>0.69350334760618604</v>
      </c>
      <c r="H6" s="106">
        <v>0.63518064638512672</v>
      </c>
      <c r="I6" s="106">
        <v>0.67370382220619074</v>
      </c>
      <c r="J6" s="106">
        <v>0.64380759038108082</v>
      </c>
      <c r="K6" s="106">
        <v>0.67909600199901432</v>
      </c>
      <c r="L6" s="106">
        <v>0.75761286389128968</v>
      </c>
      <c r="M6" s="106">
        <v>0.6853758768014192</v>
      </c>
      <c r="N6" s="106">
        <v>0.6959488141065181</v>
      </c>
    </row>
    <row r="7" spans="2:14" x14ac:dyDescent="0.2">
      <c r="B7" s="177" t="s">
        <v>106</v>
      </c>
      <c r="C7" s="106">
        <v>0.77921511598366688</v>
      </c>
      <c r="D7" s="106">
        <v>0.74986085538637248</v>
      </c>
      <c r="E7" s="106">
        <v>0.76021836526779918</v>
      </c>
      <c r="F7" s="106">
        <v>0.76477532698583006</v>
      </c>
      <c r="G7" s="106">
        <v>0.70782757639592786</v>
      </c>
      <c r="H7" s="106">
        <v>0.93098720510794719</v>
      </c>
      <c r="I7" s="106">
        <v>0.75904793213371002</v>
      </c>
      <c r="J7" s="106">
        <v>0.70273806772392178</v>
      </c>
      <c r="K7" s="106">
        <v>0.75781574011271291</v>
      </c>
      <c r="L7" s="106">
        <v>0.70452827609466928</v>
      </c>
      <c r="M7" s="106">
        <v>0.72050697527872465</v>
      </c>
      <c r="N7" s="106">
        <v>0.75779228097207563</v>
      </c>
    </row>
    <row r="8" spans="2:14" x14ac:dyDescent="0.2">
      <c r="B8" s="177" t="s">
        <v>107</v>
      </c>
      <c r="C8" s="106">
        <v>0.79608015351066497</v>
      </c>
      <c r="D8" s="106">
        <v>0.69022386255116819</v>
      </c>
      <c r="E8" s="106">
        <v>0.73316475746301901</v>
      </c>
      <c r="F8" s="106">
        <v>0.72564020174951505</v>
      </c>
      <c r="G8" s="106">
        <v>0.7245059237527538</v>
      </c>
      <c r="H8" s="106">
        <v>0.69928596626459782</v>
      </c>
      <c r="I8" s="106">
        <v>0.70756304476929355</v>
      </c>
      <c r="J8" s="106">
        <v>0.78900558338818516</v>
      </c>
      <c r="K8" s="106">
        <v>0.68277826832913158</v>
      </c>
      <c r="L8" s="106">
        <v>0.69324540489408315</v>
      </c>
      <c r="M8" s="106">
        <v>0.71308630800326023</v>
      </c>
      <c r="N8" s="106">
        <v>0.71981695650367405</v>
      </c>
    </row>
    <row r="9" spans="2:14" x14ac:dyDescent="0.2">
      <c r="B9" s="177" t="s">
        <v>108</v>
      </c>
      <c r="C9" s="106">
        <v>2.0490955686569214</v>
      </c>
      <c r="D9" s="106">
        <v>2.0432240998744966</v>
      </c>
      <c r="E9" s="106">
        <v>2.0280443167686464</v>
      </c>
      <c r="F9" s="106">
        <v>2.0907162344455719</v>
      </c>
      <c r="G9" s="106">
        <v>2.09505277633667</v>
      </c>
      <c r="H9" s="106">
        <v>2.0737362658977507</v>
      </c>
      <c r="I9" s="106">
        <v>2.056356451511383</v>
      </c>
      <c r="J9" s="106">
        <v>2.0712339317798616</v>
      </c>
      <c r="K9" s="106">
        <v>2.0821373796463014</v>
      </c>
      <c r="L9" s="106">
        <v>2.0515693700313569</v>
      </c>
      <c r="M9" s="106">
        <v>2.0305963969230652</v>
      </c>
      <c r="N9" s="106">
        <v>2.0502963221073149</v>
      </c>
    </row>
    <row r="10" spans="2:14" x14ac:dyDescent="0.2">
      <c r="B10" s="177" t="s">
        <v>109</v>
      </c>
      <c r="C10" s="106">
        <v>0.65460352897644047</v>
      </c>
      <c r="D10" s="106">
        <v>0.66021096110343935</v>
      </c>
      <c r="E10" s="106">
        <v>0.69155150651931763</v>
      </c>
      <c r="F10" s="106">
        <v>0.67179134488105774</v>
      </c>
      <c r="G10" s="106">
        <v>0.65203740596771242</v>
      </c>
      <c r="H10" s="106">
        <v>0.61715249419212348</v>
      </c>
      <c r="I10" s="106">
        <v>0.6979974150657654</v>
      </c>
      <c r="J10" s="106">
        <v>0.6456420958042145</v>
      </c>
      <c r="K10" s="106">
        <v>0.67591972351074225</v>
      </c>
      <c r="L10" s="106">
        <v>0.63420183062553404</v>
      </c>
      <c r="M10" s="106">
        <v>0.60576053857803347</v>
      </c>
      <c r="N10" s="106">
        <v>0.67061932682991032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316</v>
      </c>
      <c r="C12" s="107"/>
      <c r="D12" s="107"/>
      <c r="E12" s="107"/>
      <c r="F12" s="107"/>
      <c r="G12" s="107"/>
    </row>
    <row r="13" spans="2:14" x14ac:dyDescent="0.2">
      <c r="B13" s="177" t="s">
        <v>317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318</v>
      </c>
      <c r="C14" s="107">
        <v>0.37138296066693266</v>
      </c>
      <c r="D14" s="107">
        <v>0.37276148727520142</v>
      </c>
      <c r="E14" s="107">
        <v>0.37413613496148107</v>
      </c>
      <c r="F14" s="107">
        <v>0.37550303571836019</v>
      </c>
      <c r="G14" s="107">
        <v>0.37685834333687107</v>
      </c>
      <c r="H14" s="106">
        <v>0.37819824422901921</v>
      </c>
      <c r="I14" s="106">
        <v>0.37951896815852287</v>
      </c>
      <c r="J14" s="106">
        <v>0.3808167988495692</v>
      </c>
      <c r="K14" s="106">
        <v>0.38208808444373527</v>
      </c>
      <c r="L14" s="106">
        <v>0.38332924777565025</v>
      </c>
      <c r="M14" s="106">
        <v>0.3845367964384856</v>
      </c>
      <c r="N14" s="106">
        <v>0.38570733261094914</v>
      </c>
    </row>
    <row r="15" spans="2:14" x14ac:dyDescent="0.2">
      <c r="B15" s="176" t="s">
        <v>319</v>
      </c>
      <c r="C15" s="106">
        <v>1.0868809139725946</v>
      </c>
      <c r="D15" s="106">
        <v>1.0897626029540786</v>
      </c>
      <c r="E15" s="106">
        <v>1.0926361833893155</v>
      </c>
      <c r="F15" s="106">
        <v>1.0954935695480252</v>
      </c>
      <c r="G15" s="106">
        <v>1.0983267212676637</v>
      </c>
      <c r="H15" s="106">
        <v>1.1011276665769696</v>
      </c>
      <c r="I15" s="106">
        <v>1.1038885241276359</v>
      </c>
      <c r="J15" s="106">
        <v>1.1066015253709827</v>
      </c>
      <c r="K15" s="106">
        <v>1.1092590364172352</v>
      </c>
      <c r="L15" s="106">
        <v>1.1118535795158944</v>
      </c>
      <c r="M15" s="106">
        <v>1.1143778540967588</v>
      </c>
      <c r="N15" s="106">
        <v>1.1168247573123977</v>
      </c>
    </row>
    <row r="16" spans="2:14" x14ac:dyDescent="0.2">
      <c r="B16" s="107"/>
    </row>
    <row r="17" spans="2:14" x14ac:dyDescent="0.2">
      <c r="B17" s="109" t="s">
        <v>320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0.81220234009089987</v>
      </c>
      <c r="D19" s="106">
        <f t="shared" ref="D19:N20" si="0">D5</f>
        <v>0.66184550088469896</v>
      </c>
      <c r="E19" s="106">
        <f t="shared" si="0"/>
        <v>1.0312255985603151</v>
      </c>
      <c r="F19" s="106">
        <f t="shared" si="0"/>
        <v>0.59435608810509022</v>
      </c>
      <c r="G19" s="106">
        <f t="shared" si="0"/>
        <v>0.61748761595419221</v>
      </c>
      <c r="H19" s="106">
        <f t="shared" si="0"/>
        <v>0.69967699492210211</v>
      </c>
      <c r="I19" s="106">
        <f t="shared" si="0"/>
        <v>0.68020184257664129</v>
      </c>
      <c r="J19" s="106">
        <f t="shared" si="0"/>
        <v>0.6792570322031446</v>
      </c>
      <c r="K19" s="106">
        <f t="shared" si="0"/>
        <v>0.63706487451071381</v>
      </c>
      <c r="L19" s="106">
        <f t="shared" si="0"/>
        <v>0.94201155875411302</v>
      </c>
      <c r="M19" s="106">
        <f t="shared" si="0"/>
        <v>0.52485218545131629</v>
      </c>
      <c r="N19" s="106">
        <f t="shared" si="0"/>
        <v>0.58061100835209456</v>
      </c>
    </row>
    <row r="20" spans="2:14" x14ac:dyDescent="0.2">
      <c r="B20" s="179" t="s">
        <v>105</v>
      </c>
      <c r="C20" s="106">
        <f>C6</f>
        <v>0.69405306973627978</v>
      </c>
      <c r="D20" s="106">
        <f t="shared" si="0"/>
        <v>0.77570406314354112</v>
      </c>
      <c r="E20" s="106">
        <f t="shared" si="0"/>
        <v>0.84202286077100585</v>
      </c>
      <c r="F20" s="106">
        <f t="shared" si="0"/>
        <v>0.66444379340357729</v>
      </c>
      <c r="G20" s="106">
        <f t="shared" si="0"/>
        <v>0.69350334760618604</v>
      </c>
      <c r="H20" s="106">
        <f t="shared" si="0"/>
        <v>0.63518064638512672</v>
      </c>
      <c r="I20" s="106">
        <f t="shared" si="0"/>
        <v>0.67370382220619074</v>
      </c>
      <c r="J20" s="106">
        <f t="shared" si="0"/>
        <v>0.64380759038108082</v>
      </c>
      <c r="K20" s="106">
        <f t="shared" si="0"/>
        <v>0.67909600199901432</v>
      </c>
      <c r="L20" s="106">
        <f t="shared" si="0"/>
        <v>0.75761286389128968</v>
      </c>
      <c r="M20" s="106">
        <f t="shared" si="0"/>
        <v>0.6853758768014192</v>
      </c>
      <c r="N20" s="106">
        <f t="shared" si="0"/>
        <v>0.6959488141065181</v>
      </c>
    </row>
    <row r="21" spans="2:14" x14ac:dyDescent="0.2">
      <c r="B21" s="179" t="s">
        <v>106</v>
      </c>
      <c r="C21" s="106">
        <f t="shared" ref="C21:N22" si="1">C7</f>
        <v>0.77921511598366688</v>
      </c>
      <c r="D21" s="106">
        <f t="shared" si="1"/>
        <v>0.74986085538637248</v>
      </c>
      <c r="E21" s="106">
        <f t="shared" si="1"/>
        <v>0.76021836526779918</v>
      </c>
      <c r="F21" s="106">
        <f t="shared" si="1"/>
        <v>0.76477532698583006</v>
      </c>
      <c r="G21" s="106">
        <f t="shared" si="1"/>
        <v>0.70782757639592786</v>
      </c>
      <c r="H21" s="106">
        <f t="shared" si="1"/>
        <v>0.93098720510794719</v>
      </c>
      <c r="I21" s="106">
        <f t="shared" si="1"/>
        <v>0.75904793213371002</v>
      </c>
      <c r="J21" s="106">
        <f t="shared" si="1"/>
        <v>0.70273806772392178</v>
      </c>
      <c r="K21" s="106">
        <f t="shared" si="1"/>
        <v>0.75781574011271291</v>
      </c>
      <c r="L21" s="106">
        <f t="shared" si="1"/>
        <v>0.70452827609466928</v>
      </c>
      <c r="M21" s="106">
        <f t="shared" si="1"/>
        <v>0.72050697527872465</v>
      </c>
      <c r="N21" s="106">
        <f t="shared" si="1"/>
        <v>0.75779228097207563</v>
      </c>
    </row>
    <row r="22" spans="2:14" x14ac:dyDescent="0.2">
      <c r="B22" s="179" t="s">
        <v>107</v>
      </c>
      <c r="C22" s="106">
        <f t="shared" si="1"/>
        <v>0.79608015351066497</v>
      </c>
      <c r="D22" s="106">
        <f t="shared" si="1"/>
        <v>0.69022386255116819</v>
      </c>
      <c r="E22" s="106">
        <f t="shared" si="1"/>
        <v>0.73316475746301901</v>
      </c>
      <c r="F22" s="106">
        <f t="shared" si="1"/>
        <v>0.72564020174951505</v>
      </c>
      <c r="G22" s="106">
        <f t="shared" si="1"/>
        <v>0.7245059237527538</v>
      </c>
      <c r="H22" s="106">
        <f t="shared" si="1"/>
        <v>0.69928596626459782</v>
      </c>
      <c r="I22" s="106">
        <f t="shared" si="1"/>
        <v>0.70756304476929355</v>
      </c>
      <c r="J22" s="106">
        <f t="shared" si="1"/>
        <v>0.78900558338818516</v>
      </c>
      <c r="K22" s="106">
        <f t="shared" si="1"/>
        <v>0.68277826832913158</v>
      </c>
      <c r="L22" s="106">
        <f t="shared" si="1"/>
        <v>0.69324540489408315</v>
      </c>
      <c r="M22" s="106">
        <f t="shared" si="1"/>
        <v>0.71308630800326023</v>
      </c>
      <c r="N22" s="106">
        <f t="shared" si="1"/>
        <v>0.71981695650367405</v>
      </c>
    </row>
    <row r="23" spans="2:14" x14ac:dyDescent="0.2">
      <c r="B23" s="179" t="s">
        <v>108</v>
      </c>
      <c r="C23" s="106">
        <f>C9*C14</f>
        <v>0.76099917897729952</v>
      </c>
      <c r="D23" s="106">
        <f t="shared" ref="D23:N24" si="2">D9*D14</f>
        <v>0.76163525430575207</v>
      </c>
      <c r="E23" s="106">
        <f t="shared" si="2"/>
        <v>0.75876466220641892</v>
      </c>
      <c r="F23" s="106">
        <f t="shared" si="2"/>
        <v>0.7850702928599711</v>
      </c>
      <c r="G23" s="106">
        <f t="shared" si="2"/>
        <v>0.78953811849354971</v>
      </c>
      <c r="H23" s="106">
        <f t="shared" si="2"/>
        <v>0.78428341475657182</v>
      </c>
      <c r="I23" s="106">
        <f t="shared" si="2"/>
        <v>0.7804262786437216</v>
      </c>
      <c r="J23" s="106">
        <f t="shared" si="2"/>
        <v>0.78876067556901386</v>
      </c>
      <c r="K23" s="106">
        <f t="shared" si="2"/>
        <v>0.7955598829377537</v>
      </c>
      <c r="L23" s="106">
        <f t="shared" si="2"/>
        <v>0.78642654337368467</v>
      </c>
      <c r="M23" s="106">
        <f t="shared" si="2"/>
        <v>0.78083903333232696</v>
      </c>
      <c r="N23" s="106">
        <f t="shared" si="2"/>
        <v>0.79081432546205188</v>
      </c>
    </row>
    <row r="24" spans="2:14" x14ac:dyDescent="0.2">
      <c r="B24" s="179" t="s">
        <v>109</v>
      </c>
      <c r="C24" s="106">
        <f>C10*C15</f>
        <v>0.71147608186359945</v>
      </c>
      <c r="D24" s="106">
        <f t="shared" si="2"/>
        <v>0.71947321547089793</v>
      </c>
      <c r="E24" s="106">
        <f t="shared" si="2"/>
        <v>0.75561419870039848</v>
      </c>
      <c r="F24" s="106">
        <f t="shared" si="2"/>
        <v>0.73594309839521843</v>
      </c>
      <c r="G24" s="106">
        <f t="shared" si="2"/>
        <v>0.71615010624039022</v>
      </c>
      <c r="H24" s="106">
        <f t="shared" si="2"/>
        <v>0.67956368585192972</v>
      </c>
      <c r="I24" s="106">
        <f t="shared" si="2"/>
        <v>0.77051133636185265</v>
      </c>
      <c r="J24" s="106">
        <f t="shared" si="2"/>
        <v>0.71446852806066186</v>
      </c>
      <c r="K24" s="106">
        <f t="shared" si="2"/>
        <v>0.74977006119693002</v>
      </c>
      <c r="L24" s="106">
        <f t="shared" si="2"/>
        <v>0.70513957551653295</v>
      </c>
      <c r="M24" s="106">
        <f t="shared" si="2"/>
        <v>0.67504612907708583</v>
      </c>
      <c r="N24" s="106">
        <f t="shared" si="2"/>
        <v>0.74896426693581808</v>
      </c>
    </row>
    <row r="25" spans="2:14" x14ac:dyDescent="0.2">
      <c r="B25" s="178"/>
    </row>
    <row r="26" spans="2:14" x14ac:dyDescent="0.2">
      <c r="B26" s="110" t="s">
        <v>321</v>
      </c>
    </row>
    <row r="27" spans="2:14" x14ac:dyDescent="0.2">
      <c r="B27" s="105" t="s">
        <v>322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323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324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10021.961005604602</v>
      </c>
      <c r="D38" s="106">
        <v>10043.926701050497</v>
      </c>
      <c r="E38" s="106">
        <v>2516.4733912812585</v>
      </c>
      <c r="F38" s="106">
        <v>25219.64518704552</v>
      </c>
      <c r="G38" s="106">
        <v>25274.541764850626</v>
      </c>
      <c r="H38" s="106">
        <v>17730.590384044619</v>
      </c>
      <c r="I38" s="106">
        <v>25384.255583806131</v>
      </c>
      <c r="J38" s="106">
        <v>25439.055203174696</v>
      </c>
      <c r="K38" s="106">
        <v>10863.016725037007</v>
      </c>
      <c r="L38" s="106">
        <v>12388.453386631885</v>
      </c>
      <c r="M38" s="106">
        <v>8866.9747372568745</v>
      </c>
      <c r="N38" s="106">
        <v>7941.244776811116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18375.102352565613</v>
      </c>
      <c r="Z38" s="106">
        <v>26303.096964916222</v>
      </c>
      <c r="AA38" s="106">
        <v>26355.858567616488</v>
      </c>
      <c r="AB38" s="106">
        <v>18485.895757262515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18667.587066050899</v>
      </c>
      <c r="AH38" s="106">
        <v>18703.427758326601</v>
      </c>
      <c r="AI38" s="106">
        <v>18739.089026104397</v>
      </c>
      <c r="AJ38" s="106">
        <v>26820.807301044035</v>
      </c>
      <c r="AK38" s="106">
        <v>26871.21469072756</v>
      </c>
      <c r="AL38" s="106">
        <v>26921.341209603564</v>
      </c>
      <c r="AM38" s="106">
        <v>2697.1178763785615</v>
      </c>
      <c r="AN38" s="106">
        <v>27020.719306543244</v>
      </c>
      <c r="AO38" s="106">
        <v>10827.981935896303</v>
      </c>
      <c r="AP38" s="106">
        <v>10847.550966107259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19150.964997065872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6105.3732487619272</v>
      </c>
      <c r="K39" s="106">
        <v>6118.5131725553128</v>
      </c>
      <c r="L39" s="106">
        <v>1532.9097497521016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1624.1972903844453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11510.268975757208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2100.0116974360703</v>
      </c>
      <c r="Z40" s="106">
        <v>2104.2477571932977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300.65883016813808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1223.7026345110626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2196.071765941841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318.77812433548564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2282.0682474629784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2302.0537951514416</v>
      </c>
      <c r="AW41" s="106">
        <v>2305.9609563316867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325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326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1532.9097497521016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1624.1972903844453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2100.0116974360703</v>
      </c>
      <c r="Z50" s="106">
        <v>2104.2477571932977</v>
      </c>
      <c r="AA50" s="106">
        <v>2958.1665880602222</v>
      </c>
      <c r="AB50" s="106">
        <v>2958.1665880602222</v>
      </c>
      <c r="AC50" s="106">
        <v>2958.1665880602222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2958.1665880602222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327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326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4446659.1221768903</v>
      </c>
      <c r="D59" s="106">
        <v>4446659.1221768903</v>
      </c>
      <c r="E59" s="106">
        <v>4446659.1221768903</v>
      </c>
      <c r="F59" s="106">
        <v>4446659.1221768903</v>
      </c>
      <c r="G59" s="106">
        <v>4969780.6967376964</v>
      </c>
      <c r="H59" s="106">
        <v>4969780.6967376964</v>
      </c>
      <c r="I59" s="106">
        <v>4969780.6967376964</v>
      </c>
      <c r="J59" s="106">
        <v>4969780.6967376964</v>
      </c>
      <c r="K59" s="106">
        <v>5394671.9612544309</v>
      </c>
      <c r="L59" s="106">
        <v>2581490.1055800626</v>
      </c>
      <c r="M59" s="106">
        <v>5394671.9612544309</v>
      </c>
      <c r="N59" s="106">
        <v>5394671.9612544309</v>
      </c>
      <c r="O59" s="106">
        <v>4256958.4141951567</v>
      </c>
      <c r="P59" s="106">
        <v>4256958.4141951567</v>
      </c>
      <c r="Q59" s="106">
        <v>4256958.4141951567</v>
      </c>
      <c r="R59" s="106">
        <v>4256958.4141951567</v>
      </c>
      <c r="S59" s="106">
        <v>4443137.1625011368</v>
      </c>
      <c r="T59" s="106">
        <v>4443137.1625011368</v>
      </c>
      <c r="U59" s="106">
        <v>4443137.1625011368</v>
      </c>
      <c r="V59" s="106">
        <v>4443137.1625011368</v>
      </c>
      <c r="W59" s="106">
        <v>4069475.2874615774</v>
      </c>
      <c r="X59" s="106">
        <v>4069475.2874615774</v>
      </c>
      <c r="Y59" s="106">
        <v>4069475.2874615774</v>
      </c>
      <c r="Z59" s="106">
        <v>4069475.2874615774</v>
      </c>
      <c r="AA59" s="106">
        <v>4316285.5655935472</v>
      </c>
      <c r="AB59" s="106">
        <v>4316285.5655935472</v>
      </c>
      <c r="AC59" s="106">
        <v>4316285.5655935472</v>
      </c>
      <c r="AD59" s="106">
        <v>4316285.5655935472</v>
      </c>
      <c r="AE59" s="106">
        <v>4124746.3911982039</v>
      </c>
      <c r="AF59" s="106">
        <v>4124746.3911982039</v>
      </c>
      <c r="AG59" s="106">
        <v>4124746.3911982039</v>
      </c>
      <c r="AH59" s="106">
        <v>4124746.3911982039</v>
      </c>
      <c r="AI59" s="106">
        <v>4350832.1824297598</v>
      </c>
      <c r="AJ59" s="106">
        <v>4350832.1824297598</v>
      </c>
      <c r="AK59" s="106">
        <v>4350832.1824297598</v>
      </c>
      <c r="AL59" s="106">
        <v>4350832.1824297598</v>
      </c>
      <c r="AM59" s="106">
        <v>4853874.0035842312</v>
      </c>
      <c r="AN59" s="106">
        <v>4853874.0035842312</v>
      </c>
      <c r="AO59" s="106">
        <v>2461025.5213852646</v>
      </c>
      <c r="AP59" s="106">
        <v>4853874.0035842312</v>
      </c>
      <c r="AQ59" s="106">
        <v>4391066.0835446315</v>
      </c>
      <c r="AR59" s="106">
        <v>4391066.0835446315</v>
      </c>
      <c r="AS59" s="106">
        <v>4391066.0835446315</v>
      </c>
      <c r="AT59" s="106">
        <v>4391066.0835446315</v>
      </c>
      <c r="AU59" s="106">
        <v>4458804.7769759372</v>
      </c>
      <c r="AV59" s="106">
        <v>4458804.7769759372</v>
      </c>
      <c r="AW59" s="106">
        <v>4458804.7769759372</v>
      </c>
      <c r="AX59" s="106">
        <v>4458804.7769759372</v>
      </c>
    </row>
    <row r="60" spans="2:51" x14ac:dyDescent="0.2">
      <c r="B60" s="111" t="s">
        <v>106</v>
      </c>
      <c r="C60" s="106">
        <v>4610096.2420287086</v>
      </c>
      <c r="D60" s="106">
        <v>4610096.2420287086</v>
      </c>
      <c r="E60" s="106">
        <v>4610096.2420287086</v>
      </c>
      <c r="F60" s="106">
        <v>4610096.2420287086</v>
      </c>
      <c r="G60" s="106">
        <v>4436426.6561964508</v>
      </c>
      <c r="H60" s="106">
        <v>4436426.6561964508</v>
      </c>
      <c r="I60" s="106">
        <v>4436426.6561964508</v>
      </c>
      <c r="J60" s="106">
        <v>4436426.6561964508</v>
      </c>
      <c r="K60" s="106">
        <v>4497705.1355299307</v>
      </c>
      <c r="L60" s="106">
        <v>4497705.1355299307</v>
      </c>
      <c r="M60" s="106">
        <v>4497705.1355299307</v>
      </c>
      <c r="N60" s="106">
        <v>4497705.1355299307</v>
      </c>
      <c r="O60" s="106">
        <v>4524665.6393246278</v>
      </c>
      <c r="P60" s="106">
        <v>4524665.6393246278</v>
      </c>
      <c r="Q60" s="106">
        <v>4524665.6393246278</v>
      </c>
      <c r="R60" s="106">
        <v>4524665.6393246278</v>
      </c>
      <c r="S60" s="106">
        <v>4187743.7732041562</v>
      </c>
      <c r="T60" s="106">
        <v>4187743.7732041562</v>
      </c>
      <c r="U60" s="106">
        <v>4187743.7732041562</v>
      </c>
      <c r="V60" s="106">
        <v>4187743.7732041562</v>
      </c>
      <c r="W60" s="106">
        <v>5508030.4881237969</v>
      </c>
      <c r="X60" s="106">
        <v>5508030.4881237969</v>
      </c>
      <c r="Y60" s="106">
        <v>3910168.0417800061</v>
      </c>
      <c r="Z60" s="106">
        <v>3918055.476648109</v>
      </c>
      <c r="AA60" s="106">
        <v>4490780.4631482884</v>
      </c>
      <c r="AB60" s="106">
        <v>4490780.4631482884</v>
      </c>
      <c r="AC60" s="106">
        <v>4490780.4631482884</v>
      </c>
      <c r="AD60" s="106">
        <v>4490780.4631482884</v>
      </c>
      <c r="AE60" s="106">
        <v>4157632.5441978141</v>
      </c>
      <c r="AF60" s="106">
        <v>4157632.5441978141</v>
      </c>
      <c r="AG60" s="106">
        <v>4157632.5441978141</v>
      </c>
      <c r="AH60" s="106">
        <v>4157632.5441978141</v>
      </c>
      <c r="AI60" s="106">
        <v>4483490.4046151126</v>
      </c>
      <c r="AJ60" s="106">
        <v>4483490.4046151126</v>
      </c>
      <c r="AK60" s="106">
        <v>4483490.4046151126</v>
      </c>
      <c r="AL60" s="106">
        <v>4483490.4046151126</v>
      </c>
      <c r="AM60" s="106">
        <v>4168224.0133738359</v>
      </c>
      <c r="AN60" s="106">
        <v>4168224.0133738359</v>
      </c>
      <c r="AO60" s="106">
        <v>4168224.0133738359</v>
      </c>
      <c r="AP60" s="106">
        <v>4168224.0133738359</v>
      </c>
      <c r="AQ60" s="106">
        <v>4262759.3214677116</v>
      </c>
      <c r="AR60" s="106">
        <v>4262759.3214677116</v>
      </c>
      <c r="AS60" s="106">
        <v>4262759.3214677116</v>
      </c>
      <c r="AT60" s="106">
        <v>4262759.3214677116</v>
      </c>
      <c r="AU60" s="106">
        <v>4483351.6125230761</v>
      </c>
      <c r="AV60" s="106">
        <v>4483351.6125230761</v>
      </c>
      <c r="AW60" s="106">
        <v>4483351.6125230761</v>
      </c>
      <c r="AX60" s="106">
        <v>4483351.6125230761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328</v>
      </c>
    </row>
    <row r="66" spans="1:14" x14ac:dyDescent="0.2">
      <c r="B66" s="105" t="s">
        <v>329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330</v>
      </c>
      <c r="C67" s="106">
        <v>72000</v>
      </c>
      <c r="D67" s="106">
        <v>64000</v>
      </c>
      <c r="E67" s="106">
        <v>64000</v>
      </c>
      <c r="F67" s="106">
        <v>72000</v>
      </c>
      <c r="G67" s="106">
        <v>64000</v>
      </c>
      <c r="H67" s="106">
        <v>64000</v>
      </c>
      <c r="I67" s="106">
        <v>72000</v>
      </c>
      <c r="J67" s="106">
        <v>64000</v>
      </c>
      <c r="K67" s="106">
        <v>64000</v>
      </c>
      <c r="L67" s="106">
        <v>72000</v>
      </c>
      <c r="M67" s="106">
        <v>64000</v>
      </c>
      <c r="N67" s="106">
        <v>64000</v>
      </c>
    </row>
    <row r="68" spans="1:14" x14ac:dyDescent="0.2">
      <c r="B68" s="105" t="s">
        <v>331</v>
      </c>
      <c r="C68" s="106">
        <v>162000</v>
      </c>
      <c r="D68" s="106">
        <v>144000</v>
      </c>
      <c r="E68" s="106">
        <v>144000</v>
      </c>
      <c r="F68" s="106">
        <v>162000</v>
      </c>
      <c r="G68" s="106">
        <v>144000</v>
      </c>
      <c r="H68" s="106">
        <v>144000</v>
      </c>
      <c r="I68" s="106">
        <v>162000</v>
      </c>
      <c r="J68" s="106">
        <v>144000</v>
      </c>
      <c r="K68" s="106">
        <v>144000</v>
      </c>
      <c r="L68" s="106">
        <v>162000</v>
      </c>
      <c r="M68" s="106">
        <v>144000</v>
      </c>
      <c r="N68" s="106">
        <v>144000</v>
      </c>
    </row>
    <row r="70" spans="1:14" x14ac:dyDescent="0.2">
      <c r="B70" s="110" t="s">
        <v>332</v>
      </c>
    </row>
    <row r="71" spans="1:14" x14ac:dyDescent="0.2">
      <c r="A71" s="111" t="s">
        <v>121</v>
      </c>
      <c r="B71" s="111" t="s">
        <v>333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5437989.0936661046</v>
      </c>
      <c r="D72" s="106">
        <v>36505327.669121616</v>
      </c>
    </row>
    <row r="73" spans="1:14" x14ac:dyDescent="0.2">
      <c r="B73" s="111" t="s">
        <v>93</v>
      </c>
      <c r="C73" s="106">
        <v>4833768.0832587592</v>
      </c>
      <c r="D73" s="106">
        <v>32449180.150330324</v>
      </c>
    </row>
    <row r="74" spans="1:14" x14ac:dyDescent="0.2">
      <c r="B74" s="111" t="s">
        <v>94</v>
      </c>
      <c r="C74" s="106">
        <v>4833768.0832587592</v>
      </c>
      <c r="D74" s="106">
        <v>32449180.150330324</v>
      </c>
    </row>
    <row r="75" spans="1:14" x14ac:dyDescent="0.2">
      <c r="B75" s="111" t="s">
        <v>95</v>
      </c>
      <c r="C75" s="106">
        <v>5437989.0936661046</v>
      </c>
      <c r="D75" s="106">
        <v>36505327.669121616</v>
      </c>
    </row>
    <row r="76" spans="1:14" x14ac:dyDescent="0.2">
      <c r="B76" s="111" t="s">
        <v>96</v>
      </c>
      <c r="C76" s="106">
        <v>4833768.0832587592</v>
      </c>
      <c r="D76" s="106">
        <v>32449180.150330324</v>
      </c>
    </row>
    <row r="77" spans="1:14" x14ac:dyDescent="0.2">
      <c r="B77" s="111" t="s">
        <v>97</v>
      </c>
      <c r="C77" s="106">
        <v>4833768.0832587592</v>
      </c>
      <c r="D77" s="106">
        <v>32449180.150330324</v>
      </c>
    </row>
    <row r="78" spans="1:14" x14ac:dyDescent="0.2">
      <c r="B78" s="111" t="s">
        <v>98</v>
      </c>
      <c r="C78" s="106">
        <v>5437989.0936661046</v>
      </c>
      <c r="D78" s="106">
        <v>36505327.669121616</v>
      </c>
    </row>
    <row r="79" spans="1:14" x14ac:dyDescent="0.2">
      <c r="B79" s="111" t="s">
        <v>99</v>
      </c>
      <c r="C79" s="106">
        <v>4833768.0832587592</v>
      </c>
      <c r="D79" s="106">
        <v>32449180.150330324</v>
      </c>
    </row>
    <row r="80" spans="1:14" x14ac:dyDescent="0.2">
      <c r="B80" s="111" t="s">
        <v>100</v>
      </c>
      <c r="C80" s="106">
        <v>4833768.0832587592</v>
      </c>
      <c r="D80" s="106">
        <v>32449180.150330324</v>
      </c>
    </row>
    <row r="81" spans="2:50" x14ac:dyDescent="0.2">
      <c r="B81" s="111" t="s">
        <v>101</v>
      </c>
      <c r="C81" s="106">
        <v>5437989.0936661046</v>
      </c>
      <c r="D81" s="106">
        <v>36505327.669121616</v>
      </c>
    </row>
    <row r="82" spans="2:50" x14ac:dyDescent="0.2">
      <c r="B82" s="111" t="s">
        <v>102</v>
      </c>
      <c r="C82" s="106">
        <v>4833768.0832587592</v>
      </c>
      <c r="D82" s="106">
        <v>32449180.150330324</v>
      </c>
    </row>
    <row r="83" spans="2:50" x14ac:dyDescent="0.2">
      <c r="B83" s="111" t="s">
        <v>103</v>
      </c>
      <c r="C83" s="106">
        <v>4833768.0832587592</v>
      </c>
      <c r="D83" s="106">
        <v>32449180.150330324</v>
      </c>
    </row>
    <row r="85" spans="2:50" x14ac:dyDescent="0.2">
      <c r="B85" s="109" t="s">
        <v>334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335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18000</v>
      </c>
      <c r="D88" s="106">
        <f>D48+$C$67/4</f>
        <v>18000</v>
      </c>
      <c r="E88" s="106">
        <f>E48+$C$67/4</f>
        <v>18000</v>
      </c>
      <c r="F88" s="106">
        <f>F48+$C$67/4</f>
        <v>18000</v>
      </c>
      <c r="G88" s="106">
        <f>G48+$D$67/4</f>
        <v>16000</v>
      </c>
      <c r="H88" s="106">
        <f>H48+$D$67/4</f>
        <v>16000</v>
      </c>
      <c r="I88" s="106">
        <f>I48+$D$67/4</f>
        <v>16000</v>
      </c>
      <c r="J88" s="106">
        <f>J48+$D$67/4</f>
        <v>16000</v>
      </c>
      <c r="K88" s="106">
        <f>K48+$E$67/4</f>
        <v>16000</v>
      </c>
      <c r="L88" s="106">
        <f>L48+$E$67/4</f>
        <v>16000</v>
      </c>
      <c r="M88" s="106">
        <f>M48+$E$67/4</f>
        <v>16000</v>
      </c>
      <c r="N88" s="106">
        <f>N48+$E$67/4</f>
        <v>16000</v>
      </c>
      <c r="O88" s="106">
        <f>O48+$F$67/4</f>
        <v>18000</v>
      </c>
      <c r="P88" s="106">
        <f>P48+$F$67/4</f>
        <v>18000</v>
      </c>
      <c r="Q88" s="106">
        <f>Q48+$F$67/4</f>
        <v>18000</v>
      </c>
      <c r="R88" s="106">
        <f>R48+$F$67/4</f>
        <v>18000</v>
      </c>
      <c r="S88" s="106">
        <f>S48+$G$67/4</f>
        <v>16000</v>
      </c>
      <c r="T88" s="106">
        <f>T48+$G$67/4</f>
        <v>16000</v>
      </c>
      <c r="U88" s="106">
        <f>U48+$G$67/4</f>
        <v>16000</v>
      </c>
      <c r="V88" s="106">
        <f>V48+$G$67/4</f>
        <v>16000</v>
      </c>
      <c r="W88" s="106">
        <f>W48+$H$67/4</f>
        <v>16000</v>
      </c>
      <c r="X88" s="106">
        <f>X48+$H$67/4</f>
        <v>16000</v>
      </c>
      <c r="Y88" s="106">
        <f>Y48+$H$67/4</f>
        <v>16000</v>
      </c>
      <c r="Z88" s="106">
        <f>Z48+$H$67/4</f>
        <v>16000</v>
      </c>
      <c r="AA88" s="106">
        <f>AA48+$I$67/4</f>
        <v>18000</v>
      </c>
      <c r="AB88" s="106">
        <f>AB48+$I$67/4</f>
        <v>18000</v>
      </c>
      <c r="AC88" s="106">
        <f>AC48+$I$67/4</f>
        <v>18000</v>
      </c>
      <c r="AD88" s="106">
        <f>AD48+$I$67/4</f>
        <v>18000</v>
      </c>
      <c r="AE88" s="106">
        <f>AE48+$J$67/4</f>
        <v>16000</v>
      </c>
      <c r="AF88" s="106">
        <f>AF48+$J$67/4</f>
        <v>16000</v>
      </c>
      <c r="AG88" s="106">
        <f>AG48+$J$67/4</f>
        <v>16000</v>
      </c>
      <c r="AH88" s="106">
        <f>AH48+$J$67/4</f>
        <v>16000</v>
      </c>
      <c r="AI88" s="106">
        <f>AI48+$K$67/4</f>
        <v>16000</v>
      </c>
      <c r="AJ88" s="106">
        <f>AJ48+$K$67/4</f>
        <v>16000</v>
      </c>
      <c r="AK88" s="106">
        <f>AK48+$K$67/4</f>
        <v>16000</v>
      </c>
      <c r="AL88" s="106">
        <f>AL48+$K$67/4</f>
        <v>16000</v>
      </c>
      <c r="AM88" s="106">
        <f>AM48+$L$67/4</f>
        <v>18000</v>
      </c>
      <c r="AN88" s="106">
        <f>AN48+$L$67/4</f>
        <v>18000</v>
      </c>
      <c r="AO88" s="106">
        <f>AO48+$L$67/4</f>
        <v>18000</v>
      </c>
      <c r="AP88" s="106">
        <f>AP48+$L$67/4</f>
        <v>18000</v>
      </c>
      <c r="AQ88" s="106">
        <f>AQ48+$M$67/4</f>
        <v>16000</v>
      </c>
      <c r="AR88" s="106">
        <f>AR48+$M$67/4</f>
        <v>16000</v>
      </c>
      <c r="AS88" s="106">
        <f>AS48+$M$67/4</f>
        <v>16000</v>
      </c>
      <c r="AT88" s="106">
        <f>AT48+$M$67/4</f>
        <v>16000</v>
      </c>
      <c r="AU88" s="106">
        <f>AU48+$N$67/4</f>
        <v>16000</v>
      </c>
      <c r="AV88" s="106">
        <f>AV48+$N$67/4</f>
        <v>16000</v>
      </c>
      <c r="AW88" s="106">
        <f>AW48+$N$67/4</f>
        <v>16000</v>
      </c>
      <c r="AX88" s="106">
        <f>AX48+$N$67/4</f>
        <v>16000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1532.9097497521016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1624.1972903844453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2100.0116974360703</v>
      </c>
      <c r="Z90" s="106">
        <f t="shared" si="3"/>
        <v>2104.2477571932977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2958.1665880602222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2958.1665880602222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336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337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109367.66217670853</v>
      </c>
      <c r="D98" s="106">
        <v>109367.66217670853</v>
      </c>
      <c r="E98" s="106">
        <v>109367.66217670853</v>
      </c>
      <c r="F98" s="106">
        <v>109367.66217670853</v>
      </c>
      <c r="G98" s="106">
        <v>97215.699712629794</v>
      </c>
      <c r="H98" s="106">
        <v>97215.699712629794</v>
      </c>
      <c r="I98" s="106">
        <v>97215.699712629794</v>
      </c>
      <c r="J98" s="106">
        <v>97215.699712629794</v>
      </c>
      <c r="K98" s="106">
        <v>97215.699712629794</v>
      </c>
      <c r="L98" s="106">
        <v>97215.699712629794</v>
      </c>
      <c r="M98" s="106">
        <v>97215.699712629794</v>
      </c>
      <c r="N98" s="106">
        <v>97215.699712629794</v>
      </c>
      <c r="O98" s="106">
        <v>109367.66217670853</v>
      </c>
      <c r="P98" s="106">
        <v>109367.66217670853</v>
      </c>
      <c r="Q98" s="106">
        <v>109367.66217670853</v>
      </c>
      <c r="R98" s="106">
        <v>109367.66217670853</v>
      </c>
      <c r="S98" s="106">
        <v>97215.699712629794</v>
      </c>
      <c r="T98" s="106">
        <v>97215.699712629794</v>
      </c>
      <c r="U98" s="106">
        <v>97215.699712629794</v>
      </c>
      <c r="V98" s="106">
        <v>97215.699712629794</v>
      </c>
      <c r="W98" s="106">
        <v>97215.699712629794</v>
      </c>
      <c r="X98" s="106">
        <v>97215.699712629794</v>
      </c>
      <c r="Y98" s="106">
        <v>97215.699712629794</v>
      </c>
      <c r="Z98" s="106">
        <v>97215.699712629794</v>
      </c>
      <c r="AA98" s="106">
        <v>109367.66217670853</v>
      </c>
      <c r="AB98" s="106">
        <v>109367.66217670853</v>
      </c>
      <c r="AC98" s="106">
        <v>109367.66217670853</v>
      </c>
      <c r="AD98" s="106">
        <v>109367.66217670853</v>
      </c>
      <c r="AE98" s="106">
        <v>97215.699712629794</v>
      </c>
      <c r="AF98" s="106">
        <v>97215.699712629794</v>
      </c>
      <c r="AG98" s="106">
        <v>97215.699712629794</v>
      </c>
      <c r="AH98" s="106">
        <v>97215.699712629794</v>
      </c>
      <c r="AI98" s="106">
        <v>97215.699712629794</v>
      </c>
      <c r="AJ98" s="106">
        <v>97215.699712629794</v>
      </c>
      <c r="AK98" s="106">
        <v>97215.699712629794</v>
      </c>
      <c r="AL98" s="106">
        <v>97215.699712629794</v>
      </c>
      <c r="AM98" s="106">
        <v>109367.66217670853</v>
      </c>
      <c r="AN98" s="106">
        <v>109367.66217670853</v>
      </c>
      <c r="AO98" s="106">
        <v>109367.66217670853</v>
      </c>
      <c r="AP98" s="106">
        <v>109367.66217670853</v>
      </c>
      <c r="AQ98" s="106">
        <v>97215.699712629794</v>
      </c>
      <c r="AR98" s="106">
        <v>97215.699712629794</v>
      </c>
      <c r="AS98" s="106">
        <v>97215.699712629794</v>
      </c>
      <c r="AT98" s="106">
        <v>97215.699712629794</v>
      </c>
      <c r="AU98" s="106">
        <v>97215.699712629794</v>
      </c>
      <c r="AV98" s="106">
        <v>97215.699712629794</v>
      </c>
      <c r="AW98" s="106">
        <v>97215.699712629794</v>
      </c>
      <c r="AX98" s="106">
        <v>97215.699712629794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980317.42775137722</v>
      </c>
      <c r="D100" s="106">
        <v>980317.42775137722</v>
      </c>
      <c r="E100" s="106">
        <v>980317.42775137722</v>
      </c>
      <c r="F100" s="106">
        <v>980317.42775137722</v>
      </c>
      <c r="G100" s="106">
        <v>871393.26911233517</v>
      </c>
      <c r="H100" s="106">
        <v>871393.26911233517</v>
      </c>
      <c r="I100" s="106">
        <v>871393.26911233517</v>
      </c>
      <c r="J100" s="106">
        <v>871393.26911233517</v>
      </c>
      <c r="K100" s="106">
        <v>871393.26911233517</v>
      </c>
      <c r="L100" s="106">
        <v>871393.26911233517</v>
      </c>
      <c r="M100" s="106">
        <v>871393.26911233517</v>
      </c>
      <c r="N100" s="106">
        <v>871393.26911233517</v>
      </c>
      <c r="O100" s="106">
        <v>980317.42775137722</v>
      </c>
      <c r="P100" s="106">
        <v>980317.42775137722</v>
      </c>
      <c r="Q100" s="106">
        <v>980317.42775137722</v>
      </c>
      <c r="R100" s="106">
        <v>980317.42775137722</v>
      </c>
      <c r="S100" s="106">
        <v>871393.26911233517</v>
      </c>
      <c r="T100" s="106">
        <v>871393.26911233517</v>
      </c>
      <c r="U100" s="106">
        <v>871393.26911233517</v>
      </c>
      <c r="V100" s="106">
        <v>871393.26911233517</v>
      </c>
      <c r="W100" s="106">
        <v>871393.26911233517</v>
      </c>
      <c r="X100" s="106">
        <v>871393.26911233517</v>
      </c>
      <c r="Y100" s="106">
        <v>871393.26911233517</v>
      </c>
      <c r="Z100" s="106">
        <v>871393.26911233517</v>
      </c>
      <c r="AA100" s="106">
        <v>980317.42775137722</v>
      </c>
      <c r="AB100" s="106">
        <v>980317.42775137722</v>
      </c>
      <c r="AC100" s="106">
        <v>980317.42775137722</v>
      </c>
      <c r="AD100" s="106">
        <v>980317.42775137722</v>
      </c>
      <c r="AE100" s="106">
        <v>871393.26911233517</v>
      </c>
      <c r="AF100" s="106">
        <v>871393.26911233517</v>
      </c>
      <c r="AG100" s="106">
        <v>871393.26911233517</v>
      </c>
      <c r="AH100" s="106">
        <v>871393.26911233517</v>
      </c>
      <c r="AI100" s="106">
        <v>871393.26911233517</v>
      </c>
      <c r="AJ100" s="106">
        <v>871393.26911233517</v>
      </c>
      <c r="AK100" s="106">
        <v>871393.26911233517</v>
      </c>
      <c r="AL100" s="106">
        <v>871393.26911233517</v>
      </c>
      <c r="AM100" s="106">
        <v>980317.42775137722</v>
      </c>
      <c r="AN100" s="106">
        <v>980317.42775137722</v>
      </c>
      <c r="AO100" s="106">
        <v>980317.42775137722</v>
      </c>
      <c r="AP100" s="106">
        <v>980317.42775137722</v>
      </c>
      <c r="AQ100" s="106">
        <v>871393.26911233517</v>
      </c>
      <c r="AR100" s="106">
        <v>871393.26911233517</v>
      </c>
      <c r="AS100" s="106">
        <v>871393.26911233517</v>
      </c>
      <c r="AT100" s="106">
        <v>871393.26911233517</v>
      </c>
      <c r="AU100" s="106">
        <v>871393.26911233517</v>
      </c>
      <c r="AV100" s="106">
        <v>871393.26911233517</v>
      </c>
      <c r="AW100" s="106">
        <v>871393.26911233517</v>
      </c>
      <c r="AX100" s="106">
        <v>871393.26911233517</v>
      </c>
    </row>
    <row r="101" spans="1:50" x14ac:dyDescent="0.2">
      <c r="B101" s="111" t="s">
        <v>22</v>
      </c>
      <c r="C101" s="106">
        <v>2534920.5024000001</v>
      </c>
      <c r="D101" s="106">
        <v>2534920.5024000001</v>
      </c>
      <c r="E101" s="106">
        <v>2534920.5024000001</v>
      </c>
      <c r="F101" s="106">
        <v>2534920.5024000001</v>
      </c>
      <c r="G101" s="106">
        <v>2253262.6687999996</v>
      </c>
      <c r="H101" s="106">
        <v>2253262.6687999996</v>
      </c>
      <c r="I101" s="106">
        <v>2253262.6687999996</v>
      </c>
      <c r="J101" s="106">
        <v>2253262.6687999996</v>
      </c>
      <c r="K101" s="106">
        <v>2253262.6687999996</v>
      </c>
      <c r="L101" s="106">
        <v>2253262.6687999996</v>
      </c>
      <c r="M101" s="106">
        <v>2253262.6687999996</v>
      </c>
      <c r="N101" s="106">
        <v>2253262.6687999996</v>
      </c>
      <c r="O101" s="106">
        <v>2534920.5024000001</v>
      </c>
      <c r="P101" s="106">
        <v>2534920.5024000001</v>
      </c>
      <c r="Q101" s="106">
        <v>2534920.5024000001</v>
      </c>
      <c r="R101" s="106">
        <v>2534920.5024000001</v>
      </c>
      <c r="S101" s="106">
        <v>2253262.6687999996</v>
      </c>
      <c r="T101" s="106">
        <v>2253262.6687999996</v>
      </c>
      <c r="U101" s="106">
        <v>2253262.6687999996</v>
      </c>
      <c r="V101" s="106">
        <v>2253262.6687999996</v>
      </c>
      <c r="W101" s="106">
        <v>2253262.6687999996</v>
      </c>
      <c r="X101" s="106">
        <v>2253262.6687999996</v>
      </c>
      <c r="Y101" s="106">
        <v>2253262.6687999996</v>
      </c>
      <c r="Z101" s="106">
        <v>2253262.6687999996</v>
      </c>
      <c r="AA101" s="106">
        <v>2534920.5024000001</v>
      </c>
      <c r="AB101" s="106">
        <v>2534920.5024000001</v>
      </c>
      <c r="AC101" s="106">
        <v>2534920.5024000001</v>
      </c>
      <c r="AD101" s="106">
        <v>2534920.5024000001</v>
      </c>
      <c r="AE101" s="106">
        <v>2253262.6687999996</v>
      </c>
      <c r="AF101" s="106">
        <v>2253262.6687999996</v>
      </c>
      <c r="AG101" s="106">
        <v>2253262.6687999996</v>
      </c>
      <c r="AH101" s="106">
        <v>2253262.6687999996</v>
      </c>
      <c r="AI101" s="106">
        <v>2253262.6687999996</v>
      </c>
      <c r="AJ101" s="106">
        <v>2253262.6687999996</v>
      </c>
      <c r="AK101" s="106">
        <v>2253262.6687999996</v>
      </c>
      <c r="AL101" s="106">
        <v>2253262.6687999996</v>
      </c>
      <c r="AM101" s="106">
        <v>2534920.5024000001</v>
      </c>
      <c r="AN101" s="106">
        <v>2534920.5024000001</v>
      </c>
      <c r="AO101" s="106">
        <v>2534920.5024000001</v>
      </c>
      <c r="AP101" s="106">
        <v>2534920.5024000001</v>
      </c>
      <c r="AQ101" s="106">
        <v>2253262.6687999996</v>
      </c>
      <c r="AR101" s="106">
        <v>2253262.6687999996</v>
      </c>
      <c r="AS101" s="106">
        <v>2253262.6687999996</v>
      </c>
      <c r="AT101" s="106">
        <v>2253262.6687999996</v>
      </c>
      <c r="AU101" s="106">
        <v>2253262.6687999996</v>
      </c>
      <c r="AV101" s="106">
        <v>2253262.6687999996</v>
      </c>
      <c r="AW101" s="106">
        <v>2253262.6687999996</v>
      </c>
      <c r="AX101" s="106">
        <v>2253262.6687999996</v>
      </c>
    </row>
    <row r="102" spans="1:50" x14ac:dyDescent="0.2">
      <c r="B102" s="111" t="s">
        <v>59</v>
      </c>
      <c r="C102" s="106">
        <v>1313443.180342471</v>
      </c>
      <c r="D102" s="106">
        <v>1313443.180342471</v>
      </c>
      <c r="E102" s="106">
        <v>1313443.180342471</v>
      </c>
      <c r="F102" s="106">
        <v>1313443.180342471</v>
      </c>
      <c r="G102" s="106">
        <v>1167505.0491933075</v>
      </c>
      <c r="H102" s="106">
        <v>1167505.0491933075</v>
      </c>
      <c r="I102" s="106">
        <v>1167505.0491933075</v>
      </c>
      <c r="J102" s="106">
        <v>1167505.0491933075</v>
      </c>
      <c r="K102" s="106">
        <v>1167505.0491933075</v>
      </c>
      <c r="L102" s="106">
        <v>1167505.0491933075</v>
      </c>
      <c r="M102" s="106">
        <v>1167505.0491933075</v>
      </c>
      <c r="N102" s="106">
        <v>1167505.0491933075</v>
      </c>
      <c r="O102" s="106">
        <v>1313443.180342471</v>
      </c>
      <c r="P102" s="106">
        <v>1313443.180342471</v>
      </c>
      <c r="Q102" s="106">
        <v>1313443.180342471</v>
      </c>
      <c r="R102" s="106">
        <v>1313443.180342471</v>
      </c>
      <c r="S102" s="106">
        <v>1167505.0491933075</v>
      </c>
      <c r="T102" s="106">
        <v>1167505.0491933075</v>
      </c>
      <c r="U102" s="106">
        <v>1167505.0491933075</v>
      </c>
      <c r="V102" s="106">
        <v>1167505.0491933075</v>
      </c>
      <c r="W102" s="106">
        <v>1167505.0491933075</v>
      </c>
      <c r="X102" s="106">
        <v>1167505.0491933075</v>
      </c>
      <c r="Y102" s="106">
        <v>1167505.0491933075</v>
      </c>
      <c r="Z102" s="106">
        <v>1167505.0491933075</v>
      </c>
      <c r="AA102" s="106">
        <v>1313443.180342471</v>
      </c>
      <c r="AB102" s="106">
        <v>1313443.180342471</v>
      </c>
      <c r="AC102" s="106">
        <v>1313443.180342471</v>
      </c>
      <c r="AD102" s="106">
        <v>1313443.180342471</v>
      </c>
      <c r="AE102" s="106">
        <v>1167505.0491933075</v>
      </c>
      <c r="AF102" s="106">
        <v>1167505.0491933075</v>
      </c>
      <c r="AG102" s="106">
        <v>1167505.0491933075</v>
      </c>
      <c r="AH102" s="106">
        <v>1167505.0491933075</v>
      </c>
      <c r="AI102" s="106">
        <v>1167505.0491933075</v>
      </c>
      <c r="AJ102" s="106">
        <v>1167505.0491933075</v>
      </c>
      <c r="AK102" s="106">
        <v>1167505.0491933075</v>
      </c>
      <c r="AL102" s="106">
        <v>1167505.0491933075</v>
      </c>
      <c r="AM102" s="106">
        <v>1313443.180342471</v>
      </c>
      <c r="AN102" s="106">
        <v>1313443.180342471</v>
      </c>
      <c r="AO102" s="106">
        <v>1313443.180342471</v>
      </c>
      <c r="AP102" s="106">
        <v>1313443.180342471</v>
      </c>
      <c r="AQ102" s="106">
        <v>1167505.0491933075</v>
      </c>
      <c r="AR102" s="106">
        <v>1167505.0491933075</v>
      </c>
      <c r="AS102" s="106">
        <v>1167505.0491933075</v>
      </c>
      <c r="AT102" s="106">
        <v>1167505.0491933075</v>
      </c>
      <c r="AU102" s="106">
        <v>1167505.0491933075</v>
      </c>
      <c r="AV102" s="106">
        <v>1167505.0491933075</v>
      </c>
      <c r="AW102" s="106">
        <v>1167505.0491933075</v>
      </c>
      <c r="AX102" s="106">
        <v>1167505.0491933075</v>
      </c>
    </row>
    <row r="103" spans="1:50" x14ac:dyDescent="0.2">
      <c r="B103" s="106" t="s">
        <v>278</v>
      </c>
      <c r="C103" s="111">
        <f>SUM(C$98:C$102)</f>
        <v>4938048.7726705568</v>
      </c>
      <c r="D103" s="111">
        <f t="shared" ref="D103:AX103" si="5">SUM(D$98:D$102)</f>
        <v>4938048.7726705568</v>
      </c>
      <c r="E103" s="111">
        <f t="shared" si="5"/>
        <v>4938048.7726705568</v>
      </c>
      <c r="F103" s="111">
        <f t="shared" si="5"/>
        <v>4938048.7726705568</v>
      </c>
      <c r="G103" s="111">
        <f t="shared" si="5"/>
        <v>4389376.6868182719</v>
      </c>
      <c r="H103" s="111">
        <f t="shared" si="5"/>
        <v>4389376.6868182719</v>
      </c>
      <c r="I103" s="111">
        <f t="shared" si="5"/>
        <v>4389376.6868182719</v>
      </c>
      <c r="J103" s="111">
        <f t="shared" si="5"/>
        <v>4389376.6868182719</v>
      </c>
      <c r="K103" s="111">
        <f t="shared" si="5"/>
        <v>4389376.6868182719</v>
      </c>
      <c r="L103" s="111">
        <f t="shared" si="5"/>
        <v>4389376.6868182719</v>
      </c>
      <c r="M103" s="111">
        <f t="shared" si="5"/>
        <v>4389376.6868182719</v>
      </c>
      <c r="N103" s="111">
        <f t="shared" si="5"/>
        <v>4389376.6868182719</v>
      </c>
      <c r="O103" s="111">
        <f t="shared" si="5"/>
        <v>4938048.7726705568</v>
      </c>
      <c r="P103" s="111">
        <f t="shared" si="5"/>
        <v>4938048.7726705568</v>
      </c>
      <c r="Q103" s="111">
        <f t="shared" si="5"/>
        <v>4938048.7726705568</v>
      </c>
      <c r="R103" s="111">
        <f t="shared" si="5"/>
        <v>4938048.7726705568</v>
      </c>
      <c r="S103" s="111">
        <f t="shared" si="5"/>
        <v>4389376.6868182719</v>
      </c>
      <c r="T103" s="111">
        <f t="shared" si="5"/>
        <v>4389376.6868182719</v>
      </c>
      <c r="U103" s="111">
        <f t="shared" si="5"/>
        <v>4389376.6868182719</v>
      </c>
      <c r="V103" s="111">
        <f t="shared" si="5"/>
        <v>4389376.6868182719</v>
      </c>
      <c r="W103" s="111">
        <f t="shared" si="5"/>
        <v>4389376.6868182719</v>
      </c>
      <c r="X103" s="111">
        <f t="shared" si="5"/>
        <v>4389376.6868182719</v>
      </c>
      <c r="Y103" s="111">
        <f t="shared" si="5"/>
        <v>4389376.6868182719</v>
      </c>
      <c r="Z103" s="111">
        <f t="shared" si="5"/>
        <v>4389376.6868182719</v>
      </c>
      <c r="AA103" s="111">
        <f t="shared" si="5"/>
        <v>4938048.7726705568</v>
      </c>
      <c r="AB103" s="111">
        <f t="shared" si="5"/>
        <v>4938048.7726705568</v>
      </c>
      <c r="AC103" s="111">
        <f t="shared" si="5"/>
        <v>4938048.7726705568</v>
      </c>
      <c r="AD103" s="111">
        <f t="shared" si="5"/>
        <v>4938048.7726705568</v>
      </c>
      <c r="AE103" s="111">
        <f t="shared" si="5"/>
        <v>4389376.6868182719</v>
      </c>
      <c r="AF103" s="111">
        <f t="shared" si="5"/>
        <v>4389376.6868182719</v>
      </c>
      <c r="AG103" s="111">
        <f t="shared" si="5"/>
        <v>4389376.6868182719</v>
      </c>
      <c r="AH103" s="111">
        <f t="shared" si="5"/>
        <v>4389376.6868182719</v>
      </c>
      <c r="AI103" s="111">
        <f t="shared" si="5"/>
        <v>4389376.6868182719</v>
      </c>
      <c r="AJ103" s="111">
        <f t="shared" si="5"/>
        <v>4389376.6868182719</v>
      </c>
      <c r="AK103" s="111">
        <f t="shared" si="5"/>
        <v>4389376.6868182719</v>
      </c>
      <c r="AL103" s="111">
        <f t="shared" si="5"/>
        <v>4389376.6868182719</v>
      </c>
      <c r="AM103" s="111">
        <f t="shared" si="5"/>
        <v>4938048.7726705568</v>
      </c>
      <c r="AN103" s="111">
        <f t="shared" si="5"/>
        <v>4938048.7726705568</v>
      </c>
      <c r="AO103" s="111">
        <f t="shared" si="5"/>
        <v>4938048.7726705568</v>
      </c>
      <c r="AP103" s="111">
        <f t="shared" si="5"/>
        <v>4938048.7726705568</v>
      </c>
      <c r="AQ103" s="111">
        <f t="shared" si="5"/>
        <v>4389376.6868182719</v>
      </c>
      <c r="AR103" s="111">
        <f t="shared" si="5"/>
        <v>4389376.6868182719</v>
      </c>
      <c r="AS103" s="111">
        <f t="shared" si="5"/>
        <v>4389376.6868182719</v>
      </c>
      <c r="AT103" s="111">
        <f t="shared" si="5"/>
        <v>4389376.6868182719</v>
      </c>
      <c r="AU103" s="111">
        <f t="shared" si="5"/>
        <v>4389376.6868182719</v>
      </c>
      <c r="AV103" s="111">
        <f t="shared" si="5"/>
        <v>4389376.6868182719</v>
      </c>
      <c r="AW103" s="111">
        <f t="shared" si="5"/>
        <v>4389376.6868182719</v>
      </c>
      <c r="AX103" s="111">
        <f t="shared" si="5"/>
        <v>4389376.6868182719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34651.186524743345</v>
      </c>
      <c r="M105" s="106">
        <v>72412.357484990862</v>
      </c>
      <c r="N105" s="106">
        <v>72412.357484990862</v>
      </c>
      <c r="O105" s="106">
        <v>72412.357484990862</v>
      </c>
      <c r="P105" s="106">
        <v>72412.357484990862</v>
      </c>
      <c r="Q105" s="106">
        <v>72412.357484990862</v>
      </c>
      <c r="R105" s="106">
        <v>72412.357484990862</v>
      </c>
      <c r="S105" s="106">
        <v>72412.357484990862</v>
      </c>
      <c r="T105" s="106">
        <v>72412.357484990862</v>
      </c>
      <c r="U105" s="106">
        <v>72412.357484990862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72412.357484990862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36714.727185469121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27479.959933960137</v>
      </c>
      <c r="M107" s="106">
        <v>57426.278346636958</v>
      </c>
      <c r="N107" s="106">
        <v>57426.278346636958</v>
      </c>
      <c r="O107" s="106">
        <v>57426.278346636958</v>
      </c>
      <c r="P107" s="106">
        <v>57426.278346636958</v>
      </c>
      <c r="Q107" s="106">
        <v>57426.278346636958</v>
      </c>
      <c r="R107" s="106">
        <v>57426.278346636958</v>
      </c>
      <c r="S107" s="106">
        <v>57426.278346636958</v>
      </c>
      <c r="T107" s="106">
        <v>57426.278346636958</v>
      </c>
      <c r="U107" s="106">
        <v>57426.278346636958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57426.278346636958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29116.441115877235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589539.31106738071</v>
      </c>
      <c r="M108" s="106">
        <v>1231990.4634140832</v>
      </c>
      <c r="N108" s="106">
        <v>1231990.4634140832</v>
      </c>
      <c r="O108" s="106">
        <v>1231990.4634140832</v>
      </c>
      <c r="P108" s="106">
        <v>1231990.4634140832</v>
      </c>
      <c r="Q108" s="106">
        <v>1231990.4634140832</v>
      </c>
      <c r="R108" s="106">
        <v>1231990.4634140832</v>
      </c>
      <c r="S108" s="106">
        <v>1231990.4634140832</v>
      </c>
      <c r="T108" s="106">
        <v>1231990.4634140832</v>
      </c>
      <c r="U108" s="106">
        <v>1231990.4634140832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1231990.4634140832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624647.44044168375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278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651670.45752608415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1361829.099245711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1361829.099245711</v>
      </c>
      <c r="T109" s="111">
        <f t="shared" si="6"/>
        <v>1361829.099245711</v>
      </c>
      <c r="U109" s="111">
        <f t="shared" si="6"/>
        <v>1361829.099245711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1361829.099245711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690478.60874303011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104911.02748708996</v>
      </c>
      <c r="D111" s="106">
        <v>104911.02748708996</v>
      </c>
      <c r="E111" s="106">
        <v>104911.02748708996</v>
      </c>
      <c r="F111" s="106">
        <v>104911.02748708996</v>
      </c>
      <c r="G111" s="106">
        <v>104911.02748708996</v>
      </c>
      <c r="H111" s="106">
        <v>104911.02748708996</v>
      </c>
      <c r="I111" s="106">
        <v>104911.02748708996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74476.665987020766</v>
      </c>
      <c r="Z111" s="106">
        <v>74626.897344315235</v>
      </c>
      <c r="AA111" s="106">
        <v>104911.02748708996</v>
      </c>
      <c r="AB111" s="106">
        <v>104911.02748708996</v>
      </c>
      <c r="AC111" s="106">
        <v>104911.02748708996</v>
      </c>
      <c r="AD111" s="106">
        <v>104911.02748708996</v>
      </c>
      <c r="AE111" s="106">
        <v>104911.02748708996</v>
      </c>
      <c r="AF111" s="106">
        <v>104911.02748708996</v>
      </c>
      <c r="AG111" s="106">
        <v>104911.02748708996</v>
      </c>
      <c r="AH111" s="106">
        <v>104911.02748708996</v>
      </c>
      <c r="AI111" s="106">
        <v>104911.02748708996</v>
      </c>
      <c r="AJ111" s="106">
        <v>104911.02748708996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104911.02748708996</v>
      </c>
      <c r="AP111" s="106">
        <v>104911.02748708996</v>
      </c>
      <c r="AQ111" s="106">
        <v>104911.02748708996</v>
      </c>
      <c r="AR111" s="106">
        <v>104911.02748708996</v>
      </c>
      <c r="AS111" s="106">
        <v>104911.02748708996</v>
      </c>
      <c r="AT111" s="106">
        <v>104911.02748708996</v>
      </c>
      <c r="AU111" s="106">
        <v>104911.02748708996</v>
      </c>
      <c r="AV111" s="106">
        <v>104911.02748708996</v>
      </c>
      <c r="AW111" s="106">
        <v>104911.02748708996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25629.323466382564</v>
      </c>
      <c r="D113" s="106">
        <v>25629.323466382564</v>
      </c>
      <c r="E113" s="106">
        <v>25629.323466382564</v>
      </c>
      <c r="F113" s="106">
        <v>25629.323466382564</v>
      </c>
      <c r="G113" s="106">
        <v>25629.323466382564</v>
      </c>
      <c r="H113" s="106">
        <v>25629.323466382564</v>
      </c>
      <c r="I113" s="106">
        <v>25629.323466382564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18194.33675372188</v>
      </c>
      <c r="Z113" s="106">
        <v>18231.037643448344</v>
      </c>
      <c r="AA113" s="106">
        <v>25629.323466382564</v>
      </c>
      <c r="AB113" s="106">
        <v>25629.323466382564</v>
      </c>
      <c r="AC113" s="106">
        <v>25629.323466382564</v>
      </c>
      <c r="AD113" s="106">
        <v>25629.323466382564</v>
      </c>
      <c r="AE113" s="106">
        <v>25629.323466382564</v>
      </c>
      <c r="AF113" s="106">
        <v>25629.323466382564</v>
      </c>
      <c r="AG113" s="106">
        <v>25629.323466382564</v>
      </c>
      <c r="AH113" s="106">
        <v>25629.323466382564</v>
      </c>
      <c r="AI113" s="106">
        <v>25629.323466382564</v>
      </c>
      <c r="AJ113" s="106">
        <v>25629.323466382564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25629.323466382564</v>
      </c>
      <c r="AP113" s="106">
        <v>25629.323466382564</v>
      </c>
      <c r="AQ113" s="106">
        <v>25629.323466382564</v>
      </c>
      <c r="AR113" s="106">
        <v>25629.323466382564</v>
      </c>
      <c r="AS113" s="106">
        <v>25629.323466382564</v>
      </c>
      <c r="AT113" s="106">
        <v>25629.323466382564</v>
      </c>
      <c r="AU113" s="106">
        <v>25629.323466382564</v>
      </c>
      <c r="AV113" s="106">
        <v>25629.323466382564</v>
      </c>
      <c r="AW113" s="106">
        <v>25629.323466382564</v>
      </c>
      <c r="AX113" s="106">
        <v>25629.323466382564</v>
      </c>
    </row>
    <row r="114" spans="1:50" x14ac:dyDescent="0.2">
      <c r="B114" s="111" t="s">
        <v>59</v>
      </c>
      <c r="C114" s="106">
        <v>478777.59742139117</v>
      </c>
      <c r="D114" s="106">
        <v>478777.59742139117</v>
      </c>
      <c r="E114" s="106">
        <v>478777.59742139117</v>
      </c>
      <c r="F114" s="106">
        <v>478777.59742139117</v>
      </c>
      <c r="G114" s="106">
        <v>478777.59742139117</v>
      </c>
      <c r="H114" s="106">
        <v>478777.59742139117</v>
      </c>
      <c r="I114" s="106">
        <v>478777.59742139117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339885.71134344465</v>
      </c>
      <c r="Z114" s="106">
        <v>340571.31523109745</v>
      </c>
      <c r="AA114" s="106">
        <v>478777.59742139117</v>
      </c>
      <c r="AB114" s="106">
        <v>478777.59742139117</v>
      </c>
      <c r="AC114" s="106">
        <v>478777.59742139117</v>
      </c>
      <c r="AD114" s="106">
        <v>478777.59742139117</v>
      </c>
      <c r="AE114" s="106">
        <v>478777.59742139117</v>
      </c>
      <c r="AF114" s="106">
        <v>478777.59742139117</v>
      </c>
      <c r="AG114" s="106">
        <v>478777.59742139117</v>
      </c>
      <c r="AH114" s="106">
        <v>478777.59742139117</v>
      </c>
      <c r="AI114" s="106">
        <v>478777.59742139117</v>
      </c>
      <c r="AJ114" s="106">
        <v>478777.59742139117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478777.59742139117</v>
      </c>
      <c r="AP114" s="106">
        <v>478777.59742139117</v>
      </c>
      <c r="AQ114" s="106">
        <v>478777.59742139117</v>
      </c>
      <c r="AR114" s="106">
        <v>478777.59742139117</v>
      </c>
      <c r="AS114" s="106">
        <v>478777.59742139117</v>
      </c>
      <c r="AT114" s="106">
        <v>478777.59742139117</v>
      </c>
      <c r="AU114" s="106">
        <v>478777.59742139117</v>
      </c>
      <c r="AV114" s="106">
        <v>478777.59742139117</v>
      </c>
      <c r="AW114" s="106">
        <v>478777.59742139117</v>
      </c>
      <c r="AX114" s="106">
        <v>478777.59742139117</v>
      </c>
    </row>
    <row r="115" spans="1:50" x14ac:dyDescent="0.2">
      <c r="B115" s="106" t="s">
        <v>278</v>
      </c>
      <c r="C115" s="111">
        <f>SUM(C$110:C$114)</f>
        <v>609317.94837486371</v>
      </c>
      <c r="D115" s="111">
        <f t="shared" ref="D115:AX115" si="7">SUM(D$110:D$114)</f>
        <v>609317.94837486371</v>
      </c>
      <c r="E115" s="111">
        <f t="shared" si="7"/>
        <v>609317.94837486371</v>
      </c>
      <c r="F115" s="111">
        <f t="shared" si="7"/>
        <v>609317.94837486371</v>
      </c>
      <c r="G115" s="111">
        <f t="shared" si="7"/>
        <v>609317.94837486371</v>
      </c>
      <c r="H115" s="111">
        <f t="shared" si="7"/>
        <v>609317.94837486371</v>
      </c>
      <c r="I115" s="111">
        <f t="shared" si="7"/>
        <v>609317.94837486371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432556.71408418729</v>
      </c>
      <c r="Z115" s="111">
        <f t="shared" si="7"/>
        <v>433429.25021886104</v>
      </c>
      <c r="AA115" s="111">
        <f t="shared" si="7"/>
        <v>609317.94837486371</v>
      </c>
      <c r="AB115" s="111">
        <f t="shared" si="7"/>
        <v>609317.94837486371</v>
      </c>
      <c r="AC115" s="111">
        <f t="shared" si="7"/>
        <v>609317.94837486371</v>
      </c>
      <c r="AD115" s="111">
        <f t="shared" si="7"/>
        <v>609317.94837486371</v>
      </c>
      <c r="AE115" s="111">
        <f t="shared" si="7"/>
        <v>609317.94837486371</v>
      </c>
      <c r="AF115" s="111">
        <f t="shared" si="7"/>
        <v>609317.94837486371</v>
      </c>
      <c r="AG115" s="111">
        <f t="shared" si="7"/>
        <v>609317.94837486371</v>
      </c>
      <c r="AH115" s="111">
        <f t="shared" si="7"/>
        <v>609317.94837486371</v>
      </c>
      <c r="AI115" s="111">
        <f t="shared" si="7"/>
        <v>609317.94837486371</v>
      </c>
      <c r="AJ115" s="111">
        <f t="shared" si="7"/>
        <v>609317.94837486371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609317.94837486371</v>
      </c>
      <c r="AP115" s="111">
        <f t="shared" si="7"/>
        <v>609317.94837486371</v>
      </c>
      <c r="AQ115" s="111">
        <f t="shared" si="7"/>
        <v>609317.94837486371</v>
      </c>
      <c r="AR115" s="111">
        <f t="shared" si="7"/>
        <v>609317.94837486371</v>
      </c>
      <c r="AS115" s="111">
        <f t="shared" si="7"/>
        <v>609317.94837486371</v>
      </c>
      <c r="AT115" s="111">
        <f t="shared" si="7"/>
        <v>609317.94837486371</v>
      </c>
      <c r="AU115" s="111">
        <f t="shared" si="7"/>
        <v>609317.94837486371</v>
      </c>
      <c r="AV115" s="111">
        <f t="shared" si="7"/>
        <v>609317.94837486371</v>
      </c>
      <c r="AW115" s="111">
        <f t="shared" si="7"/>
        <v>609317.94837486371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121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1094.9906104996849</v>
      </c>
      <c r="E7" s="150">
        <v>1094.9906104996849</v>
      </c>
      <c r="F7" s="150">
        <v>1094.9906104996849</v>
      </c>
      <c r="G7" s="150">
        <v>1094.9906104996849</v>
      </c>
      <c r="H7" s="150">
        <v>973.32498711083099</v>
      </c>
      <c r="I7" s="150">
        <v>973.32498711083099</v>
      </c>
      <c r="J7" s="150">
        <v>973.32498711083099</v>
      </c>
      <c r="K7" s="150">
        <v>973.32498711083099</v>
      </c>
      <c r="L7" s="150">
        <v>973.32498711083099</v>
      </c>
      <c r="M7" s="150">
        <v>973.32498711083099</v>
      </c>
      <c r="N7" s="150">
        <v>973.32498711083099</v>
      </c>
      <c r="O7" s="150">
        <v>973.32498711083099</v>
      </c>
      <c r="P7" s="150">
        <v>1094.9906104996849</v>
      </c>
      <c r="Q7" s="150">
        <v>1094.9906104996849</v>
      </c>
      <c r="R7" s="150">
        <v>1094.9906104996849</v>
      </c>
      <c r="S7" s="150">
        <v>1094.9906104996849</v>
      </c>
      <c r="T7" s="150">
        <v>973.32498711083099</v>
      </c>
      <c r="U7" s="150">
        <v>973.32498711083099</v>
      </c>
      <c r="V7" s="150">
        <v>973.32498711083099</v>
      </c>
      <c r="W7" s="150">
        <v>973.32498711083099</v>
      </c>
      <c r="X7" s="150">
        <v>973.32498711083099</v>
      </c>
      <c r="Y7" s="150">
        <v>973.32498711083099</v>
      </c>
      <c r="Z7" s="150">
        <v>973.32498711083099</v>
      </c>
      <c r="AA7" s="150">
        <v>973.32498711083099</v>
      </c>
      <c r="AB7" s="150">
        <v>1094.9906104996849</v>
      </c>
      <c r="AC7" s="150">
        <v>1094.9906104996849</v>
      </c>
      <c r="AD7" s="150">
        <v>1094.9906104996849</v>
      </c>
      <c r="AE7" s="150">
        <v>1094.9906104996849</v>
      </c>
      <c r="AF7" s="150">
        <v>973.32498711083099</v>
      </c>
      <c r="AG7" s="150">
        <v>973.32498711083099</v>
      </c>
      <c r="AH7" s="150">
        <v>973.32498711083099</v>
      </c>
      <c r="AI7" s="150">
        <v>973.32498711083099</v>
      </c>
      <c r="AJ7" s="150">
        <v>973.32498711083099</v>
      </c>
      <c r="AK7" s="150">
        <v>973.32498711083099</v>
      </c>
      <c r="AL7" s="150">
        <v>973.32498711083099</v>
      </c>
      <c r="AM7" s="150">
        <v>973.32498711083099</v>
      </c>
      <c r="AN7" s="150">
        <v>1094.9906104996849</v>
      </c>
      <c r="AO7" s="150">
        <v>1094.9906104996849</v>
      </c>
      <c r="AP7" s="150">
        <v>1094.9906104996849</v>
      </c>
      <c r="AQ7" s="150">
        <v>1094.9906104996849</v>
      </c>
      <c r="AR7" s="150">
        <v>973.32498711083099</v>
      </c>
      <c r="AS7" s="150">
        <v>973.32498711083099</v>
      </c>
      <c r="AT7" s="150">
        <v>973.32498711083099</v>
      </c>
      <c r="AU7" s="150">
        <v>973.32498711083099</v>
      </c>
      <c r="AV7" s="150">
        <v>973.32498711083099</v>
      </c>
      <c r="AW7" s="150">
        <v>973.32498711083099</v>
      </c>
      <c r="AX7" s="150">
        <v>973.32498711083099</v>
      </c>
      <c r="AY7" s="150">
        <v>973.32498711083099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973.99061049968486</v>
      </c>
      <c r="E10" s="150">
        <f t="shared" si="0"/>
        <v>1094.9906104996849</v>
      </c>
      <c r="F10" s="150">
        <f t="shared" si="0"/>
        <v>973.99061049968486</v>
      </c>
      <c r="G10" s="150">
        <f t="shared" si="0"/>
        <v>973.99061049968486</v>
      </c>
      <c r="H10" s="150">
        <f t="shared" si="0"/>
        <v>852.32498711083099</v>
      </c>
      <c r="I10" s="150">
        <f t="shared" si="0"/>
        <v>852.32498711083099</v>
      </c>
      <c r="J10" s="150">
        <f t="shared" si="0"/>
        <v>852.32498711083099</v>
      </c>
      <c r="K10" s="150">
        <f t="shared" si="0"/>
        <v>852.32498711083099</v>
      </c>
      <c r="L10" s="150">
        <f t="shared" si="0"/>
        <v>852.32498711083099</v>
      </c>
      <c r="M10" s="150">
        <f t="shared" si="0"/>
        <v>852.32498711083099</v>
      </c>
      <c r="N10" s="150">
        <f t="shared" si="0"/>
        <v>852.32498711083099</v>
      </c>
      <c r="O10" s="150">
        <f t="shared" si="0"/>
        <v>852.32498711083099</v>
      </c>
      <c r="P10" s="150">
        <f t="shared" si="0"/>
        <v>973.99061049968486</v>
      </c>
      <c r="Q10" s="150">
        <f t="shared" si="0"/>
        <v>973.99061049968486</v>
      </c>
      <c r="R10" s="150">
        <f t="shared" si="0"/>
        <v>973.99061049968486</v>
      </c>
      <c r="S10" s="150">
        <f t="shared" si="0"/>
        <v>973.99061049968486</v>
      </c>
      <c r="T10" s="150">
        <f t="shared" si="0"/>
        <v>852.32498711083099</v>
      </c>
      <c r="U10" s="150">
        <f t="shared" si="0"/>
        <v>852.32498711083099</v>
      </c>
      <c r="V10" s="150">
        <f t="shared" si="0"/>
        <v>852.32498711083099</v>
      </c>
      <c r="W10" s="150">
        <f t="shared" si="0"/>
        <v>852.32498711083099</v>
      </c>
      <c r="X10" s="150">
        <f t="shared" si="0"/>
        <v>852.32498711083099</v>
      </c>
      <c r="Y10" s="150">
        <f t="shared" si="0"/>
        <v>852.32498711083099</v>
      </c>
      <c r="Z10" s="150">
        <f t="shared" si="0"/>
        <v>852.32498711083099</v>
      </c>
      <c r="AA10" s="150">
        <f t="shared" si="0"/>
        <v>852.32498711083099</v>
      </c>
      <c r="AB10" s="150">
        <f t="shared" si="0"/>
        <v>973.99061049968486</v>
      </c>
      <c r="AC10" s="150">
        <f t="shared" si="0"/>
        <v>973.99061049968486</v>
      </c>
      <c r="AD10" s="150">
        <f t="shared" si="0"/>
        <v>973.99061049968486</v>
      </c>
      <c r="AE10" s="150">
        <f t="shared" si="0"/>
        <v>973.99061049968486</v>
      </c>
      <c r="AF10" s="150">
        <f t="shared" si="0"/>
        <v>852.32498711083099</v>
      </c>
      <c r="AG10" s="150">
        <f t="shared" si="0"/>
        <v>852.32498711083099</v>
      </c>
      <c r="AH10" s="150">
        <f t="shared" si="0"/>
        <v>852.32498711083099</v>
      </c>
      <c r="AI10" s="150">
        <f t="shared" si="0"/>
        <v>852.32498711083099</v>
      </c>
      <c r="AJ10" s="150">
        <f t="shared" si="0"/>
        <v>852.32498711083099</v>
      </c>
      <c r="AK10" s="150">
        <f t="shared" si="0"/>
        <v>852.32498711083099</v>
      </c>
      <c r="AL10" s="150">
        <f t="shared" si="0"/>
        <v>852.32498711083099</v>
      </c>
      <c r="AM10" s="150">
        <f t="shared" si="0"/>
        <v>852.32498711083099</v>
      </c>
      <c r="AN10" s="150">
        <f t="shared" si="0"/>
        <v>973.99061049968486</v>
      </c>
      <c r="AO10" s="150">
        <f t="shared" si="0"/>
        <v>973.99061049968486</v>
      </c>
      <c r="AP10" s="150">
        <f t="shared" si="0"/>
        <v>973.99061049968486</v>
      </c>
      <c r="AQ10" s="150">
        <f t="shared" si="0"/>
        <v>973.99061049968486</v>
      </c>
      <c r="AR10" s="150">
        <f t="shared" si="0"/>
        <v>852.32498711083099</v>
      </c>
      <c r="AS10" s="150">
        <f t="shared" si="0"/>
        <v>852.32498711083099</v>
      </c>
      <c r="AT10" s="150">
        <f t="shared" si="0"/>
        <v>852.32498711083099</v>
      </c>
      <c r="AU10" s="150">
        <f t="shared" si="0"/>
        <v>852.32498711083099</v>
      </c>
      <c r="AV10" s="150">
        <f t="shared" si="0"/>
        <v>852.32498711083099</v>
      </c>
      <c r="AW10" s="150">
        <f t="shared" si="0"/>
        <v>852.32498711083099</v>
      </c>
      <c r="AX10" s="150">
        <f t="shared" si="0"/>
        <v>852.32498711083099</v>
      </c>
      <c r="AY10" s="150">
        <f t="shared" si="0"/>
        <v>852.32498711083099</v>
      </c>
      <c r="AZ10" s="157">
        <f>SUM($D10:$AY10)</f>
        <v>42979.249355541513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221</v>
      </c>
      <c r="D13" s="144">
        <f t="shared" ref="D13:AY13" si="1">D$7-D$10</f>
        <v>121</v>
      </c>
      <c r="E13" s="144">
        <f t="shared" si="1"/>
        <v>0</v>
      </c>
      <c r="F13" s="144">
        <f t="shared" si="1"/>
        <v>121</v>
      </c>
      <c r="G13" s="144">
        <f t="shared" si="1"/>
        <v>121</v>
      </c>
      <c r="H13" s="144">
        <f t="shared" si="1"/>
        <v>121</v>
      </c>
      <c r="I13" s="144">
        <f t="shared" si="1"/>
        <v>121</v>
      </c>
      <c r="J13" s="144">
        <f t="shared" si="1"/>
        <v>121</v>
      </c>
      <c r="K13" s="144">
        <f t="shared" si="1"/>
        <v>121</v>
      </c>
      <c r="L13" s="144">
        <f t="shared" si="1"/>
        <v>121</v>
      </c>
      <c r="M13" s="144">
        <f t="shared" si="1"/>
        <v>121</v>
      </c>
      <c r="N13" s="144">
        <f t="shared" si="1"/>
        <v>121</v>
      </c>
      <c r="O13" s="144">
        <f t="shared" si="1"/>
        <v>121</v>
      </c>
      <c r="P13" s="144">
        <f t="shared" si="1"/>
        <v>121</v>
      </c>
      <c r="Q13" s="144">
        <f t="shared" si="1"/>
        <v>121</v>
      </c>
      <c r="R13" s="144">
        <f t="shared" si="1"/>
        <v>121</v>
      </c>
      <c r="S13" s="144">
        <f t="shared" si="1"/>
        <v>121</v>
      </c>
      <c r="T13" s="144">
        <f t="shared" si="1"/>
        <v>121</v>
      </c>
      <c r="U13" s="144">
        <f t="shared" si="1"/>
        <v>121</v>
      </c>
      <c r="V13" s="144">
        <f t="shared" si="1"/>
        <v>121</v>
      </c>
      <c r="W13" s="144">
        <f t="shared" si="1"/>
        <v>121</v>
      </c>
      <c r="X13" s="144">
        <f t="shared" si="1"/>
        <v>121</v>
      </c>
      <c r="Y13" s="144">
        <f t="shared" si="1"/>
        <v>121</v>
      </c>
      <c r="Z13" s="144">
        <f t="shared" si="1"/>
        <v>121</v>
      </c>
      <c r="AA13" s="144">
        <f t="shared" si="1"/>
        <v>121</v>
      </c>
      <c r="AB13" s="144">
        <f t="shared" si="1"/>
        <v>121</v>
      </c>
      <c r="AC13" s="144">
        <f t="shared" si="1"/>
        <v>121</v>
      </c>
      <c r="AD13" s="144">
        <f t="shared" si="1"/>
        <v>121</v>
      </c>
      <c r="AE13" s="144">
        <f t="shared" si="1"/>
        <v>121</v>
      </c>
      <c r="AF13" s="144">
        <f t="shared" si="1"/>
        <v>121</v>
      </c>
      <c r="AG13" s="144">
        <f t="shared" si="1"/>
        <v>121</v>
      </c>
      <c r="AH13" s="144">
        <f t="shared" si="1"/>
        <v>121</v>
      </c>
      <c r="AI13" s="144">
        <f t="shared" si="1"/>
        <v>121</v>
      </c>
      <c r="AJ13" s="144">
        <f t="shared" si="1"/>
        <v>121</v>
      </c>
      <c r="AK13" s="144">
        <f t="shared" si="1"/>
        <v>121</v>
      </c>
      <c r="AL13" s="144">
        <f t="shared" si="1"/>
        <v>121</v>
      </c>
      <c r="AM13" s="144">
        <f t="shared" si="1"/>
        <v>121</v>
      </c>
      <c r="AN13" s="144">
        <f t="shared" si="1"/>
        <v>121</v>
      </c>
      <c r="AO13" s="144">
        <f t="shared" si="1"/>
        <v>121</v>
      </c>
      <c r="AP13" s="144">
        <f t="shared" si="1"/>
        <v>121</v>
      </c>
      <c r="AQ13" s="144">
        <f t="shared" si="1"/>
        <v>121</v>
      </c>
      <c r="AR13" s="144">
        <f t="shared" si="1"/>
        <v>121</v>
      </c>
      <c r="AS13" s="144">
        <f t="shared" si="1"/>
        <v>121</v>
      </c>
      <c r="AT13" s="144">
        <f t="shared" si="1"/>
        <v>121</v>
      </c>
      <c r="AU13" s="144">
        <f t="shared" si="1"/>
        <v>121</v>
      </c>
      <c r="AV13" s="144">
        <f t="shared" si="1"/>
        <v>121</v>
      </c>
      <c r="AW13" s="144">
        <f t="shared" si="1"/>
        <v>121</v>
      </c>
      <c r="AX13" s="144">
        <f t="shared" si="1"/>
        <v>121</v>
      </c>
      <c r="AY13" s="144">
        <f t="shared" si="1"/>
        <v>121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121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 t="s">
        <v>313</v>
      </c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221</v>
      </c>
      <c r="E21" s="112">
        <f t="shared" ref="E21:AY21" si="3">IF(D$20="Yes",0,SUM(D$13:D$16)*$B$21)</f>
        <v>0</v>
      </c>
      <c r="F21" s="112">
        <f t="shared" si="3"/>
        <v>121</v>
      </c>
      <c r="G21" s="112">
        <f t="shared" si="3"/>
        <v>121</v>
      </c>
      <c r="H21" s="112">
        <f t="shared" si="3"/>
        <v>121</v>
      </c>
      <c r="I21" s="112">
        <f t="shared" si="3"/>
        <v>121</v>
      </c>
      <c r="J21" s="112">
        <f t="shared" si="3"/>
        <v>121</v>
      </c>
      <c r="K21" s="112">
        <f t="shared" si="3"/>
        <v>121</v>
      </c>
      <c r="L21" s="112">
        <f t="shared" si="3"/>
        <v>121</v>
      </c>
      <c r="M21" s="112">
        <f t="shared" si="3"/>
        <v>121</v>
      </c>
      <c r="N21" s="112">
        <f t="shared" si="3"/>
        <v>121</v>
      </c>
      <c r="O21" s="112">
        <f t="shared" si="3"/>
        <v>121</v>
      </c>
      <c r="P21" s="112">
        <f t="shared" si="3"/>
        <v>121</v>
      </c>
      <c r="Q21" s="112">
        <f t="shared" si="3"/>
        <v>121</v>
      </c>
      <c r="R21" s="112">
        <f t="shared" si="3"/>
        <v>121</v>
      </c>
      <c r="S21" s="112">
        <f t="shared" si="3"/>
        <v>121</v>
      </c>
      <c r="T21" s="112">
        <f t="shared" si="3"/>
        <v>121</v>
      </c>
      <c r="U21" s="112">
        <f t="shared" si="3"/>
        <v>121</v>
      </c>
      <c r="V21" s="112">
        <f t="shared" si="3"/>
        <v>121</v>
      </c>
      <c r="W21" s="112">
        <f t="shared" si="3"/>
        <v>121</v>
      </c>
      <c r="X21" s="112">
        <f t="shared" si="3"/>
        <v>121</v>
      </c>
      <c r="Y21" s="112">
        <f t="shared" si="3"/>
        <v>121</v>
      </c>
      <c r="Z21" s="112">
        <f t="shared" si="3"/>
        <v>121</v>
      </c>
      <c r="AA21" s="112">
        <f t="shared" si="3"/>
        <v>121</v>
      </c>
      <c r="AB21" s="112">
        <f t="shared" si="3"/>
        <v>121</v>
      </c>
      <c r="AC21" s="112">
        <f t="shared" si="3"/>
        <v>121</v>
      </c>
      <c r="AD21" s="112">
        <f t="shared" si="3"/>
        <v>121</v>
      </c>
      <c r="AE21" s="112">
        <f t="shared" si="3"/>
        <v>121</v>
      </c>
      <c r="AF21" s="112">
        <f t="shared" si="3"/>
        <v>121</v>
      </c>
      <c r="AG21" s="112">
        <f t="shared" si="3"/>
        <v>121</v>
      </c>
      <c r="AH21" s="112">
        <f t="shared" si="3"/>
        <v>121</v>
      </c>
      <c r="AI21" s="112">
        <f t="shared" si="3"/>
        <v>121</v>
      </c>
      <c r="AJ21" s="112">
        <f t="shared" si="3"/>
        <v>121</v>
      </c>
      <c r="AK21" s="112">
        <f t="shared" si="3"/>
        <v>121</v>
      </c>
      <c r="AL21" s="112">
        <f t="shared" si="3"/>
        <v>121</v>
      </c>
      <c r="AM21" s="112">
        <f t="shared" si="3"/>
        <v>121</v>
      </c>
      <c r="AN21" s="112">
        <f t="shared" si="3"/>
        <v>121</v>
      </c>
      <c r="AO21" s="112">
        <f t="shared" si="3"/>
        <v>121</v>
      </c>
      <c r="AP21" s="112">
        <f t="shared" si="3"/>
        <v>121</v>
      </c>
      <c r="AQ21" s="112">
        <f t="shared" si="3"/>
        <v>121</v>
      </c>
      <c r="AR21" s="112">
        <f t="shared" si="3"/>
        <v>121</v>
      </c>
      <c r="AS21" s="112">
        <f t="shared" si="3"/>
        <v>121</v>
      </c>
      <c r="AT21" s="112">
        <f t="shared" si="3"/>
        <v>121</v>
      </c>
      <c r="AU21" s="112">
        <f t="shared" si="3"/>
        <v>121</v>
      </c>
      <c r="AV21" s="112">
        <f t="shared" si="3"/>
        <v>121</v>
      </c>
      <c r="AW21" s="112">
        <f t="shared" si="3"/>
        <v>121</v>
      </c>
      <c r="AX21" s="112">
        <f t="shared" si="3"/>
        <v>121</v>
      </c>
      <c r="AY21" s="112">
        <f t="shared" si="3"/>
        <v>121</v>
      </c>
      <c r="AZ21" s="163">
        <f>SUM($D21:$AY21)</f>
        <v>5787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442000</v>
      </c>
      <c r="E23" s="106">
        <f t="shared" ref="E23:AY23" si="6">E$21*$B$23</f>
        <v>0</v>
      </c>
      <c r="F23" s="106">
        <f t="shared" si="6"/>
        <v>242000</v>
      </c>
      <c r="G23" s="106">
        <f t="shared" si="6"/>
        <v>242000</v>
      </c>
      <c r="H23" s="106">
        <f t="shared" si="6"/>
        <v>242000</v>
      </c>
      <c r="I23" s="106">
        <f t="shared" si="6"/>
        <v>242000</v>
      </c>
      <c r="J23" s="106">
        <f t="shared" si="6"/>
        <v>242000</v>
      </c>
      <c r="K23" s="106">
        <f t="shared" si="6"/>
        <v>242000</v>
      </c>
      <c r="L23" s="106">
        <f t="shared" si="6"/>
        <v>242000</v>
      </c>
      <c r="M23" s="106">
        <f t="shared" si="6"/>
        <v>242000</v>
      </c>
      <c r="N23" s="106">
        <f t="shared" si="6"/>
        <v>242000</v>
      </c>
      <c r="O23" s="106">
        <f t="shared" si="6"/>
        <v>242000</v>
      </c>
      <c r="P23" s="106">
        <f t="shared" si="6"/>
        <v>242000</v>
      </c>
      <c r="Q23" s="106">
        <f t="shared" si="6"/>
        <v>242000</v>
      </c>
      <c r="R23" s="106">
        <f t="shared" si="6"/>
        <v>242000</v>
      </c>
      <c r="S23" s="106">
        <f t="shared" si="6"/>
        <v>242000</v>
      </c>
      <c r="T23" s="106">
        <f t="shared" si="6"/>
        <v>242000</v>
      </c>
      <c r="U23" s="106">
        <f t="shared" si="6"/>
        <v>242000</v>
      </c>
      <c r="V23" s="106">
        <f t="shared" si="6"/>
        <v>242000</v>
      </c>
      <c r="W23" s="106">
        <f t="shared" si="6"/>
        <v>242000</v>
      </c>
      <c r="X23" s="106">
        <f t="shared" si="6"/>
        <v>242000</v>
      </c>
      <c r="Y23" s="106">
        <f t="shared" si="6"/>
        <v>242000</v>
      </c>
      <c r="Z23" s="106">
        <f t="shared" si="6"/>
        <v>242000</v>
      </c>
      <c r="AA23" s="106">
        <f t="shared" si="6"/>
        <v>242000</v>
      </c>
      <c r="AB23" s="106">
        <f t="shared" si="6"/>
        <v>242000</v>
      </c>
      <c r="AC23" s="106">
        <f t="shared" si="6"/>
        <v>242000</v>
      </c>
      <c r="AD23" s="106">
        <f t="shared" si="6"/>
        <v>242000</v>
      </c>
      <c r="AE23" s="106">
        <f t="shared" si="6"/>
        <v>242000</v>
      </c>
      <c r="AF23" s="106">
        <f t="shared" si="6"/>
        <v>242000</v>
      </c>
      <c r="AG23" s="106">
        <f t="shared" si="6"/>
        <v>242000</v>
      </c>
      <c r="AH23" s="106">
        <f t="shared" si="6"/>
        <v>242000</v>
      </c>
      <c r="AI23" s="106">
        <f t="shared" si="6"/>
        <v>242000</v>
      </c>
      <c r="AJ23" s="106">
        <f t="shared" si="6"/>
        <v>242000</v>
      </c>
      <c r="AK23" s="106">
        <f t="shared" si="6"/>
        <v>242000</v>
      </c>
      <c r="AL23" s="106">
        <f t="shared" si="6"/>
        <v>242000</v>
      </c>
      <c r="AM23" s="106">
        <f t="shared" si="6"/>
        <v>242000</v>
      </c>
      <c r="AN23" s="106">
        <f t="shared" si="6"/>
        <v>242000</v>
      </c>
      <c r="AO23" s="106">
        <f t="shared" si="6"/>
        <v>242000</v>
      </c>
      <c r="AP23" s="106">
        <f t="shared" si="6"/>
        <v>242000</v>
      </c>
      <c r="AQ23" s="106">
        <f t="shared" si="6"/>
        <v>242000</v>
      </c>
      <c r="AR23" s="106">
        <f t="shared" si="6"/>
        <v>242000</v>
      </c>
      <c r="AS23" s="106">
        <f t="shared" si="6"/>
        <v>242000</v>
      </c>
      <c r="AT23" s="106">
        <f t="shared" si="6"/>
        <v>242000</v>
      </c>
      <c r="AU23" s="106">
        <f t="shared" si="6"/>
        <v>242000</v>
      </c>
      <c r="AV23" s="106">
        <f t="shared" si="6"/>
        <v>242000</v>
      </c>
      <c r="AW23" s="106">
        <f t="shared" si="6"/>
        <v>242000</v>
      </c>
      <c r="AX23" s="106">
        <f t="shared" si="6"/>
        <v>242000</v>
      </c>
      <c r="AY23" s="106">
        <f t="shared" si="6"/>
        <v>242000</v>
      </c>
      <c r="AZ23" s="145">
        <f t="shared" si="5"/>
        <v>11574000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221</v>
      </c>
      <c r="E33" s="130">
        <f>E$21*shipping_manufacturing!$D$27/100</f>
        <v>0</v>
      </c>
      <c r="F33" s="130">
        <f>F$21*shipping_manufacturing!$D$27/100</f>
        <v>121</v>
      </c>
      <c r="G33" s="130">
        <f>G$21*shipping_manufacturing!$D$27/100</f>
        <v>121</v>
      </c>
      <c r="H33" s="130">
        <f>H$21*shipping_manufacturing!$D$27/100</f>
        <v>121</v>
      </c>
      <c r="I33" s="130">
        <f>I$21*shipping_manufacturing!$D$27/100</f>
        <v>121</v>
      </c>
      <c r="J33" s="130">
        <f>J$21*shipping_manufacturing!$D$27/100</f>
        <v>121</v>
      </c>
      <c r="K33" s="130">
        <f>K$21*shipping_manufacturing!$D$27/100</f>
        <v>121</v>
      </c>
      <c r="L33" s="130">
        <f>L$21*shipping_manufacturing!$D$27/100</f>
        <v>121</v>
      </c>
      <c r="M33" s="130">
        <f>M$21*shipping_manufacturing!$D$27/100</f>
        <v>121</v>
      </c>
      <c r="N33" s="130">
        <f>N$21*shipping_manufacturing!$D$27/100</f>
        <v>121</v>
      </c>
      <c r="O33" s="130">
        <f>O$21*shipping_manufacturing!$D$27/100</f>
        <v>121</v>
      </c>
      <c r="P33" s="130">
        <f>P$21*shipping_manufacturing!$D$27/100</f>
        <v>121</v>
      </c>
      <c r="Q33" s="130">
        <f>Q$21*shipping_manufacturing!$D$27/100</f>
        <v>121</v>
      </c>
      <c r="R33" s="130">
        <f>R$21*shipping_manufacturing!$D$27/100</f>
        <v>121</v>
      </c>
      <c r="S33" s="130">
        <f>S$21*shipping_manufacturing!$D$27/100</f>
        <v>121</v>
      </c>
      <c r="T33" s="130">
        <f>T$21*shipping_manufacturing!$D$27/100</f>
        <v>121</v>
      </c>
      <c r="U33" s="130">
        <f>U$21*shipping_manufacturing!$D$27/100</f>
        <v>121</v>
      </c>
      <c r="V33" s="130">
        <f>V$21*shipping_manufacturing!$D$27/100</f>
        <v>121</v>
      </c>
      <c r="W33" s="130">
        <f>W$21*shipping_manufacturing!$D$27/100</f>
        <v>121</v>
      </c>
      <c r="X33" s="130">
        <f>X$21*shipping_manufacturing!$D$27/100</f>
        <v>121</v>
      </c>
      <c r="Y33" s="130">
        <f>Y$21*shipping_manufacturing!$D$27/100</f>
        <v>121</v>
      </c>
      <c r="Z33" s="130">
        <f>Z$21*shipping_manufacturing!$D$27/100</f>
        <v>121</v>
      </c>
      <c r="AA33" s="130">
        <f>AA$21*shipping_manufacturing!$D$27/100</f>
        <v>121</v>
      </c>
      <c r="AB33" s="130">
        <f>AB$21*shipping_manufacturing!$D$27/100</f>
        <v>121</v>
      </c>
      <c r="AC33" s="130">
        <f>AC$21*shipping_manufacturing!$D$27/100</f>
        <v>121</v>
      </c>
      <c r="AD33" s="130">
        <f>AD$21*shipping_manufacturing!$D$27/100</f>
        <v>121</v>
      </c>
      <c r="AE33" s="130">
        <f>AE$21*shipping_manufacturing!$D$27/100</f>
        <v>121</v>
      </c>
      <c r="AF33" s="130">
        <f>AF$21*shipping_manufacturing!$D$27/100</f>
        <v>121</v>
      </c>
      <c r="AG33" s="130">
        <f>AG$21*shipping_manufacturing!$D$27/100</f>
        <v>121</v>
      </c>
      <c r="AH33" s="130">
        <f>AH$21*shipping_manufacturing!$D$27/100</f>
        <v>121</v>
      </c>
      <c r="AI33" s="130">
        <f>AI$21*shipping_manufacturing!$D$27/100</f>
        <v>121</v>
      </c>
      <c r="AJ33" s="130">
        <f>AJ$21*shipping_manufacturing!$D$27/100</f>
        <v>121</v>
      </c>
      <c r="AK33" s="130">
        <f>AK$21*shipping_manufacturing!$D$27/100</f>
        <v>121</v>
      </c>
      <c r="AL33" s="130">
        <f>AL$21*shipping_manufacturing!$D$27/100</f>
        <v>121</v>
      </c>
      <c r="AM33" s="130">
        <f>AM$21*shipping_manufacturing!$D$27/100</f>
        <v>121</v>
      </c>
      <c r="AN33" s="130">
        <f>AN$21*shipping_manufacturing!$D$27/100</f>
        <v>121</v>
      </c>
      <c r="AO33" s="130">
        <f>AO$21*shipping_manufacturing!$D$27/100</f>
        <v>121</v>
      </c>
      <c r="AP33" s="130">
        <f>AP$21*shipping_manufacturing!$D$27/100</f>
        <v>121</v>
      </c>
      <c r="AQ33" s="130">
        <f>AQ$21*shipping_manufacturing!$D$27/100</f>
        <v>121</v>
      </c>
      <c r="AR33" s="130">
        <f>AR$21*shipping_manufacturing!$D$27/100</f>
        <v>121</v>
      </c>
      <c r="AS33" s="130">
        <f>AS$21*shipping_manufacturing!$D$27/100</f>
        <v>121</v>
      </c>
      <c r="AT33" s="130">
        <f>AT$21*shipping_manufacturing!$D$27/100</f>
        <v>121</v>
      </c>
      <c r="AU33" s="130">
        <f>AU$21*shipping_manufacturing!$D$27/100</f>
        <v>121</v>
      </c>
      <c r="AV33" s="130">
        <f>AV$21*shipping_manufacturing!$D$27/100</f>
        <v>121</v>
      </c>
      <c r="AW33" s="130">
        <f>AW$21*shipping_manufacturing!$D$27/100</f>
        <v>121</v>
      </c>
      <c r="AX33" s="130">
        <f>AX$21*shipping_manufacturing!$D$27/100</f>
        <v>121</v>
      </c>
      <c r="AY33" s="130">
        <f>AY$21*shipping_manufacturing!$D$27/100</f>
        <v>121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221</v>
      </c>
      <c r="E35" s="116">
        <f t="shared" ref="E35:AY35" si="11">SUM(E33:E34)</f>
        <v>0</v>
      </c>
      <c r="F35" s="116">
        <f t="shared" si="11"/>
        <v>121</v>
      </c>
      <c r="G35" s="116">
        <f t="shared" si="11"/>
        <v>121</v>
      </c>
      <c r="H35" s="116">
        <f t="shared" si="11"/>
        <v>121</v>
      </c>
      <c r="I35" s="116">
        <f t="shared" si="11"/>
        <v>121</v>
      </c>
      <c r="J35" s="116">
        <f t="shared" si="11"/>
        <v>121</v>
      </c>
      <c r="K35" s="116">
        <f t="shared" si="11"/>
        <v>121</v>
      </c>
      <c r="L35" s="116">
        <f t="shared" si="11"/>
        <v>121</v>
      </c>
      <c r="M35" s="116">
        <f t="shared" si="11"/>
        <v>121</v>
      </c>
      <c r="N35" s="116">
        <f t="shared" si="11"/>
        <v>121</v>
      </c>
      <c r="O35" s="116">
        <f t="shared" si="11"/>
        <v>121</v>
      </c>
      <c r="P35" s="116">
        <f t="shared" si="11"/>
        <v>121</v>
      </c>
      <c r="Q35" s="116">
        <f t="shared" si="11"/>
        <v>121</v>
      </c>
      <c r="R35" s="116">
        <f t="shared" si="11"/>
        <v>121</v>
      </c>
      <c r="S35" s="116">
        <f t="shared" si="11"/>
        <v>121</v>
      </c>
      <c r="T35" s="116">
        <f t="shared" si="11"/>
        <v>121</v>
      </c>
      <c r="U35" s="116">
        <f t="shared" si="11"/>
        <v>121</v>
      </c>
      <c r="V35" s="116">
        <f t="shared" si="11"/>
        <v>121</v>
      </c>
      <c r="W35" s="116">
        <f t="shared" si="11"/>
        <v>121</v>
      </c>
      <c r="X35" s="116">
        <f t="shared" si="11"/>
        <v>121</v>
      </c>
      <c r="Y35" s="116">
        <f t="shared" si="11"/>
        <v>121</v>
      </c>
      <c r="Z35" s="116">
        <f t="shared" si="11"/>
        <v>121</v>
      </c>
      <c r="AA35" s="116">
        <f t="shared" si="11"/>
        <v>121</v>
      </c>
      <c r="AB35" s="116">
        <f t="shared" si="11"/>
        <v>121</v>
      </c>
      <c r="AC35" s="116">
        <f t="shared" si="11"/>
        <v>121</v>
      </c>
      <c r="AD35" s="116">
        <f t="shared" si="11"/>
        <v>121</v>
      </c>
      <c r="AE35" s="116">
        <f t="shared" si="11"/>
        <v>121</v>
      </c>
      <c r="AF35" s="116">
        <f t="shared" si="11"/>
        <v>121</v>
      </c>
      <c r="AG35" s="116">
        <f t="shared" si="11"/>
        <v>121</v>
      </c>
      <c r="AH35" s="116">
        <f t="shared" si="11"/>
        <v>121</v>
      </c>
      <c r="AI35" s="116">
        <f t="shared" si="11"/>
        <v>121</v>
      </c>
      <c r="AJ35" s="116">
        <f t="shared" si="11"/>
        <v>121</v>
      </c>
      <c r="AK35" s="116">
        <f t="shared" si="11"/>
        <v>121</v>
      </c>
      <c r="AL35" s="116">
        <f t="shared" si="11"/>
        <v>121</v>
      </c>
      <c r="AM35" s="116">
        <f t="shared" si="11"/>
        <v>121</v>
      </c>
      <c r="AN35" s="116">
        <f t="shared" si="11"/>
        <v>121</v>
      </c>
      <c r="AO35" s="116">
        <f t="shared" si="11"/>
        <v>121</v>
      </c>
      <c r="AP35" s="116">
        <f t="shared" si="11"/>
        <v>121</v>
      </c>
      <c r="AQ35" s="116">
        <f t="shared" si="11"/>
        <v>121</v>
      </c>
      <c r="AR35" s="116">
        <f t="shared" si="11"/>
        <v>121</v>
      </c>
      <c r="AS35" s="116">
        <f t="shared" si="11"/>
        <v>121</v>
      </c>
      <c r="AT35" s="116">
        <f t="shared" si="11"/>
        <v>121</v>
      </c>
      <c r="AU35" s="116">
        <f t="shared" si="11"/>
        <v>121</v>
      </c>
      <c r="AV35" s="116">
        <f t="shared" si="11"/>
        <v>121</v>
      </c>
      <c r="AW35" s="116">
        <f t="shared" si="11"/>
        <v>121</v>
      </c>
      <c r="AX35" s="116">
        <f t="shared" si="11"/>
        <v>121</v>
      </c>
      <c r="AY35" s="116">
        <f t="shared" si="11"/>
        <v>121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221</v>
      </c>
      <c r="E39" s="116">
        <f t="shared" ref="E39:AY39" si="12">E33-E36</f>
        <v>0</v>
      </c>
      <c r="F39" s="116">
        <f t="shared" si="12"/>
        <v>121</v>
      </c>
      <c r="G39" s="116">
        <f t="shared" si="12"/>
        <v>121</v>
      </c>
      <c r="H39" s="116">
        <f t="shared" si="12"/>
        <v>121</v>
      </c>
      <c r="I39" s="116">
        <f t="shared" si="12"/>
        <v>121</v>
      </c>
      <c r="J39" s="116">
        <f t="shared" si="12"/>
        <v>121</v>
      </c>
      <c r="K39" s="116">
        <f t="shared" si="12"/>
        <v>121</v>
      </c>
      <c r="L39" s="116">
        <f t="shared" si="12"/>
        <v>121</v>
      </c>
      <c r="M39" s="116">
        <f t="shared" si="12"/>
        <v>121</v>
      </c>
      <c r="N39" s="116">
        <f t="shared" si="12"/>
        <v>121</v>
      </c>
      <c r="O39" s="116">
        <f t="shared" si="12"/>
        <v>121</v>
      </c>
      <c r="P39" s="116">
        <f t="shared" si="12"/>
        <v>121</v>
      </c>
      <c r="Q39" s="116">
        <f t="shared" si="12"/>
        <v>121</v>
      </c>
      <c r="R39" s="116">
        <f t="shared" si="12"/>
        <v>121</v>
      </c>
      <c r="S39" s="116">
        <f t="shared" si="12"/>
        <v>121</v>
      </c>
      <c r="T39" s="116">
        <f t="shared" si="12"/>
        <v>121</v>
      </c>
      <c r="U39" s="116">
        <f t="shared" si="12"/>
        <v>121</v>
      </c>
      <c r="V39" s="116">
        <f t="shared" si="12"/>
        <v>121</v>
      </c>
      <c r="W39" s="116">
        <f t="shared" si="12"/>
        <v>121</v>
      </c>
      <c r="X39" s="116">
        <f t="shared" si="12"/>
        <v>121</v>
      </c>
      <c r="Y39" s="116">
        <f t="shared" si="12"/>
        <v>121</v>
      </c>
      <c r="Z39" s="116">
        <f t="shared" si="12"/>
        <v>121</v>
      </c>
      <c r="AA39" s="116">
        <f t="shared" si="12"/>
        <v>121</v>
      </c>
      <c r="AB39" s="116">
        <f t="shared" si="12"/>
        <v>121</v>
      </c>
      <c r="AC39" s="116">
        <f t="shared" si="12"/>
        <v>121</v>
      </c>
      <c r="AD39" s="116">
        <f t="shared" si="12"/>
        <v>121</v>
      </c>
      <c r="AE39" s="116">
        <f t="shared" si="12"/>
        <v>121</v>
      </c>
      <c r="AF39" s="116">
        <f t="shared" si="12"/>
        <v>121</v>
      </c>
      <c r="AG39" s="116">
        <f t="shared" si="12"/>
        <v>121</v>
      </c>
      <c r="AH39" s="116">
        <f t="shared" si="12"/>
        <v>121</v>
      </c>
      <c r="AI39" s="116">
        <f t="shared" si="12"/>
        <v>121</v>
      </c>
      <c r="AJ39" s="116">
        <f t="shared" si="12"/>
        <v>121</v>
      </c>
      <c r="AK39" s="116">
        <f t="shared" si="12"/>
        <v>121</v>
      </c>
      <c r="AL39" s="116">
        <f t="shared" si="12"/>
        <v>121</v>
      </c>
      <c r="AM39" s="116">
        <f t="shared" si="12"/>
        <v>121</v>
      </c>
      <c r="AN39" s="116">
        <f t="shared" si="12"/>
        <v>121</v>
      </c>
      <c r="AO39" s="116">
        <f t="shared" si="12"/>
        <v>121</v>
      </c>
      <c r="AP39" s="116">
        <f t="shared" si="12"/>
        <v>121</v>
      </c>
      <c r="AQ39" s="116">
        <f t="shared" si="12"/>
        <v>121</v>
      </c>
      <c r="AR39" s="116">
        <f t="shared" si="12"/>
        <v>121</v>
      </c>
      <c r="AS39" s="116">
        <f t="shared" si="12"/>
        <v>121</v>
      </c>
      <c r="AT39" s="116">
        <f t="shared" si="12"/>
        <v>121</v>
      </c>
      <c r="AU39" s="116">
        <f t="shared" si="12"/>
        <v>121</v>
      </c>
      <c r="AV39" s="116">
        <f t="shared" si="12"/>
        <v>121</v>
      </c>
      <c r="AW39" s="116">
        <f t="shared" si="12"/>
        <v>121</v>
      </c>
      <c r="AX39" s="116">
        <f t="shared" si="12"/>
        <v>121</v>
      </c>
      <c r="AY39" s="116">
        <f t="shared" si="12"/>
        <v>121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2</v>
      </c>
      <c r="G41" s="116">
        <v>1</v>
      </c>
      <c r="H41" s="116">
        <v>2</v>
      </c>
      <c r="I41" s="116">
        <v>2</v>
      </c>
      <c r="J41" s="116">
        <v>1</v>
      </c>
      <c r="K41" s="116">
        <v>2</v>
      </c>
      <c r="L41" s="116">
        <v>1</v>
      </c>
      <c r="M41" s="116">
        <v>1</v>
      </c>
      <c r="N41" s="116">
        <v>1</v>
      </c>
      <c r="O41" s="116">
        <v>1</v>
      </c>
      <c r="P41" s="116">
        <v>2</v>
      </c>
      <c r="Q41" s="116">
        <v>1</v>
      </c>
      <c r="R41" s="116">
        <v>1</v>
      </c>
      <c r="S41" s="116">
        <v>3</v>
      </c>
      <c r="T41" s="116">
        <v>1</v>
      </c>
      <c r="U41" s="116">
        <v>1</v>
      </c>
      <c r="V41" s="116">
        <v>3</v>
      </c>
      <c r="W41" s="116">
        <v>2</v>
      </c>
      <c r="X41" s="116">
        <v>3</v>
      </c>
      <c r="Y41" s="116">
        <v>1</v>
      </c>
      <c r="Z41" s="116">
        <v>2</v>
      </c>
      <c r="AA41" s="116">
        <v>3</v>
      </c>
      <c r="AB41" s="116">
        <v>1</v>
      </c>
      <c r="AC41" s="116">
        <v>2</v>
      </c>
      <c r="AD41" s="116">
        <v>1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1</v>
      </c>
      <c r="AK41" s="116">
        <v>2</v>
      </c>
      <c r="AL41" s="116">
        <v>3</v>
      </c>
      <c r="AM41" s="116">
        <v>2</v>
      </c>
      <c r="AN41" s="116">
        <v>1</v>
      </c>
      <c r="AO41" s="116">
        <v>1</v>
      </c>
      <c r="AP41" s="116">
        <v>1</v>
      </c>
      <c r="AQ41" s="116">
        <v>1</v>
      </c>
      <c r="AR41" s="116">
        <v>3</v>
      </c>
      <c r="AS41" s="116">
        <v>1</v>
      </c>
      <c r="AT41" s="116">
        <v>2</v>
      </c>
      <c r="AU41" s="116">
        <v>1</v>
      </c>
      <c r="AV41" s="116">
        <v>3</v>
      </c>
      <c r="AW41" s="116">
        <v>2</v>
      </c>
      <c r="AX41" s="116">
        <v>1</v>
      </c>
      <c r="AY41" s="116">
        <v>3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191772.75</v>
      </c>
      <c r="E43" s="116">
        <v>0</v>
      </c>
      <c r="F43" s="116">
        <v>104997.75</v>
      </c>
      <c r="G43" s="116">
        <v>104997.75</v>
      </c>
      <c r="H43" s="116">
        <v>104997.75</v>
      </c>
      <c r="I43" s="116">
        <v>104997.75</v>
      </c>
      <c r="J43" s="116">
        <v>104997.75</v>
      </c>
      <c r="K43" s="116">
        <v>104997.75</v>
      </c>
      <c r="L43" s="116">
        <v>104997.75</v>
      </c>
      <c r="M43" s="116">
        <v>104997.75</v>
      </c>
      <c r="N43" s="116">
        <v>104997.75</v>
      </c>
      <c r="O43" s="116">
        <v>104997.75</v>
      </c>
      <c r="P43" s="116">
        <v>104997.75</v>
      </c>
      <c r="Q43" s="116">
        <v>104997.75</v>
      </c>
      <c r="R43" s="116">
        <v>104997.75</v>
      </c>
      <c r="S43" s="116">
        <v>104997.75</v>
      </c>
      <c r="T43" s="116">
        <v>104997.75</v>
      </c>
      <c r="U43" s="116">
        <v>104997.75</v>
      </c>
      <c r="V43" s="116">
        <v>104997.75</v>
      </c>
      <c r="W43" s="116">
        <v>104997.75</v>
      </c>
      <c r="X43" s="116">
        <v>104997.75</v>
      </c>
      <c r="Y43" s="116">
        <v>104997.75</v>
      </c>
      <c r="Z43" s="116">
        <v>104997.75</v>
      </c>
      <c r="AA43" s="116">
        <v>104997.75</v>
      </c>
      <c r="AB43" s="116">
        <v>104997.75</v>
      </c>
      <c r="AC43" s="116">
        <v>104997.75</v>
      </c>
      <c r="AD43" s="116">
        <v>104997.75</v>
      </c>
      <c r="AE43" s="116">
        <v>104997.75</v>
      </c>
      <c r="AF43" s="116">
        <v>104997.75</v>
      </c>
      <c r="AG43" s="116">
        <v>104997.75</v>
      </c>
      <c r="AH43" s="116">
        <v>104997.75</v>
      </c>
      <c r="AI43" s="116">
        <v>104997.75</v>
      </c>
      <c r="AJ43" s="116">
        <v>104997.75</v>
      </c>
      <c r="AK43" s="116">
        <v>104997.75</v>
      </c>
      <c r="AL43" s="116">
        <v>104997.75</v>
      </c>
      <c r="AM43" s="116">
        <v>104997.75</v>
      </c>
      <c r="AN43" s="116">
        <v>104997.75</v>
      </c>
      <c r="AO43" s="116">
        <v>104997.75</v>
      </c>
      <c r="AP43" s="116">
        <v>104997.75</v>
      </c>
      <c r="AQ43" s="116">
        <v>104997.75</v>
      </c>
      <c r="AR43" s="116">
        <v>104997.75</v>
      </c>
      <c r="AS43" s="116">
        <v>104997.75</v>
      </c>
      <c r="AT43" s="116">
        <v>104997.75</v>
      </c>
      <c r="AU43" s="116">
        <v>104997.75</v>
      </c>
      <c r="AV43" s="116">
        <v>104997.75</v>
      </c>
      <c r="AW43" s="116">
        <v>104997.75</v>
      </c>
      <c r="AX43" s="116">
        <v>104997.75</v>
      </c>
      <c r="AY43" s="116">
        <v>104997.75</v>
      </c>
      <c r="AZ43" s="106">
        <f>SUM($D$43:$AY$43)</f>
        <v>5021669.25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2</v>
      </c>
      <c r="F52" s="116">
        <v>1</v>
      </c>
      <c r="G52" s="116">
        <v>1</v>
      </c>
      <c r="H52" s="116">
        <v>2</v>
      </c>
      <c r="I52" s="116">
        <v>1</v>
      </c>
      <c r="J52" s="116">
        <v>1</v>
      </c>
      <c r="K52" s="116">
        <v>2</v>
      </c>
      <c r="L52" s="116">
        <v>1</v>
      </c>
      <c r="M52" s="116">
        <v>2</v>
      </c>
      <c r="N52" s="116">
        <v>1</v>
      </c>
      <c r="O52" s="116">
        <v>1</v>
      </c>
      <c r="P52" s="116">
        <v>1</v>
      </c>
      <c r="Q52" s="116">
        <v>1</v>
      </c>
      <c r="R52" s="116">
        <v>1</v>
      </c>
      <c r="S52" s="116">
        <v>2</v>
      </c>
      <c r="T52" s="116">
        <v>1</v>
      </c>
      <c r="U52" s="116">
        <v>1</v>
      </c>
      <c r="V52" s="116">
        <v>1</v>
      </c>
      <c r="W52" s="116">
        <v>2</v>
      </c>
      <c r="X52" s="116">
        <v>1</v>
      </c>
      <c r="Y52" s="116">
        <v>2</v>
      </c>
      <c r="Z52" s="116">
        <v>1</v>
      </c>
      <c r="AA52" s="116">
        <v>1</v>
      </c>
      <c r="AB52" s="116">
        <v>1</v>
      </c>
      <c r="AC52" s="116">
        <v>1</v>
      </c>
      <c r="AD52" s="116">
        <v>3</v>
      </c>
      <c r="AE52" s="116">
        <v>1</v>
      </c>
      <c r="AF52" s="116">
        <v>2</v>
      </c>
      <c r="AG52" s="116">
        <v>1</v>
      </c>
      <c r="AH52" s="116">
        <v>1</v>
      </c>
      <c r="AI52" s="116">
        <v>1</v>
      </c>
      <c r="AJ52" s="116">
        <v>1</v>
      </c>
      <c r="AK52" s="116">
        <v>1</v>
      </c>
      <c r="AL52" s="116">
        <v>2</v>
      </c>
      <c r="AM52" s="116">
        <v>2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1</v>
      </c>
      <c r="AU52" s="116">
        <v>2</v>
      </c>
      <c r="AV52" s="116">
        <v>2</v>
      </c>
      <c r="AW52" s="116">
        <v>1</v>
      </c>
      <c r="AX52" s="116">
        <v>2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13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1331.5215673033081</v>
      </c>
      <c r="E7" s="150">
        <v>1331.5215673033081</v>
      </c>
      <c r="F7" s="150">
        <v>1331.5215673033081</v>
      </c>
      <c r="G7" s="150">
        <v>1331.5215673033081</v>
      </c>
      <c r="H7" s="150">
        <v>1331.5215673033081</v>
      </c>
      <c r="I7" s="150">
        <v>1331.5215673033081</v>
      </c>
      <c r="J7" s="150">
        <v>1331.5215673033081</v>
      </c>
      <c r="K7" s="150">
        <v>1331.5215673033081</v>
      </c>
      <c r="L7" s="150">
        <v>1331.5215673033081</v>
      </c>
      <c r="M7" s="150">
        <v>842.51391436044969</v>
      </c>
      <c r="N7" s="150">
        <v>1331.5215673033081</v>
      </c>
      <c r="O7" s="150">
        <v>1331.5215673033081</v>
      </c>
      <c r="P7" s="150">
        <v>1331.5215673033081</v>
      </c>
      <c r="Q7" s="150">
        <v>1331.5215673033081</v>
      </c>
      <c r="R7" s="150">
        <v>1331.5215673033081</v>
      </c>
      <c r="S7" s="150">
        <v>1331.5215673033081</v>
      </c>
      <c r="T7" s="150">
        <v>1331.5215673033081</v>
      </c>
      <c r="U7" s="150">
        <v>1331.5215673033081</v>
      </c>
      <c r="V7" s="150">
        <v>1331.5215673033081</v>
      </c>
      <c r="W7" s="150">
        <v>1331.5215673033081</v>
      </c>
      <c r="X7" s="150">
        <v>1331.5215673033081</v>
      </c>
      <c r="Y7" s="150">
        <v>1331.5215673033081</v>
      </c>
      <c r="Z7" s="150">
        <v>1217.2870447446819</v>
      </c>
      <c r="AA7" s="150">
        <v>1217.8509339320344</v>
      </c>
      <c r="AB7" s="150">
        <v>1331.5215673033081</v>
      </c>
      <c r="AC7" s="150">
        <v>1331.5215673033081</v>
      </c>
      <c r="AD7" s="150">
        <v>1331.5215673033081</v>
      </c>
      <c r="AE7" s="150">
        <v>1331.5215673033081</v>
      </c>
      <c r="AF7" s="150">
        <v>1331.5215673033081</v>
      </c>
      <c r="AG7" s="150">
        <v>1331.5215673033081</v>
      </c>
      <c r="AH7" s="150">
        <v>1331.5215673033081</v>
      </c>
      <c r="AI7" s="150">
        <v>1331.5215673033081</v>
      </c>
      <c r="AJ7" s="150">
        <v>1331.5215673033081</v>
      </c>
      <c r="AK7" s="150">
        <v>1331.5215673033081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869.23679263972679</v>
      </c>
      <c r="AQ7" s="150">
        <v>1331.5215673033081</v>
      </c>
      <c r="AR7" s="150">
        <v>1331.5215673033081</v>
      </c>
      <c r="AS7" s="150">
        <v>1331.5215673033081</v>
      </c>
      <c r="AT7" s="150">
        <v>1331.5215673033081</v>
      </c>
      <c r="AU7" s="150">
        <v>1331.5215673033081</v>
      </c>
      <c r="AV7" s="150">
        <v>1331.5215673033081</v>
      </c>
      <c r="AW7" s="150">
        <v>1331.5215673033081</v>
      </c>
      <c r="AX7" s="150">
        <v>1331.5215673033081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1481.5215673033081</v>
      </c>
      <c r="E10" s="150">
        <f t="shared" si="0"/>
        <v>1318.5215673033081</v>
      </c>
      <c r="F10" s="150">
        <f t="shared" si="0"/>
        <v>1318.5215673033081</v>
      </c>
      <c r="G10" s="150">
        <f t="shared" si="0"/>
        <v>1318.5215673033081</v>
      </c>
      <c r="H10" s="150">
        <f t="shared" si="0"/>
        <v>1318.5215673033081</v>
      </c>
      <c r="I10" s="150">
        <f t="shared" si="0"/>
        <v>1318.5215673033081</v>
      </c>
      <c r="J10" s="150">
        <f t="shared" si="0"/>
        <v>1331.5215673033081</v>
      </c>
      <c r="K10" s="150">
        <f t="shared" si="0"/>
        <v>1318.5215673033081</v>
      </c>
      <c r="L10" s="150">
        <f t="shared" si="0"/>
        <v>1318.5215673033081</v>
      </c>
      <c r="M10" s="150">
        <f t="shared" si="0"/>
        <v>829.51391436044969</v>
      </c>
      <c r="N10" s="150">
        <f t="shared" si="0"/>
        <v>1318.5215673033081</v>
      </c>
      <c r="O10" s="150">
        <f t="shared" si="0"/>
        <v>1318.5215673033081</v>
      </c>
      <c r="P10" s="150">
        <f t="shared" si="0"/>
        <v>1318.5215673033081</v>
      </c>
      <c r="Q10" s="150">
        <f t="shared" si="0"/>
        <v>1318.5215673033081</v>
      </c>
      <c r="R10" s="150">
        <f t="shared" si="0"/>
        <v>1318.5215673033081</v>
      </c>
      <c r="S10" s="150">
        <f t="shared" si="0"/>
        <v>1331.5215673033081</v>
      </c>
      <c r="T10" s="150">
        <f t="shared" si="0"/>
        <v>1318.5215673033081</v>
      </c>
      <c r="U10" s="150">
        <f t="shared" si="0"/>
        <v>1318.5215673033081</v>
      </c>
      <c r="V10" s="150">
        <f t="shared" si="0"/>
        <v>1318.5215673033081</v>
      </c>
      <c r="W10" s="150">
        <f t="shared" si="0"/>
        <v>1318.5215673033081</v>
      </c>
      <c r="X10" s="150">
        <f t="shared" si="0"/>
        <v>1318.5215673033081</v>
      </c>
      <c r="Y10" s="150">
        <f t="shared" si="0"/>
        <v>1318.5215673033081</v>
      </c>
      <c r="Z10" s="150">
        <f t="shared" si="0"/>
        <v>1204.2870447446819</v>
      </c>
      <c r="AA10" s="150">
        <f t="shared" si="0"/>
        <v>1204.8509339320344</v>
      </c>
      <c r="AB10" s="150">
        <f t="shared" si="0"/>
        <v>1318.5215673033081</v>
      </c>
      <c r="AC10" s="150">
        <f t="shared" si="0"/>
        <v>1318.5215673033081</v>
      </c>
      <c r="AD10" s="150">
        <f t="shared" si="0"/>
        <v>1318.5215673033081</v>
      </c>
      <c r="AE10" s="150">
        <f t="shared" si="0"/>
        <v>1318.5215673033081</v>
      </c>
      <c r="AF10" s="150">
        <f t="shared" si="0"/>
        <v>1331.5215673033081</v>
      </c>
      <c r="AG10" s="150">
        <f t="shared" si="0"/>
        <v>1318.5215673033081</v>
      </c>
      <c r="AH10" s="150">
        <f t="shared" si="0"/>
        <v>1318.5215673033081</v>
      </c>
      <c r="AI10" s="150">
        <f t="shared" si="0"/>
        <v>1318.5215673033081</v>
      </c>
      <c r="AJ10" s="150">
        <f t="shared" si="0"/>
        <v>1318.5215673033081</v>
      </c>
      <c r="AK10" s="150">
        <f t="shared" si="0"/>
        <v>1318.5215673033081</v>
      </c>
      <c r="AL10" s="150">
        <f t="shared" si="0"/>
        <v>1318.5215673033081</v>
      </c>
      <c r="AM10" s="150">
        <f t="shared" si="0"/>
        <v>1318.5215673033081</v>
      </c>
      <c r="AN10" s="150">
        <f t="shared" si="0"/>
        <v>1318.5215673033081</v>
      </c>
      <c r="AO10" s="150">
        <f t="shared" si="0"/>
        <v>1318.5215673033081</v>
      </c>
      <c r="AP10" s="150">
        <f t="shared" si="0"/>
        <v>856.23679263972679</v>
      </c>
      <c r="AQ10" s="150">
        <f t="shared" si="0"/>
        <v>1318.5215673033081</v>
      </c>
      <c r="AR10" s="150">
        <f t="shared" si="0"/>
        <v>1318.5215673033081</v>
      </c>
      <c r="AS10" s="150">
        <f t="shared" si="0"/>
        <v>1318.5215673033081</v>
      </c>
      <c r="AT10" s="150">
        <f t="shared" si="0"/>
        <v>1318.5215673033081</v>
      </c>
      <c r="AU10" s="150">
        <f t="shared" si="0"/>
        <v>1318.5215673033081</v>
      </c>
      <c r="AV10" s="150">
        <f t="shared" si="0"/>
        <v>1318.5215673033081</v>
      </c>
      <c r="AW10" s="150">
        <f t="shared" si="0"/>
        <v>1318.5215673033081</v>
      </c>
      <c r="AX10" s="150">
        <f t="shared" si="0"/>
        <v>1318.5215673033081</v>
      </c>
      <c r="AY10" s="150">
        <f t="shared" si="0"/>
        <v>1318.5215673033081</v>
      </c>
      <c r="AZ10" s="157">
        <f>SUM($D10:$AY10)</f>
        <v>62311.837647022476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163</v>
      </c>
      <c r="D13" s="144">
        <f t="shared" ref="D13:AY13" si="1">D$7-D$10</f>
        <v>-150</v>
      </c>
      <c r="E13" s="144">
        <f t="shared" si="1"/>
        <v>13</v>
      </c>
      <c r="F13" s="144">
        <f t="shared" si="1"/>
        <v>13</v>
      </c>
      <c r="G13" s="144">
        <f t="shared" si="1"/>
        <v>13</v>
      </c>
      <c r="H13" s="144">
        <f t="shared" si="1"/>
        <v>13</v>
      </c>
      <c r="I13" s="144">
        <f t="shared" si="1"/>
        <v>13</v>
      </c>
      <c r="J13" s="144">
        <f t="shared" si="1"/>
        <v>0</v>
      </c>
      <c r="K13" s="144">
        <f t="shared" si="1"/>
        <v>13</v>
      </c>
      <c r="L13" s="144">
        <f t="shared" si="1"/>
        <v>13</v>
      </c>
      <c r="M13" s="144">
        <f t="shared" si="1"/>
        <v>13</v>
      </c>
      <c r="N13" s="144">
        <f t="shared" si="1"/>
        <v>13</v>
      </c>
      <c r="O13" s="144">
        <f t="shared" si="1"/>
        <v>13</v>
      </c>
      <c r="P13" s="144">
        <f t="shared" si="1"/>
        <v>13</v>
      </c>
      <c r="Q13" s="144">
        <f t="shared" si="1"/>
        <v>13</v>
      </c>
      <c r="R13" s="144">
        <f t="shared" si="1"/>
        <v>13</v>
      </c>
      <c r="S13" s="144">
        <f t="shared" si="1"/>
        <v>0</v>
      </c>
      <c r="T13" s="144">
        <f t="shared" si="1"/>
        <v>13</v>
      </c>
      <c r="U13" s="144">
        <f t="shared" si="1"/>
        <v>13</v>
      </c>
      <c r="V13" s="144">
        <f t="shared" si="1"/>
        <v>13</v>
      </c>
      <c r="W13" s="144">
        <f t="shared" si="1"/>
        <v>13</v>
      </c>
      <c r="X13" s="144">
        <f t="shared" si="1"/>
        <v>13</v>
      </c>
      <c r="Y13" s="144">
        <f t="shared" si="1"/>
        <v>13</v>
      </c>
      <c r="Z13" s="144">
        <f t="shared" si="1"/>
        <v>13</v>
      </c>
      <c r="AA13" s="144">
        <f t="shared" si="1"/>
        <v>13</v>
      </c>
      <c r="AB13" s="144">
        <f t="shared" si="1"/>
        <v>13</v>
      </c>
      <c r="AC13" s="144">
        <f t="shared" si="1"/>
        <v>13</v>
      </c>
      <c r="AD13" s="144">
        <f t="shared" si="1"/>
        <v>13</v>
      </c>
      <c r="AE13" s="144">
        <f t="shared" si="1"/>
        <v>13</v>
      </c>
      <c r="AF13" s="144">
        <f t="shared" si="1"/>
        <v>0</v>
      </c>
      <c r="AG13" s="144">
        <f t="shared" si="1"/>
        <v>13</v>
      </c>
      <c r="AH13" s="144">
        <f t="shared" si="1"/>
        <v>13</v>
      </c>
      <c r="AI13" s="144">
        <f t="shared" si="1"/>
        <v>13</v>
      </c>
      <c r="AJ13" s="144">
        <f t="shared" si="1"/>
        <v>13</v>
      </c>
      <c r="AK13" s="144">
        <f t="shared" si="1"/>
        <v>13</v>
      </c>
      <c r="AL13" s="144">
        <f t="shared" si="1"/>
        <v>13</v>
      </c>
      <c r="AM13" s="144">
        <f t="shared" si="1"/>
        <v>13</v>
      </c>
      <c r="AN13" s="144">
        <f t="shared" si="1"/>
        <v>13</v>
      </c>
      <c r="AO13" s="144">
        <f t="shared" si="1"/>
        <v>13</v>
      </c>
      <c r="AP13" s="144">
        <f t="shared" si="1"/>
        <v>13</v>
      </c>
      <c r="AQ13" s="144">
        <f t="shared" si="1"/>
        <v>13</v>
      </c>
      <c r="AR13" s="144">
        <f t="shared" si="1"/>
        <v>13</v>
      </c>
      <c r="AS13" s="144">
        <f t="shared" si="1"/>
        <v>13</v>
      </c>
      <c r="AT13" s="144">
        <f t="shared" si="1"/>
        <v>13</v>
      </c>
      <c r="AU13" s="144">
        <f t="shared" si="1"/>
        <v>13</v>
      </c>
      <c r="AV13" s="144">
        <f t="shared" si="1"/>
        <v>13</v>
      </c>
      <c r="AW13" s="144">
        <f t="shared" si="1"/>
        <v>13</v>
      </c>
      <c r="AX13" s="144">
        <f t="shared" si="1"/>
        <v>13</v>
      </c>
      <c r="AY13" s="144">
        <f t="shared" si="1"/>
        <v>13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163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13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13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13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 t="s">
        <v>313</v>
      </c>
      <c r="D20" s="123"/>
      <c r="E20" s="123"/>
      <c r="F20" s="123"/>
      <c r="G20" s="123"/>
      <c r="H20" s="123"/>
      <c r="I20" s="123" t="s">
        <v>313</v>
      </c>
      <c r="J20" s="123"/>
      <c r="K20" s="123"/>
      <c r="L20" s="123"/>
      <c r="M20" s="123"/>
      <c r="N20" s="123"/>
      <c r="O20" s="123"/>
      <c r="P20" s="123"/>
      <c r="Q20" s="123"/>
      <c r="R20" s="123" t="s">
        <v>313</v>
      </c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 t="s">
        <v>313</v>
      </c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0</v>
      </c>
      <c r="E21" s="112">
        <f t="shared" ref="E21:AY21" si="3">IF(D$20="Yes",0,SUM(D$13:D$16)*$B$21)</f>
        <v>13</v>
      </c>
      <c r="F21" s="112">
        <f t="shared" si="3"/>
        <v>13</v>
      </c>
      <c r="G21" s="112">
        <f t="shared" si="3"/>
        <v>13</v>
      </c>
      <c r="H21" s="112">
        <f t="shared" si="3"/>
        <v>13</v>
      </c>
      <c r="I21" s="112">
        <f t="shared" si="3"/>
        <v>13</v>
      </c>
      <c r="J21" s="112">
        <f t="shared" si="3"/>
        <v>0</v>
      </c>
      <c r="K21" s="112">
        <f t="shared" si="3"/>
        <v>13</v>
      </c>
      <c r="L21" s="112">
        <f t="shared" si="3"/>
        <v>13</v>
      </c>
      <c r="M21" s="112">
        <f t="shared" si="3"/>
        <v>13</v>
      </c>
      <c r="N21" s="112">
        <f t="shared" si="3"/>
        <v>13</v>
      </c>
      <c r="O21" s="112">
        <f t="shared" si="3"/>
        <v>13</v>
      </c>
      <c r="P21" s="112">
        <f t="shared" si="3"/>
        <v>13</v>
      </c>
      <c r="Q21" s="112">
        <f t="shared" si="3"/>
        <v>13</v>
      </c>
      <c r="R21" s="112">
        <f t="shared" si="3"/>
        <v>13</v>
      </c>
      <c r="S21" s="112">
        <f t="shared" si="3"/>
        <v>0</v>
      </c>
      <c r="T21" s="112">
        <f t="shared" si="3"/>
        <v>13</v>
      </c>
      <c r="U21" s="112">
        <f t="shared" si="3"/>
        <v>13</v>
      </c>
      <c r="V21" s="112">
        <f t="shared" si="3"/>
        <v>13</v>
      </c>
      <c r="W21" s="112">
        <f t="shared" si="3"/>
        <v>13</v>
      </c>
      <c r="X21" s="112">
        <f t="shared" si="3"/>
        <v>13</v>
      </c>
      <c r="Y21" s="112">
        <f t="shared" si="3"/>
        <v>13</v>
      </c>
      <c r="Z21" s="112">
        <f t="shared" si="3"/>
        <v>13</v>
      </c>
      <c r="AA21" s="112">
        <f t="shared" si="3"/>
        <v>13</v>
      </c>
      <c r="AB21" s="112">
        <f t="shared" si="3"/>
        <v>13</v>
      </c>
      <c r="AC21" s="112">
        <f t="shared" si="3"/>
        <v>13</v>
      </c>
      <c r="AD21" s="112">
        <f t="shared" si="3"/>
        <v>13</v>
      </c>
      <c r="AE21" s="112">
        <f t="shared" si="3"/>
        <v>13</v>
      </c>
      <c r="AF21" s="112">
        <f t="shared" si="3"/>
        <v>0</v>
      </c>
      <c r="AG21" s="112">
        <f t="shared" si="3"/>
        <v>13</v>
      </c>
      <c r="AH21" s="112">
        <f t="shared" si="3"/>
        <v>13</v>
      </c>
      <c r="AI21" s="112">
        <f t="shared" si="3"/>
        <v>13</v>
      </c>
      <c r="AJ21" s="112">
        <f t="shared" si="3"/>
        <v>13</v>
      </c>
      <c r="AK21" s="112">
        <f t="shared" si="3"/>
        <v>13</v>
      </c>
      <c r="AL21" s="112">
        <f t="shared" si="3"/>
        <v>13</v>
      </c>
      <c r="AM21" s="112">
        <f t="shared" si="3"/>
        <v>13</v>
      </c>
      <c r="AN21" s="112">
        <f t="shared" si="3"/>
        <v>13</v>
      </c>
      <c r="AO21" s="112">
        <f t="shared" si="3"/>
        <v>13</v>
      </c>
      <c r="AP21" s="112">
        <f t="shared" si="3"/>
        <v>13</v>
      </c>
      <c r="AQ21" s="112">
        <f t="shared" si="3"/>
        <v>13</v>
      </c>
      <c r="AR21" s="112">
        <f t="shared" si="3"/>
        <v>13</v>
      </c>
      <c r="AS21" s="112">
        <f t="shared" si="3"/>
        <v>13</v>
      </c>
      <c r="AT21" s="112">
        <f t="shared" si="3"/>
        <v>13</v>
      </c>
      <c r="AU21" s="112">
        <f t="shared" si="3"/>
        <v>13</v>
      </c>
      <c r="AV21" s="112">
        <f t="shared" si="3"/>
        <v>13</v>
      </c>
      <c r="AW21" s="112">
        <f t="shared" si="3"/>
        <v>13</v>
      </c>
      <c r="AX21" s="112">
        <f t="shared" si="3"/>
        <v>13</v>
      </c>
      <c r="AY21" s="112">
        <f t="shared" si="3"/>
        <v>13</v>
      </c>
      <c r="AZ21" s="163">
        <f>SUM($D21:$AY21)</f>
        <v>572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0</v>
      </c>
      <c r="E23" s="106">
        <f t="shared" ref="E23:AY23" si="6">E$21*$B$23</f>
        <v>26000</v>
      </c>
      <c r="F23" s="106">
        <f t="shared" si="6"/>
        <v>26000</v>
      </c>
      <c r="G23" s="106">
        <f t="shared" si="6"/>
        <v>26000</v>
      </c>
      <c r="H23" s="106">
        <f t="shared" si="6"/>
        <v>26000</v>
      </c>
      <c r="I23" s="106">
        <f t="shared" si="6"/>
        <v>26000</v>
      </c>
      <c r="J23" s="106">
        <f t="shared" si="6"/>
        <v>0</v>
      </c>
      <c r="K23" s="106">
        <f t="shared" si="6"/>
        <v>26000</v>
      </c>
      <c r="L23" s="106">
        <f t="shared" si="6"/>
        <v>26000</v>
      </c>
      <c r="M23" s="106">
        <f t="shared" si="6"/>
        <v>26000</v>
      </c>
      <c r="N23" s="106">
        <f t="shared" si="6"/>
        <v>26000</v>
      </c>
      <c r="O23" s="106">
        <f t="shared" si="6"/>
        <v>26000</v>
      </c>
      <c r="P23" s="106">
        <f t="shared" si="6"/>
        <v>26000</v>
      </c>
      <c r="Q23" s="106">
        <f t="shared" si="6"/>
        <v>26000</v>
      </c>
      <c r="R23" s="106">
        <f t="shared" si="6"/>
        <v>26000</v>
      </c>
      <c r="S23" s="106">
        <f t="shared" si="6"/>
        <v>0</v>
      </c>
      <c r="T23" s="106">
        <f t="shared" si="6"/>
        <v>26000</v>
      </c>
      <c r="U23" s="106">
        <f t="shared" si="6"/>
        <v>26000</v>
      </c>
      <c r="V23" s="106">
        <f t="shared" si="6"/>
        <v>26000</v>
      </c>
      <c r="W23" s="106">
        <f t="shared" si="6"/>
        <v>26000</v>
      </c>
      <c r="X23" s="106">
        <f t="shared" si="6"/>
        <v>26000</v>
      </c>
      <c r="Y23" s="106">
        <f t="shared" si="6"/>
        <v>26000</v>
      </c>
      <c r="Z23" s="106">
        <f t="shared" si="6"/>
        <v>26000</v>
      </c>
      <c r="AA23" s="106">
        <f t="shared" si="6"/>
        <v>26000</v>
      </c>
      <c r="AB23" s="106">
        <f t="shared" si="6"/>
        <v>26000</v>
      </c>
      <c r="AC23" s="106">
        <f t="shared" si="6"/>
        <v>26000</v>
      </c>
      <c r="AD23" s="106">
        <f t="shared" si="6"/>
        <v>26000</v>
      </c>
      <c r="AE23" s="106">
        <f t="shared" si="6"/>
        <v>26000</v>
      </c>
      <c r="AF23" s="106">
        <f t="shared" si="6"/>
        <v>0</v>
      </c>
      <c r="AG23" s="106">
        <f t="shared" si="6"/>
        <v>26000</v>
      </c>
      <c r="AH23" s="106">
        <f t="shared" si="6"/>
        <v>26000</v>
      </c>
      <c r="AI23" s="106">
        <f t="shared" si="6"/>
        <v>26000</v>
      </c>
      <c r="AJ23" s="106">
        <f t="shared" si="6"/>
        <v>26000</v>
      </c>
      <c r="AK23" s="106">
        <f t="shared" si="6"/>
        <v>26000</v>
      </c>
      <c r="AL23" s="106">
        <f t="shared" si="6"/>
        <v>26000</v>
      </c>
      <c r="AM23" s="106">
        <f t="shared" si="6"/>
        <v>26000</v>
      </c>
      <c r="AN23" s="106">
        <f t="shared" si="6"/>
        <v>26000</v>
      </c>
      <c r="AO23" s="106">
        <f t="shared" si="6"/>
        <v>26000</v>
      </c>
      <c r="AP23" s="106">
        <f t="shared" si="6"/>
        <v>26000</v>
      </c>
      <c r="AQ23" s="106">
        <f t="shared" si="6"/>
        <v>26000</v>
      </c>
      <c r="AR23" s="106">
        <f t="shared" si="6"/>
        <v>26000</v>
      </c>
      <c r="AS23" s="106">
        <f t="shared" si="6"/>
        <v>26000</v>
      </c>
      <c r="AT23" s="106">
        <f t="shared" si="6"/>
        <v>26000</v>
      </c>
      <c r="AU23" s="106">
        <f t="shared" si="6"/>
        <v>26000</v>
      </c>
      <c r="AV23" s="106">
        <f t="shared" si="6"/>
        <v>26000</v>
      </c>
      <c r="AW23" s="106">
        <f t="shared" si="6"/>
        <v>26000</v>
      </c>
      <c r="AX23" s="106">
        <f t="shared" si="6"/>
        <v>26000</v>
      </c>
      <c r="AY23" s="106">
        <f t="shared" si="6"/>
        <v>26000</v>
      </c>
      <c r="AZ23" s="145">
        <f t="shared" si="5"/>
        <v>1144000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-3</v>
      </c>
      <c r="D27" s="130">
        <f>C$27-C$28+C$29</f>
        <v>3</v>
      </c>
      <c r="E27" s="130">
        <f t="shared" ref="E27:AY27" si="8">D27-D28+D29</f>
        <v>3</v>
      </c>
      <c r="F27" s="130">
        <f t="shared" si="8"/>
        <v>2</v>
      </c>
      <c r="G27" s="130">
        <f t="shared" si="8"/>
        <v>2</v>
      </c>
      <c r="H27" s="130">
        <f t="shared" si="8"/>
        <v>2</v>
      </c>
      <c r="I27" s="130">
        <f t="shared" si="8"/>
        <v>2</v>
      </c>
      <c r="J27" s="130">
        <f t="shared" si="8"/>
        <v>2</v>
      </c>
      <c r="K27" s="130">
        <f t="shared" si="8"/>
        <v>3</v>
      </c>
      <c r="L27" s="130">
        <f t="shared" si="8"/>
        <v>2</v>
      </c>
      <c r="M27" s="130">
        <f t="shared" si="8"/>
        <v>2</v>
      </c>
      <c r="N27" s="130">
        <f t="shared" si="8"/>
        <v>2</v>
      </c>
      <c r="O27" s="130">
        <f t="shared" si="8"/>
        <v>2</v>
      </c>
      <c r="P27" s="130">
        <f t="shared" si="8"/>
        <v>2</v>
      </c>
      <c r="Q27" s="130">
        <f t="shared" si="8"/>
        <v>2</v>
      </c>
      <c r="R27" s="130">
        <f t="shared" si="8"/>
        <v>2</v>
      </c>
      <c r="S27" s="130">
        <f t="shared" si="8"/>
        <v>2</v>
      </c>
      <c r="T27" s="130">
        <f t="shared" si="8"/>
        <v>3</v>
      </c>
      <c r="U27" s="130">
        <f t="shared" si="8"/>
        <v>2</v>
      </c>
      <c r="V27" s="130">
        <f t="shared" si="8"/>
        <v>2</v>
      </c>
      <c r="W27" s="130">
        <f t="shared" si="8"/>
        <v>2</v>
      </c>
      <c r="X27" s="130">
        <f t="shared" si="8"/>
        <v>2</v>
      </c>
      <c r="Y27" s="130">
        <f t="shared" si="8"/>
        <v>2</v>
      </c>
      <c r="Z27" s="130">
        <f t="shared" si="8"/>
        <v>2</v>
      </c>
      <c r="AA27" s="130">
        <f t="shared" si="8"/>
        <v>2</v>
      </c>
      <c r="AB27" s="130">
        <f t="shared" si="8"/>
        <v>2</v>
      </c>
      <c r="AC27" s="130">
        <f t="shared" si="8"/>
        <v>2</v>
      </c>
      <c r="AD27" s="130">
        <f t="shared" si="8"/>
        <v>2</v>
      </c>
      <c r="AE27" s="130">
        <f t="shared" si="8"/>
        <v>2</v>
      </c>
      <c r="AF27" s="130">
        <f t="shared" si="8"/>
        <v>2</v>
      </c>
      <c r="AG27" s="130">
        <f t="shared" si="8"/>
        <v>3</v>
      </c>
      <c r="AH27" s="130">
        <f t="shared" si="8"/>
        <v>2</v>
      </c>
      <c r="AI27" s="130">
        <f t="shared" si="8"/>
        <v>2</v>
      </c>
      <c r="AJ27" s="130">
        <f t="shared" si="8"/>
        <v>2</v>
      </c>
      <c r="AK27" s="130">
        <f t="shared" si="8"/>
        <v>2</v>
      </c>
      <c r="AL27" s="130">
        <f t="shared" si="8"/>
        <v>2</v>
      </c>
      <c r="AM27" s="130">
        <f t="shared" si="8"/>
        <v>2</v>
      </c>
      <c r="AN27" s="130">
        <f t="shared" si="8"/>
        <v>2</v>
      </c>
      <c r="AO27" s="130">
        <f t="shared" si="8"/>
        <v>2</v>
      </c>
      <c r="AP27" s="130">
        <f t="shared" si="8"/>
        <v>2</v>
      </c>
      <c r="AQ27" s="130">
        <f t="shared" si="8"/>
        <v>2</v>
      </c>
      <c r="AR27" s="130">
        <f t="shared" si="8"/>
        <v>2</v>
      </c>
      <c r="AS27" s="130">
        <f t="shared" si="8"/>
        <v>2</v>
      </c>
      <c r="AT27" s="130">
        <f t="shared" si="8"/>
        <v>2</v>
      </c>
      <c r="AU27" s="130">
        <f t="shared" si="8"/>
        <v>2</v>
      </c>
      <c r="AV27" s="130">
        <f t="shared" si="8"/>
        <v>2</v>
      </c>
      <c r="AW27" s="130">
        <f t="shared" si="8"/>
        <v>2</v>
      </c>
      <c r="AX27" s="130">
        <f t="shared" si="8"/>
        <v>2</v>
      </c>
      <c r="AY27" s="170">
        <f t="shared" si="8"/>
        <v>2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1</v>
      </c>
      <c r="F28" s="116">
        <v>1</v>
      </c>
      <c r="G28" s="116">
        <v>1</v>
      </c>
      <c r="H28" s="116">
        <v>1</v>
      </c>
      <c r="I28" s="116">
        <v>1</v>
      </c>
      <c r="J28" s="116">
        <v>0</v>
      </c>
      <c r="K28" s="116">
        <v>1</v>
      </c>
      <c r="L28" s="116">
        <v>1</v>
      </c>
      <c r="M28" s="116">
        <v>1</v>
      </c>
      <c r="N28" s="116">
        <v>1</v>
      </c>
      <c r="O28" s="116">
        <v>1</v>
      </c>
      <c r="P28" s="116">
        <v>1</v>
      </c>
      <c r="Q28" s="116">
        <v>1</v>
      </c>
      <c r="R28" s="116">
        <v>1</v>
      </c>
      <c r="S28" s="116">
        <v>0</v>
      </c>
      <c r="T28" s="116">
        <v>1</v>
      </c>
      <c r="U28" s="116">
        <v>1</v>
      </c>
      <c r="V28" s="116">
        <v>1</v>
      </c>
      <c r="W28" s="116">
        <v>1</v>
      </c>
      <c r="X28" s="116">
        <v>1</v>
      </c>
      <c r="Y28" s="116">
        <v>1</v>
      </c>
      <c r="Z28" s="116">
        <v>1</v>
      </c>
      <c r="AA28" s="116">
        <v>1</v>
      </c>
      <c r="AB28" s="116">
        <v>1</v>
      </c>
      <c r="AC28" s="116">
        <v>1</v>
      </c>
      <c r="AD28" s="116">
        <v>1</v>
      </c>
      <c r="AE28" s="116">
        <v>1</v>
      </c>
      <c r="AF28" s="116">
        <v>0</v>
      </c>
      <c r="AG28" s="116">
        <v>1</v>
      </c>
      <c r="AH28" s="116">
        <v>1</v>
      </c>
      <c r="AI28" s="116">
        <v>1</v>
      </c>
      <c r="AJ28" s="116">
        <v>1</v>
      </c>
      <c r="AK28" s="116">
        <v>1</v>
      </c>
      <c r="AL28" s="116">
        <v>1</v>
      </c>
      <c r="AM28" s="116">
        <v>1</v>
      </c>
      <c r="AN28" s="116">
        <v>1</v>
      </c>
      <c r="AO28" s="116">
        <v>1</v>
      </c>
      <c r="AP28" s="116">
        <v>1</v>
      </c>
      <c r="AQ28" s="116">
        <v>1</v>
      </c>
      <c r="AR28" s="116">
        <v>1</v>
      </c>
      <c r="AS28" s="116">
        <v>1</v>
      </c>
      <c r="AT28" s="116">
        <v>1</v>
      </c>
      <c r="AU28" s="116">
        <v>1</v>
      </c>
      <c r="AV28" s="116">
        <v>1</v>
      </c>
      <c r="AW28" s="116">
        <v>1</v>
      </c>
      <c r="AX28" s="116">
        <v>1</v>
      </c>
      <c r="AY28" s="172">
        <v>1</v>
      </c>
      <c r="AZ28" s="112"/>
    </row>
    <row r="29" spans="1:52" x14ac:dyDescent="0.2">
      <c r="B29" s="142" t="s">
        <v>311</v>
      </c>
      <c r="C29" s="131">
        <v>6</v>
      </c>
      <c r="D29" s="131">
        <f>C$28</f>
        <v>0</v>
      </c>
      <c r="E29" s="131">
        <f t="shared" ref="E29:AY29" si="9">D$28</f>
        <v>0</v>
      </c>
      <c r="F29" s="131">
        <f t="shared" si="9"/>
        <v>1</v>
      </c>
      <c r="G29" s="131">
        <f t="shared" si="9"/>
        <v>1</v>
      </c>
      <c r="H29" s="131">
        <f t="shared" si="9"/>
        <v>1</v>
      </c>
      <c r="I29" s="131">
        <f t="shared" si="9"/>
        <v>1</v>
      </c>
      <c r="J29" s="131">
        <f t="shared" si="9"/>
        <v>1</v>
      </c>
      <c r="K29" s="131">
        <f t="shared" si="9"/>
        <v>0</v>
      </c>
      <c r="L29" s="131">
        <f t="shared" si="9"/>
        <v>1</v>
      </c>
      <c r="M29" s="131">
        <f t="shared" si="9"/>
        <v>1</v>
      </c>
      <c r="N29" s="131">
        <f t="shared" si="9"/>
        <v>1</v>
      </c>
      <c r="O29" s="131">
        <f t="shared" si="9"/>
        <v>1</v>
      </c>
      <c r="P29" s="131">
        <f t="shared" si="9"/>
        <v>1</v>
      </c>
      <c r="Q29" s="131">
        <f t="shared" si="9"/>
        <v>1</v>
      </c>
      <c r="R29" s="131">
        <f t="shared" si="9"/>
        <v>1</v>
      </c>
      <c r="S29" s="131">
        <f t="shared" si="9"/>
        <v>1</v>
      </c>
      <c r="T29" s="131">
        <f t="shared" si="9"/>
        <v>0</v>
      </c>
      <c r="U29" s="131">
        <f t="shared" si="9"/>
        <v>1</v>
      </c>
      <c r="V29" s="131">
        <f t="shared" si="9"/>
        <v>1</v>
      </c>
      <c r="W29" s="131">
        <f t="shared" si="9"/>
        <v>1</v>
      </c>
      <c r="X29" s="131">
        <f t="shared" si="9"/>
        <v>1</v>
      </c>
      <c r="Y29" s="131">
        <f t="shared" si="9"/>
        <v>1</v>
      </c>
      <c r="Z29" s="131">
        <f t="shared" si="9"/>
        <v>1</v>
      </c>
      <c r="AA29" s="131">
        <f t="shared" si="9"/>
        <v>1</v>
      </c>
      <c r="AB29" s="131">
        <f t="shared" si="9"/>
        <v>1</v>
      </c>
      <c r="AC29" s="131">
        <f t="shared" si="9"/>
        <v>1</v>
      </c>
      <c r="AD29" s="131">
        <f t="shared" si="9"/>
        <v>1</v>
      </c>
      <c r="AE29" s="131">
        <f t="shared" si="9"/>
        <v>1</v>
      </c>
      <c r="AF29" s="131">
        <f t="shared" si="9"/>
        <v>1</v>
      </c>
      <c r="AG29" s="131">
        <f t="shared" si="9"/>
        <v>0</v>
      </c>
      <c r="AH29" s="131">
        <f t="shared" si="9"/>
        <v>1</v>
      </c>
      <c r="AI29" s="131">
        <f t="shared" si="9"/>
        <v>1</v>
      </c>
      <c r="AJ29" s="131">
        <f t="shared" si="9"/>
        <v>1</v>
      </c>
      <c r="AK29" s="131">
        <f t="shared" si="9"/>
        <v>1</v>
      </c>
      <c r="AL29" s="131">
        <f t="shared" si="9"/>
        <v>1</v>
      </c>
      <c r="AM29" s="131">
        <f t="shared" si="9"/>
        <v>1</v>
      </c>
      <c r="AN29" s="131">
        <f t="shared" si="9"/>
        <v>1</v>
      </c>
      <c r="AO29" s="131">
        <f t="shared" si="9"/>
        <v>1</v>
      </c>
      <c r="AP29" s="131">
        <f t="shared" si="9"/>
        <v>1</v>
      </c>
      <c r="AQ29" s="131">
        <f t="shared" si="9"/>
        <v>1</v>
      </c>
      <c r="AR29" s="131">
        <f t="shared" si="9"/>
        <v>1</v>
      </c>
      <c r="AS29" s="131">
        <f t="shared" si="9"/>
        <v>1</v>
      </c>
      <c r="AT29" s="131">
        <f t="shared" si="9"/>
        <v>1</v>
      </c>
      <c r="AU29" s="131">
        <f t="shared" si="9"/>
        <v>1</v>
      </c>
      <c r="AV29" s="131">
        <f t="shared" si="9"/>
        <v>1</v>
      </c>
      <c r="AW29" s="131">
        <f t="shared" si="9"/>
        <v>1</v>
      </c>
      <c r="AX29" s="131">
        <f t="shared" si="9"/>
        <v>1</v>
      </c>
      <c r="AY29" s="173">
        <f t="shared" si="9"/>
        <v>1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30</v>
      </c>
      <c r="E30" s="123">
        <f t="shared" ref="E30:AY30" si="10">E$27*$B$30</f>
        <v>30</v>
      </c>
      <c r="F30" s="123">
        <f t="shared" si="10"/>
        <v>20</v>
      </c>
      <c r="G30" s="123">
        <f t="shared" si="10"/>
        <v>20</v>
      </c>
      <c r="H30" s="123">
        <f t="shared" si="10"/>
        <v>20</v>
      </c>
      <c r="I30" s="123">
        <f t="shared" si="10"/>
        <v>20</v>
      </c>
      <c r="J30" s="123">
        <f t="shared" si="10"/>
        <v>20</v>
      </c>
      <c r="K30" s="123">
        <f t="shared" si="10"/>
        <v>30</v>
      </c>
      <c r="L30" s="123">
        <f t="shared" si="10"/>
        <v>20</v>
      </c>
      <c r="M30" s="123">
        <f t="shared" si="10"/>
        <v>20</v>
      </c>
      <c r="N30" s="123">
        <f t="shared" si="10"/>
        <v>20</v>
      </c>
      <c r="O30" s="123">
        <f t="shared" si="10"/>
        <v>20</v>
      </c>
      <c r="P30" s="123">
        <f t="shared" si="10"/>
        <v>20</v>
      </c>
      <c r="Q30" s="123">
        <f t="shared" si="10"/>
        <v>20</v>
      </c>
      <c r="R30" s="123">
        <f>R$27*$B$30</f>
        <v>20</v>
      </c>
      <c r="S30" s="123">
        <f t="shared" si="10"/>
        <v>20</v>
      </c>
      <c r="T30" s="123">
        <f t="shared" si="10"/>
        <v>30</v>
      </c>
      <c r="U30" s="123">
        <f t="shared" si="10"/>
        <v>20</v>
      </c>
      <c r="V30" s="123">
        <f t="shared" si="10"/>
        <v>20</v>
      </c>
      <c r="W30" s="123">
        <f t="shared" si="10"/>
        <v>20</v>
      </c>
      <c r="X30" s="123">
        <f t="shared" si="10"/>
        <v>20</v>
      </c>
      <c r="Y30" s="123">
        <f t="shared" si="10"/>
        <v>20</v>
      </c>
      <c r="Z30" s="123">
        <f t="shared" si="10"/>
        <v>20</v>
      </c>
      <c r="AA30" s="123">
        <f t="shared" si="10"/>
        <v>20</v>
      </c>
      <c r="AB30" s="123">
        <f t="shared" si="10"/>
        <v>20</v>
      </c>
      <c r="AC30" s="123">
        <f t="shared" si="10"/>
        <v>20</v>
      </c>
      <c r="AD30" s="123">
        <f t="shared" si="10"/>
        <v>20</v>
      </c>
      <c r="AE30" s="123">
        <f>AE$27*$B$30</f>
        <v>20</v>
      </c>
      <c r="AF30" s="123">
        <f t="shared" si="10"/>
        <v>20</v>
      </c>
      <c r="AG30" s="123">
        <f t="shared" si="10"/>
        <v>30</v>
      </c>
      <c r="AH30" s="123">
        <f t="shared" si="10"/>
        <v>20</v>
      </c>
      <c r="AI30" s="123">
        <f t="shared" si="10"/>
        <v>20</v>
      </c>
      <c r="AJ30" s="123">
        <f t="shared" si="10"/>
        <v>20</v>
      </c>
      <c r="AK30" s="123">
        <f t="shared" si="10"/>
        <v>20</v>
      </c>
      <c r="AL30" s="123">
        <f t="shared" si="10"/>
        <v>20</v>
      </c>
      <c r="AM30" s="123">
        <f t="shared" si="10"/>
        <v>20</v>
      </c>
      <c r="AN30" s="123">
        <f t="shared" si="10"/>
        <v>20</v>
      </c>
      <c r="AO30" s="123">
        <f t="shared" si="10"/>
        <v>20</v>
      </c>
      <c r="AP30" s="123">
        <f t="shared" si="10"/>
        <v>20</v>
      </c>
      <c r="AQ30" s="123">
        <f t="shared" si="10"/>
        <v>20</v>
      </c>
      <c r="AR30" s="123">
        <f t="shared" si="10"/>
        <v>20</v>
      </c>
      <c r="AS30" s="123">
        <f t="shared" si="10"/>
        <v>20</v>
      </c>
      <c r="AT30" s="123">
        <f t="shared" si="10"/>
        <v>20</v>
      </c>
      <c r="AU30" s="123">
        <f t="shared" si="10"/>
        <v>20</v>
      </c>
      <c r="AV30" s="123">
        <f t="shared" si="10"/>
        <v>20</v>
      </c>
      <c r="AW30" s="123">
        <f t="shared" si="10"/>
        <v>20</v>
      </c>
      <c r="AX30" s="123">
        <f t="shared" si="10"/>
        <v>20</v>
      </c>
      <c r="AY30" s="123">
        <f t="shared" si="10"/>
        <v>20</v>
      </c>
      <c r="AZ30" s="147">
        <f t="shared" si="5"/>
        <v>1010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2</v>
      </c>
      <c r="G41" s="116">
        <v>2</v>
      </c>
      <c r="H41" s="116">
        <v>1</v>
      </c>
      <c r="I41" s="116">
        <v>2</v>
      </c>
      <c r="J41" s="116">
        <v>2</v>
      </c>
      <c r="K41" s="116">
        <v>2</v>
      </c>
      <c r="L41" s="116">
        <v>1</v>
      </c>
      <c r="M41" s="116">
        <v>1</v>
      </c>
      <c r="N41" s="116">
        <v>1</v>
      </c>
      <c r="O41" s="116">
        <v>1</v>
      </c>
      <c r="P41" s="116">
        <v>2</v>
      </c>
      <c r="Q41" s="116">
        <v>1</v>
      </c>
      <c r="R41" s="116">
        <v>1</v>
      </c>
      <c r="S41" s="116">
        <v>1</v>
      </c>
      <c r="T41" s="116">
        <v>1</v>
      </c>
      <c r="U41" s="116">
        <v>1</v>
      </c>
      <c r="V41" s="116">
        <v>3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1</v>
      </c>
      <c r="AC41" s="116">
        <v>2</v>
      </c>
      <c r="AD41" s="116">
        <v>3</v>
      </c>
      <c r="AE41" s="116">
        <v>1</v>
      </c>
      <c r="AF41" s="116">
        <v>2</v>
      </c>
      <c r="AG41" s="116">
        <v>3</v>
      </c>
      <c r="AH41" s="116">
        <v>1</v>
      </c>
      <c r="AI41" s="116">
        <v>1</v>
      </c>
      <c r="AJ41" s="116">
        <v>1</v>
      </c>
      <c r="AK41" s="116">
        <v>1</v>
      </c>
      <c r="AL41" s="116">
        <v>1</v>
      </c>
      <c r="AM41" s="116">
        <v>1</v>
      </c>
      <c r="AN41" s="116">
        <v>1</v>
      </c>
      <c r="AO41" s="116">
        <v>2</v>
      </c>
      <c r="AP41" s="116">
        <v>3</v>
      </c>
      <c r="AQ41" s="116">
        <v>1</v>
      </c>
      <c r="AR41" s="116">
        <v>2</v>
      </c>
      <c r="AS41" s="116">
        <v>3</v>
      </c>
      <c r="AT41" s="116">
        <v>3</v>
      </c>
      <c r="AU41" s="116">
        <v>1</v>
      </c>
      <c r="AV41" s="116">
        <v>3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0</v>
      </c>
      <c r="E44" s="130">
        <f>E$21*shipping_manufacturing!$F$28/100</f>
        <v>13</v>
      </c>
      <c r="F44" s="130">
        <f>F$21*shipping_manufacturing!$F$28/100</f>
        <v>13</v>
      </c>
      <c r="G44" s="130">
        <f>G$21*shipping_manufacturing!$F$28/100</f>
        <v>13</v>
      </c>
      <c r="H44" s="130">
        <f>H$21*shipping_manufacturing!$F$28/100</f>
        <v>13</v>
      </c>
      <c r="I44" s="130">
        <f>I$21*shipping_manufacturing!$F$28/100</f>
        <v>13</v>
      </c>
      <c r="J44" s="130">
        <f>J$21*shipping_manufacturing!$F$28/100</f>
        <v>0</v>
      </c>
      <c r="K44" s="130">
        <f>K$21*shipping_manufacturing!$F$28/100</f>
        <v>13</v>
      </c>
      <c r="L44" s="130">
        <f>L$21*shipping_manufacturing!$F$28/100</f>
        <v>13</v>
      </c>
      <c r="M44" s="130">
        <f>M$21*shipping_manufacturing!$F$28/100</f>
        <v>13</v>
      </c>
      <c r="N44" s="130">
        <f>N$21*shipping_manufacturing!$F$28/100</f>
        <v>13</v>
      </c>
      <c r="O44" s="130">
        <f>O$21*shipping_manufacturing!$F$28/100</f>
        <v>13</v>
      </c>
      <c r="P44" s="130">
        <f>P$21*shipping_manufacturing!$F$28/100</f>
        <v>13</v>
      </c>
      <c r="Q44" s="130">
        <f>Q$21*shipping_manufacturing!$F$28/100</f>
        <v>13</v>
      </c>
      <c r="R44" s="130">
        <f>R$21*shipping_manufacturing!$F$28/100</f>
        <v>13</v>
      </c>
      <c r="S44" s="130">
        <f>S$21*shipping_manufacturing!$F$28/100</f>
        <v>0</v>
      </c>
      <c r="T44" s="130">
        <f>T$21*shipping_manufacturing!$F$28/100</f>
        <v>13</v>
      </c>
      <c r="U44" s="130">
        <f>U$21*shipping_manufacturing!$F$28/100</f>
        <v>13</v>
      </c>
      <c r="V44" s="130">
        <f>V$21*shipping_manufacturing!$F$28/100</f>
        <v>13</v>
      </c>
      <c r="W44" s="130">
        <f>W$21*shipping_manufacturing!$F$28/100</f>
        <v>13</v>
      </c>
      <c r="X44" s="130">
        <f>X$21*shipping_manufacturing!$F$28/100</f>
        <v>13</v>
      </c>
      <c r="Y44" s="130">
        <f>Y$21*shipping_manufacturing!$F$28/100</f>
        <v>13</v>
      </c>
      <c r="Z44" s="130">
        <f>Z$21*shipping_manufacturing!$F$28/100</f>
        <v>13</v>
      </c>
      <c r="AA44" s="130">
        <f>AA$21*shipping_manufacturing!$F$28/100</f>
        <v>13</v>
      </c>
      <c r="AB44" s="130">
        <f>AB$21*shipping_manufacturing!$F$28/100</f>
        <v>13</v>
      </c>
      <c r="AC44" s="130">
        <f>AC$21*shipping_manufacturing!$F$28/100</f>
        <v>13</v>
      </c>
      <c r="AD44" s="130">
        <f>AD$21*shipping_manufacturing!$F$28/100</f>
        <v>13</v>
      </c>
      <c r="AE44" s="130">
        <f>AE$21*shipping_manufacturing!$F$28/100</f>
        <v>13</v>
      </c>
      <c r="AF44" s="130">
        <f>AF$21*shipping_manufacturing!$F$28/100</f>
        <v>0</v>
      </c>
      <c r="AG44" s="130">
        <f>AG$21*shipping_manufacturing!$F$28/100</f>
        <v>13</v>
      </c>
      <c r="AH44" s="130">
        <f>AH$21*shipping_manufacturing!$F$28/100</f>
        <v>13</v>
      </c>
      <c r="AI44" s="130">
        <f>AI$21*shipping_manufacturing!$F$28/100</f>
        <v>13</v>
      </c>
      <c r="AJ44" s="130">
        <f>AJ$21*shipping_manufacturing!$F$28/100</f>
        <v>13</v>
      </c>
      <c r="AK44" s="130">
        <f>AK$21*shipping_manufacturing!$F$28/100</f>
        <v>13</v>
      </c>
      <c r="AL44" s="130">
        <f>AL$21*shipping_manufacturing!$F$28/100</f>
        <v>13</v>
      </c>
      <c r="AM44" s="130">
        <f>AM$21*shipping_manufacturing!$F$28/100</f>
        <v>13</v>
      </c>
      <c r="AN44" s="130">
        <f>AN$21*shipping_manufacturing!$F$28/100</f>
        <v>13</v>
      </c>
      <c r="AO44" s="130">
        <f>AO$21*shipping_manufacturing!$F$28/100</f>
        <v>13</v>
      </c>
      <c r="AP44" s="130">
        <f>AP$21*shipping_manufacturing!$F$28/100</f>
        <v>13</v>
      </c>
      <c r="AQ44" s="130">
        <f>AQ$21*shipping_manufacturing!$F$28/100</f>
        <v>13</v>
      </c>
      <c r="AR44" s="130">
        <f>AR$21*shipping_manufacturing!$F$28/100</f>
        <v>13</v>
      </c>
      <c r="AS44" s="130">
        <f>AS$21*shipping_manufacturing!$F$28/100</f>
        <v>13</v>
      </c>
      <c r="AT44" s="130">
        <f>AT$21*shipping_manufacturing!$F$28/100</f>
        <v>13</v>
      </c>
      <c r="AU44" s="130">
        <f>AU$21*shipping_manufacturing!$F$28/100</f>
        <v>13</v>
      </c>
      <c r="AV44" s="130">
        <f>AV$21*shipping_manufacturing!$F$28/100</f>
        <v>13</v>
      </c>
      <c r="AW44" s="130">
        <f>AW$21*shipping_manufacturing!$F$28/100</f>
        <v>13</v>
      </c>
      <c r="AX44" s="130">
        <f>AX$21*shipping_manufacturing!$F$28/100</f>
        <v>13</v>
      </c>
      <c r="AY44" s="130">
        <f>AY$21*shipping_manufacturing!$F$28/100</f>
        <v>13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13</v>
      </c>
      <c r="F46" s="116">
        <f t="shared" si="14"/>
        <v>13</v>
      </c>
      <c r="G46" s="116">
        <f t="shared" si="14"/>
        <v>13</v>
      </c>
      <c r="H46" s="116">
        <f t="shared" si="14"/>
        <v>13</v>
      </c>
      <c r="I46" s="116">
        <f t="shared" si="14"/>
        <v>13</v>
      </c>
      <c r="J46" s="116">
        <f t="shared" si="14"/>
        <v>0</v>
      </c>
      <c r="K46" s="116">
        <f t="shared" si="14"/>
        <v>13</v>
      </c>
      <c r="L46" s="116">
        <f t="shared" si="14"/>
        <v>13</v>
      </c>
      <c r="M46" s="116">
        <f t="shared" si="14"/>
        <v>13</v>
      </c>
      <c r="N46" s="116">
        <f t="shared" si="14"/>
        <v>13</v>
      </c>
      <c r="O46" s="116">
        <f t="shared" si="14"/>
        <v>13</v>
      </c>
      <c r="P46" s="116">
        <f t="shared" si="14"/>
        <v>13</v>
      </c>
      <c r="Q46" s="116">
        <f t="shared" si="14"/>
        <v>13</v>
      </c>
      <c r="R46" s="116">
        <f t="shared" si="14"/>
        <v>13</v>
      </c>
      <c r="S46" s="116">
        <f t="shared" si="14"/>
        <v>0</v>
      </c>
      <c r="T46" s="116">
        <f t="shared" si="14"/>
        <v>13</v>
      </c>
      <c r="U46" s="116">
        <f t="shared" si="14"/>
        <v>13</v>
      </c>
      <c r="V46" s="116">
        <f t="shared" si="14"/>
        <v>13</v>
      </c>
      <c r="W46" s="116">
        <f t="shared" si="14"/>
        <v>13</v>
      </c>
      <c r="X46" s="116">
        <f t="shared" si="14"/>
        <v>13</v>
      </c>
      <c r="Y46" s="116">
        <f t="shared" si="14"/>
        <v>13</v>
      </c>
      <c r="Z46" s="116">
        <f t="shared" si="14"/>
        <v>13</v>
      </c>
      <c r="AA46" s="116">
        <f t="shared" si="14"/>
        <v>13</v>
      </c>
      <c r="AB46" s="116">
        <f t="shared" si="14"/>
        <v>13</v>
      </c>
      <c r="AC46" s="116">
        <f t="shared" si="14"/>
        <v>13</v>
      </c>
      <c r="AD46" s="116">
        <f t="shared" si="14"/>
        <v>13</v>
      </c>
      <c r="AE46" s="116">
        <f t="shared" si="14"/>
        <v>13</v>
      </c>
      <c r="AF46" s="116">
        <f t="shared" si="14"/>
        <v>0</v>
      </c>
      <c r="AG46" s="116">
        <f t="shared" si="14"/>
        <v>13</v>
      </c>
      <c r="AH46" s="116">
        <f t="shared" si="14"/>
        <v>13</v>
      </c>
      <c r="AI46" s="116">
        <f t="shared" si="14"/>
        <v>13</v>
      </c>
      <c r="AJ46" s="116">
        <f t="shared" si="14"/>
        <v>13</v>
      </c>
      <c r="AK46" s="116">
        <f t="shared" si="14"/>
        <v>13</v>
      </c>
      <c r="AL46" s="116">
        <f t="shared" si="14"/>
        <v>13</v>
      </c>
      <c r="AM46" s="116">
        <f t="shared" si="14"/>
        <v>13</v>
      </c>
      <c r="AN46" s="116">
        <f t="shared" si="14"/>
        <v>13</v>
      </c>
      <c r="AO46" s="116">
        <f t="shared" si="14"/>
        <v>13</v>
      </c>
      <c r="AP46" s="116">
        <f t="shared" si="14"/>
        <v>13</v>
      </c>
      <c r="AQ46" s="116">
        <f t="shared" si="14"/>
        <v>13</v>
      </c>
      <c r="AR46" s="116">
        <f t="shared" si="14"/>
        <v>13</v>
      </c>
      <c r="AS46" s="116">
        <f t="shared" si="14"/>
        <v>13</v>
      </c>
      <c r="AT46" s="116">
        <f t="shared" si="14"/>
        <v>13</v>
      </c>
      <c r="AU46" s="116">
        <f t="shared" si="14"/>
        <v>13</v>
      </c>
      <c r="AV46" s="116">
        <f t="shared" si="14"/>
        <v>13</v>
      </c>
      <c r="AW46" s="116">
        <f t="shared" si="14"/>
        <v>13</v>
      </c>
      <c r="AX46" s="116">
        <f t="shared" si="14"/>
        <v>13</v>
      </c>
      <c r="AY46" s="116">
        <f t="shared" si="14"/>
        <v>13</v>
      </c>
    </row>
    <row r="47" spans="1:52" x14ac:dyDescent="0.2">
      <c r="A47" s="116"/>
      <c r="B47" s="171" t="s">
        <v>344</v>
      </c>
      <c r="C47" s="116"/>
      <c r="D47" s="116"/>
      <c r="E47" s="116">
        <v>13</v>
      </c>
      <c r="F47" s="116">
        <v>13</v>
      </c>
      <c r="G47" s="116">
        <v>13</v>
      </c>
      <c r="H47" s="116">
        <v>13</v>
      </c>
      <c r="I47" s="116">
        <v>13</v>
      </c>
      <c r="J47" s="116"/>
      <c r="K47" s="116">
        <v>13</v>
      </c>
      <c r="L47" s="116">
        <v>13</v>
      </c>
      <c r="M47" s="116">
        <v>13</v>
      </c>
      <c r="N47" s="116">
        <v>13</v>
      </c>
      <c r="O47" s="116">
        <v>13</v>
      </c>
      <c r="P47" s="116">
        <v>13</v>
      </c>
      <c r="Q47" s="116">
        <v>13</v>
      </c>
      <c r="R47" s="116">
        <v>13</v>
      </c>
      <c r="S47" s="116"/>
      <c r="T47" s="116">
        <v>13</v>
      </c>
      <c r="U47" s="116">
        <v>13</v>
      </c>
      <c r="V47" s="116">
        <v>13</v>
      </c>
      <c r="W47" s="116">
        <v>13</v>
      </c>
      <c r="X47" s="116">
        <v>13</v>
      </c>
      <c r="Y47" s="116">
        <v>13</v>
      </c>
      <c r="Z47" s="116">
        <v>13</v>
      </c>
      <c r="AA47" s="116">
        <v>13</v>
      </c>
      <c r="AB47" s="116">
        <v>13</v>
      </c>
      <c r="AC47" s="116">
        <v>13</v>
      </c>
      <c r="AD47" s="116">
        <v>13</v>
      </c>
      <c r="AE47" s="116">
        <v>13</v>
      </c>
      <c r="AF47" s="116"/>
      <c r="AG47" s="116">
        <v>13</v>
      </c>
      <c r="AH47" s="116">
        <v>13</v>
      </c>
      <c r="AI47" s="116">
        <v>13</v>
      </c>
      <c r="AJ47" s="116">
        <v>13</v>
      </c>
      <c r="AK47" s="116">
        <v>13</v>
      </c>
      <c r="AL47" s="116">
        <v>13</v>
      </c>
      <c r="AM47" s="116">
        <v>13</v>
      </c>
      <c r="AN47" s="116">
        <v>13</v>
      </c>
      <c r="AO47" s="116">
        <v>13</v>
      </c>
      <c r="AP47" s="116">
        <v>13</v>
      </c>
      <c r="AQ47" s="116">
        <v>13</v>
      </c>
      <c r="AR47" s="116">
        <v>13</v>
      </c>
      <c r="AS47" s="116">
        <v>13</v>
      </c>
      <c r="AT47" s="116">
        <v>13</v>
      </c>
      <c r="AU47" s="116">
        <v>13</v>
      </c>
      <c r="AV47" s="116">
        <v>13</v>
      </c>
      <c r="AW47" s="116">
        <v>13</v>
      </c>
      <c r="AX47" s="116">
        <v>13</v>
      </c>
      <c r="AY47" s="116">
        <v>13</v>
      </c>
    </row>
    <row r="48" spans="1:52" x14ac:dyDescent="0.2">
      <c r="A48" s="116"/>
      <c r="B48" s="171" t="s">
        <v>345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/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/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/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346</v>
      </c>
      <c r="C49" s="116"/>
      <c r="D49" s="116"/>
      <c r="E49" s="116">
        <v>1</v>
      </c>
      <c r="F49" s="116">
        <v>1</v>
      </c>
      <c r="G49" s="116">
        <v>1</v>
      </c>
      <c r="H49" s="116">
        <v>1</v>
      </c>
      <c r="I49" s="116">
        <v>1</v>
      </c>
      <c r="J49" s="116"/>
      <c r="K49" s="116">
        <v>1</v>
      </c>
      <c r="L49" s="116">
        <v>1</v>
      </c>
      <c r="M49" s="116">
        <v>1</v>
      </c>
      <c r="N49" s="116">
        <v>1</v>
      </c>
      <c r="O49" s="116">
        <v>1</v>
      </c>
      <c r="P49" s="116">
        <v>1</v>
      </c>
      <c r="Q49" s="116">
        <v>1</v>
      </c>
      <c r="R49" s="116">
        <v>1</v>
      </c>
      <c r="S49" s="116"/>
      <c r="T49" s="116">
        <v>1</v>
      </c>
      <c r="U49" s="116">
        <v>1</v>
      </c>
      <c r="V49" s="116">
        <v>1</v>
      </c>
      <c r="W49" s="116">
        <v>1</v>
      </c>
      <c r="X49" s="116">
        <v>1</v>
      </c>
      <c r="Y49" s="116">
        <v>1</v>
      </c>
      <c r="Z49" s="116">
        <v>1</v>
      </c>
      <c r="AA49" s="116">
        <v>1</v>
      </c>
      <c r="AB49" s="116">
        <v>1</v>
      </c>
      <c r="AC49" s="116">
        <v>1</v>
      </c>
      <c r="AD49" s="116">
        <v>1</v>
      </c>
      <c r="AE49" s="116">
        <v>1</v>
      </c>
      <c r="AF49" s="116"/>
      <c r="AG49" s="116">
        <v>1</v>
      </c>
      <c r="AH49" s="116">
        <v>1</v>
      </c>
      <c r="AI49" s="116">
        <v>1</v>
      </c>
      <c r="AJ49" s="116">
        <v>1</v>
      </c>
      <c r="AK49" s="116">
        <v>1</v>
      </c>
      <c r="AL49" s="116">
        <v>1</v>
      </c>
      <c r="AM49" s="116">
        <v>1</v>
      </c>
      <c r="AN49" s="116">
        <v>1</v>
      </c>
      <c r="AO49" s="116">
        <v>1</v>
      </c>
      <c r="AP49" s="116">
        <v>1</v>
      </c>
      <c r="AQ49" s="116">
        <v>1</v>
      </c>
      <c r="AR49" s="116">
        <v>1</v>
      </c>
      <c r="AS49" s="116">
        <v>1</v>
      </c>
      <c r="AT49" s="116">
        <v>1</v>
      </c>
      <c r="AU49" s="116">
        <v>1</v>
      </c>
      <c r="AV49" s="116">
        <v>1</v>
      </c>
      <c r="AW49" s="116">
        <v>1</v>
      </c>
      <c r="AX49" s="116">
        <v>1</v>
      </c>
      <c r="AY49" s="116">
        <v>1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2</v>
      </c>
      <c r="F52" s="116">
        <v>2</v>
      </c>
      <c r="G52" s="116">
        <v>2</v>
      </c>
      <c r="H52" s="116">
        <v>3</v>
      </c>
      <c r="I52" s="116">
        <v>3</v>
      </c>
      <c r="J52" s="116">
        <v>2</v>
      </c>
      <c r="K52" s="116">
        <v>2</v>
      </c>
      <c r="L52" s="116">
        <v>3</v>
      </c>
      <c r="M52" s="116">
        <v>4</v>
      </c>
      <c r="N52" s="116">
        <v>2</v>
      </c>
      <c r="O52" s="116">
        <v>2</v>
      </c>
      <c r="P52" s="116">
        <v>4</v>
      </c>
      <c r="Q52" s="116">
        <v>2</v>
      </c>
      <c r="R52" s="116">
        <v>3</v>
      </c>
      <c r="S52" s="116">
        <v>3</v>
      </c>
      <c r="T52" s="116">
        <v>3</v>
      </c>
      <c r="U52" s="116">
        <v>2</v>
      </c>
      <c r="V52" s="116">
        <v>3</v>
      </c>
      <c r="W52" s="116">
        <v>2</v>
      </c>
      <c r="X52" s="116">
        <v>3</v>
      </c>
      <c r="Y52" s="116">
        <v>2</v>
      </c>
      <c r="Z52" s="116">
        <v>2</v>
      </c>
      <c r="AA52" s="116">
        <v>4</v>
      </c>
      <c r="AB52" s="116">
        <v>2</v>
      </c>
      <c r="AC52" s="116">
        <v>2</v>
      </c>
      <c r="AD52" s="116">
        <v>4</v>
      </c>
      <c r="AE52" s="116">
        <v>2</v>
      </c>
      <c r="AF52" s="116">
        <v>2</v>
      </c>
      <c r="AG52" s="116">
        <v>2</v>
      </c>
      <c r="AH52" s="116">
        <v>2</v>
      </c>
      <c r="AI52" s="116">
        <v>2</v>
      </c>
      <c r="AJ52" s="116">
        <v>3</v>
      </c>
      <c r="AK52" s="116">
        <v>2</v>
      </c>
      <c r="AL52" s="116">
        <v>3</v>
      </c>
      <c r="AM52" s="116">
        <v>2</v>
      </c>
      <c r="AN52" s="116">
        <v>3</v>
      </c>
      <c r="AO52" s="116">
        <v>3</v>
      </c>
      <c r="AP52" s="116">
        <v>2</v>
      </c>
      <c r="AQ52" s="116">
        <v>2</v>
      </c>
      <c r="AR52" s="116">
        <v>3</v>
      </c>
      <c r="AS52" s="116">
        <v>3</v>
      </c>
      <c r="AT52" s="116">
        <v>3</v>
      </c>
      <c r="AU52" s="116">
        <v>4</v>
      </c>
      <c r="AV52" s="116">
        <v>3</v>
      </c>
      <c r="AW52" s="116">
        <v>2</v>
      </c>
      <c r="AX52" s="116">
        <v>4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84204</v>
      </c>
      <c r="F53" s="116">
        <v>84204</v>
      </c>
      <c r="G53" s="116">
        <v>84204</v>
      </c>
      <c r="H53" s="116">
        <v>84204</v>
      </c>
      <c r="I53" s="116">
        <v>84204</v>
      </c>
      <c r="J53" s="116">
        <v>0</v>
      </c>
      <c r="K53" s="116">
        <v>84204</v>
      </c>
      <c r="L53" s="116">
        <v>84204</v>
      </c>
      <c r="M53" s="116">
        <v>84204</v>
      </c>
      <c r="N53" s="116">
        <v>84204</v>
      </c>
      <c r="O53" s="116">
        <v>84204</v>
      </c>
      <c r="P53" s="116">
        <v>84204</v>
      </c>
      <c r="Q53" s="116">
        <v>84204</v>
      </c>
      <c r="R53" s="116">
        <v>84204</v>
      </c>
      <c r="S53" s="116">
        <v>0</v>
      </c>
      <c r="T53" s="116">
        <v>84204</v>
      </c>
      <c r="U53" s="116">
        <v>84204</v>
      </c>
      <c r="V53" s="116">
        <v>84204</v>
      </c>
      <c r="W53" s="116">
        <v>84204</v>
      </c>
      <c r="X53" s="116">
        <v>84204</v>
      </c>
      <c r="Y53" s="116">
        <v>84204</v>
      </c>
      <c r="Z53" s="116">
        <v>84204</v>
      </c>
      <c r="AA53" s="116">
        <v>84204</v>
      </c>
      <c r="AB53" s="116">
        <v>84204</v>
      </c>
      <c r="AC53" s="116">
        <v>84204</v>
      </c>
      <c r="AD53" s="116">
        <v>84204</v>
      </c>
      <c r="AE53" s="116">
        <v>84204</v>
      </c>
      <c r="AF53" s="116">
        <v>0</v>
      </c>
      <c r="AG53" s="116">
        <v>84204</v>
      </c>
      <c r="AH53" s="116">
        <v>84204</v>
      </c>
      <c r="AI53" s="116">
        <v>84204</v>
      </c>
      <c r="AJ53" s="116">
        <v>84204</v>
      </c>
      <c r="AK53" s="116">
        <v>84204</v>
      </c>
      <c r="AL53" s="116">
        <v>84204</v>
      </c>
      <c r="AM53" s="116">
        <v>84204</v>
      </c>
      <c r="AN53" s="116">
        <v>84204</v>
      </c>
      <c r="AO53" s="116">
        <v>84204</v>
      </c>
      <c r="AP53" s="116">
        <v>84204</v>
      </c>
      <c r="AQ53" s="116">
        <v>84204</v>
      </c>
      <c r="AR53" s="116">
        <v>84204</v>
      </c>
      <c r="AS53" s="116">
        <v>84204</v>
      </c>
      <c r="AT53" s="116">
        <v>84204</v>
      </c>
      <c r="AU53" s="116">
        <v>84204</v>
      </c>
      <c r="AV53" s="116">
        <v>84204</v>
      </c>
      <c r="AW53" s="116">
        <v>84204</v>
      </c>
      <c r="AX53" s="116">
        <v>84204</v>
      </c>
      <c r="AY53" s="116">
        <v>84204</v>
      </c>
      <c r="AZ53" s="106">
        <f>SUM($D$53:$AY$53)</f>
        <v>3704976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4105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3838.0605581057753</v>
      </c>
      <c r="E7" s="150">
        <v>3838.0605581057753</v>
      </c>
      <c r="F7" s="150">
        <v>3838.0605581057753</v>
      </c>
      <c r="G7" s="150">
        <v>3838.0605581057753</v>
      </c>
      <c r="H7" s="150">
        <v>3411.6093849829113</v>
      </c>
      <c r="I7" s="150">
        <v>3411.6093849829113</v>
      </c>
      <c r="J7" s="150">
        <v>3411.6093849829113</v>
      </c>
      <c r="K7" s="150">
        <v>3411.6093849829113</v>
      </c>
      <c r="L7" s="150">
        <v>3411.6093849829113</v>
      </c>
      <c r="M7" s="150">
        <v>3411.6093849829113</v>
      </c>
      <c r="N7" s="150">
        <v>3411.6093849829113</v>
      </c>
      <c r="O7" s="150">
        <v>3411.6093849829113</v>
      </c>
      <c r="P7" s="150">
        <v>3838.0605581057753</v>
      </c>
      <c r="Q7" s="150">
        <v>3838.0605581057753</v>
      </c>
      <c r="R7" s="150">
        <v>3838.0605581057753</v>
      </c>
      <c r="S7" s="150">
        <v>3838.0605581057753</v>
      </c>
      <c r="T7" s="150">
        <v>3411.6093849829113</v>
      </c>
      <c r="U7" s="150">
        <v>3411.6093849829113</v>
      </c>
      <c r="V7" s="150">
        <v>3411.6093849829113</v>
      </c>
      <c r="W7" s="150">
        <v>3411.6093849829113</v>
      </c>
      <c r="X7" s="150">
        <v>3411.6093849829113</v>
      </c>
      <c r="Y7" s="150">
        <v>3411.6093849829113</v>
      </c>
      <c r="Z7" s="150">
        <v>3411.6093849829113</v>
      </c>
      <c r="AA7" s="150">
        <v>3411.6093849829113</v>
      </c>
      <c r="AB7" s="150">
        <v>3838.0605581057753</v>
      </c>
      <c r="AC7" s="150">
        <v>3838.0605581057753</v>
      </c>
      <c r="AD7" s="150">
        <v>3838.0605581057753</v>
      </c>
      <c r="AE7" s="150">
        <v>3838.0605581057753</v>
      </c>
      <c r="AF7" s="150">
        <v>3411.6093849829113</v>
      </c>
      <c r="AG7" s="150">
        <v>3411.6093849829113</v>
      </c>
      <c r="AH7" s="150">
        <v>3411.6093849829113</v>
      </c>
      <c r="AI7" s="150">
        <v>3411.6093849829113</v>
      </c>
      <c r="AJ7" s="150">
        <v>3411.6093849829113</v>
      </c>
      <c r="AK7" s="150">
        <v>3411.6093849829113</v>
      </c>
      <c r="AL7" s="150">
        <v>3411.6093849829113</v>
      </c>
      <c r="AM7" s="150">
        <v>3411.6093849829113</v>
      </c>
      <c r="AN7" s="150">
        <v>3838.0605581057753</v>
      </c>
      <c r="AO7" s="150">
        <v>3838.0605581057753</v>
      </c>
      <c r="AP7" s="150">
        <v>3838.0605581057753</v>
      </c>
      <c r="AQ7" s="150">
        <v>3838.0605581057753</v>
      </c>
      <c r="AR7" s="150">
        <v>3411.6093849829113</v>
      </c>
      <c r="AS7" s="150">
        <v>3411.6093849829113</v>
      </c>
      <c r="AT7" s="150">
        <v>3411.6093849829113</v>
      </c>
      <c r="AU7" s="150">
        <v>3411.6093849829113</v>
      </c>
      <c r="AV7" s="150">
        <v>3411.6093849829113</v>
      </c>
      <c r="AW7" s="150">
        <v>3411.6093849829113</v>
      </c>
      <c r="AX7" s="150">
        <v>3411.6093849829113</v>
      </c>
      <c r="AY7" s="150">
        <v>3411.6093849829113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2718.2187699658225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3144.6699430886865</v>
      </c>
      <c r="AS10" s="150">
        <f t="shared" si="0"/>
        <v>3411.6093849829113</v>
      </c>
      <c r="AT10" s="150">
        <f t="shared" si="0"/>
        <v>3411.6093849829113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12686.107483020332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1705.8046924914556</v>
      </c>
      <c r="D13" s="144">
        <f t="shared" ref="D13:AY13" si="1">D$7-D$10</f>
        <v>3838.0605581057753</v>
      </c>
      <c r="E13" s="144">
        <f t="shared" si="1"/>
        <v>3838.0605581057753</v>
      </c>
      <c r="F13" s="144">
        <f t="shared" si="1"/>
        <v>3838.0605581057753</v>
      </c>
      <c r="G13" s="144">
        <f t="shared" si="1"/>
        <v>3838.0605581057753</v>
      </c>
      <c r="H13" s="144">
        <f t="shared" si="1"/>
        <v>3411.6093849829113</v>
      </c>
      <c r="I13" s="144">
        <f t="shared" si="1"/>
        <v>3411.6093849829113</v>
      </c>
      <c r="J13" s="144">
        <f t="shared" si="1"/>
        <v>3411.6093849829113</v>
      </c>
      <c r="K13" s="144">
        <f t="shared" si="1"/>
        <v>3411.6093849829113</v>
      </c>
      <c r="L13" s="144">
        <f t="shared" si="1"/>
        <v>3411.6093849829113</v>
      </c>
      <c r="M13" s="144">
        <f t="shared" si="1"/>
        <v>3411.6093849829113</v>
      </c>
      <c r="N13" s="144">
        <f t="shared" si="1"/>
        <v>3411.6093849829113</v>
      </c>
      <c r="O13" s="144">
        <f t="shared" si="1"/>
        <v>3411.6093849829113</v>
      </c>
      <c r="P13" s="144">
        <f t="shared" si="1"/>
        <v>3838.0605581057753</v>
      </c>
      <c r="Q13" s="144">
        <f t="shared" si="1"/>
        <v>3838.0605581057753</v>
      </c>
      <c r="R13" s="144">
        <f t="shared" si="1"/>
        <v>3838.0605581057753</v>
      </c>
      <c r="S13" s="144">
        <f t="shared" si="1"/>
        <v>3838.0605581057753</v>
      </c>
      <c r="T13" s="144">
        <f t="shared" si="1"/>
        <v>3411.6093849829113</v>
      </c>
      <c r="U13" s="144">
        <f t="shared" si="1"/>
        <v>3411.6093849829113</v>
      </c>
      <c r="V13" s="144">
        <f t="shared" si="1"/>
        <v>3411.6093849829113</v>
      </c>
      <c r="W13" s="144">
        <f t="shared" si="1"/>
        <v>3411.6093849829113</v>
      </c>
      <c r="X13" s="144">
        <f t="shared" si="1"/>
        <v>3411.6093849829113</v>
      </c>
      <c r="Y13" s="144">
        <f t="shared" si="1"/>
        <v>3411.6093849829113</v>
      </c>
      <c r="Z13" s="144">
        <f t="shared" si="1"/>
        <v>3411.6093849829113</v>
      </c>
      <c r="AA13" s="144">
        <f t="shared" si="1"/>
        <v>3411.6093849829113</v>
      </c>
      <c r="AB13" s="144">
        <f t="shared" si="1"/>
        <v>3838.0605581057753</v>
      </c>
      <c r="AC13" s="144">
        <f t="shared" si="1"/>
        <v>3838.0605581057753</v>
      </c>
      <c r="AD13" s="144">
        <f t="shared" si="1"/>
        <v>3838.0605581057753</v>
      </c>
      <c r="AE13" s="144">
        <f t="shared" si="1"/>
        <v>3838.0605581057753</v>
      </c>
      <c r="AF13" s="144">
        <f t="shared" si="1"/>
        <v>3411.6093849829113</v>
      </c>
      <c r="AG13" s="144">
        <f t="shared" si="1"/>
        <v>3411.6093849829113</v>
      </c>
      <c r="AH13" s="144">
        <f t="shared" si="1"/>
        <v>3411.6093849829113</v>
      </c>
      <c r="AI13" s="144">
        <f t="shared" si="1"/>
        <v>3411.6093849829113</v>
      </c>
      <c r="AJ13" s="144">
        <f t="shared" si="1"/>
        <v>3411.6093849829113</v>
      </c>
      <c r="AK13" s="144">
        <f t="shared" si="1"/>
        <v>3411.6093849829113</v>
      </c>
      <c r="AL13" s="144">
        <f t="shared" si="1"/>
        <v>693.39061501708875</v>
      </c>
      <c r="AM13" s="144">
        <f t="shared" si="1"/>
        <v>3411.6093849829113</v>
      </c>
      <c r="AN13" s="144">
        <f t="shared" si="1"/>
        <v>3838.0605581057753</v>
      </c>
      <c r="AO13" s="144">
        <f t="shared" si="1"/>
        <v>3838.0605581057753</v>
      </c>
      <c r="AP13" s="144">
        <f t="shared" si="1"/>
        <v>3838.0605581057753</v>
      </c>
      <c r="AQ13" s="144">
        <f t="shared" si="1"/>
        <v>3838.0605581057753</v>
      </c>
      <c r="AR13" s="144">
        <f t="shared" si="1"/>
        <v>266.93944189422473</v>
      </c>
      <c r="AS13" s="144">
        <f t="shared" si="1"/>
        <v>0</v>
      </c>
      <c r="AT13" s="144">
        <f t="shared" si="1"/>
        <v>0</v>
      </c>
      <c r="AU13" s="144">
        <f t="shared" si="1"/>
        <v>3411.6093849829113</v>
      </c>
      <c r="AV13" s="144">
        <f t="shared" si="1"/>
        <v>3411.6093849829113</v>
      </c>
      <c r="AW13" s="144">
        <f t="shared" si="1"/>
        <v>3411.6093849829113</v>
      </c>
      <c r="AX13" s="144">
        <f t="shared" si="1"/>
        <v>3411.6093849829113</v>
      </c>
      <c r="AY13" s="144">
        <f t="shared" si="1"/>
        <v>3411.6093849829113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3411.6093849829113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3838.0605581057753</v>
      </c>
      <c r="AS14" s="112">
        <f t="shared" si="2"/>
        <v>266.93944189422473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3838.0605581057753</v>
      </c>
      <c r="AT15" s="112">
        <f t="shared" si="2"/>
        <v>266.93944189422473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3838.0605581057753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 t="s">
        <v>313</v>
      </c>
      <c r="AL20" s="123"/>
      <c r="AM20" s="123"/>
      <c r="AN20" s="123"/>
      <c r="AO20" s="123"/>
      <c r="AP20" s="123"/>
      <c r="AQ20" s="123" t="s">
        <v>313</v>
      </c>
      <c r="AR20" s="123" t="s">
        <v>313</v>
      </c>
      <c r="AS20" s="123" t="s">
        <v>313</v>
      </c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1705.8046924914556</v>
      </c>
      <c r="E21" s="112">
        <f t="shared" ref="E21:AY21" si="3">IF(D$20="Yes",0,SUM(D$13:D$16)*$B$21)</f>
        <v>3838.0605581057753</v>
      </c>
      <c r="F21" s="112">
        <f t="shared" si="3"/>
        <v>3838.0605581057753</v>
      </c>
      <c r="G21" s="112">
        <f t="shared" si="3"/>
        <v>3838.0605581057753</v>
      </c>
      <c r="H21" s="112">
        <f t="shared" si="3"/>
        <v>3838.0605581057753</v>
      </c>
      <c r="I21" s="112">
        <f t="shared" si="3"/>
        <v>3411.6093849829113</v>
      </c>
      <c r="J21" s="112">
        <f t="shared" si="3"/>
        <v>3411.6093849829113</v>
      </c>
      <c r="K21" s="112">
        <f t="shared" si="3"/>
        <v>3411.6093849829113</v>
      </c>
      <c r="L21" s="112">
        <f t="shared" si="3"/>
        <v>3411.6093849829113</v>
      </c>
      <c r="M21" s="112">
        <f t="shared" si="3"/>
        <v>3411.6093849829113</v>
      </c>
      <c r="N21" s="112">
        <f t="shared" si="3"/>
        <v>3411.6093849829113</v>
      </c>
      <c r="O21" s="112">
        <f t="shared" si="3"/>
        <v>3411.6093849829113</v>
      </c>
      <c r="P21" s="112">
        <f t="shared" si="3"/>
        <v>3411.6093849829113</v>
      </c>
      <c r="Q21" s="112">
        <f t="shared" si="3"/>
        <v>3838.0605581057753</v>
      </c>
      <c r="R21" s="112">
        <f t="shared" si="3"/>
        <v>3838.0605581057753</v>
      </c>
      <c r="S21" s="112">
        <f t="shared" si="3"/>
        <v>3838.0605581057753</v>
      </c>
      <c r="T21" s="112">
        <f t="shared" si="3"/>
        <v>3838.0605581057753</v>
      </c>
      <c r="U21" s="112">
        <f t="shared" si="3"/>
        <v>3411.6093849829113</v>
      </c>
      <c r="V21" s="112">
        <f t="shared" si="3"/>
        <v>3411.6093849829113</v>
      </c>
      <c r="W21" s="112">
        <f t="shared" si="3"/>
        <v>3411.6093849829113</v>
      </c>
      <c r="X21" s="112">
        <f t="shared" si="3"/>
        <v>3411.6093849829113</v>
      </c>
      <c r="Y21" s="112">
        <f t="shared" si="3"/>
        <v>3411.6093849829113</v>
      </c>
      <c r="Z21" s="112">
        <f t="shared" si="3"/>
        <v>3411.6093849829113</v>
      </c>
      <c r="AA21" s="112">
        <f t="shared" si="3"/>
        <v>3411.6093849829113</v>
      </c>
      <c r="AB21" s="112">
        <f t="shared" si="3"/>
        <v>3411.6093849829113</v>
      </c>
      <c r="AC21" s="112">
        <f t="shared" si="3"/>
        <v>3838.0605581057753</v>
      </c>
      <c r="AD21" s="112">
        <f t="shared" si="3"/>
        <v>3838.0605581057753</v>
      </c>
      <c r="AE21" s="112">
        <f t="shared" si="3"/>
        <v>3838.0605581057753</v>
      </c>
      <c r="AF21" s="112">
        <f t="shared" si="3"/>
        <v>3838.0605581057753</v>
      </c>
      <c r="AG21" s="112">
        <f t="shared" si="3"/>
        <v>3411.6093849829113</v>
      </c>
      <c r="AH21" s="112">
        <f t="shared" si="3"/>
        <v>3411.6093849829113</v>
      </c>
      <c r="AI21" s="112">
        <f t="shared" si="3"/>
        <v>3411.6093849829113</v>
      </c>
      <c r="AJ21" s="112">
        <f t="shared" si="3"/>
        <v>3411.6093849829113</v>
      </c>
      <c r="AK21" s="112">
        <f t="shared" si="3"/>
        <v>3411.6093849829113</v>
      </c>
      <c r="AL21" s="112">
        <f t="shared" si="3"/>
        <v>0</v>
      </c>
      <c r="AM21" s="112">
        <f t="shared" si="3"/>
        <v>4105</v>
      </c>
      <c r="AN21" s="112">
        <f t="shared" si="3"/>
        <v>3411.6093849829113</v>
      </c>
      <c r="AO21" s="112">
        <f t="shared" si="3"/>
        <v>3838.0605581057753</v>
      </c>
      <c r="AP21" s="112">
        <f t="shared" si="3"/>
        <v>3838.0605581057753</v>
      </c>
      <c r="AQ21" s="112">
        <f t="shared" si="3"/>
        <v>3838.0605581057753</v>
      </c>
      <c r="AR21" s="112">
        <f t="shared" si="3"/>
        <v>0</v>
      </c>
      <c r="AS21" s="112">
        <f t="shared" si="3"/>
        <v>0</v>
      </c>
      <c r="AT21" s="112">
        <f t="shared" si="3"/>
        <v>0</v>
      </c>
      <c r="AU21" s="112">
        <f t="shared" si="3"/>
        <v>4105</v>
      </c>
      <c r="AV21" s="112">
        <f t="shared" si="3"/>
        <v>3411.6093849829113</v>
      </c>
      <c r="AW21" s="112">
        <f t="shared" si="3"/>
        <v>3411.6093849829113</v>
      </c>
      <c r="AX21" s="112">
        <f t="shared" si="3"/>
        <v>3411.6093849829113</v>
      </c>
      <c r="AY21" s="112">
        <f t="shared" si="3"/>
        <v>3411.6093849829113</v>
      </c>
      <c r="AZ21" s="163">
        <f>SUM($D21:$AY21)</f>
        <v>156188.55707363365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3411609.3849829114</v>
      </c>
      <c r="E23" s="106">
        <f t="shared" ref="E23:AY23" si="6">E$21*$B$23</f>
        <v>7676121.1162115503</v>
      </c>
      <c r="F23" s="106">
        <f t="shared" si="6"/>
        <v>7676121.1162115503</v>
      </c>
      <c r="G23" s="106">
        <f t="shared" si="6"/>
        <v>7676121.1162115503</v>
      </c>
      <c r="H23" s="106">
        <f t="shared" si="6"/>
        <v>7676121.1162115503</v>
      </c>
      <c r="I23" s="106">
        <f t="shared" si="6"/>
        <v>6823218.7699658228</v>
      </c>
      <c r="J23" s="106">
        <f t="shared" si="6"/>
        <v>6823218.7699658228</v>
      </c>
      <c r="K23" s="106">
        <f t="shared" si="6"/>
        <v>6823218.7699658228</v>
      </c>
      <c r="L23" s="106">
        <f t="shared" si="6"/>
        <v>6823218.7699658228</v>
      </c>
      <c r="M23" s="106">
        <f t="shared" si="6"/>
        <v>6823218.7699658228</v>
      </c>
      <c r="N23" s="106">
        <f t="shared" si="6"/>
        <v>6823218.7699658228</v>
      </c>
      <c r="O23" s="106">
        <f t="shared" si="6"/>
        <v>6823218.7699658228</v>
      </c>
      <c r="P23" s="106">
        <f t="shared" si="6"/>
        <v>6823218.7699658228</v>
      </c>
      <c r="Q23" s="106">
        <f t="shared" si="6"/>
        <v>7676121.1162115503</v>
      </c>
      <c r="R23" s="106">
        <f t="shared" si="6"/>
        <v>7676121.1162115503</v>
      </c>
      <c r="S23" s="106">
        <f t="shared" si="6"/>
        <v>7676121.1162115503</v>
      </c>
      <c r="T23" s="106">
        <f t="shared" si="6"/>
        <v>7676121.1162115503</v>
      </c>
      <c r="U23" s="106">
        <f t="shared" si="6"/>
        <v>6823218.7699658228</v>
      </c>
      <c r="V23" s="106">
        <f t="shared" si="6"/>
        <v>6823218.7699658228</v>
      </c>
      <c r="W23" s="106">
        <f t="shared" si="6"/>
        <v>6823218.7699658228</v>
      </c>
      <c r="X23" s="106">
        <f t="shared" si="6"/>
        <v>6823218.7699658228</v>
      </c>
      <c r="Y23" s="106">
        <f t="shared" si="6"/>
        <v>6823218.7699658228</v>
      </c>
      <c r="Z23" s="106">
        <f t="shared" si="6"/>
        <v>6823218.7699658228</v>
      </c>
      <c r="AA23" s="106">
        <f t="shared" si="6"/>
        <v>6823218.7699658228</v>
      </c>
      <c r="AB23" s="106">
        <f t="shared" si="6"/>
        <v>6823218.7699658228</v>
      </c>
      <c r="AC23" s="106">
        <f t="shared" si="6"/>
        <v>7676121.1162115503</v>
      </c>
      <c r="AD23" s="106">
        <f t="shared" si="6"/>
        <v>7676121.1162115503</v>
      </c>
      <c r="AE23" s="106">
        <f t="shared" si="6"/>
        <v>7676121.1162115503</v>
      </c>
      <c r="AF23" s="106">
        <f t="shared" si="6"/>
        <v>7676121.1162115503</v>
      </c>
      <c r="AG23" s="106">
        <f t="shared" si="6"/>
        <v>6823218.7699658228</v>
      </c>
      <c r="AH23" s="106">
        <f t="shared" si="6"/>
        <v>6823218.7699658228</v>
      </c>
      <c r="AI23" s="106">
        <f t="shared" si="6"/>
        <v>6823218.7699658228</v>
      </c>
      <c r="AJ23" s="106">
        <f t="shared" si="6"/>
        <v>6823218.7699658228</v>
      </c>
      <c r="AK23" s="106">
        <f t="shared" si="6"/>
        <v>6823218.7699658228</v>
      </c>
      <c r="AL23" s="106">
        <f t="shared" si="6"/>
        <v>0</v>
      </c>
      <c r="AM23" s="106">
        <f t="shared" si="6"/>
        <v>8210000</v>
      </c>
      <c r="AN23" s="106">
        <f t="shared" si="6"/>
        <v>6823218.7699658228</v>
      </c>
      <c r="AO23" s="106">
        <f t="shared" si="6"/>
        <v>7676121.1162115503</v>
      </c>
      <c r="AP23" s="106">
        <f t="shared" si="6"/>
        <v>7676121.1162115503</v>
      </c>
      <c r="AQ23" s="106">
        <f t="shared" si="6"/>
        <v>7676121.1162115503</v>
      </c>
      <c r="AR23" s="106">
        <f t="shared" si="6"/>
        <v>0</v>
      </c>
      <c r="AS23" s="106">
        <f t="shared" si="6"/>
        <v>0</v>
      </c>
      <c r="AT23" s="106">
        <f t="shared" si="6"/>
        <v>0</v>
      </c>
      <c r="AU23" s="106">
        <f t="shared" si="6"/>
        <v>8210000</v>
      </c>
      <c r="AV23" s="106">
        <f t="shared" si="6"/>
        <v>6823218.7699658228</v>
      </c>
      <c r="AW23" s="106">
        <f t="shared" si="6"/>
        <v>6823218.7699658228</v>
      </c>
      <c r="AX23" s="106">
        <f t="shared" si="6"/>
        <v>6823218.7699658228</v>
      </c>
      <c r="AY23" s="106">
        <f t="shared" si="6"/>
        <v>6823218.7699658228</v>
      </c>
      <c r="AZ23" s="145">
        <f t="shared" si="5"/>
        <v>312377114.1472677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13</v>
      </c>
      <c r="D27" s="130">
        <f>C$27-C$28+C$29</f>
        <v>-13</v>
      </c>
      <c r="E27" s="130">
        <f t="shared" ref="E27:AY27" si="8">D27-D28+D29</f>
        <v>13</v>
      </c>
      <c r="F27" s="130">
        <f t="shared" si="8"/>
        <v>0</v>
      </c>
      <c r="G27" s="130">
        <f t="shared" si="8"/>
        <v>13</v>
      </c>
      <c r="H27" s="130">
        <f t="shared" si="8"/>
        <v>0</v>
      </c>
      <c r="I27" s="130">
        <f t="shared" si="8"/>
        <v>13</v>
      </c>
      <c r="J27" s="130">
        <f t="shared" si="8"/>
        <v>0</v>
      </c>
      <c r="K27" s="130">
        <f t="shared" si="8"/>
        <v>13</v>
      </c>
      <c r="L27" s="130">
        <f t="shared" si="8"/>
        <v>0</v>
      </c>
      <c r="M27" s="130">
        <f t="shared" si="8"/>
        <v>13</v>
      </c>
      <c r="N27" s="130">
        <f t="shared" si="8"/>
        <v>0</v>
      </c>
      <c r="O27" s="130">
        <f t="shared" si="8"/>
        <v>13</v>
      </c>
      <c r="P27" s="130">
        <f t="shared" si="8"/>
        <v>0</v>
      </c>
      <c r="Q27" s="130">
        <f t="shared" si="8"/>
        <v>13</v>
      </c>
      <c r="R27" s="130">
        <f t="shared" si="8"/>
        <v>0</v>
      </c>
      <c r="S27" s="130">
        <f t="shared" si="8"/>
        <v>13</v>
      </c>
      <c r="T27" s="130">
        <f t="shared" si="8"/>
        <v>0</v>
      </c>
      <c r="U27" s="130">
        <f t="shared" si="8"/>
        <v>13</v>
      </c>
      <c r="V27" s="130">
        <f t="shared" si="8"/>
        <v>0</v>
      </c>
      <c r="W27" s="130">
        <f t="shared" si="8"/>
        <v>13</v>
      </c>
      <c r="X27" s="130">
        <f t="shared" si="8"/>
        <v>0</v>
      </c>
      <c r="Y27" s="130">
        <f t="shared" si="8"/>
        <v>13</v>
      </c>
      <c r="Z27" s="130">
        <f t="shared" si="8"/>
        <v>0</v>
      </c>
      <c r="AA27" s="130">
        <f t="shared" si="8"/>
        <v>13</v>
      </c>
      <c r="AB27" s="130">
        <f t="shared" si="8"/>
        <v>0</v>
      </c>
      <c r="AC27" s="130">
        <f t="shared" si="8"/>
        <v>13</v>
      </c>
      <c r="AD27" s="130">
        <f t="shared" si="8"/>
        <v>0</v>
      </c>
      <c r="AE27" s="130">
        <f t="shared" si="8"/>
        <v>13</v>
      </c>
      <c r="AF27" s="130">
        <f t="shared" si="8"/>
        <v>0</v>
      </c>
      <c r="AG27" s="130">
        <f t="shared" si="8"/>
        <v>13</v>
      </c>
      <c r="AH27" s="130">
        <f t="shared" si="8"/>
        <v>0</v>
      </c>
      <c r="AI27" s="130">
        <f t="shared" si="8"/>
        <v>13</v>
      </c>
      <c r="AJ27" s="130">
        <f t="shared" si="8"/>
        <v>0</v>
      </c>
      <c r="AK27" s="130">
        <f t="shared" si="8"/>
        <v>13</v>
      </c>
      <c r="AL27" s="130">
        <f t="shared" si="8"/>
        <v>0</v>
      </c>
      <c r="AM27" s="130">
        <f t="shared" si="8"/>
        <v>13</v>
      </c>
      <c r="AN27" s="130">
        <f t="shared" si="8"/>
        <v>0</v>
      </c>
      <c r="AO27" s="130">
        <f t="shared" si="8"/>
        <v>13</v>
      </c>
      <c r="AP27" s="130">
        <f t="shared" si="8"/>
        <v>0</v>
      </c>
      <c r="AQ27" s="130">
        <f t="shared" si="8"/>
        <v>13</v>
      </c>
      <c r="AR27" s="130">
        <f t="shared" si="8"/>
        <v>0</v>
      </c>
      <c r="AS27" s="130">
        <f t="shared" si="8"/>
        <v>13</v>
      </c>
      <c r="AT27" s="130">
        <f t="shared" si="8"/>
        <v>13</v>
      </c>
      <c r="AU27" s="130">
        <f t="shared" si="8"/>
        <v>13</v>
      </c>
      <c r="AV27" s="130">
        <f t="shared" si="8"/>
        <v>0</v>
      </c>
      <c r="AW27" s="130">
        <f t="shared" si="8"/>
        <v>13</v>
      </c>
      <c r="AX27" s="130">
        <f t="shared" si="8"/>
        <v>0</v>
      </c>
      <c r="AY27" s="170">
        <f t="shared" si="8"/>
        <v>13</v>
      </c>
      <c r="AZ27" s="112"/>
    </row>
    <row r="28" spans="1:52" x14ac:dyDescent="0.2">
      <c r="B28" s="171" t="s">
        <v>310</v>
      </c>
      <c r="C28" s="116">
        <v>26</v>
      </c>
      <c r="D28" s="116">
        <v>0</v>
      </c>
      <c r="E28" s="116">
        <v>13</v>
      </c>
      <c r="F28" s="116">
        <v>0</v>
      </c>
      <c r="G28" s="116">
        <v>13</v>
      </c>
      <c r="H28" s="116">
        <v>0</v>
      </c>
      <c r="I28" s="116">
        <v>13</v>
      </c>
      <c r="J28" s="116">
        <v>0</v>
      </c>
      <c r="K28" s="116">
        <v>13</v>
      </c>
      <c r="L28" s="116">
        <v>0</v>
      </c>
      <c r="M28" s="116">
        <v>13</v>
      </c>
      <c r="N28" s="116">
        <v>0</v>
      </c>
      <c r="O28" s="116">
        <v>13</v>
      </c>
      <c r="P28" s="116">
        <v>0</v>
      </c>
      <c r="Q28" s="116">
        <v>13</v>
      </c>
      <c r="R28" s="116">
        <v>0</v>
      </c>
      <c r="S28" s="116">
        <v>13</v>
      </c>
      <c r="T28" s="116">
        <v>0</v>
      </c>
      <c r="U28" s="116">
        <v>13</v>
      </c>
      <c r="V28" s="116">
        <v>0</v>
      </c>
      <c r="W28" s="116">
        <v>13</v>
      </c>
      <c r="X28" s="116">
        <v>0</v>
      </c>
      <c r="Y28" s="116">
        <v>13</v>
      </c>
      <c r="Z28" s="116">
        <v>0</v>
      </c>
      <c r="AA28" s="116">
        <v>13</v>
      </c>
      <c r="AB28" s="116">
        <v>0</v>
      </c>
      <c r="AC28" s="116">
        <v>13</v>
      </c>
      <c r="AD28" s="116">
        <v>0</v>
      </c>
      <c r="AE28" s="116">
        <v>13</v>
      </c>
      <c r="AF28" s="116">
        <v>0</v>
      </c>
      <c r="AG28" s="116">
        <v>13</v>
      </c>
      <c r="AH28" s="116">
        <v>0</v>
      </c>
      <c r="AI28" s="116">
        <v>13</v>
      </c>
      <c r="AJ28" s="116">
        <v>0</v>
      </c>
      <c r="AK28" s="116">
        <v>13</v>
      </c>
      <c r="AL28" s="116">
        <v>0</v>
      </c>
      <c r="AM28" s="116">
        <v>13</v>
      </c>
      <c r="AN28" s="116">
        <v>0</v>
      </c>
      <c r="AO28" s="116">
        <v>13</v>
      </c>
      <c r="AP28" s="116">
        <v>0</v>
      </c>
      <c r="AQ28" s="116">
        <v>13</v>
      </c>
      <c r="AR28" s="116">
        <v>0</v>
      </c>
      <c r="AS28" s="116">
        <v>0</v>
      </c>
      <c r="AT28" s="116">
        <v>0</v>
      </c>
      <c r="AU28" s="116">
        <v>13</v>
      </c>
      <c r="AV28" s="116">
        <v>0</v>
      </c>
      <c r="AW28" s="116">
        <v>13</v>
      </c>
      <c r="AX28" s="116">
        <v>0</v>
      </c>
      <c r="AY28" s="172">
        <v>13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26</v>
      </c>
      <c r="E29" s="131">
        <f t="shared" ref="E29:AY29" si="9">D$28</f>
        <v>0</v>
      </c>
      <c r="F29" s="131">
        <f t="shared" si="9"/>
        <v>13</v>
      </c>
      <c r="G29" s="131">
        <f t="shared" si="9"/>
        <v>0</v>
      </c>
      <c r="H29" s="131">
        <f t="shared" si="9"/>
        <v>13</v>
      </c>
      <c r="I29" s="131">
        <f t="shared" si="9"/>
        <v>0</v>
      </c>
      <c r="J29" s="131">
        <f t="shared" si="9"/>
        <v>13</v>
      </c>
      <c r="K29" s="131">
        <f t="shared" si="9"/>
        <v>0</v>
      </c>
      <c r="L29" s="131">
        <f t="shared" si="9"/>
        <v>13</v>
      </c>
      <c r="M29" s="131">
        <f t="shared" si="9"/>
        <v>0</v>
      </c>
      <c r="N29" s="131">
        <f t="shared" si="9"/>
        <v>13</v>
      </c>
      <c r="O29" s="131">
        <f t="shared" si="9"/>
        <v>0</v>
      </c>
      <c r="P29" s="131">
        <f t="shared" si="9"/>
        <v>13</v>
      </c>
      <c r="Q29" s="131">
        <f t="shared" si="9"/>
        <v>0</v>
      </c>
      <c r="R29" s="131">
        <f t="shared" si="9"/>
        <v>13</v>
      </c>
      <c r="S29" s="131">
        <f t="shared" si="9"/>
        <v>0</v>
      </c>
      <c r="T29" s="131">
        <f t="shared" si="9"/>
        <v>13</v>
      </c>
      <c r="U29" s="131">
        <f t="shared" si="9"/>
        <v>0</v>
      </c>
      <c r="V29" s="131">
        <f t="shared" si="9"/>
        <v>13</v>
      </c>
      <c r="W29" s="131">
        <f t="shared" si="9"/>
        <v>0</v>
      </c>
      <c r="X29" s="131">
        <f t="shared" si="9"/>
        <v>13</v>
      </c>
      <c r="Y29" s="131">
        <f t="shared" si="9"/>
        <v>0</v>
      </c>
      <c r="Z29" s="131">
        <f t="shared" si="9"/>
        <v>13</v>
      </c>
      <c r="AA29" s="131">
        <f t="shared" si="9"/>
        <v>0</v>
      </c>
      <c r="AB29" s="131">
        <f t="shared" si="9"/>
        <v>13</v>
      </c>
      <c r="AC29" s="131">
        <f t="shared" si="9"/>
        <v>0</v>
      </c>
      <c r="AD29" s="131">
        <f t="shared" si="9"/>
        <v>13</v>
      </c>
      <c r="AE29" s="131">
        <f t="shared" si="9"/>
        <v>0</v>
      </c>
      <c r="AF29" s="131">
        <f t="shared" si="9"/>
        <v>13</v>
      </c>
      <c r="AG29" s="131">
        <f t="shared" si="9"/>
        <v>0</v>
      </c>
      <c r="AH29" s="131">
        <f t="shared" si="9"/>
        <v>13</v>
      </c>
      <c r="AI29" s="131">
        <f t="shared" si="9"/>
        <v>0</v>
      </c>
      <c r="AJ29" s="131">
        <f t="shared" si="9"/>
        <v>13</v>
      </c>
      <c r="AK29" s="131">
        <f t="shared" si="9"/>
        <v>0</v>
      </c>
      <c r="AL29" s="131">
        <f t="shared" si="9"/>
        <v>13</v>
      </c>
      <c r="AM29" s="131">
        <f t="shared" si="9"/>
        <v>0</v>
      </c>
      <c r="AN29" s="131">
        <f t="shared" si="9"/>
        <v>13</v>
      </c>
      <c r="AO29" s="131">
        <f t="shared" si="9"/>
        <v>0</v>
      </c>
      <c r="AP29" s="131">
        <f t="shared" si="9"/>
        <v>13</v>
      </c>
      <c r="AQ29" s="131">
        <f t="shared" si="9"/>
        <v>0</v>
      </c>
      <c r="AR29" s="131">
        <f t="shared" si="9"/>
        <v>13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13</v>
      </c>
      <c r="AW29" s="131">
        <f t="shared" si="9"/>
        <v>0</v>
      </c>
      <c r="AX29" s="131">
        <f t="shared" si="9"/>
        <v>13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-130</v>
      </c>
      <c r="E30" s="123">
        <f t="shared" ref="E30:AY30" si="10">E$27*$B$30</f>
        <v>130</v>
      </c>
      <c r="F30" s="123">
        <f t="shared" si="10"/>
        <v>0</v>
      </c>
      <c r="G30" s="123">
        <f t="shared" si="10"/>
        <v>130</v>
      </c>
      <c r="H30" s="123">
        <f t="shared" si="10"/>
        <v>0</v>
      </c>
      <c r="I30" s="123">
        <f t="shared" si="10"/>
        <v>130</v>
      </c>
      <c r="J30" s="123">
        <f t="shared" si="10"/>
        <v>0</v>
      </c>
      <c r="K30" s="123">
        <f t="shared" si="10"/>
        <v>130</v>
      </c>
      <c r="L30" s="123">
        <f t="shared" si="10"/>
        <v>0</v>
      </c>
      <c r="M30" s="123">
        <f t="shared" si="10"/>
        <v>130</v>
      </c>
      <c r="N30" s="123">
        <f t="shared" si="10"/>
        <v>0</v>
      </c>
      <c r="O30" s="123">
        <f t="shared" si="10"/>
        <v>130</v>
      </c>
      <c r="P30" s="123">
        <f t="shared" si="10"/>
        <v>0</v>
      </c>
      <c r="Q30" s="123">
        <f t="shared" si="10"/>
        <v>130</v>
      </c>
      <c r="R30" s="123">
        <f>R$27*$B$30</f>
        <v>0</v>
      </c>
      <c r="S30" s="123">
        <f t="shared" si="10"/>
        <v>130</v>
      </c>
      <c r="T30" s="123">
        <f t="shared" si="10"/>
        <v>0</v>
      </c>
      <c r="U30" s="123">
        <f t="shared" si="10"/>
        <v>130</v>
      </c>
      <c r="V30" s="123">
        <f t="shared" si="10"/>
        <v>0</v>
      </c>
      <c r="W30" s="123">
        <f t="shared" si="10"/>
        <v>130</v>
      </c>
      <c r="X30" s="123">
        <f t="shared" si="10"/>
        <v>0</v>
      </c>
      <c r="Y30" s="123">
        <f t="shared" si="10"/>
        <v>130</v>
      </c>
      <c r="Z30" s="123">
        <f t="shared" si="10"/>
        <v>0</v>
      </c>
      <c r="AA30" s="123">
        <f t="shared" si="10"/>
        <v>130</v>
      </c>
      <c r="AB30" s="123">
        <f t="shared" si="10"/>
        <v>0</v>
      </c>
      <c r="AC30" s="123">
        <f t="shared" si="10"/>
        <v>130</v>
      </c>
      <c r="AD30" s="123">
        <f t="shared" si="10"/>
        <v>0</v>
      </c>
      <c r="AE30" s="123">
        <f>AE$27*$B$30</f>
        <v>130</v>
      </c>
      <c r="AF30" s="123">
        <f t="shared" si="10"/>
        <v>0</v>
      </c>
      <c r="AG30" s="123">
        <f t="shared" si="10"/>
        <v>130</v>
      </c>
      <c r="AH30" s="123">
        <f t="shared" si="10"/>
        <v>0</v>
      </c>
      <c r="AI30" s="123">
        <f t="shared" si="10"/>
        <v>130</v>
      </c>
      <c r="AJ30" s="123">
        <f t="shared" si="10"/>
        <v>0</v>
      </c>
      <c r="AK30" s="123">
        <f t="shared" si="10"/>
        <v>130</v>
      </c>
      <c r="AL30" s="123">
        <f t="shared" si="10"/>
        <v>0</v>
      </c>
      <c r="AM30" s="123">
        <f t="shared" si="10"/>
        <v>130</v>
      </c>
      <c r="AN30" s="123">
        <f t="shared" si="10"/>
        <v>0</v>
      </c>
      <c r="AO30" s="123">
        <f t="shared" si="10"/>
        <v>130</v>
      </c>
      <c r="AP30" s="123">
        <f t="shared" si="10"/>
        <v>0</v>
      </c>
      <c r="AQ30" s="123">
        <f t="shared" si="10"/>
        <v>130</v>
      </c>
      <c r="AR30" s="123">
        <f t="shared" si="10"/>
        <v>0</v>
      </c>
      <c r="AS30" s="123">
        <f t="shared" si="10"/>
        <v>130</v>
      </c>
      <c r="AT30" s="123">
        <f t="shared" si="10"/>
        <v>130</v>
      </c>
      <c r="AU30" s="123">
        <f t="shared" si="10"/>
        <v>130</v>
      </c>
      <c r="AV30" s="123">
        <f t="shared" si="10"/>
        <v>0</v>
      </c>
      <c r="AW30" s="123">
        <f t="shared" si="10"/>
        <v>130</v>
      </c>
      <c r="AX30" s="123">
        <f t="shared" si="10"/>
        <v>0</v>
      </c>
      <c r="AY30" s="123">
        <f t="shared" si="10"/>
        <v>130</v>
      </c>
      <c r="AZ30" s="147">
        <f t="shared" si="5"/>
        <v>3120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2</v>
      </c>
      <c r="G41" s="116">
        <v>1</v>
      </c>
      <c r="H41" s="116">
        <v>1</v>
      </c>
      <c r="I41" s="116">
        <v>1</v>
      </c>
      <c r="J41" s="116">
        <v>2</v>
      </c>
      <c r="K41" s="116">
        <v>1</v>
      </c>
      <c r="L41" s="116">
        <v>2</v>
      </c>
      <c r="M41" s="116">
        <v>1</v>
      </c>
      <c r="N41" s="116">
        <v>1</v>
      </c>
      <c r="O41" s="116">
        <v>2</v>
      </c>
      <c r="P41" s="116">
        <v>2</v>
      </c>
      <c r="Q41" s="116">
        <v>1</v>
      </c>
      <c r="R41" s="116">
        <v>1</v>
      </c>
      <c r="S41" s="116">
        <v>1</v>
      </c>
      <c r="T41" s="116">
        <v>1</v>
      </c>
      <c r="U41" s="116">
        <v>2</v>
      </c>
      <c r="V41" s="116">
        <v>1</v>
      </c>
      <c r="W41" s="116">
        <v>3</v>
      </c>
      <c r="X41" s="116">
        <v>1</v>
      </c>
      <c r="Y41" s="116">
        <v>1</v>
      </c>
      <c r="Z41" s="116">
        <v>2</v>
      </c>
      <c r="AA41" s="116">
        <v>2</v>
      </c>
      <c r="AB41" s="116">
        <v>2</v>
      </c>
      <c r="AC41" s="116">
        <v>2</v>
      </c>
      <c r="AD41" s="116">
        <v>2</v>
      </c>
      <c r="AE41" s="116">
        <v>2</v>
      </c>
      <c r="AF41" s="116">
        <v>3</v>
      </c>
      <c r="AG41" s="116">
        <v>1</v>
      </c>
      <c r="AH41" s="116">
        <v>2</v>
      </c>
      <c r="AI41" s="116">
        <v>1</v>
      </c>
      <c r="AJ41" s="116">
        <v>1</v>
      </c>
      <c r="AK41" s="116">
        <v>2</v>
      </c>
      <c r="AL41" s="116">
        <v>2</v>
      </c>
      <c r="AM41" s="116">
        <v>1</v>
      </c>
      <c r="AN41" s="116">
        <v>1</v>
      </c>
      <c r="AO41" s="116">
        <v>2</v>
      </c>
      <c r="AP41" s="116">
        <v>2</v>
      </c>
      <c r="AQ41" s="116">
        <v>2</v>
      </c>
      <c r="AR41" s="116">
        <v>1</v>
      </c>
      <c r="AS41" s="116">
        <v>2</v>
      </c>
      <c r="AT41" s="116">
        <v>3</v>
      </c>
      <c r="AU41" s="116">
        <v>2</v>
      </c>
      <c r="AV41" s="116">
        <v>2</v>
      </c>
      <c r="AW41" s="116">
        <v>1</v>
      </c>
      <c r="AX41" s="116">
        <v>1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1705.8046924914556</v>
      </c>
      <c r="E44" s="130">
        <f>E$21*shipping_manufacturing!$H$28/100</f>
        <v>3838.0605581057753</v>
      </c>
      <c r="F44" s="130">
        <f>F$21*shipping_manufacturing!$H$28/100</f>
        <v>3838.0605581057753</v>
      </c>
      <c r="G44" s="130">
        <f>G$21*shipping_manufacturing!$H$28/100</f>
        <v>3838.0605581057753</v>
      </c>
      <c r="H44" s="130">
        <f>H$21*shipping_manufacturing!$H$28/100</f>
        <v>3838.0605581057753</v>
      </c>
      <c r="I44" s="130">
        <f>I$21*shipping_manufacturing!$H$28/100</f>
        <v>3411.6093849829113</v>
      </c>
      <c r="J44" s="130">
        <f>J$21*shipping_manufacturing!$H$28/100</f>
        <v>3411.6093849829113</v>
      </c>
      <c r="K44" s="130">
        <f>K$21*shipping_manufacturing!$H$28/100</f>
        <v>3411.6093849829113</v>
      </c>
      <c r="L44" s="130">
        <f>L$21*shipping_manufacturing!$H$28/100</f>
        <v>3411.6093849829113</v>
      </c>
      <c r="M44" s="130">
        <f>M$21*shipping_manufacturing!$H$28/100</f>
        <v>3411.6093849829113</v>
      </c>
      <c r="N44" s="130">
        <f>N$21*shipping_manufacturing!$H$28/100</f>
        <v>3411.6093849829113</v>
      </c>
      <c r="O44" s="130">
        <f>O$21*shipping_manufacturing!$H$28/100</f>
        <v>3411.6093849829113</v>
      </c>
      <c r="P44" s="130">
        <f>P$21*shipping_manufacturing!$H$28/100</f>
        <v>3411.6093849829113</v>
      </c>
      <c r="Q44" s="130">
        <f>Q$21*shipping_manufacturing!$H$28/100</f>
        <v>3838.0605581057753</v>
      </c>
      <c r="R44" s="130">
        <f>R$21*shipping_manufacturing!$H$28/100</f>
        <v>3838.0605581057753</v>
      </c>
      <c r="S44" s="130">
        <f>S$21*shipping_manufacturing!$H$28/100</f>
        <v>3838.0605581057753</v>
      </c>
      <c r="T44" s="130">
        <f>T$21*shipping_manufacturing!$H$28/100</f>
        <v>3838.0605581057753</v>
      </c>
      <c r="U44" s="130">
        <f>U$21*shipping_manufacturing!$H$28/100</f>
        <v>3411.6093849829113</v>
      </c>
      <c r="V44" s="130">
        <f>V$21*shipping_manufacturing!$H$28/100</f>
        <v>3411.6093849829113</v>
      </c>
      <c r="W44" s="130">
        <f>W$21*shipping_manufacturing!$H$28/100</f>
        <v>3411.6093849829113</v>
      </c>
      <c r="X44" s="130">
        <f>X$21*shipping_manufacturing!$H$28/100</f>
        <v>3411.6093849829113</v>
      </c>
      <c r="Y44" s="130">
        <f>Y$21*shipping_manufacturing!$H$28/100</f>
        <v>3411.6093849829113</v>
      </c>
      <c r="Z44" s="130">
        <f>Z$21*shipping_manufacturing!$H$28/100</f>
        <v>3411.6093849829113</v>
      </c>
      <c r="AA44" s="130">
        <f>AA$21*shipping_manufacturing!$H$28/100</f>
        <v>3411.6093849829113</v>
      </c>
      <c r="AB44" s="130">
        <f>AB$21*shipping_manufacturing!$H$28/100</f>
        <v>3411.6093849829113</v>
      </c>
      <c r="AC44" s="130">
        <f>AC$21*shipping_manufacturing!$H$28/100</f>
        <v>3838.0605581057753</v>
      </c>
      <c r="AD44" s="130">
        <f>AD$21*shipping_manufacturing!$H$28/100</f>
        <v>3838.0605581057753</v>
      </c>
      <c r="AE44" s="130">
        <f>AE$21*shipping_manufacturing!$H$28/100</f>
        <v>3838.0605581057753</v>
      </c>
      <c r="AF44" s="130">
        <f>AF$21*shipping_manufacturing!$H$28/100</f>
        <v>3838.0605581057753</v>
      </c>
      <c r="AG44" s="130">
        <f>AG$21*shipping_manufacturing!$H$28/100</f>
        <v>3411.6093849829113</v>
      </c>
      <c r="AH44" s="130">
        <f>AH$21*shipping_manufacturing!$H$28/100</f>
        <v>3411.6093849829113</v>
      </c>
      <c r="AI44" s="130">
        <f>AI$21*shipping_manufacturing!$H$28/100</f>
        <v>3411.6093849829113</v>
      </c>
      <c r="AJ44" s="130">
        <f>AJ$21*shipping_manufacturing!$H$28/100</f>
        <v>3411.6093849829113</v>
      </c>
      <c r="AK44" s="130">
        <f>AK$21*shipping_manufacturing!$H$28/100</f>
        <v>3411.6093849829113</v>
      </c>
      <c r="AL44" s="130">
        <f>AL$21*shipping_manufacturing!$H$28/100</f>
        <v>0</v>
      </c>
      <c r="AM44" s="130">
        <f>AM$21*shipping_manufacturing!$H$28/100</f>
        <v>4105</v>
      </c>
      <c r="AN44" s="130">
        <f>AN$21*shipping_manufacturing!$H$28/100</f>
        <v>3411.6093849829113</v>
      </c>
      <c r="AO44" s="130">
        <f>AO$21*shipping_manufacturing!$H$28/100</f>
        <v>3838.0605581057753</v>
      </c>
      <c r="AP44" s="130">
        <f>AP$21*shipping_manufacturing!$H$28/100</f>
        <v>3838.0605581057753</v>
      </c>
      <c r="AQ44" s="130">
        <f>AQ$21*shipping_manufacturing!$H$28/100</f>
        <v>3838.0605581057753</v>
      </c>
      <c r="AR44" s="130">
        <f>AR$21*shipping_manufacturing!$H$28/100</f>
        <v>0</v>
      </c>
      <c r="AS44" s="130">
        <f>AS$21*shipping_manufacturing!$H$28/100</f>
        <v>0</v>
      </c>
      <c r="AT44" s="130">
        <f>AT$21*shipping_manufacturing!$H$28/100</f>
        <v>0</v>
      </c>
      <c r="AU44" s="130">
        <f>AU$21*shipping_manufacturing!$H$28/100</f>
        <v>4105</v>
      </c>
      <c r="AV44" s="130">
        <f>AV$21*shipping_manufacturing!$H$28/100</f>
        <v>3411.6093849829113</v>
      </c>
      <c r="AW44" s="130">
        <f>AW$21*shipping_manufacturing!$H$28/100</f>
        <v>3411.6093849829113</v>
      </c>
      <c r="AX44" s="130">
        <f>AX$21*shipping_manufacturing!$H$28/100</f>
        <v>3411.6093849829113</v>
      </c>
      <c r="AY44" s="130">
        <f>AY$21*shipping_manufacturing!$H$28/100</f>
        <v>3411.6093849829113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1705.8046924914556</v>
      </c>
      <c r="E46" s="116">
        <f t="shared" ref="E46:AY46" si="14">SUM(E44:E45)</f>
        <v>3838.0605581057753</v>
      </c>
      <c r="F46" s="116">
        <f t="shared" si="14"/>
        <v>3838.0605581057753</v>
      </c>
      <c r="G46" s="116">
        <f t="shared" si="14"/>
        <v>3838.0605581057753</v>
      </c>
      <c r="H46" s="116">
        <f t="shared" si="14"/>
        <v>3838.0605581057753</v>
      </c>
      <c r="I46" s="116">
        <f t="shared" si="14"/>
        <v>3411.6093849829113</v>
      </c>
      <c r="J46" s="116">
        <f t="shared" si="14"/>
        <v>3411.6093849829113</v>
      </c>
      <c r="K46" s="116">
        <f t="shared" si="14"/>
        <v>3411.6093849829113</v>
      </c>
      <c r="L46" s="116">
        <f t="shared" si="14"/>
        <v>3411.6093849829113</v>
      </c>
      <c r="M46" s="116">
        <f t="shared" si="14"/>
        <v>3411.6093849829113</v>
      </c>
      <c r="N46" s="116">
        <f t="shared" si="14"/>
        <v>3411.6093849829113</v>
      </c>
      <c r="O46" s="116">
        <f t="shared" si="14"/>
        <v>3411.6093849829113</v>
      </c>
      <c r="P46" s="116">
        <f t="shared" si="14"/>
        <v>3411.6093849829113</v>
      </c>
      <c r="Q46" s="116">
        <f t="shared" si="14"/>
        <v>3838.0605581057753</v>
      </c>
      <c r="R46" s="116">
        <f t="shared" si="14"/>
        <v>3838.0605581057753</v>
      </c>
      <c r="S46" s="116">
        <f t="shared" si="14"/>
        <v>3838.0605581057753</v>
      </c>
      <c r="T46" s="116">
        <f t="shared" si="14"/>
        <v>3838.0605581057753</v>
      </c>
      <c r="U46" s="116">
        <f t="shared" si="14"/>
        <v>3411.6093849829113</v>
      </c>
      <c r="V46" s="116">
        <f t="shared" si="14"/>
        <v>3411.6093849829113</v>
      </c>
      <c r="W46" s="116">
        <f t="shared" si="14"/>
        <v>3411.6093849829113</v>
      </c>
      <c r="X46" s="116">
        <f t="shared" si="14"/>
        <v>3411.6093849829113</v>
      </c>
      <c r="Y46" s="116">
        <f t="shared" si="14"/>
        <v>3411.6093849829113</v>
      </c>
      <c r="Z46" s="116">
        <f t="shared" si="14"/>
        <v>3411.6093849829113</v>
      </c>
      <c r="AA46" s="116">
        <f t="shared" si="14"/>
        <v>3411.6093849829113</v>
      </c>
      <c r="AB46" s="116">
        <f t="shared" si="14"/>
        <v>3411.6093849829113</v>
      </c>
      <c r="AC46" s="116">
        <f t="shared" si="14"/>
        <v>3838.0605581057753</v>
      </c>
      <c r="AD46" s="116">
        <f t="shared" si="14"/>
        <v>3838.0605581057753</v>
      </c>
      <c r="AE46" s="116">
        <f t="shared" si="14"/>
        <v>3838.0605581057753</v>
      </c>
      <c r="AF46" s="116">
        <f t="shared" si="14"/>
        <v>3838.0605581057753</v>
      </c>
      <c r="AG46" s="116">
        <f t="shared" si="14"/>
        <v>3411.6093849829113</v>
      </c>
      <c r="AH46" s="116">
        <f t="shared" si="14"/>
        <v>3411.6093849829113</v>
      </c>
      <c r="AI46" s="116">
        <f t="shared" si="14"/>
        <v>3411.6093849829113</v>
      </c>
      <c r="AJ46" s="116">
        <f t="shared" si="14"/>
        <v>3411.6093849829113</v>
      </c>
      <c r="AK46" s="116">
        <f t="shared" si="14"/>
        <v>3411.6093849829113</v>
      </c>
      <c r="AL46" s="116">
        <f t="shared" si="14"/>
        <v>0</v>
      </c>
      <c r="AM46" s="116">
        <f t="shared" si="14"/>
        <v>4105</v>
      </c>
      <c r="AN46" s="116">
        <f t="shared" si="14"/>
        <v>3411.6093849829113</v>
      </c>
      <c r="AO46" s="116">
        <f t="shared" si="14"/>
        <v>3838.0605581057753</v>
      </c>
      <c r="AP46" s="116">
        <f t="shared" si="14"/>
        <v>3838.0605581057753</v>
      </c>
      <c r="AQ46" s="116">
        <f t="shared" si="14"/>
        <v>3838.0605581057753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4105</v>
      </c>
      <c r="AV46" s="116">
        <f t="shared" si="14"/>
        <v>3411.6093849829113</v>
      </c>
      <c r="AW46" s="116">
        <f t="shared" si="14"/>
        <v>3411.6093849829113</v>
      </c>
      <c r="AX46" s="116">
        <f t="shared" si="14"/>
        <v>3411.6093849829113</v>
      </c>
      <c r="AY46" s="116">
        <f t="shared" si="14"/>
        <v>3411.6093849829113</v>
      </c>
    </row>
    <row r="47" spans="1:52" x14ac:dyDescent="0.2">
      <c r="A47" s="116"/>
      <c r="B47" s="171" t="s">
        <v>344</v>
      </c>
      <c r="C47" s="116"/>
      <c r="D47" s="116"/>
      <c r="E47" s="116">
        <v>390</v>
      </c>
      <c r="F47" s="116"/>
      <c r="G47" s="116">
        <v>390</v>
      </c>
      <c r="H47" s="116"/>
      <c r="I47" s="116">
        <v>390</v>
      </c>
      <c r="J47" s="116"/>
      <c r="K47" s="116">
        <v>390</v>
      </c>
      <c r="L47" s="116"/>
      <c r="M47" s="116">
        <v>390</v>
      </c>
      <c r="N47" s="116"/>
      <c r="O47" s="116">
        <v>390</v>
      </c>
      <c r="P47" s="116"/>
      <c r="Q47" s="116">
        <v>390</v>
      </c>
      <c r="R47" s="116"/>
      <c r="S47" s="116">
        <v>390</v>
      </c>
      <c r="T47" s="116"/>
      <c r="U47" s="116">
        <v>390</v>
      </c>
      <c r="V47" s="116"/>
      <c r="W47" s="116">
        <v>390</v>
      </c>
      <c r="X47" s="116"/>
      <c r="Y47" s="116">
        <v>390</v>
      </c>
      <c r="Z47" s="116"/>
      <c r="AA47" s="116">
        <v>390</v>
      </c>
      <c r="AB47" s="116"/>
      <c r="AC47" s="116">
        <v>390</v>
      </c>
      <c r="AD47" s="116"/>
      <c r="AE47" s="116">
        <v>390</v>
      </c>
      <c r="AF47" s="116"/>
      <c r="AG47" s="116">
        <v>390</v>
      </c>
      <c r="AH47" s="116"/>
      <c r="AI47" s="116">
        <v>390</v>
      </c>
      <c r="AJ47" s="116"/>
      <c r="AK47" s="116">
        <v>390</v>
      </c>
      <c r="AL47" s="116"/>
      <c r="AM47" s="116">
        <v>390</v>
      </c>
      <c r="AN47" s="116"/>
      <c r="AO47" s="116">
        <v>390</v>
      </c>
      <c r="AP47" s="116"/>
      <c r="AQ47" s="116">
        <v>390</v>
      </c>
      <c r="AR47" s="116"/>
      <c r="AS47" s="116"/>
      <c r="AT47" s="116"/>
      <c r="AU47" s="116">
        <v>390</v>
      </c>
      <c r="AV47" s="116"/>
      <c r="AW47" s="116">
        <v>390</v>
      </c>
      <c r="AX47" s="116"/>
      <c r="AY47" s="116">
        <v>390</v>
      </c>
    </row>
    <row r="48" spans="1:52" x14ac:dyDescent="0.2">
      <c r="A48" s="116"/>
      <c r="B48" s="171" t="s">
        <v>345</v>
      </c>
      <c r="C48" s="116"/>
      <c r="D48" s="116"/>
      <c r="E48" s="116">
        <v>0</v>
      </c>
      <c r="F48" s="116"/>
      <c r="G48" s="116">
        <v>0</v>
      </c>
      <c r="H48" s="116"/>
      <c r="I48" s="116">
        <v>0</v>
      </c>
      <c r="J48" s="116"/>
      <c r="K48" s="116">
        <v>0</v>
      </c>
      <c r="L48" s="116"/>
      <c r="M48" s="116">
        <v>0</v>
      </c>
      <c r="N48" s="116"/>
      <c r="O48" s="116">
        <v>0</v>
      </c>
      <c r="P48" s="116"/>
      <c r="Q48" s="116">
        <v>0</v>
      </c>
      <c r="R48" s="116"/>
      <c r="S48" s="116">
        <v>0</v>
      </c>
      <c r="T48" s="116"/>
      <c r="U48" s="116">
        <v>0</v>
      </c>
      <c r="V48" s="116"/>
      <c r="W48" s="116">
        <v>0</v>
      </c>
      <c r="X48" s="116"/>
      <c r="Y48" s="116">
        <v>0</v>
      </c>
      <c r="Z48" s="116"/>
      <c r="AA48" s="116">
        <v>0</v>
      </c>
      <c r="AB48" s="116"/>
      <c r="AC48" s="116">
        <v>0</v>
      </c>
      <c r="AD48" s="116"/>
      <c r="AE48" s="116">
        <v>0</v>
      </c>
      <c r="AF48" s="116"/>
      <c r="AG48" s="116">
        <v>0</v>
      </c>
      <c r="AH48" s="116"/>
      <c r="AI48" s="116">
        <v>0</v>
      </c>
      <c r="AJ48" s="116"/>
      <c r="AK48" s="116">
        <v>0</v>
      </c>
      <c r="AL48" s="116"/>
      <c r="AM48" s="116">
        <v>0</v>
      </c>
      <c r="AN48" s="116"/>
      <c r="AO48" s="116">
        <v>0</v>
      </c>
      <c r="AP48" s="116"/>
      <c r="AQ48" s="116">
        <v>0</v>
      </c>
      <c r="AR48" s="116"/>
      <c r="AS48" s="116"/>
      <c r="AT48" s="116"/>
      <c r="AU48" s="116">
        <v>0</v>
      </c>
      <c r="AV48" s="116"/>
      <c r="AW48" s="116">
        <v>0</v>
      </c>
      <c r="AX48" s="116"/>
      <c r="AY48" s="116">
        <v>0</v>
      </c>
    </row>
    <row r="49" spans="1:52" x14ac:dyDescent="0.2">
      <c r="A49" s="116"/>
      <c r="B49" s="171" t="s">
        <v>346</v>
      </c>
      <c r="C49" s="116"/>
      <c r="D49" s="116"/>
      <c r="E49" s="116">
        <v>13</v>
      </c>
      <c r="F49" s="116"/>
      <c r="G49" s="116">
        <v>13</v>
      </c>
      <c r="H49" s="116"/>
      <c r="I49" s="116">
        <v>13</v>
      </c>
      <c r="J49" s="116"/>
      <c r="K49" s="116">
        <v>13</v>
      </c>
      <c r="L49" s="116"/>
      <c r="M49" s="116">
        <v>13</v>
      </c>
      <c r="N49" s="116"/>
      <c r="O49" s="116">
        <v>13</v>
      </c>
      <c r="P49" s="116"/>
      <c r="Q49" s="116">
        <v>13</v>
      </c>
      <c r="R49" s="116"/>
      <c r="S49" s="116">
        <v>13</v>
      </c>
      <c r="T49" s="116"/>
      <c r="U49" s="116">
        <v>13</v>
      </c>
      <c r="V49" s="116"/>
      <c r="W49" s="116">
        <v>13</v>
      </c>
      <c r="X49" s="116"/>
      <c r="Y49" s="116">
        <v>13</v>
      </c>
      <c r="Z49" s="116"/>
      <c r="AA49" s="116">
        <v>13</v>
      </c>
      <c r="AB49" s="116"/>
      <c r="AC49" s="116">
        <v>13</v>
      </c>
      <c r="AD49" s="116"/>
      <c r="AE49" s="116">
        <v>13</v>
      </c>
      <c r="AF49" s="116"/>
      <c r="AG49" s="116">
        <v>13</v>
      </c>
      <c r="AH49" s="116"/>
      <c r="AI49" s="116">
        <v>13</v>
      </c>
      <c r="AJ49" s="116"/>
      <c r="AK49" s="116">
        <v>13</v>
      </c>
      <c r="AL49" s="116"/>
      <c r="AM49" s="116">
        <v>13</v>
      </c>
      <c r="AN49" s="116"/>
      <c r="AO49" s="116">
        <v>13</v>
      </c>
      <c r="AP49" s="116"/>
      <c r="AQ49" s="116">
        <v>13</v>
      </c>
      <c r="AR49" s="116"/>
      <c r="AS49" s="116"/>
      <c r="AT49" s="116"/>
      <c r="AU49" s="116">
        <v>13</v>
      </c>
      <c r="AV49" s="116"/>
      <c r="AW49" s="116">
        <v>13</v>
      </c>
      <c r="AX49" s="116"/>
      <c r="AY49" s="116">
        <v>13</v>
      </c>
    </row>
    <row r="50" spans="1:52" x14ac:dyDescent="0.2">
      <c r="A50" s="116"/>
      <c r="B50" s="171" t="s">
        <v>347</v>
      </c>
      <c r="C50" s="116"/>
      <c r="D50" s="116">
        <f>D44-D47</f>
        <v>1705.8046924914556</v>
      </c>
      <c r="E50" s="116">
        <f t="shared" ref="E50:AY50" si="15">E44-E47</f>
        <v>3448.0605581057753</v>
      </c>
      <c r="F50" s="116">
        <f t="shared" si="15"/>
        <v>3838.0605581057753</v>
      </c>
      <c r="G50" s="116">
        <f t="shared" si="15"/>
        <v>3448.0605581057753</v>
      </c>
      <c r="H50" s="116">
        <f t="shared" si="15"/>
        <v>3838.0605581057753</v>
      </c>
      <c r="I50" s="116">
        <f t="shared" si="15"/>
        <v>3021.6093849829113</v>
      </c>
      <c r="J50" s="116">
        <f t="shared" si="15"/>
        <v>3411.6093849829113</v>
      </c>
      <c r="K50" s="116">
        <f t="shared" si="15"/>
        <v>3021.6093849829113</v>
      </c>
      <c r="L50" s="116">
        <f t="shared" si="15"/>
        <v>3411.6093849829113</v>
      </c>
      <c r="M50" s="116">
        <f t="shared" si="15"/>
        <v>3021.6093849829113</v>
      </c>
      <c r="N50" s="116">
        <f t="shared" si="15"/>
        <v>3411.6093849829113</v>
      </c>
      <c r="O50" s="116">
        <f t="shared" si="15"/>
        <v>3021.6093849829113</v>
      </c>
      <c r="P50" s="116">
        <f t="shared" si="15"/>
        <v>3411.6093849829113</v>
      </c>
      <c r="Q50" s="116">
        <f t="shared" si="15"/>
        <v>3448.0605581057753</v>
      </c>
      <c r="R50" s="116">
        <f t="shared" si="15"/>
        <v>3838.0605581057753</v>
      </c>
      <c r="S50" s="116">
        <f t="shared" si="15"/>
        <v>3448.0605581057753</v>
      </c>
      <c r="T50" s="116">
        <f t="shared" si="15"/>
        <v>3838.0605581057753</v>
      </c>
      <c r="U50" s="116">
        <f t="shared" si="15"/>
        <v>3021.6093849829113</v>
      </c>
      <c r="V50" s="116">
        <f t="shared" si="15"/>
        <v>3411.6093849829113</v>
      </c>
      <c r="W50" s="116">
        <f t="shared" si="15"/>
        <v>3021.6093849829113</v>
      </c>
      <c r="X50" s="116">
        <f t="shared" si="15"/>
        <v>3411.6093849829113</v>
      </c>
      <c r="Y50" s="116">
        <f t="shared" si="15"/>
        <v>3021.6093849829113</v>
      </c>
      <c r="Z50" s="116">
        <f t="shared" si="15"/>
        <v>3411.6093849829113</v>
      </c>
      <c r="AA50" s="116">
        <f t="shared" si="15"/>
        <v>3021.6093849829113</v>
      </c>
      <c r="AB50" s="116">
        <f t="shared" si="15"/>
        <v>3411.6093849829113</v>
      </c>
      <c r="AC50" s="116">
        <f t="shared" si="15"/>
        <v>3448.0605581057753</v>
      </c>
      <c r="AD50" s="116">
        <f t="shared" si="15"/>
        <v>3838.0605581057753</v>
      </c>
      <c r="AE50" s="116">
        <f t="shared" si="15"/>
        <v>3448.0605581057753</v>
      </c>
      <c r="AF50" s="116">
        <f t="shared" si="15"/>
        <v>3838.0605581057753</v>
      </c>
      <c r="AG50" s="116">
        <f t="shared" si="15"/>
        <v>3021.6093849829113</v>
      </c>
      <c r="AH50" s="116">
        <f t="shared" si="15"/>
        <v>3411.6093849829113</v>
      </c>
      <c r="AI50" s="116">
        <f t="shared" si="15"/>
        <v>3021.6093849829113</v>
      </c>
      <c r="AJ50" s="116">
        <f t="shared" si="15"/>
        <v>3411.6093849829113</v>
      </c>
      <c r="AK50" s="116">
        <f t="shared" si="15"/>
        <v>3021.6093849829113</v>
      </c>
      <c r="AL50" s="116">
        <f t="shared" si="15"/>
        <v>0</v>
      </c>
      <c r="AM50" s="116">
        <f t="shared" si="15"/>
        <v>3715</v>
      </c>
      <c r="AN50" s="116">
        <f t="shared" si="15"/>
        <v>3411.6093849829113</v>
      </c>
      <c r="AO50" s="116">
        <f t="shared" si="15"/>
        <v>3448.0605581057753</v>
      </c>
      <c r="AP50" s="116">
        <f t="shared" si="15"/>
        <v>3838.0605581057753</v>
      </c>
      <c r="AQ50" s="116">
        <f t="shared" si="15"/>
        <v>3448.0605581057753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3715</v>
      </c>
      <c r="AV50" s="116">
        <f t="shared" si="15"/>
        <v>3411.6093849829113</v>
      </c>
      <c r="AW50" s="116">
        <f t="shared" si="15"/>
        <v>3021.6093849829113</v>
      </c>
      <c r="AX50" s="116">
        <f t="shared" si="15"/>
        <v>3411.6093849829113</v>
      </c>
      <c r="AY50" s="116">
        <f t="shared" si="15"/>
        <v>3021.6093849829113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2</v>
      </c>
      <c r="G52" s="116">
        <v>2</v>
      </c>
      <c r="H52" s="116">
        <v>1</v>
      </c>
      <c r="I52" s="116">
        <v>1</v>
      </c>
      <c r="J52" s="116">
        <v>2</v>
      </c>
      <c r="K52" s="116">
        <v>1</v>
      </c>
      <c r="L52" s="116">
        <v>1</v>
      </c>
      <c r="M52" s="116">
        <v>1</v>
      </c>
      <c r="N52" s="116">
        <v>1</v>
      </c>
      <c r="O52" s="116">
        <v>1</v>
      </c>
      <c r="P52" s="116">
        <v>1</v>
      </c>
      <c r="Q52" s="116">
        <v>1</v>
      </c>
      <c r="R52" s="116">
        <v>2</v>
      </c>
      <c r="S52" s="116">
        <v>2</v>
      </c>
      <c r="T52" s="116">
        <v>1</v>
      </c>
      <c r="U52" s="116">
        <v>1</v>
      </c>
      <c r="V52" s="116">
        <v>1</v>
      </c>
      <c r="W52" s="116">
        <v>2</v>
      </c>
      <c r="X52" s="116">
        <v>2</v>
      </c>
      <c r="Y52" s="116">
        <v>1</v>
      </c>
      <c r="Z52" s="116">
        <v>1</v>
      </c>
      <c r="AA52" s="116">
        <v>1</v>
      </c>
      <c r="AB52" s="116">
        <v>1</v>
      </c>
      <c r="AC52" s="116">
        <v>1</v>
      </c>
      <c r="AD52" s="116">
        <v>1</v>
      </c>
      <c r="AE52" s="116">
        <v>1</v>
      </c>
      <c r="AF52" s="116">
        <v>1</v>
      </c>
      <c r="AG52" s="116">
        <v>2</v>
      </c>
      <c r="AH52" s="116">
        <v>2</v>
      </c>
      <c r="AI52" s="116">
        <v>1</v>
      </c>
      <c r="AJ52" s="116">
        <v>2</v>
      </c>
      <c r="AK52" s="116">
        <v>2</v>
      </c>
      <c r="AL52" s="116">
        <v>1</v>
      </c>
      <c r="AM52" s="116">
        <v>3</v>
      </c>
      <c r="AN52" s="116">
        <v>2</v>
      </c>
      <c r="AO52" s="116">
        <v>2</v>
      </c>
      <c r="AP52" s="116">
        <v>1</v>
      </c>
      <c r="AQ52" s="116">
        <v>1</v>
      </c>
      <c r="AR52" s="116">
        <v>1</v>
      </c>
      <c r="AS52" s="116">
        <v>2</v>
      </c>
      <c r="AT52" s="116">
        <v>1</v>
      </c>
      <c r="AU52" s="116">
        <v>1</v>
      </c>
      <c r="AV52" s="116">
        <v>1</v>
      </c>
      <c r="AW52" s="116">
        <v>2</v>
      </c>
      <c r="AX52" s="116">
        <v>2</v>
      </c>
      <c r="AY52" s="116">
        <v>3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231660</v>
      </c>
      <c r="F53" s="116">
        <v>0</v>
      </c>
      <c r="G53" s="116">
        <v>231660</v>
      </c>
      <c r="H53" s="116">
        <v>0</v>
      </c>
      <c r="I53" s="116">
        <v>231660</v>
      </c>
      <c r="J53" s="116">
        <v>0</v>
      </c>
      <c r="K53" s="116">
        <v>231660</v>
      </c>
      <c r="L53" s="116">
        <v>0</v>
      </c>
      <c r="M53" s="116">
        <v>231660</v>
      </c>
      <c r="N53" s="116">
        <v>0</v>
      </c>
      <c r="O53" s="116">
        <v>231660</v>
      </c>
      <c r="P53" s="116">
        <v>0</v>
      </c>
      <c r="Q53" s="116">
        <v>231660</v>
      </c>
      <c r="R53" s="116">
        <v>0</v>
      </c>
      <c r="S53" s="116">
        <v>231660</v>
      </c>
      <c r="T53" s="116">
        <v>0</v>
      </c>
      <c r="U53" s="116">
        <v>231660</v>
      </c>
      <c r="V53" s="116">
        <v>0</v>
      </c>
      <c r="W53" s="116">
        <v>231660</v>
      </c>
      <c r="X53" s="116">
        <v>0</v>
      </c>
      <c r="Y53" s="116">
        <v>231660</v>
      </c>
      <c r="Z53" s="116">
        <v>0</v>
      </c>
      <c r="AA53" s="116">
        <v>231660</v>
      </c>
      <c r="AB53" s="116">
        <v>0</v>
      </c>
      <c r="AC53" s="116">
        <v>231660</v>
      </c>
      <c r="AD53" s="116">
        <v>0</v>
      </c>
      <c r="AE53" s="116">
        <v>231660</v>
      </c>
      <c r="AF53" s="116">
        <v>0</v>
      </c>
      <c r="AG53" s="116">
        <v>231660</v>
      </c>
      <c r="AH53" s="116">
        <v>0</v>
      </c>
      <c r="AI53" s="116">
        <v>231660</v>
      </c>
      <c r="AJ53" s="116">
        <v>0</v>
      </c>
      <c r="AK53" s="116">
        <v>231660</v>
      </c>
      <c r="AL53" s="116">
        <v>0</v>
      </c>
      <c r="AM53" s="116">
        <v>231660</v>
      </c>
      <c r="AN53" s="116">
        <v>0</v>
      </c>
      <c r="AO53" s="116">
        <v>231660</v>
      </c>
      <c r="AP53" s="116">
        <v>0</v>
      </c>
      <c r="AQ53" s="116">
        <v>231660</v>
      </c>
      <c r="AR53" s="116">
        <v>0</v>
      </c>
      <c r="AS53" s="116">
        <v>0</v>
      </c>
      <c r="AT53" s="116">
        <v>0</v>
      </c>
      <c r="AU53" s="116">
        <v>231660</v>
      </c>
      <c r="AV53" s="116">
        <v>0</v>
      </c>
      <c r="AW53" s="116">
        <v>231660</v>
      </c>
      <c r="AX53" s="116">
        <v>0</v>
      </c>
      <c r="AY53" s="116">
        <v>231660</v>
      </c>
      <c r="AZ53" s="106">
        <f>SUM($D$53:$AY$53)</f>
        <v>5328180</v>
      </c>
    </row>
    <row r="54" spans="1:52" x14ac:dyDescent="0.2">
      <c r="A54" s="131"/>
      <c r="B54" s="146" t="s">
        <v>351</v>
      </c>
      <c r="C54" s="131"/>
      <c r="D54" s="131">
        <v>548842.65980912582</v>
      </c>
      <c r="E54" s="131">
        <v>1109413.4845705333</v>
      </c>
      <c r="F54" s="131">
        <v>1234895.9845705333</v>
      </c>
      <c r="G54" s="131">
        <v>1109413.4845705333</v>
      </c>
      <c r="H54" s="131">
        <v>1234895.9845705333</v>
      </c>
      <c r="I54" s="131">
        <v>972202.81961825164</v>
      </c>
      <c r="J54" s="131">
        <v>1097685.3196182516</v>
      </c>
      <c r="K54" s="131">
        <v>972202.81961825164</v>
      </c>
      <c r="L54" s="131">
        <v>1097685.3196182516</v>
      </c>
      <c r="M54" s="131">
        <v>972202.81961825164</v>
      </c>
      <c r="N54" s="131">
        <v>1097685.3196182516</v>
      </c>
      <c r="O54" s="131">
        <v>972202.81961825164</v>
      </c>
      <c r="P54" s="131">
        <v>1097685.3196182516</v>
      </c>
      <c r="Q54" s="131">
        <v>1109413.4845705333</v>
      </c>
      <c r="R54" s="131">
        <v>1234895.9845705333</v>
      </c>
      <c r="S54" s="131">
        <v>1109413.4845705333</v>
      </c>
      <c r="T54" s="131">
        <v>1234895.9845705333</v>
      </c>
      <c r="U54" s="131">
        <v>972202.81961825164</v>
      </c>
      <c r="V54" s="131">
        <v>1097685.3196182516</v>
      </c>
      <c r="W54" s="131">
        <v>972202.81961825164</v>
      </c>
      <c r="X54" s="131">
        <v>1097685.3196182516</v>
      </c>
      <c r="Y54" s="131">
        <v>972202.81961825164</v>
      </c>
      <c r="Z54" s="131">
        <v>1097685.3196182516</v>
      </c>
      <c r="AA54" s="131">
        <v>972202.81961825164</v>
      </c>
      <c r="AB54" s="131">
        <v>1097685.3196182516</v>
      </c>
      <c r="AC54" s="131">
        <v>1109413.4845705333</v>
      </c>
      <c r="AD54" s="131">
        <v>1234895.9845705333</v>
      </c>
      <c r="AE54" s="131">
        <v>1109413.4845705333</v>
      </c>
      <c r="AF54" s="131">
        <v>1234895.9845705333</v>
      </c>
      <c r="AG54" s="131">
        <v>972202.81961825164</v>
      </c>
      <c r="AH54" s="131">
        <v>1097685.3196182516</v>
      </c>
      <c r="AI54" s="131">
        <v>972202.81961825164</v>
      </c>
      <c r="AJ54" s="131">
        <v>1097685.3196182516</v>
      </c>
      <c r="AK54" s="131">
        <v>972202.81961825164</v>
      </c>
      <c r="AL54" s="131">
        <v>0</v>
      </c>
      <c r="AM54" s="131">
        <v>1195301.25</v>
      </c>
      <c r="AN54" s="131">
        <v>1097685.3196182516</v>
      </c>
      <c r="AO54" s="131">
        <v>1109413.4845705333</v>
      </c>
      <c r="AP54" s="131">
        <v>1234895.9845705333</v>
      </c>
      <c r="AQ54" s="131">
        <v>1109413.4845705333</v>
      </c>
      <c r="AR54" s="131">
        <v>0</v>
      </c>
      <c r="AS54" s="131">
        <v>0</v>
      </c>
      <c r="AT54" s="131">
        <v>0</v>
      </c>
      <c r="AU54" s="131">
        <v>1195301.25</v>
      </c>
      <c r="AV54" s="131">
        <v>1097685.3196182516</v>
      </c>
      <c r="AW54" s="131">
        <v>972202.81961825164</v>
      </c>
      <c r="AX54" s="131">
        <v>1097685.3196182516</v>
      </c>
      <c r="AY54" s="131">
        <v>972202.81961825164</v>
      </c>
      <c r="AZ54" s="106">
        <f>SUM($D$54:$AY$54)</f>
        <v>47367570.738441683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22</v>
      </c>
    </row>
    <row r="3" spans="1:54" x14ac:dyDescent="0.2">
      <c r="A3" s="106" t="s">
        <v>286</v>
      </c>
      <c r="B3" s="114">
        <v>50000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9225.486563508528</v>
      </c>
      <c r="E9" s="123">
        <v>9225.486563508528</v>
      </c>
      <c r="F9" s="123">
        <v>9225.486563508528</v>
      </c>
      <c r="G9" s="123">
        <v>9225.486563508528</v>
      </c>
      <c r="H9" s="123">
        <v>8353.9665635085294</v>
      </c>
      <c r="I9" s="123">
        <v>8353.9665635085294</v>
      </c>
      <c r="J9" s="123">
        <v>8353.9665635085294</v>
      </c>
      <c r="K9" s="123">
        <v>8353.9665635085294</v>
      </c>
      <c r="L9" s="123">
        <v>8353.9665635085294</v>
      </c>
      <c r="M9" s="123">
        <v>8266.2040688930992</v>
      </c>
      <c r="N9" s="123">
        <v>8353.9665635085294</v>
      </c>
      <c r="O9" s="123">
        <v>8353.9665635085294</v>
      </c>
      <c r="P9" s="123">
        <v>9225.486563508528</v>
      </c>
      <c r="Q9" s="123">
        <v>9225.486563508528</v>
      </c>
      <c r="R9" s="123">
        <v>9225.486563508528</v>
      </c>
      <c r="S9" s="123">
        <v>9225.486563508528</v>
      </c>
      <c r="T9" s="123">
        <v>8353.9665635085294</v>
      </c>
      <c r="U9" s="123">
        <v>8353.9665635085294</v>
      </c>
      <c r="V9" s="123">
        <v>8353.9665635085294</v>
      </c>
      <c r="W9" s="123">
        <v>8353.9665635085294</v>
      </c>
      <c r="X9" s="123">
        <v>8353.9665635085294</v>
      </c>
      <c r="Y9" s="123">
        <v>8353.9665635085294</v>
      </c>
      <c r="Z9" s="123">
        <v>8001.9312077954282</v>
      </c>
      <c r="AA9" s="123">
        <v>8003.668939316568</v>
      </c>
      <c r="AB9" s="123">
        <v>9225.486563508528</v>
      </c>
      <c r="AC9" s="123">
        <v>9225.486563508528</v>
      </c>
      <c r="AD9" s="123">
        <v>9225.486563508528</v>
      </c>
      <c r="AE9" s="123">
        <v>9225.486563508528</v>
      </c>
      <c r="AF9" s="123">
        <v>8353.9665635085294</v>
      </c>
      <c r="AG9" s="123">
        <v>8353.9665635085294</v>
      </c>
      <c r="AH9" s="123">
        <v>8353.9665635085294</v>
      </c>
      <c r="AI9" s="123">
        <v>8353.9665635085294</v>
      </c>
      <c r="AJ9" s="123">
        <v>8353.9665635085294</v>
      </c>
      <c r="AK9" s="123">
        <v>8353.9665635085294</v>
      </c>
      <c r="AL9" s="123">
        <v>8353.9665635085294</v>
      </c>
      <c r="AM9" s="123">
        <v>8353.9665635085294</v>
      </c>
      <c r="AN9" s="123">
        <v>9225.486563508528</v>
      </c>
      <c r="AO9" s="123">
        <v>9225.486563508528</v>
      </c>
      <c r="AP9" s="123">
        <v>9142.5200397679509</v>
      </c>
      <c r="AQ9" s="123">
        <v>9225.486563508528</v>
      </c>
      <c r="AR9" s="123">
        <v>8353.9665635085294</v>
      </c>
      <c r="AS9" s="123">
        <v>8353.9665635085294</v>
      </c>
      <c r="AT9" s="123">
        <v>8353.9665635085294</v>
      </c>
      <c r="AU9" s="123">
        <v>8353.9665635085294</v>
      </c>
      <c r="AV9" s="123">
        <v>8353.9665635085294</v>
      </c>
      <c r="AW9" s="123">
        <v>8353.9665635085294</v>
      </c>
      <c r="AX9" s="123">
        <v>8353.9665635085294</v>
      </c>
      <c r="AY9" s="123">
        <v>8353.9665635085294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221</v>
      </c>
      <c r="E10" s="106">
        <v>0</v>
      </c>
      <c r="F10" s="106">
        <v>0</v>
      </c>
      <c r="G10" s="106">
        <v>0</v>
      </c>
      <c r="H10" s="106">
        <v>121</v>
      </c>
      <c r="I10" s="106">
        <v>0</v>
      </c>
      <c r="J10" s="106">
        <v>0</v>
      </c>
      <c r="K10" s="106">
        <v>121</v>
      </c>
      <c r="L10" s="106">
        <v>0</v>
      </c>
      <c r="M10" s="106">
        <v>121</v>
      </c>
      <c r="N10" s="106">
        <v>121</v>
      </c>
      <c r="O10" s="106">
        <v>121</v>
      </c>
      <c r="P10" s="106">
        <v>121</v>
      </c>
      <c r="Q10" s="106">
        <v>0</v>
      </c>
      <c r="R10" s="106">
        <v>121</v>
      </c>
      <c r="S10" s="106">
        <v>121</v>
      </c>
      <c r="T10" s="106">
        <v>0</v>
      </c>
      <c r="U10" s="106">
        <v>121</v>
      </c>
      <c r="V10" s="106">
        <v>121</v>
      </c>
      <c r="W10" s="106">
        <v>0</v>
      </c>
      <c r="X10" s="106">
        <v>0</v>
      </c>
      <c r="Y10" s="106">
        <v>0</v>
      </c>
      <c r="Z10" s="106">
        <v>121</v>
      </c>
      <c r="AA10" s="106">
        <v>0</v>
      </c>
      <c r="AB10" s="106">
        <v>0</v>
      </c>
      <c r="AC10" s="106">
        <v>121</v>
      </c>
      <c r="AD10" s="106">
        <v>0</v>
      </c>
      <c r="AE10" s="106">
        <v>121</v>
      </c>
      <c r="AF10" s="106">
        <v>121</v>
      </c>
      <c r="AG10" s="106">
        <v>121</v>
      </c>
      <c r="AH10" s="106">
        <v>121</v>
      </c>
      <c r="AI10" s="106">
        <v>121</v>
      </c>
      <c r="AJ10" s="106">
        <v>121</v>
      </c>
      <c r="AK10" s="106">
        <v>121</v>
      </c>
      <c r="AL10" s="106">
        <v>0</v>
      </c>
      <c r="AM10" s="106">
        <v>0</v>
      </c>
      <c r="AN10" s="106">
        <v>0</v>
      </c>
      <c r="AO10" s="106">
        <v>121</v>
      </c>
      <c r="AP10" s="106">
        <v>121</v>
      </c>
      <c r="AQ10" s="106">
        <v>121</v>
      </c>
      <c r="AR10" s="106">
        <v>121</v>
      </c>
      <c r="AS10" s="106">
        <v>0</v>
      </c>
      <c r="AT10" s="106">
        <v>121</v>
      </c>
      <c r="AU10" s="106">
        <v>0</v>
      </c>
      <c r="AV10" s="106">
        <v>121</v>
      </c>
      <c r="AW10" s="106">
        <v>0</v>
      </c>
      <c r="AX10" s="106">
        <v>0</v>
      </c>
      <c r="AY10" s="106">
        <v>121</v>
      </c>
      <c r="AZ10" s="106">
        <v>0</v>
      </c>
    </row>
    <row r="11" spans="1:54" x14ac:dyDescent="0.2">
      <c r="B11" s="125">
        <v>2</v>
      </c>
      <c r="C11" s="112" t="s">
        <v>293</v>
      </c>
      <c r="D11" s="106">
        <v>221</v>
      </c>
      <c r="E11" s="106">
        <v>0</v>
      </c>
      <c r="F11" s="106">
        <v>221</v>
      </c>
      <c r="G11" s="106">
        <v>0</v>
      </c>
      <c r="H11" s="106">
        <v>121</v>
      </c>
      <c r="I11" s="106">
        <v>0</v>
      </c>
      <c r="J11" s="106">
        <v>121</v>
      </c>
      <c r="K11" s="106">
        <v>121</v>
      </c>
      <c r="L11" s="106">
        <v>0</v>
      </c>
      <c r="M11" s="106">
        <v>121</v>
      </c>
      <c r="N11" s="106">
        <v>0</v>
      </c>
      <c r="Q11" s="106">
        <v>0</v>
      </c>
      <c r="R11" s="106">
        <v>121</v>
      </c>
      <c r="W11" s="106">
        <v>0</v>
      </c>
      <c r="Y11" s="106">
        <v>121</v>
      </c>
      <c r="AB11" s="106">
        <v>121</v>
      </c>
      <c r="AC11" s="106">
        <v>0</v>
      </c>
      <c r="AD11" s="106">
        <v>0</v>
      </c>
      <c r="AE11" s="106">
        <v>121</v>
      </c>
      <c r="AF11" s="106">
        <v>0</v>
      </c>
      <c r="AG11" s="106">
        <v>0</v>
      </c>
      <c r="AH11" s="106">
        <v>0</v>
      </c>
      <c r="AJ11" s="106">
        <v>0</v>
      </c>
      <c r="AM11" s="106">
        <v>121</v>
      </c>
      <c r="AN11" s="106">
        <v>0</v>
      </c>
      <c r="AO11" s="106">
        <v>121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121</v>
      </c>
      <c r="AW11" s="106">
        <v>0</v>
      </c>
      <c r="AX11" s="106">
        <v>0</v>
      </c>
      <c r="AY11" s="106">
        <v>121</v>
      </c>
      <c r="BA11" s="106">
        <v>0</v>
      </c>
    </row>
    <row r="12" spans="1:54" x14ac:dyDescent="0.2">
      <c r="B12" s="126">
        <v>3</v>
      </c>
      <c r="C12" s="112" t="s">
        <v>293</v>
      </c>
      <c r="F12" s="106">
        <v>0</v>
      </c>
      <c r="V12" s="106">
        <v>121</v>
      </c>
      <c r="Y12" s="106">
        <v>121</v>
      </c>
      <c r="Z12" s="106">
        <v>0</v>
      </c>
      <c r="AA12" s="106">
        <v>121</v>
      </c>
      <c r="AD12" s="106">
        <v>121</v>
      </c>
      <c r="AG12" s="106">
        <v>0</v>
      </c>
      <c r="AI12" s="106">
        <v>0</v>
      </c>
      <c r="AJ12" s="106">
        <v>0</v>
      </c>
      <c r="AO12" s="106">
        <v>121</v>
      </c>
      <c r="AS12" s="106">
        <v>0</v>
      </c>
      <c r="AU12" s="106">
        <v>121</v>
      </c>
      <c r="AV12" s="106">
        <v>0</v>
      </c>
      <c r="AW12" s="106">
        <v>0</v>
      </c>
      <c r="AY12" s="106">
        <v>121</v>
      </c>
      <c r="BB12" s="106">
        <v>121</v>
      </c>
    </row>
    <row r="13" spans="1:54" x14ac:dyDescent="0.2">
      <c r="B13" s="126">
        <v>4</v>
      </c>
      <c r="C13" s="112" t="s">
        <v>293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2768.1092541361845</v>
      </c>
      <c r="E14" s="123">
        <f t="shared" ref="E14:AZ14" si="0">D$172*SUM(D$122:D$169)</f>
        <v>3072.2969040034491</v>
      </c>
      <c r="F14" s="123">
        <f t="shared" si="0"/>
        <v>3266.4434306085436</v>
      </c>
      <c r="G14" s="123">
        <f t="shared" si="0"/>
        <v>3443.5780452272738</v>
      </c>
      <c r="H14" s="123">
        <f t="shared" si="0"/>
        <v>3560.8839668356586</v>
      </c>
      <c r="I14" s="123">
        <f t="shared" si="0"/>
        <v>3525.7256347470661</v>
      </c>
      <c r="J14" s="123">
        <f t="shared" si="0"/>
        <v>3452.141024599835</v>
      </c>
      <c r="K14" s="123">
        <f t="shared" si="0"/>
        <v>3416.6364944349525</v>
      </c>
      <c r="L14" s="123">
        <f t="shared" si="0"/>
        <v>3358.8514414858228</v>
      </c>
      <c r="M14" s="123">
        <f t="shared" si="0"/>
        <v>3343.2227489224101</v>
      </c>
      <c r="N14" s="123">
        <f t="shared" si="0"/>
        <v>3386.4611053904246</v>
      </c>
      <c r="O14" s="123">
        <f t="shared" si="0"/>
        <v>3407.1644092358119</v>
      </c>
      <c r="P14" s="123">
        <f t="shared" si="0"/>
        <v>3415.6177099788119</v>
      </c>
      <c r="Q14" s="123">
        <f t="shared" si="0"/>
        <v>3548.382657187296</v>
      </c>
      <c r="R14" s="123">
        <f t="shared" si="0"/>
        <v>3621.4217549536397</v>
      </c>
      <c r="S14" s="123">
        <f t="shared" si="0"/>
        <v>3697.4892638682272</v>
      </c>
      <c r="T14" s="123">
        <f t="shared" si="0"/>
        <v>3744.9047915207912</v>
      </c>
      <c r="U14" s="123">
        <f t="shared" si="0"/>
        <v>3643.1124264512609</v>
      </c>
      <c r="V14" s="123">
        <f t="shared" si="0"/>
        <v>3536.2862723403946</v>
      </c>
      <c r="W14" s="123">
        <f t="shared" si="0"/>
        <v>3468.6846180000875</v>
      </c>
      <c r="X14" s="123">
        <f t="shared" si="0"/>
        <v>3417.5221326936608</v>
      </c>
      <c r="Y14" s="123">
        <f t="shared" si="0"/>
        <v>3393.7549934522381</v>
      </c>
      <c r="Z14" s="123">
        <f t="shared" si="0"/>
        <v>3236.6284417413081</v>
      </c>
      <c r="AA14" s="123">
        <f t="shared" si="0"/>
        <v>3109.5584088736591</v>
      </c>
      <c r="AB14" s="123">
        <f t="shared" si="0"/>
        <v>3067.9822378859303</v>
      </c>
      <c r="AC14" s="123">
        <f t="shared" si="0"/>
        <v>3167.6568936560357</v>
      </c>
      <c r="AD14" s="123">
        <f t="shared" si="0"/>
        <v>3134.6921476762154</v>
      </c>
      <c r="AE14" s="123">
        <f t="shared" si="0"/>
        <v>3079.3580665077102</v>
      </c>
      <c r="AF14" s="123">
        <f t="shared" si="0"/>
        <v>3116.3917033405914</v>
      </c>
      <c r="AG14" s="123">
        <f t="shared" si="0"/>
        <v>2889.239574968668</v>
      </c>
      <c r="AH14" s="123">
        <f t="shared" si="0"/>
        <v>3071.5621108272344</v>
      </c>
      <c r="AI14" s="123">
        <f t="shared" si="0"/>
        <v>3184.7648860623649</v>
      </c>
      <c r="AJ14" s="123">
        <f t="shared" si="0"/>
        <v>3269.0611480539624</v>
      </c>
      <c r="AK14" s="123">
        <f t="shared" si="0"/>
        <v>3338.5314453557221</v>
      </c>
      <c r="AL14" s="123">
        <f t="shared" si="0"/>
        <v>3371.9699695398717</v>
      </c>
      <c r="AM14" s="123">
        <f t="shared" si="0"/>
        <v>3407.7447873210212</v>
      </c>
      <c r="AN14" s="123">
        <f t="shared" si="0"/>
        <v>3438.4462162336795</v>
      </c>
      <c r="AO14" s="123">
        <f t="shared" si="0"/>
        <v>3577.176350850074</v>
      </c>
      <c r="AP14" s="123">
        <f t="shared" si="0"/>
        <v>3638.1642537930338</v>
      </c>
      <c r="AQ14" s="123">
        <f t="shared" si="0"/>
        <v>3672.8954043193689</v>
      </c>
      <c r="AR14" s="123">
        <f t="shared" si="0"/>
        <v>3697.1742187011359</v>
      </c>
      <c r="AS14" s="123">
        <f t="shared" si="0"/>
        <v>3580.0320059477999</v>
      </c>
      <c r="AT14" s="123">
        <f t="shared" si="0"/>
        <v>3482.3339404141102</v>
      </c>
      <c r="AU14" s="123">
        <f t="shared" si="0"/>
        <v>3373.7943597393046</v>
      </c>
      <c r="AV14" s="123">
        <f t="shared" si="0"/>
        <v>3355.4839427611305</v>
      </c>
      <c r="AW14" s="123">
        <f t="shared" si="0"/>
        <v>3299.3866972868864</v>
      </c>
      <c r="AX14" s="123">
        <f t="shared" si="0"/>
        <v>3355.9564523359759</v>
      </c>
      <c r="AY14" s="123">
        <f t="shared" si="0"/>
        <v>3386.5995879680204</v>
      </c>
      <c r="AZ14" s="116">
        <f t="shared" si="0"/>
        <v>3402.7446211221691</v>
      </c>
      <c r="BA14" s="113">
        <f>SUM($E14:$AZ14)</f>
        <v>162425.91169922071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4206.6256371573927</v>
      </c>
      <c r="E15" s="130">
        <v>4206.6256371573927</v>
      </c>
      <c r="F15" s="130">
        <v>4206.6256371573927</v>
      </c>
      <c r="G15" s="130">
        <v>4206.6256371573927</v>
      </c>
      <c r="H15" s="130">
        <v>3739.222788584349</v>
      </c>
      <c r="I15" s="130">
        <v>3739.222788584349</v>
      </c>
      <c r="J15" s="130">
        <v>3739.222788584349</v>
      </c>
      <c r="K15" s="130">
        <v>3739.222788584349</v>
      </c>
      <c r="L15" s="130">
        <v>3739.222788584349</v>
      </c>
      <c r="M15" s="130">
        <v>3739.222788584349</v>
      </c>
      <c r="N15" s="130">
        <v>3739.222788584349</v>
      </c>
      <c r="O15" s="130">
        <v>3739.222788584349</v>
      </c>
      <c r="P15" s="130">
        <v>4206.6256371573927</v>
      </c>
      <c r="Q15" s="130">
        <v>4206.6256371573927</v>
      </c>
      <c r="R15" s="130">
        <v>4206.6256371573927</v>
      </c>
      <c r="S15" s="130">
        <v>4206.6256371573927</v>
      </c>
      <c r="T15" s="130">
        <v>3739.222788584349</v>
      </c>
      <c r="U15" s="130">
        <v>3739.222788584349</v>
      </c>
      <c r="V15" s="130">
        <v>3739.222788584349</v>
      </c>
      <c r="W15" s="130">
        <v>3739.222788584349</v>
      </c>
      <c r="X15" s="130">
        <v>3739.222788584349</v>
      </c>
      <c r="Y15" s="130">
        <v>3739.222788584349</v>
      </c>
      <c r="Z15" s="130">
        <v>3739.222788584349</v>
      </c>
      <c r="AA15" s="130">
        <v>3739.222788584349</v>
      </c>
      <c r="AB15" s="130">
        <v>4206.6256371573927</v>
      </c>
      <c r="AC15" s="130">
        <v>4206.6256371573927</v>
      </c>
      <c r="AD15" s="130">
        <v>4206.6256371573927</v>
      </c>
      <c r="AE15" s="130">
        <v>4206.6256371573927</v>
      </c>
      <c r="AF15" s="130">
        <v>3739.222788584349</v>
      </c>
      <c r="AG15" s="130">
        <v>3739.222788584349</v>
      </c>
      <c r="AH15" s="130">
        <v>3739.222788584349</v>
      </c>
      <c r="AI15" s="130">
        <v>3739.222788584349</v>
      </c>
      <c r="AJ15" s="130">
        <v>3739.222788584349</v>
      </c>
      <c r="AK15" s="130">
        <v>3739.222788584349</v>
      </c>
      <c r="AL15" s="130">
        <v>3739.222788584349</v>
      </c>
      <c r="AM15" s="130">
        <v>3739.222788584349</v>
      </c>
      <c r="AN15" s="130">
        <v>4206.6256371573927</v>
      </c>
      <c r="AO15" s="130">
        <v>4206.6256371573927</v>
      </c>
      <c r="AP15" s="130">
        <v>4206.6256371573927</v>
      </c>
      <c r="AQ15" s="130">
        <v>4206.6256371573927</v>
      </c>
      <c r="AR15" s="130">
        <v>3739.222788584349</v>
      </c>
      <c r="AS15" s="130">
        <v>3739.222788584349</v>
      </c>
      <c r="AT15" s="130">
        <v>3739.222788584349</v>
      </c>
      <c r="AU15" s="130">
        <v>3739.222788584349</v>
      </c>
      <c r="AV15" s="130">
        <v>3739.222788584349</v>
      </c>
      <c r="AW15" s="130">
        <v>3739.222788584349</v>
      </c>
      <c r="AX15" s="130">
        <v>3739.222788584349</v>
      </c>
      <c r="AY15" s="130">
        <v>3739.222788584349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/>
      <c r="P16" s="116"/>
      <c r="Q16" s="116">
        <v>0</v>
      </c>
      <c r="R16" s="116">
        <v>0</v>
      </c>
      <c r="S16" s="116"/>
      <c r="T16" s="116"/>
      <c r="U16" s="116"/>
      <c r="V16" s="116"/>
      <c r="W16" s="116">
        <v>0</v>
      </c>
      <c r="X16" s="116"/>
      <c r="Y16" s="116">
        <v>0</v>
      </c>
      <c r="Z16" s="116"/>
      <c r="AA16" s="116"/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/>
      <c r="AJ16" s="116">
        <v>0</v>
      </c>
      <c r="AK16" s="116"/>
      <c r="AL16" s="116"/>
      <c r="AM16" s="116">
        <v>0</v>
      </c>
      <c r="AN16" s="116">
        <v>0</v>
      </c>
      <c r="AO16" s="116">
        <v>0</v>
      </c>
      <c r="AP16" s="116"/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>
        <v>0</v>
      </c>
      <c r="W17" s="116"/>
      <c r="X17" s="116"/>
      <c r="Y17" s="116">
        <v>0</v>
      </c>
      <c r="Z17" s="116">
        <v>0</v>
      </c>
      <c r="AA17" s="116">
        <v>0</v>
      </c>
      <c r="AB17" s="116"/>
      <c r="AC17" s="116"/>
      <c r="AD17" s="116">
        <v>0</v>
      </c>
      <c r="AE17" s="116"/>
      <c r="AF17" s="116"/>
      <c r="AG17" s="116">
        <v>0</v>
      </c>
      <c r="AH17" s="116"/>
      <c r="AI17" s="116">
        <v>0</v>
      </c>
      <c r="AJ17" s="116">
        <v>0</v>
      </c>
      <c r="AK17" s="116"/>
      <c r="AL17" s="116"/>
      <c r="AM17" s="116"/>
      <c r="AN17" s="116"/>
      <c r="AO17" s="116">
        <v>0</v>
      </c>
      <c r="AP17" s="116"/>
      <c r="AQ17" s="116"/>
      <c r="AR17" s="116"/>
      <c r="AS17" s="116">
        <v>0</v>
      </c>
      <c r="AT17" s="116"/>
      <c r="AU17" s="116">
        <v>0</v>
      </c>
      <c r="AV17" s="116">
        <v>0</v>
      </c>
      <c r="AW17" s="116">
        <v>0</v>
      </c>
      <c r="AX17" s="116"/>
      <c r="AY17" s="116">
        <v>0</v>
      </c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>
        <v>26.550141773207823</v>
      </c>
      <c r="L21" s="130">
        <v>268.8962524750022</v>
      </c>
      <c r="M21" s="130">
        <v>907.17675147167313</v>
      </c>
      <c r="N21" s="130">
        <v>1150.5694294570369</v>
      </c>
      <c r="O21" s="130">
        <v>1254.6751044075775</v>
      </c>
      <c r="P21" s="130">
        <v>2234.8733191652509</v>
      </c>
      <c r="Q21" s="130">
        <v>2336.3247825031635</v>
      </c>
      <c r="R21" s="130">
        <v>2796.619402400805</v>
      </c>
      <c r="S21" s="130">
        <v>3020.8534657929722</v>
      </c>
      <c r="T21" s="130">
        <v>2215.1270054037486</v>
      </c>
      <c r="U21" s="130">
        <v>2230.4930208609444</v>
      </c>
      <c r="V21" s="130">
        <v>2271.090757736255</v>
      </c>
      <c r="W21" s="130">
        <v>2021.6481994380827</v>
      </c>
      <c r="X21" s="130">
        <v>1966.2933674585911</v>
      </c>
      <c r="Y21" s="130">
        <v>1698.4267275740958</v>
      </c>
      <c r="Z21" s="130">
        <v>807.98614830683982</v>
      </c>
      <c r="AA21" s="130">
        <v>350.59782368930234</v>
      </c>
      <c r="AB21" s="130">
        <v>1043.2934409757834</v>
      </c>
      <c r="AC21" s="130">
        <v>551.90747161995364</v>
      </c>
      <c r="AD21" s="130">
        <v>43.745193197090728</v>
      </c>
      <c r="AE21" s="130"/>
      <c r="AF21" s="130"/>
      <c r="AG21" s="130"/>
      <c r="AH21" s="130"/>
      <c r="AI21" s="130"/>
      <c r="AJ21" s="130"/>
      <c r="AK21" s="130"/>
      <c r="AL21" s="130"/>
      <c r="AM21" s="130"/>
      <c r="AN21" s="130">
        <v>973.27929842395179</v>
      </c>
      <c r="AO21" s="130">
        <v>1787.4845857361529</v>
      </c>
      <c r="AP21" s="130">
        <v>2168.7384454346056</v>
      </c>
      <c r="AQ21" s="130">
        <v>2728.0531502115778</v>
      </c>
      <c r="AR21" s="130">
        <v>2073.8288683701321</v>
      </c>
      <c r="AS21" s="130">
        <v>1943.7806103829587</v>
      </c>
      <c r="AT21" s="130">
        <v>1846.1135842344361</v>
      </c>
      <c r="AU21" s="130">
        <v>1794.5714648711169</v>
      </c>
      <c r="AV21" s="130">
        <v>1694.2968028325984</v>
      </c>
      <c r="AW21" s="130">
        <v>1551.6074799090397</v>
      </c>
      <c r="AX21" s="130">
        <v>1467.1206039290882</v>
      </c>
      <c r="AY21" s="130">
        <v>1581.0080444447067</v>
      </c>
    </row>
    <row r="22" spans="1:54" x14ac:dyDescent="0.2">
      <c r="A22" s="115"/>
      <c r="B22" s="126">
        <v>2</v>
      </c>
      <c r="C22" s="116" t="s">
        <v>293</v>
      </c>
      <c r="D22" s="116">
        <v>2394.1728905630566</v>
      </c>
      <c r="E22" s="116">
        <v>6451.1136610621006</v>
      </c>
      <c r="F22" s="116">
        <v>7329.871172385001</v>
      </c>
      <c r="G22" s="116">
        <v>7916.8764293177528</v>
      </c>
      <c r="H22" s="116">
        <v>7932.3673291892701</v>
      </c>
      <c r="I22" s="116">
        <v>7335.4710637684357</v>
      </c>
      <c r="J22" s="116">
        <v>7913.8331869614003</v>
      </c>
      <c r="K22" s="116">
        <v>8077.0999400556584</v>
      </c>
      <c r="L22" s="116">
        <v>7455.4164217353209</v>
      </c>
      <c r="M22" s="116">
        <v>7484.0703110335271</v>
      </c>
      <c r="N22" s="116">
        <v>6800.0273174214262</v>
      </c>
      <c r="O22" s="116">
        <v>6658.3971340514927</v>
      </c>
      <c r="P22" s="116">
        <v>6522.2914591009521</v>
      </c>
      <c r="Q22" s="116">
        <v>6615.6132443432771</v>
      </c>
      <c r="R22" s="116">
        <v>6539.1617810053649</v>
      </c>
      <c r="S22" s="116">
        <v>6067.8671611077225</v>
      </c>
      <c r="T22" s="116">
        <v>5813.6330977155558</v>
      </c>
      <c r="U22" s="116">
        <v>5590.8395581047807</v>
      </c>
      <c r="V22" s="116">
        <v>5668.4735426475854</v>
      </c>
      <c r="W22" s="116">
        <v>5426.8758057722744</v>
      </c>
      <c r="X22" s="116">
        <v>5885.3183640704465</v>
      </c>
      <c r="Y22" s="116">
        <v>5517.6731960499383</v>
      </c>
      <c r="Z22" s="116">
        <v>5911.5398359344335</v>
      </c>
      <c r="AA22" s="116">
        <v>6373.9450594885884</v>
      </c>
      <c r="AB22" s="116">
        <v>7119.0711156272655</v>
      </c>
      <c r="AC22" s="116">
        <v>8004.1931225327444</v>
      </c>
      <c r="AD22" s="116">
        <v>8510.5790918885741</v>
      </c>
      <c r="AE22" s="116">
        <v>8925.2388539009007</v>
      </c>
      <c r="AF22" s="116">
        <v>7372.3792725828107</v>
      </c>
      <c r="AG22" s="116">
        <v>6765.4006033568658</v>
      </c>
      <c r="AH22" s="116">
        <v>6832.0866444540188</v>
      </c>
      <c r="AI22" s="116">
        <v>7014.6889612503201</v>
      </c>
      <c r="AJ22" s="116">
        <v>7297.5664422915397</v>
      </c>
      <c r="AK22" s="116">
        <v>7581.4887798213604</v>
      </c>
      <c r="AL22" s="116">
        <v>7730.6767537667738</v>
      </c>
      <c r="AM22" s="116">
        <v>8117.4342538691453</v>
      </c>
      <c r="AN22" s="116">
        <v>8291.4988731479134</v>
      </c>
      <c r="AO22" s="116">
        <v>7740.2072650845766</v>
      </c>
      <c r="AP22" s="116">
        <v>6923.0019777723755</v>
      </c>
      <c r="AQ22" s="116">
        <v>6460.7815943333453</v>
      </c>
      <c r="AR22" s="116">
        <v>6011.4334132969507</v>
      </c>
      <c r="AS22" s="116">
        <v>6007.1376951383972</v>
      </c>
      <c r="AT22" s="116">
        <v>6171.1859531255704</v>
      </c>
      <c r="AU22" s="116">
        <v>6302.8529792740937</v>
      </c>
      <c r="AV22" s="116">
        <v>6214.395098637413</v>
      </c>
      <c r="AW22" s="116">
        <v>6444.6697606759308</v>
      </c>
      <c r="AX22" s="116">
        <v>6583.3590835994892</v>
      </c>
      <c r="AY22" s="116">
        <v>6664.8459595794411</v>
      </c>
    </row>
    <row r="23" spans="1:54" x14ac:dyDescent="0.2">
      <c r="A23" s="115"/>
      <c r="B23" s="133">
        <v>3</v>
      </c>
      <c r="C23" s="116" t="s">
        <v>293</v>
      </c>
      <c r="D23" s="116">
        <v>4867.8865635085285</v>
      </c>
      <c r="E23" s="116">
        <v>1900.7136729454719</v>
      </c>
      <c r="F23" s="116">
        <v>2106.3729024464274</v>
      </c>
      <c r="G23" s="116">
        <v>1406.6153911235269</v>
      </c>
      <c r="H23" s="116">
        <v>905.61013419077517</v>
      </c>
      <c r="I23" s="116">
        <v>692.11923431925788</v>
      </c>
      <c r="J23" s="116">
        <v>225.49549974009369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1561.6098073362546</v>
      </c>
      <c r="AH23" s="116">
        <v>1408.5659601516636</v>
      </c>
      <c r="AI23" s="116">
        <v>1306.8799190545105</v>
      </c>
      <c r="AJ23" s="116">
        <v>1136.2776022582093</v>
      </c>
      <c r="AK23" s="116">
        <v>757.40012121698965</v>
      </c>
      <c r="AL23" s="116">
        <v>518.47778368716899</v>
      </c>
      <c r="AM23" s="116">
        <v>387.28980974175556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4" x14ac:dyDescent="0.2">
      <c r="A24" s="134"/>
      <c r="B24" s="135">
        <v>4</v>
      </c>
      <c r="C24" s="134" t="s">
        <v>293</v>
      </c>
      <c r="D24" s="131">
        <v>1023.2972105837271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/>
      <c r="AF29" s="116"/>
      <c r="AG29" s="116"/>
      <c r="AH29" s="116"/>
      <c r="AI29" s="116"/>
      <c r="AJ29" s="116"/>
      <c r="AK29" s="116"/>
      <c r="AL29" s="116"/>
      <c r="AM29" s="116"/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4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4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>
        <v>8.6997262345227604</v>
      </c>
      <c r="L41" s="112">
        <v>89.099495337935053</v>
      </c>
      <c r="M41" s="112">
        <v>337.17003617399706</v>
      </c>
      <c r="N41" s="112">
        <v>449.87850091783793</v>
      </c>
      <c r="O41" s="112">
        <v>517.1880460120733</v>
      </c>
      <c r="P41" s="112">
        <v>862.62383185324302</v>
      </c>
      <c r="Q41" s="112">
        <v>892.87867041601089</v>
      </c>
      <c r="R41" s="112">
        <v>1046.4840529287026</v>
      </c>
      <c r="S41" s="112">
        <v>1118.7657284542568</v>
      </c>
      <c r="T41" s="112">
        <v>890.62871853891613</v>
      </c>
      <c r="U41" s="112">
        <v>892.63405018024685</v>
      </c>
      <c r="V41" s="112">
        <v>920.63577935310968</v>
      </c>
      <c r="W41" s="112">
        <v>824.52901154876224</v>
      </c>
      <c r="X41" s="112">
        <v>803.94222287679167</v>
      </c>
      <c r="Y41" s="112">
        <v>721.4139413668172</v>
      </c>
      <c r="Z41" s="112">
        <v>365.66905403148689</v>
      </c>
      <c r="AA41" s="112">
        <v>161.96718015893529</v>
      </c>
      <c r="AB41" s="112">
        <v>423.50444924246335</v>
      </c>
      <c r="AC41" s="112">
        <v>217.94633315744363</v>
      </c>
      <c r="AD41" s="112">
        <v>16.768278303677718</v>
      </c>
      <c r="AE41" s="112"/>
      <c r="AF41" s="112"/>
      <c r="AG41" s="112"/>
      <c r="AH41" s="112"/>
      <c r="AI41" s="112"/>
      <c r="AJ41" s="112"/>
      <c r="AK41" s="112"/>
      <c r="AL41" s="112"/>
      <c r="AM41" s="112"/>
      <c r="AN41" s="112">
        <v>328.77610408529335</v>
      </c>
      <c r="AO41" s="112">
        <v>559.80475058990032</v>
      </c>
      <c r="AP41" s="112">
        <v>728.61911248929221</v>
      </c>
      <c r="AQ41" s="112">
        <v>941.76148003639321</v>
      </c>
      <c r="AR41" s="112">
        <v>811.52747377698938</v>
      </c>
      <c r="AS41" s="112">
        <v>776.8013722945542</v>
      </c>
      <c r="AT41" s="112">
        <v>745.15974167171191</v>
      </c>
      <c r="AU41" s="112">
        <v>732.04046346113364</v>
      </c>
      <c r="AV41" s="112">
        <v>697.36314918045935</v>
      </c>
      <c r="AW41" s="112">
        <v>664.39978431056022</v>
      </c>
      <c r="AX41" s="112">
        <v>638.93309802479519</v>
      </c>
      <c r="AY41" s="112">
        <v>695.10419230049229</v>
      </c>
    </row>
    <row r="42" spans="1:51" x14ac:dyDescent="0.2">
      <c r="A42" s="115"/>
      <c r="B42" s="136">
        <v>10</v>
      </c>
      <c r="C42" s="115" t="s">
        <v>293</v>
      </c>
      <c r="D42" s="112">
        <v>1474.0929742686089</v>
      </c>
      <c r="E42" s="112">
        <v>2112.8429510463106</v>
      </c>
      <c r="F42" s="112">
        <v>2343.2166063474228</v>
      </c>
      <c r="G42" s="112">
        <v>2455.5236368919623</v>
      </c>
      <c r="H42" s="112">
        <v>2382.3291968872741</v>
      </c>
      <c r="I42" s="112">
        <v>2330.2279727744885</v>
      </c>
      <c r="J42" s="112">
        <v>2435.8606653913789</v>
      </c>
      <c r="K42" s="112">
        <v>2408.027711968416</v>
      </c>
      <c r="L42" s="112">
        <v>2341.5377899180121</v>
      </c>
      <c r="M42" s="112">
        <v>1608.0097587982495</v>
      </c>
      <c r="N42" s="112">
        <v>1847.5396313623241</v>
      </c>
      <c r="O42" s="112">
        <v>1964.2007917596713</v>
      </c>
      <c r="P42" s="112">
        <v>1943.4564078839312</v>
      </c>
      <c r="Q42" s="112">
        <v>1960.2247665613627</v>
      </c>
      <c r="R42" s="112">
        <v>1691.8469643310555</v>
      </c>
      <c r="S42" s="112">
        <v>1392.6880980312931</v>
      </c>
      <c r="T42" s="112">
        <v>1409.9410015267345</v>
      </c>
      <c r="U42" s="112">
        <v>2057.2227229469067</v>
      </c>
      <c r="V42" s="112">
        <v>2057.1881251283967</v>
      </c>
      <c r="W42" s="112">
        <v>2070.5143167408692</v>
      </c>
      <c r="X42" s="112">
        <v>2116.6353976870496</v>
      </c>
      <c r="Y42" s="112">
        <v>1930.6754871020203</v>
      </c>
      <c r="Z42" s="112">
        <v>1973.9784735339333</v>
      </c>
      <c r="AA42" s="112">
        <v>2389.1237372802075</v>
      </c>
      <c r="AB42" s="112">
        <v>2687.800972598181</v>
      </c>
      <c r="AC42" s="112">
        <v>2864.7354112008752</v>
      </c>
      <c r="AD42" s="112">
        <v>2857.312549311056</v>
      </c>
      <c r="AE42" s="112">
        <v>2998.2791609753508</v>
      </c>
      <c r="AF42" s="112">
        <v>2352.5526849271105</v>
      </c>
      <c r="AG42" s="112">
        <v>2505.2519874187597</v>
      </c>
      <c r="AH42" s="112">
        <v>2541.3021525973973</v>
      </c>
      <c r="AI42" s="112">
        <v>2589.8702325571298</v>
      </c>
      <c r="AJ42" s="112">
        <v>2525.5203618791402</v>
      </c>
      <c r="AK42" s="112">
        <v>2527.7507514168246</v>
      </c>
      <c r="AL42" s="112">
        <v>2400.3284968453363</v>
      </c>
      <c r="AM42" s="112">
        <v>2565.465288481978</v>
      </c>
      <c r="AN42" s="112">
        <v>2570.6673782706721</v>
      </c>
      <c r="AO42" s="112">
        <v>2051.6155992552981</v>
      </c>
      <c r="AP42" s="112">
        <v>1695.0835075284585</v>
      </c>
      <c r="AQ42" s="112">
        <v>1649.3700205912874</v>
      </c>
      <c r="AR42" s="112">
        <v>1614.6072154031422</v>
      </c>
      <c r="AS42" s="112">
        <v>1748.5976742769731</v>
      </c>
      <c r="AT42" s="112">
        <v>2021.7300730611678</v>
      </c>
      <c r="AU42" s="112">
        <v>2114.8960112497871</v>
      </c>
      <c r="AV42" s="112">
        <v>2063.2743462773678</v>
      </c>
      <c r="AW42" s="112">
        <v>1211.6538069090948</v>
      </c>
      <c r="AX42" s="112">
        <v>1958.7765665395136</v>
      </c>
      <c r="AY42" s="112">
        <v>2056.2311557682388</v>
      </c>
    </row>
    <row r="43" spans="1:51" x14ac:dyDescent="0.2">
      <c r="A43" s="115"/>
      <c r="B43" s="136">
        <v>11</v>
      </c>
      <c r="C43" s="115" t="s">
        <v>293</v>
      </c>
      <c r="D43" s="112">
        <v>2555.6625617420068</v>
      </c>
      <c r="E43" s="112">
        <v>1227.6906005602095</v>
      </c>
      <c r="F43" s="112">
        <v>534.65151948706261</v>
      </c>
      <c r="G43" s="112">
        <v>301.8856665254475</v>
      </c>
      <c r="H43" s="112">
        <v>86.882691825559505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/>
      <c r="AF89" s="116"/>
      <c r="AG89" s="116"/>
      <c r="AH89" s="116"/>
      <c r="AI89" s="116"/>
      <c r="AJ89" s="116"/>
      <c r="AK89" s="116"/>
      <c r="AL89" s="116"/>
      <c r="AM89" s="116"/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525238.83432964212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4867.8865635085285</v>
      </c>
      <c r="D95" s="116">
        <v>9225.486563508528</v>
      </c>
      <c r="E95" s="116">
        <v>9225.486563508528</v>
      </c>
      <c r="F95" s="116">
        <v>9225.486563508528</v>
      </c>
      <c r="G95" s="116">
        <v>9225.486563508528</v>
      </c>
      <c r="H95" s="116">
        <v>8353.9665635085294</v>
      </c>
      <c r="I95" s="116">
        <v>8353.9665635085294</v>
      </c>
      <c r="J95" s="116">
        <v>8353.9665635085294</v>
      </c>
      <c r="K95" s="116">
        <v>8327.4164217353209</v>
      </c>
      <c r="L95" s="116">
        <v>8085.0703110335271</v>
      </c>
      <c r="M95" s="116">
        <v>7359.0273174214262</v>
      </c>
      <c r="N95" s="116">
        <v>7203.3971340514927</v>
      </c>
      <c r="O95" s="116">
        <v>7099.2914591009521</v>
      </c>
      <c r="P95" s="116">
        <v>6990.6132443432771</v>
      </c>
      <c r="Q95" s="116">
        <v>6889.1617810053649</v>
      </c>
      <c r="R95" s="116">
        <v>6428.8671611077225</v>
      </c>
      <c r="S95" s="116">
        <v>6204.6330977155558</v>
      </c>
      <c r="T95" s="116">
        <v>6138.8395581047807</v>
      </c>
      <c r="U95" s="116">
        <v>6123.4735426475854</v>
      </c>
      <c r="V95" s="116">
        <v>6082.8758057722744</v>
      </c>
      <c r="W95" s="116">
        <v>6332.3183640704465</v>
      </c>
      <c r="X95" s="116">
        <v>6387.6731960499383</v>
      </c>
      <c r="Y95" s="116">
        <v>6655.5398359344335</v>
      </c>
      <c r="Z95" s="116">
        <v>7193.9450594885884</v>
      </c>
      <c r="AA95" s="116">
        <v>7653.0711156272655</v>
      </c>
      <c r="AB95" s="116">
        <v>8182.1931225327444</v>
      </c>
      <c r="AC95" s="116">
        <v>8673.5790918885741</v>
      </c>
      <c r="AD95" s="116">
        <v>9181.741370311438</v>
      </c>
      <c r="AE95" s="116">
        <v>9225.486563508528</v>
      </c>
      <c r="AF95" s="116">
        <v>8353.9665635085294</v>
      </c>
      <c r="AG95" s="116">
        <v>8353.9665635085294</v>
      </c>
      <c r="AH95" s="116">
        <v>8353.9665635085294</v>
      </c>
      <c r="AI95" s="116">
        <v>8353.9665635085294</v>
      </c>
      <c r="AJ95" s="116">
        <v>8353.9665635085294</v>
      </c>
      <c r="AK95" s="116">
        <v>8353.9665635085294</v>
      </c>
      <c r="AL95" s="116">
        <v>8353.9665635085294</v>
      </c>
      <c r="AM95" s="116">
        <v>8353.9665635085294</v>
      </c>
      <c r="AN95" s="116">
        <v>8252.2072650845766</v>
      </c>
      <c r="AO95" s="116">
        <v>7438.0019777723755</v>
      </c>
      <c r="AP95" s="116">
        <v>6973.7815943333453</v>
      </c>
      <c r="AQ95" s="116">
        <v>6497.4334132969507</v>
      </c>
      <c r="AR95" s="116">
        <v>6280.1376951383972</v>
      </c>
      <c r="AS95" s="116">
        <v>6410.1859531255704</v>
      </c>
      <c r="AT95" s="116">
        <v>6507.8529792740937</v>
      </c>
      <c r="AU95" s="116">
        <v>6559.395098637413</v>
      </c>
      <c r="AV95" s="116">
        <v>6659.6697606759308</v>
      </c>
      <c r="AW95" s="116">
        <v>6802.3590835994892</v>
      </c>
      <c r="AX95" s="116">
        <v>6886.8459595794411</v>
      </c>
      <c r="AY95" s="116">
        <v>6772.9585190638227</v>
      </c>
    </row>
    <row r="96" spans="1:52" x14ac:dyDescent="0.2">
      <c r="A96" s="115"/>
      <c r="B96" s="126">
        <v>2</v>
      </c>
      <c r="C96" s="116">
        <v>4867.8865635085285</v>
      </c>
      <c r="D96" s="116">
        <v>2473.7136729454719</v>
      </c>
      <c r="E96" s="116">
        <v>2774.3729024464274</v>
      </c>
      <c r="F96" s="116">
        <v>1895.6153911235269</v>
      </c>
      <c r="G96" s="116">
        <v>1308.6101341907752</v>
      </c>
      <c r="H96" s="116">
        <v>1293.1192343192579</v>
      </c>
      <c r="I96" s="116">
        <v>1018.4954997400937</v>
      </c>
      <c r="J96" s="116">
        <v>440.13337654712905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105.50251641053728</v>
      </c>
      <c r="AF96" s="116">
        <v>1751.6098073362546</v>
      </c>
      <c r="AG96" s="116">
        <v>1588.5659601516636</v>
      </c>
      <c r="AH96" s="116">
        <v>1521.8799190545105</v>
      </c>
      <c r="AI96" s="116">
        <v>1339.2776022582093</v>
      </c>
      <c r="AJ96" s="116">
        <v>1056.4001212169896</v>
      </c>
      <c r="AK96" s="116">
        <v>772.47778368716899</v>
      </c>
      <c r="AL96" s="116">
        <v>623.28980974175556</v>
      </c>
      <c r="AM96" s="116">
        <v>236.53230963938404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1211.2972105837271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221</v>
      </c>
      <c r="E100" s="112">
        <v>0</v>
      </c>
      <c r="F100" s="112">
        <v>0</v>
      </c>
      <c r="G100" s="112">
        <v>0</v>
      </c>
      <c r="H100" s="112">
        <v>121</v>
      </c>
      <c r="I100" s="112">
        <v>0</v>
      </c>
      <c r="J100" s="112">
        <v>0</v>
      </c>
      <c r="K100" s="112">
        <v>121</v>
      </c>
      <c r="L100" s="112">
        <v>0</v>
      </c>
      <c r="M100" s="112">
        <v>121</v>
      </c>
      <c r="N100" s="112">
        <v>121</v>
      </c>
      <c r="O100" s="112">
        <v>121</v>
      </c>
      <c r="P100" s="112">
        <v>121</v>
      </c>
      <c r="Q100" s="112">
        <v>0</v>
      </c>
      <c r="R100" s="112">
        <v>121</v>
      </c>
      <c r="S100" s="112">
        <v>121</v>
      </c>
      <c r="T100" s="112">
        <v>0</v>
      </c>
      <c r="U100" s="112">
        <v>121</v>
      </c>
      <c r="V100" s="112">
        <v>121</v>
      </c>
      <c r="W100" s="112">
        <v>0</v>
      </c>
      <c r="X100" s="112">
        <v>0</v>
      </c>
      <c r="Y100" s="112">
        <v>0</v>
      </c>
      <c r="Z100" s="112">
        <v>121</v>
      </c>
      <c r="AA100" s="112">
        <v>0</v>
      </c>
      <c r="AB100" s="112">
        <v>0</v>
      </c>
      <c r="AC100" s="112">
        <v>121</v>
      </c>
      <c r="AD100" s="112">
        <v>0</v>
      </c>
      <c r="AE100" s="112">
        <v>121</v>
      </c>
      <c r="AF100" s="112">
        <v>121</v>
      </c>
      <c r="AG100" s="112">
        <v>121</v>
      </c>
      <c r="AH100" s="112">
        <v>121</v>
      </c>
      <c r="AI100" s="112">
        <v>121</v>
      </c>
      <c r="AJ100" s="112">
        <v>121</v>
      </c>
      <c r="AK100" s="112">
        <v>121</v>
      </c>
      <c r="AL100" s="112">
        <v>0</v>
      </c>
      <c r="AM100" s="112">
        <v>0</v>
      </c>
      <c r="AN100" s="112">
        <v>0</v>
      </c>
      <c r="AO100" s="112">
        <v>121</v>
      </c>
      <c r="AP100" s="112">
        <v>121</v>
      </c>
      <c r="AQ100" s="112">
        <v>121</v>
      </c>
      <c r="AR100" s="112">
        <v>121</v>
      </c>
      <c r="AS100" s="112">
        <v>0</v>
      </c>
      <c r="AT100" s="112">
        <v>121</v>
      </c>
      <c r="AU100" s="112">
        <v>0</v>
      </c>
      <c r="AV100" s="112">
        <v>121</v>
      </c>
      <c r="AW100" s="112">
        <v>0</v>
      </c>
      <c r="AX100" s="112">
        <v>0</v>
      </c>
      <c r="AY100" s="112">
        <v>121</v>
      </c>
    </row>
    <row r="101" spans="1:52" x14ac:dyDescent="0.2">
      <c r="A101" s="115"/>
      <c r="B101" s="125">
        <v>2</v>
      </c>
      <c r="C101" s="112">
        <v>0</v>
      </c>
      <c r="D101" s="112">
        <v>221</v>
      </c>
      <c r="E101" s="112">
        <v>0</v>
      </c>
      <c r="F101" s="112">
        <v>221</v>
      </c>
      <c r="G101" s="112">
        <v>0</v>
      </c>
      <c r="H101" s="112">
        <v>121</v>
      </c>
      <c r="I101" s="112">
        <v>0</v>
      </c>
      <c r="J101" s="112">
        <v>121</v>
      </c>
      <c r="K101" s="112">
        <v>121</v>
      </c>
      <c r="L101" s="112">
        <v>0</v>
      </c>
      <c r="M101" s="112">
        <v>121</v>
      </c>
      <c r="N101" s="112">
        <v>0</v>
      </c>
      <c r="O101" s="112">
        <v>0</v>
      </c>
      <c r="P101" s="112">
        <v>0</v>
      </c>
      <c r="Q101" s="112">
        <v>0</v>
      </c>
      <c r="R101" s="112">
        <v>121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121</v>
      </c>
      <c r="Z101" s="112">
        <v>0</v>
      </c>
      <c r="AA101" s="112">
        <v>0</v>
      </c>
      <c r="AB101" s="112">
        <v>121</v>
      </c>
      <c r="AC101" s="112">
        <v>0</v>
      </c>
      <c r="AD101" s="112">
        <v>0</v>
      </c>
      <c r="AE101" s="112">
        <v>121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121</v>
      </c>
      <c r="AN101" s="112">
        <v>0</v>
      </c>
      <c r="AO101" s="112">
        <v>121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121</v>
      </c>
      <c r="AW101" s="112">
        <v>0</v>
      </c>
      <c r="AX101" s="112">
        <v>0</v>
      </c>
      <c r="AY101" s="112">
        <v>121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121</v>
      </c>
      <c r="W102" s="112">
        <v>0</v>
      </c>
      <c r="X102" s="112">
        <v>0</v>
      </c>
      <c r="Y102" s="112">
        <v>121</v>
      </c>
      <c r="Z102" s="112">
        <v>0</v>
      </c>
      <c r="AA102" s="112">
        <v>121</v>
      </c>
      <c r="AB102" s="112">
        <v>0</v>
      </c>
      <c r="AC102" s="112">
        <v>0</v>
      </c>
      <c r="AD102" s="112">
        <v>121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121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121</v>
      </c>
      <c r="AV102" s="112">
        <v>0</v>
      </c>
      <c r="AW102" s="112">
        <v>0</v>
      </c>
      <c r="AX102" s="112">
        <v>0</v>
      </c>
      <c r="AY102" s="112">
        <v>121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2737.3572124658431</v>
      </c>
      <c r="D109" s="112">
        <v>2768.1092541361845</v>
      </c>
      <c r="E109" s="112">
        <v>3072.2969040034491</v>
      </c>
      <c r="F109" s="112">
        <v>3266.4434306085436</v>
      </c>
      <c r="G109" s="112">
        <v>3443.5780452272738</v>
      </c>
      <c r="H109" s="112">
        <v>3560.8839668356586</v>
      </c>
      <c r="I109" s="112">
        <v>3525.7256347470661</v>
      </c>
      <c r="J109" s="112">
        <v>3452.141024599835</v>
      </c>
      <c r="K109" s="112">
        <v>3416.6364944349525</v>
      </c>
      <c r="L109" s="112">
        <v>3358.8514414858228</v>
      </c>
      <c r="M109" s="112">
        <v>3343.2227489224101</v>
      </c>
      <c r="N109" s="112">
        <v>3386.4611053904246</v>
      </c>
      <c r="O109" s="112">
        <v>3407.1644092358119</v>
      </c>
      <c r="P109" s="112">
        <v>3415.6177099788119</v>
      </c>
      <c r="Q109" s="112">
        <v>3548.382657187296</v>
      </c>
      <c r="R109" s="112">
        <v>3621.4217549536397</v>
      </c>
      <c r="S109" s="112">
        <v>3697.4892638682272</v>
      </c>
      <c r="T109" s="112">
        <v>3744.9047915207912</v>
      </c>
      <c r="U109" s="112">
        <v>3643.1124264512609</v>
      </c>
      <c r="V109" s="112">
        <v>3536.2862723403946</v>
      </c>
      <c r="W109" s="112">
        <v>3468.6846180000875</v>
      </c>
      <c r="X109" s="112">
        <v>3417.5221326936608</v>
      </c>
      <c r="Y109" s="112">
        <v>3393.7549934522381</v>
      </c>
      <c r="Z109" s="112">
        <v>3236.6284417413081</v>
      </c>
      <c r="AA109" s="112">
        <v>3109.5584088736591</v>
      </c>
      <c r="AB109" s="112">
        <v>3067.9822378859303</v>
      </c>
      <c r="AC109" s="112">
        <v>3167.6568936560357</v>
      </c>
      <c r="AD109" s="112">
        <v>3134.6921476762154</v>
      </c>
      <c r="AE109" s="112">
        <v>3079.3580665077102</v>
      </c>
      <c r="AF109" s="112">
        <v>3116.3917033405914</v>
      </c>
      <c r="AG109" s="112">
        <v>2889.239574968668</v>
      </c>
      <c r="AH109" s="112">
        <v>3071.5621108272344</v>
      </c>
      <c r="AI109" s="112">
        <v>3184.7648860623649</v>
      </c>
      <c r="AJ109" s="112">
        <v>3269.0611480539624</v>
      </c>
      <c r="AK109" s="112">
        <v>3338.5314453557221</v>
      </c>
      <c r="AL109" s="112">
        <v>3371.9699695398717</v>
      </c>
      <c r="AM109" s="112">
        <v>3407.7447873210212</v>
      </c>
      <c r="AN109" s="112">
        <v>3438.4462162336795</v>
      </c>
      <c r="AO109" s="112">
        <v>3577.176350850074</v>
      </c>
      <c r="AP109" s="112">
        <v>3638.1642537930338</v>
      </c>
      <c r="AQ109" s="112">
        <v>3672.8954043193689</v>
      </c>
      <c r="AR109" s="112">
        <v>3697.1742187011359</v>
      </c>
      <c r="AS109" s="112">
        <v>3580.0320059477999</v>
      </c>
      <c r="AT109" s="112">
        <v>3482.3339404141102</v>
      </c>
      <c r="AU109" s="112">
        <v>3373.7943597393046</v>
      </c>
      <c r="AV109" s="112">
        <v>3355.4839427611305</v>
      </c>
      <c r="AW109" s="112">
        <v>3299.3866972868864</v>
      </c>
      <c r="AX109" s="112">
        <v>3355.9564523359759</v>
      </c>
      <c r="AY109" s="112">
        <v>3386.5995879680204</v>
      </c>
    </row>
    <row r="110" spans="1:52" x14ac:dyDescent="0.2">
      <c r="A110" s="115"/>
      <c r="B110" s="125">
        <v>2</v>
      </c>
      <c r="C110" s="112">
        <v>2716.9615307069057</v>
      </c>
      <c r="D110" s="112">
        <v>2737.3572124658431</v>
      </c>
      <c r="E110" s="112">
        <v>2768.1092541361845</v>
      </c>
      <c r="F110" s="112">
        <v>3072.2969040034491</v>
      </c>
      <c r="G110" s="112">
        <v>3266.4434306085436</v>
      </c>
      <c r="H110" s="112">
        <v>3443.5780452272738</v>
      </c>
      <c r="I110" s="112">
        <v>3560.8839668356586</v>
      </c>
      <c r="J110" s="112">
        <v>3525.7256347470661</v>
      </c>
      <c r="K110" s="112">
        <v>3452.141024599835</v>
      </c>
      <c r="L110" s="112">
        <v>3416.6364944349525</v>
      </c>
      <c r="M110" s="112">
        <v>3358.8514414858228</v>
      </c>
      <c r="N110" s="112">
        <v>3343.2227489224101</v>
      </c>
      <c r="O110" s="112">
        <v>3386.4611053904246</v>
      </c>
      <c r="P110" s="112">
        <v>3407.1644092358119</v>
      </c>
      <c r="Q110" s="112">
        <v>3415.6177099788119</v>
      </c>
      <c r="R110" s="112">
        <v>3548.382657187296</v>
      </c>
      <c r="S110" s="112">
        <v>3621.4217549536397</v>
      </c>
      <c r="T110" s="112">
        <v>3697.4892638682272</v>
      </c>
      <c r="U110" s="112">
        <v>3744.9047915207912</v>
      </c>
      <c r="V110" s="112">
        <v>3643.1124264512609</v>
      </c>
      <c r="W110" s="112">
        <v>3536.2862723403946</v>
      </c>
      <c r="X110" s="112">
        <v>3468.6846180000875</v>
      </c>
      <c r="Y110" s="112">
        <v>3417.5221326936608</v>
      </c>
      <c r="Z110" s="112">
        <v>3393.7549934522381</v>
      </c>
      <c r="AA110" s="112">
        <v>3236.6284417413081</v>
      </c>
      <c r="AB110" s="112">
        <v>3109.5584088736591</v>
      </c>
      <c r="AC110" s="112">
        <v>3067.9822378859303</v>
      </c>
      <c r="AD110" s="112">
        <v>3167.6568936560357</v>
      </c>
      <c r="AE110" s="112">
        <v>3134.6921476762154</v>
      </c>
      <c r="AF110" s="112">
        <v>3079.3580665077102</v>
      </c>
      <c r="AG110" s="112">
        <v>3116.3917033405914</v>
      </c>
      <c r="AH110" s="112">
        <v>2889.239574968668</v>
      </c>
      <c r="AI110" s="112">
        <v>3071.5621108272344</v>
      </c>
      <c r="AJ110" s="112">
        <v>3184.7648860623649</v>
      </c>
      <c r="AK110" s="112">
        <v>3269.0611480539624</v>
      </c>
      <c r="AL110" s="112">
        <v>3338.5314453557221</v>
      </c>
      <c r="AM110" s="112">
        <v>3371.9699695398717</v>
      </c>
      <c r="AN110" s="112">
        <v>3407.7447873210212</v>
      </c>
      <c r="AO110" s="112">
        <v>3438.4462162336795</v>
      </c>
      <c r="AP110" s="112">
        <v>3577.176350850074</v>
      </c>
      <c r="AQ110" s="112">
        <v>3638.1642537930338</v>
      </c>
      <c r="AR110" s="112">
        <v>3672.8954043193689</v>
      </c>
      <c r="AS110" s="112">
        <v>3697.1742187011359</v>
      </c>
      <c r="AT110" s="112">
        <v>3580.0320059477999</v>
      </c>
      <c r="AU110" s="112">
        <v>3482.3339404141102</v>
      </c>
      <c r="AV110" s="112">
        <v>3373.7943597393046</v>
      </c>
      <c r="AW110" s="112">
        <v>3355.4839427611305</v>
      </c>
      <c r="AX110" s="112">
        <v>3299.3866972868864</v>
      </c>
      <c r="AY110" s="112">
        <v>3355.9564523359759</v>
      </c>
    </row>
    <row r="111" spans="1:52" x14ac:dyDescent="0.2">
      <c r="A111" s="115"/>
      <c r="B111" s="125">
        <v>3</v>
      </c>
      <c r="C111" s="112">
        <v>2677.7916181532923</v>
      </c>
      <c r="D111" s="112">
        <v>2716.9615307069057</v>
      </c>
      <c r="E111" s="112">
        <v>2737.3572124658431</v>
      </c>
      <c r="F111" s="112">
        <v>2768.1092541361845</v>
      </c>
      <c r="G111" s="112">
        <v>3072.2969040034491</v>
      </c>
      <c r="H111" s="112">
        <v>3266.4434306085436</v>
      </c>
      <c r="I111" s="112">
        <v>3443.5780452272738</v>
      </c>
      <c r="J111" s="112">
        <v>3560.8839668356586</v>
      </c>
      <c r="K111" s="112">
        <v>3525.7256347470661</v>
      </c>
      <c r="L111" s="112">
        <v>3452.141024599835</v>
      </c>
      <c r="M111" s="112">
        <v>3416.6364944349525</v>
      </c>
      <c r="N111" s="112">
        <v>3358.8514414858228</v>
      </c>
      <c r="O111" s="112">
        <v>3343.2227489224101</v>
      </c>
      <c r="P111" s="112">
        <v>3386.4611053904246</v>
      </c>
      <c r="Q111" s="112">
        <v>3407.1644092358119</v>
      </c>
      <c r="R111" s="112">
        <v>3415.6177099788119</v>
      </c>
      <c r="S111" s="112">
        <v>3548.382657187296</v>
      </c>
      <c r="T111" s="112">
        <v>3621.4217549536397</v>
      </c>
      <c r="U111" s="112">
        <v>3697.4892638682272</v>
      </c>
      <c r="V111" s="112">
        <v>3744.9047915207912</v>
      </c>
      <c r="W111" s="112">
        <v>3643.1124264512609</v>
      </c>
      <c r="X111" s="112">
        <v>3536.2862723403946</v>
      </c>
      <c r="Y111" s="112">
        <v>3468.6846180000875</v>
      </c>
      <c r="Z111" s="112">
        <v>3417.5221326936608</v>
      </c>
      <c r="AA111" s="112">
        <v>3393.7549934522381</v>
      </c>
      <c r="AB111" s="112">
        <v>3236.6284417413081</v>
      </c>
      <c r="AC111" s="112">
        <v>3109.5584088736591</v>
      </c>
      <c r="AD111" s="112">
        <v>3067.9822378859303</v>
      </c>
      <c r="AE111" s="112">
        <v>3167.6568936560357</v>
      </c>
      <c r="AF111" s="112">
        <v>3134.6921476762154</v>
      </c>
      <c r="AG111" s="112">
        <v>3079.3580665077102</v>
      </c>
      <c r="AH111" s="112">
        <v>3116.3917033405914</v>
      </c>
      <c r="AI111" s="112">
        <v>2889.239574968668</v>
      </c>
      <c r="AJ111" s="112">
        <v>3071.5621108272344</v>
      </c>
      <c r="AK111" s="112">
        <v>3184.7648860623649</v>
      </c>
      <c r="AL111" s="112">
        <v>3269.0611480539624</v>
      </c>
      <c r="AM111" s="112">
        <v>3338.5314453557221</v>
      </c>
      <c r="AN111" s="112">
        <v>3371.9699695398717</v>
      </c>
      <c r="AO111" s="112">
        <v>3407.7447873210212</v>
      </c>
      <c r="AP111" s="112">
        <v>3438.4462162336795</v>
      </c>
      <c r="AQ111" s="112">
        <v>3577.176350850074</v>
      </c>
      <c r="AR111" s="112">
        <v>3638.1642537930338</v>
      </c>
      <c r="AS111" s="112">
        <v>3672.8954043193689</v>
      </c>
      <c r="AT111" s="112">
        <v>3697.1742187011359</v>
      </c>
      <c r="AU111" s="112">
        <v>3580.0320059477999</v>
      </c>
      <c r="AV111" s="112">
        <v>3482.3339404141102</v>
      </c>
      <c r="AW111" s="112">
        <v>3373.7943597393046</v>
      </c>
      <c r="AX111" s="112">
        <v>3355.4839427611305</v>
      </c>
      <c r="AY111" s="112">
        <v>3299.3866972868864</v>
      </c>
    </row>
    <row r="112" spans="1:52" x14ac:dyDescent="0.2">
      <c r="A112" s="115"/>
      <c r="B112" s="126">
        <v>4</v>
      </c>
      <c r="C112" s="112">
        <v>2677.091943596432</v>
      </c>
      <c r="D112" s="112">
        <v>2677.7916181532923</v>
      </c>
      <c r="E112" s="112">
        <v>2716.9615307069057</v>
      </c>
      <c r="F112" s="112">
        <v>2737.3572124658431</v>
      </c>
      <c r="G112" s="112">
        <v>2768.1092541361845</v>
      </c>
      <c r="H112" s="112">
        <v>3072.2969040034491</v>
      </c>
      <c r="I112" s="112">
        <v>3266.4434306085436</v>
      </c>
      <c r="J112" s="112">
        <v>3443.5780452272738</v>
      </c>
      <c r="K112" s="112">
        <v>3560.8839668356586</v>
      </c>
      <c r="L112" s="112">
        <v>3525.7256347470661</v>
      </c>
      <c r="M112" s="112">
        <v>3452.141024599835</v>
      </c>
      <c r="N112" s="112">
        <v>3416.6364944349525</v>
      </c>
      <c r="O112" s="112">
        <v>3358.8514414858228</v>
      </c>
      <c r="P112" s="112">
        <v>3343.2227489224101</v>
      </c>
      <c r="Q112" s="112">
        <v>3386.4611053904246</v>
      </c>
      <c r="R112" s="112">
        <v>3407.1644092358119</v>
      </c>
      <c r="S112" s="112">
        <v>3415.6177099788119</v>
      </c>
      <c r="T112" s="112">
        <v>3548.382657187296</v>
      </c>
      <c r="U112" s="112">
        <v>3621.4217549536397</v>
      </c>
      <c r="V112" s="112">
        <v>3697.4892638682272</v>
      </c>
      <c r="W112" s="112">
        <v>3744.9047915207912</v>
      </c>
      <c r="X112" s="112">
        <v>3643.1124264512609</v>
      </c>
      <c r="Y112" s="112">
        <v>3536.2862723403946</v>
      </c>
      <c r="Z112" s="112">
        <v>3468.6846180000875</v>
      </c>
      <c r="AA112" s="112">
        <v>3417.5221326936608</v>
      </c>
      <c r="AB112" s="112">
        <v>3393.7549934522381</v>
      </c>
      <c r="AC112" s="112">
        <v>3236.6284417413081</v>
      </c>
      <c r="AD112" s="112">
        <v>3109.5584088736591</v>
      </c>
      <c r="AE112" s="112">
        <v>3067.9822378859303</v>
      </c>
      <c r="AF112" s="112">
        <v>3167.6568936560357</v>
      </c>
      <c r="AG112" s="112">
        <v>3134.6921476762154</v>
      </c>
      <c r="AH112" s="112">
        <v>3079.3580665077102</v>
      </c>
      <c r="AI112" s="112">
        <v>3116.3917033405914</v>
      </c>
      <c r="AJ112" s="112">
        <v>2889.239574968668</v>
      </c>
      <c r="AK112" s="112">
        <v>3071.5621108272344</v>
      </c>
      <c r="AL112" s="112">
        <v>3184.7648860623649</v>
      </c>
      <c r="AM112" s="112">
        <v>3269.0611480539624</v>
      </c>
      <c r="AN112" s="112">
        <v>3338.5314453557221</v>
      </c>
      <c r="AO112" s="112">
        <v>3371.9699695398717</v>
      </c>
      <c r="AP112" s="112">
        <v>3407.7447873210212</v>
      </c>
      <c r="AQ112" s="112">
        <v>3438.4462162336795</v>
      </c>
      <c r="AR112" s="112">
        <v>3577.176350850074</v>
      </c>
      <c r="AS112" s="112">
        <v>3638.1642537930338</v>
      </c>
      <c r="AT112" s="112">
        <v>3672.8954043193689</v>
      </c>
      <c r="AU112" s="112">
        <v>3697.1742187011359</v>
      </c>
      <c r="AV112" s="112">
        <v>3580.0320059477999</v>
      </c>
      <c r="AW112" s="112">
        <v>3482.3339404141102</v>
      </c>
      <c r="AX112" s="112">
        <v>3373.7943597393046</v>
      </c>
      <c r="AY112" s="112">
        <v>3355.4839427611305</v>
      </c>
    </row>
    <row r="113" spans="1:52" x14ac:dyDescent="0.2">
      <c r="A113" s="115"/>
      <c r="B113" s="126">
        <v>5</v>
      </c>
      <c r="C113" s="112">
        <v>2770.6919112108103</v>
      </c>
      <c r="D113" s="112">
        <v>2677.091943596432</v>
      </c>
      <c r="E113" s="112">
        <v>2677.7916181532923</v>
      </c>
      <c r="F113" s="112">
        <v>2716.9615307069057</v>
      </c>
      <c r="G113" s="112">
        <v>2737.3572124658431</v>
      </c>
      <c r="H113" s="112">
        <v>2768.1092541361845</v>
      </c>
      <c r="I113" s="112">
        <v>3072.2969040034491</v>
      </c>
      <c r="J113" s="112">
        <v>3266.4434306085436</v>
      </c>
      <c r="K113" s="112">
        <v>3443.5780452272738</v>
      </c>
      <c r="L113" s="112">
        <v>3560.8839668356586</v>
      </c>
      <c r="M113" s="112">
        <v>3525.7256347470661</v>
      </c>
      <c r="N113" s="112">
        <v>3452.141024599835</v>
      </c>
      <c r="O113" s="112">
        <v>3416.6364944349525</v>
      </c>
      <c r="P113" s="112">
        <v>3358.8514414858228</v>
      </c>
      <c r="Q113" s="112">
        <v>3343.2227489224101</v>
      </c>
      <c r="R113" s="112">
        <v>3386.4611053904246</v>
      </c>
      <c r="S113" s="112">
        <v>3407.1644092358119</v>
      </c>
      <c r="T113" s="112">
        <v>3415.6177099788119</v>
      </c>
      <c r="U113" s="112">
        <v>3548.382657187296</v>
      </c>
      <c r="V113" s="112">
        <v>3621.4217549536397</v>
      </c>
      <c r="W113" s="112">
        <v>3697.4892638682272</v>
      </c>
      <c r="X113" s="112">
        <v>3744.9047915207912</v>
      </c>
      <c r="Y113" s="112">
        <v>3643.1124264512609</v>
      </c>
      <c r="Z113" s="112">
        <v>3536.2862723403946</v>
      </c>
      <c r="AA113" s="112">
        <v>3468.6846180000875</v>
      </c>
      <c r="AB113" s="112">
        <v>3417.5221326936608</v>
      </c>
      <c r="AC113" s="112">
        <v>3393.7549934522381</v>
      </c>
      <c r="AD113" s="112">
        <v>3236.6284417413081</v>
      </c>
      <c r="AE113" s="112">
        <v>3109.5584088736591</v>
      </c>
      <c r="AF113" s="112">
        <v>3067.9822378859303</v>
      </c>
      <c r="AG113" s="112">
        <v>3167.6568936560357</v>
      </c>
      <c r="AH113" s="112">
        <v>3134.6921476762154</v>
      </c>
      <c r="AI113" s="112">
        <v>3079.3580665077102</v>
      </c>
      <c r="AJ113" s="112">
        <v>3116.3917033405914</v>
      </c>
      <c r="AK113" s="112">
        <v>2889.239574968668</v>
      </c>
      <c r="AL113" s="112">
        <v>3071.5621108272344</v>
      </c>
      <c r="AM113" s="112">
        <v>3184.7648860623649</v>
      </c>
      <c r="AN113" s="112">
        <v>3269.0611480539624</v>
      </c>
      <c r="AO113" s="112">
        <v>3338.5314453557221</v>
      </c>
      <c r="AP113" s="112">
        <v>3371.9699695398717</v>
      </c>
      <c r="AQ113" s="112">
        <v>3407.7447873210212</v>
      </c>
      <c r="AR113" s="112">
        <v>3438.4462162336795</v>
      </c>
      <c r="AS113" s="112">
        <v>3577.176350850074</v>
      </c>
      <c r="AT113" s="112">
        <v>3638.1642537930338</v>
      </c>
      <c r="AU113" s="112">
        <v>3672.8954043193689</v>
      </c>
      <c r="AV113" s="112">
        <v>3697.1742187011359</v>
      </c>
      <c r="AW113" s="112">
        <v>3580.0320059477999</v>
      </c>
      <c r="AX113" s="112">
        <v>3482.3339404141102</v>
      </c>
      <c r="AY113" s="112">
        <v>3373.7943597393046</v>
      </c>
    </row>
    <row r="114" spans="1:52" x14ac:dyDescent="0.2">
      <c r="A114" s="115"/>
      <c r="B114" s="126">
        <v>6</v>
      </c>
      <c r="C114" s="112">
        <v>2861.4063287175218</v>
      </c>
      <c r="D114" s="112">
        <v>2770.6919112108103</v>
      </c>
      <c r="E114" s="112">
        <v>2677.091943596432</v>
      </c>
      <c r="F114" s="112">
        <v>2677.7916181532923</v>
      </c>
      <c r="G114" s="112">
        <v>2716.9615307069057</v>
      </c>
      <c r="H114" s="112">
        <v>2737.3572124658431</v>
      </c>
      <c r="I114" s="112">
        <v>2768.1092541361845</v>
      </c>
      <c r="J114" s="112">
        <v>3072.2969040034491</v>
      </c>
      <c r="K114" s="112">
        <v>3266.4434306085436</v>
      </c>
      <c r="L114" s="112">
        <v>3443.5780452272738</v>
      </c>
      <c r="M114" s="112">
        <v>3560.8839668356586</v>
      </c>
      <c r="N114" s="112">
        <v>3525.7256347470661</v>
      </c>
      <c r="O114" s="112">
        <v>3452.141024599835</v>
      </c>
      <c r="P114" s="112">
        <v>3416.6364944349525</v>
      </c>
      <c r="Q114" s="112">
        <v>3358.8514414858228</v>
      </c>
      <c r="R114" s="112">
        <v>3343.2227489224101</v>
      </c>
      <c r="S114" s="112">
        <v>3386.4611053904246</v>
      </c>
      <c r="T114" s="112">
        <v>3407.1644092358119</v>
      </c>
      <c r="U114" s="112">
        <v>3415.6177099788119</v>
      </c>
      <c r="V114" s="112">
        <v>3548.382657187296</v>
      </c>
      <c r="W114" s="112">
        <v>3621.4217549536397</v>
      </c>
      <c r="X114" s="112">
        <v>3697.4892638682272</v>
      </c>
      <c r="Y114" s="112">
        <v>3744.9047915207912</v>
      </c>
      <c r="Z114" s="112">
        <v>3643.1124264512609</v>
      </c>
      <c r="AA114" s="112">
        <v>3536.2862723403946</v>
      </c>
      <c r="AB114" s="112">
        <v>3468.6846180000875</v>
      </c>
      <c r="AC114" s="112">
        <v>3417.5221326936608</v>
      </c>
      <c r="AD114" s="112">
        <v>3393.7549934522381</v>
      </c>
      <c r="AE114" s="112">
        <v>3236.6284417413081</v>
      </c>
      <c r="AF114" s="112">
        <v>3109.5584088736591</v>
      </c>
      <c r="AG114" s="112">
        <v>3067.9822378859303</v>
      </c>
      <c r="AH114" s="112">
        <v>3167.6568936560357</v>
      </c>
      <c r="AI114" s="112">
        <v>3134.6921476762154</v>
      </c>
      <c r="AJ114" s="112">
        <v>3079.3580665077102</v>
      </c>
      <c r="AK114" s="112">
        <v>3116.3917033405914</v>
      </c>
      <c r="AL114" s="112">
        <v>2889.239574968668</v>
      </c>
      <c r="AM114" s="112">
        <v>3071.5621108272344</v>
      </c>
      <c r="AN114" s="112">
        <v>3184.7648860623649</v>
      </c>
      <c r="AO114" s="112">
        <v>3269.0611480539624</v>
      </c>
      <c r="AP114" s="112">
        <v>3338.5314453557221</v>
      </c>
      <c r="AQ114" s="112">
        <v>3371.9699695398717</v>
      </c>
      <c r="AR114" s="112">
        <v>3407.7447873210212</v>
      </c>
      <c r="AS114" s="112">
        <v>3438.4462162336795</v>
      </c>
      <c r="AT114" s="112">
        <v>3577.176350850074</v>
      </c>
      <c r="AU114" s="112">
        <v>3638.1642537930338</v>
      </c>
      <c r="AV114" s="112">
        <v>3672.8954043193689</v>
      </c>
      <c r="AW114" s="112">
        <v>3697.1742187011359</v>
      </c>
      <c r="AX114" s="112">
        <v>3580.0320059477999</v>
      </c>
      <c r="AY114" s="112">
        <v>3482.3339404141102</v>
      </c>
    </row>
    <row r="115" spans="1:52" x14ac:dyDescent="0.2">
      <c r="A115" s="115"/>
      <c r="B115" s="133">
        <v>7</v>
      </c>
      <c r="C115" s="112">
        <v>2949.2078112764884</v>
      </c>
      <c r="D115" s="112">
        <v>2861.4063287175218</v>
      </c>
      <c r="E115" s="112">
        <v>2770.6919112108103</v>
      </c>
      <c r="F115" s="112">
        <v>2677.091943596432</v>
      </c>
      <c r="G115" s="112">
        <v>2677.7916181532923</v>
      </c>
      <c r="H115" s="112">
        <v>2716.9615307069057</v>
      </c>
      <c r="I115" s="112">
        <v>2737.3572124658431</v>
      </c>
      <c r="J115" s="112">
        <v>2768.1092541361845</v>
      </c>
      <c r="K115" s="112">
        <v>3072.2969040034491</v>
      </c>
      <c r="L115" s="112">
        <v>3266.4434306085436</v>
      </c>
      <c r="M115" s="112">
        <v>3443.5780452272738</v>
      </c>
      <c r="N115" s="112">
        <v>3560.8839668356586</v>
      </c>
      <c r="O115" s="112">
        <v>3525.7256347470661</v>
      </c>
      <c r="P115" s="112">
        <v>3452.141024599835</v>
      </c>
      <c r="Q115" s="112">
        <v>3416.6364944349525</v>
      </c>
      <c r="R115" s="112">
        <v>3358.8514414858228</v>
      </c>
      <c r="S115" s="112">
        <v>3343.2227489224101</v>
      </c>
      <c r="T115" s="112">
        <v>3386.4611053904246</v>
      </c>
      <c r="U115" s="112">
        <v>3407.1644092358119</v>
      </c>
      <c r="V115" s="112">
        <v>3415.6177099788119</v>
      </c>
      <c r="W115" s="112">
        <v>3548.382657187296</v>
      </c>
      <c r="X115" s="112">
        <v>3621.4217549536397</v>
      </c>
      <c r="Y115" s="112">
        <v>3697.4892638682272</v>
      </c>
      <c r="Z115" s="112">
        <v>3744.9047915207912</v>
      </c>
      <c r="AA115" s="112">
        <v>3643.1124264512609</v>
      </c>
      <c r="AB115" s="112">
        <v>3536.2862723403946</v>
      </c>
      <c r="AC115" s="112">
        <v>3468.6846180000875</v>
      </c>
      <c r="AD115" s="112">
        <v>3417.5221326936608</v>
      </c>
      <c r="AE115" s="112">
        <v>3393.7549934522381</v>
      </c>
      <c r="AF115" s="112">
        <v>3236.6284417413081</v>
      </c>
      <c r="AG115" s="112">
        <v>3109.5584088736591</v>
      </c>
      <c r="AH115" s="112">
        <v>3067.9822378859303</v>
      </c>
      <c r="AI115" s="112">
        <v>3167.6568936560357</v>
      </c>
      <c r="AJ115" s="112">
        <v>3134.6921476762154</v>
      </c>
      <c r="AK115" s="112">
        <v>3079.3580665077102</v>
      </c>
      <c r="AL115" s="112">
        <v>3116.3917033405914</v>
      </c>
      <c r="AM115" s="112">
        <v>2889.239574968668</v>
      </c>
      <c r="AN115" s="112">
        <v>3071.5621108272344</v>
      </c>
      <c r="AO115" s="112">
        <v>3184.7648860623649</v>
      </c>
      <c r="AP115" s="112">
        <v>3269.0611480539624</v>
      </c>
      <c r="AQ115" s="112">
        <v>3338.5314453557221</v>
      </c>
      <c r="AR115" s="112">
        <v>3371.9699695398717</v>
      </c>
      <c r="AS115" s="112">
        <v>3407.7447873210212</v>
      </c>
      <c r="AT115" s="112">
        <v>3438.4462162336795</v>
      </c>
      <c r="AU115" s="112">
        <v>3577.176350850074</v>
      </c>
      <c r="AV115" s="112">
        <v>3638.1642537930338</v>
      </c>
      <c r="AW115" s="112">
        <v>3672.8954043193689</v>
      </c>
      <c r="AX115" s="112">
        <v>3697.1742187011359</v>
      </c>
      <c r="AY115" s="112">
        <v>3580.0320059477999</v>
      </c>
    </row>
    <row r="116" spans="1:52" x14ac:dyDescent="0.2">
      <c r="A116" s="115"/>
      <c r="B116" s="133">
        <v>8</v>
      </c>
      <c r="C116" s="112">
        <v>3021.4944705333733</v>
      </c>
      <c r="D116" s="112">
        <v>2949.2078112764884</v>
      </c>
      <c r="E116" s="112">
        <v>2861.4063287175218</v>
      </c>
      <c r="F116" s="112">
        <v>2770.6919112108103</v>
      </c>
      <c r="G116" s="112">
        <v>2677.091943596432</v>
      </c>
      <c r="H116" s="112">
        <v>2677.7916181532923</v>
      </c>
      <c r="I116" s="112">
        <v>2716.9615307069057</v>
      </c>
      <c r="J116" s="112">
        <v>2737.3572124658431</v>
      </c>
      <c r="K116" s="112">
        <v>2768.1092541361845</v>
      </c>
      <c r="L116" s="112">
        <v>3072.2969040034491</v>
      </c>
      <c r="M116" s="112">
        <v>3266.4434306085436</v>
      </c>
      <c r="N116" s="112">
        <v>3443.5780452272738</v>
      </c>
      <c r="O116" s="112">
        <v>3560.8839668356586</v>
      </c>
      <c r="P116" s="112">
        <v>3525.7256347470661</v>
      </c>
      <c r="Q116" s="112">
        <v>3452.141024599835</v>
      </c>
      <c r="R116" s="112">
        <v>3416.6364944349525</v>
      </c>
      <c r="S116" s="112">
        <v>3358.8514414858228</v>
      </c>
      <c r="T116" s="112">
        <v>3343.2227489224101</v>
      </c>
      <c r="U116" s="112">
        <v>3386.4611053904246</v>
      </c>
      <c r="V116" s="112">
        <v>3407.1644092358119</v>
      </c>
      <c r="W116" s="112">
        <v>3415.6177099788119</v>
      </c>
      <c r="X116" s="112">
        <v>3548.382657187296</v>
      </c>
      <c r="Y116" s="112">
        <v>3621.4217549536397</v>
      </c>
      <c r="Z116" s="112">
        <v>3697.4892638682272</v>
      </c>
      <c r="AA116" s="112">
        <v>3744.9047915207912</v>
      </c>
      <c r="AB116" s="112">
        <v>3643.1124264512609</v>
      </c>
      <c r="AC116" s="112">
        <v>3536.2862723403946</v>
      </c>
      <c r="AD116" s="112">
        <v>3468.6846180000875</v>
      </c>
      <c r="AE116" s="112">
        <v>3417.5221326936608</v>
      </c>
      <c r="AF116" s="112">
        <v>3393.7549934522381</v>
      </c>
      <c r="AG116" s="112">
        <v>3236.6284417413081</v>
      </c>
      <c r="AH116" s="112">
        <v>3109.5584088736591</v>
      </c>
      <c r="AI116" s="112">
        <v>3067.9822378859303</v>
      </c>
      <c r="AJ116" s="112">
        <v>3167.6568936560357</v>
      </c>
      <c r="AK116" s="112">
        <v>3134.6921476762154</v>
      </c>
      <c r="AL116" s="112">
        <v>3079.3580665077102</v>
      </c>
      <c r="AM116" s="112">
        <v>3116.3917033405914</v>
      </c>
      <c r="AN116" s="112">
        <v>2889.239574968668</v>
      </c>
      <c r="AO116" s="112">
        <v>3071.5621108272344</v>
      </c>
      <c r="AP116" s="112">
        <v>3184.7648860623649</v>
      </c>
      <c r="AQ116" s="112">
        <v>3269.0611480539624</v>
      </c>
      <c r="AR116" s="112">
        <v>3338.5314453557221</v>
      </c>
      <c r="AS116" s="112">
        <v>3371.9699695398717</v>
      </c>
      <c r="AT116" s="112">
        <v>3407.7447873210212</v>
      </c>
      <c r="AU116" s="112">
        <v>3438.4462162336795</v>
      </c>
      <c r="AV116" s="112">
        <v>3577.176350850074</v>
      </c>
      <c r="AW116" s="112">
        <v>3638.1642537930338</v>
      </c>
      <c r="AX116" s="112">
        <v>3672.8954043193689</v>
      </c>
      <c r="AY116" s="112">
        <v>3697.1742187011359</v>
      </c>
    </row>
    <row r="117" spans="1:52" x14ac:dyDescent="0.2">
      <c r="A117" s="115"/>
      <c r="B117" s="133">
        <v>9</v>
      </c>
      <c r="C117" s="112">
        <v>2997.1592323547338</v>
      </c>
      <c r="D117" s="112">
        <v>3021.4944705333733</v>
      </c>
      <c r="E117" s="112">
        <v>2949.2078112764884</v>
      </c>
      <c r="F117" s="112">
        <v>2861.4063287175218</v>
      </c>
      <c r="G117" s="112">
        <v>2770.6919112108103</v>
      </c>
      <c r="H117" s="112">
        <v>2677.091943596432</v>
      </c>
      <c r="I117" s="112">
        <v>2677.7916181532923</v>
      </c>
      <c r="J117" s="112">
        <v>2716.9615307069057</v>
      </c>
      <c r="K117" s="112">
        <v>2728.6574862313205</v>
      </c>
      <c r="L117" s="112">
        <v>2679.0097587982495</v>
      </c>
      <c r="M117" s="112">
        <v>2735.1268678294518</v>
      </c>
      <c r="N117" s="112">
        <v>2816.5649296907059</v>
      </c>
      <c r="O117" s="112">
        <v>2926.3899992152005</v>
      </c>
      <c r="P117" s="112">
        <v>2698.2601349824154</v>
      </c>
      <c r="Q117" s="112">
        <v>2632.8469643310555</v>
      </c>
      <c r="R117" s="112">
        <v>2405.6569716711324</v>
      </c>
      <c r="S117" s="112">
        <v>2297.870765980696</v>
      </c>
      <c r="T117" s="112">
        <v>2468.2227229469067</v>
      </c>
      <c r="U117" s="112">
        <v>2450.5886987421632</v>
      </c>
      <c r="V117" s="112">
        <v>2465.8253260373149</v>
      </c>
      <c r="W117" s="112">
        <v>2582.6353976870496</v>
      </c>
      <c r="X117" s="112">
        <v>2611.6754871020203</v>
      </c>
      <c r="Y117" s="112">
        <v>2826.9687158204788</v>
      </c>
      <c r="Z117" s="112">
        <v>3255.7527009221531</v>
      </c>
      <c r="AA117" s="112">
        <v>3535.522083709292</v>
      </c>
      <c r="AB117" s="112">
        <v>3321.400342278328</v>
      </c>
      <c r="AC117" s="112">
        <v>3425.1660932938175</v>
      </c>
      <c r="AD117" s="112">
        <v>3519.517994036717</v>
      </c>
      <c r="AE117" s="112">
        <v>3468.6846180000875</v>
      </c>
      <c r="AF117" s="112">
        <v>3417.5221326936608</v>
      </c>
      <c r="AG117" s="112">
        <v>3393.7549934522381</v>
      </c>
      <c r="AH117" s="112">
        <v>3236.6284417413081</v>
      </c>
      <c r="AI117" s="112">
        <v>3109.5584088736591</v>
      </c>
      <c r="AJ117" s="112">
        <v>3067.9822378859303</v>
      </c>
      <c r="AK117" s="112">
        <v>3167.6568936560357</v>
      </c>
      <c r="AL117" s="112">
        <v>3134.6921476762154</v>
      </c>
      <c r="AM117" s="112">
        <v>3079.3580665077102</v>
      </c>
      <c r="AN117" s="112">
        <v>2787.6155992552981</v>
      </c>
      <c r="AO117" s="112">
        <v>2329.4348243787676</v>
      </c>
      <c r="AP117" s="112">
        <v>2342.9429983379423</v>
      </c>
      <c r="AQ117" s="112">
        <v>2243.0034060259718</v>
      </c>
      <c r="AR117" s="112">
        <v>2457.5336742769732</v>
      </c>
      <c r="AS117" s="112">
        <v>2561.7300730611678</v>
      </c>
      <c r="AT117" s="112">
        <v>2626.8102278681599</v>
      </c>
      <c r="AU117" s="112">
        <v>2675.7043238598876</v>
      </c>
      <c r="AV117" s="112">
        <v>2741.08306705322</v>
      </c>
      <c r="AW117" s="112">
        <v>2912.7765665395136</v>
      </c>
      <c r="AX117" s="112">
        <v>2999.2311557682388</v>
      </c>
      <c r="AY117" s="112">
        <v>2977.7912120188766</v>
      </c>
    </row>
    <row r="118" spans="1:52" x14ac:dyDescent="0.2">
      <c r="A118" s="115"/>
      <c r="B118" s="136">
        <v>10</v>
      </c>
      <c r="C118" s="112">
        <v>2964.7340865321339</v>
      </c>
      <c r="D118" s="112">
        <v>1523.0662580861249</v>
      </c>
      <c r="E118" s="112">
        <v>908.65151948706261</v>
      </c>
      <c r="F118" s="112">
        <v>605.99120492906559</v>
      </c>
      <c r="G118" s="112">
        <v>405.8826918255595</v>
      </c>
      <c r="H118" s="112">
        <v>388.36271432353624</v>
      </c>
      <c r="I118" s="112">
        <v>323.54114453013108</v>
      </c>
      <c r="J118" s="112">
        <v>135.47209729204451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35.441740166529144</v>
      </c>
      <c r="AF118" s="112">
        <v>558.9449759480317</v>
      </c>
      <c r="AG118" s="112">
        <v>588.25164423242904</v>
      </c>
      <c r="AH118" s="112">
        <v>566.08718764237119</v>
      </c>
      <c r="AI118" s="112">
        <v>494.47027721109089</v>
      </c>
      <c r="AJ118" s="112">
        <v>365.59585137361501</v>
      </c>
      <c r="AK118" s="112">
        <v>257.55248802387041</v>
      </c>
      <c r="AL118" s="112">
        <v>193.52772593776717</v>
      </c>
      <c r="AM118" s="112">
        <v>74.754585132004649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627.92847520987266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3116.0189904869576</v>
      </c>
      <c r="D122" s="112">
        <v>4206.6256371573927</v>
      </c>
      <c r="E122" s="112">
        <v>4206.6256371573927</v>
      </c>
      <c r="F122" s="112">
        <v>4206.6256371573927</v>
      </c>
      <c r="G122" s="112">
        <v>4206.6256371573927</v>
      </c>
      <c r="H122" s="112">
        <v>3739.222788584349</v>
      </c>
      <c r="I122" s="112">
        <v>3739.222788584349</v>
      </c>
      <c r="J122" s="112">
        <v>3739.222788584349</v>
      </c>
      <c r="K122" s="112">
        <v>3739.222788584349</v>
      </c>
      <c r="L122" s="112">
        <v>3739.222788584349</v>
      </c>
      <c r="M122" s="112">
        <v>3739.222788584349</v>
      </c>
      <c r="N122" s="112">
        <v>3739.222788584349</v>
      </c>
      <c r="O122" s="112">
        <v>3739.222788584349</v>
      </c>
      <c r="P122" s="112">
        <v>4206.6256371573927</v>
      </c>
      <c r="Q122" s="112">
        <v>4206.6256371573927</v>
      </c>
      <c r="R122" s="112">
        <v>4206.6256371573927</v>
      </c>
      <c r="S122" s="112">
        <v>4206.6256371573927</v>
      </c>
      <c r="T122" s="112">
        <v>3739.222788584349</v>
      </c>
      <c r="U122" s="112">
        <v>3739.222788584349</v>
      </c>
      <c r="V122" s="112">
        <v>3739.222788584349</v>
      </c>
      <c r="W122" s="112">
        <v>3739.222788584349</v>
      </c>
      <c r="X122" s="112">
        <v>3739.222788584349</v>
      </c>
      <c r="Y122" s="112">
        <v>3739.222788584349</v>
      </c>
      <c r="Z122" s="112">
        <v>3739.222788584349</v>
      </c>
      <c r="AA122" s="112">
        <v>3739.222788584349</v>
      </c>
      <c r="AB122" s="112">
        <v>4206.6256371573927</v>
      </c>
      <c r="AC122" s="112">
        <v>4206.6256371573927</v>
      </c>
      <c r="AD122" s="112">
        <v>4206.6256371573927</v>
      </c>
      <c r="AE122" s="112">
        <v>4206.6256371573927</v>
      </c>
      <c r="AF122" s="112">
        <v>3739.222788584349</v>
      </c>
      <c r="AG122" s="112">
        <v>3739.222788584349</v>
      </c>
      <c r="AH122" s="112">
        <v>3739.222788584349</v>
      </c>
      <c r="AI122" s="112">
        <v>3739.222788584349</v>
      </c>
      <c r="AJ122" s="112">
        <v>3739.222788584349</v>
      </c>
      <c r="AK122" s="112">
        <v>3739.222788584349</v>
      </c>
      <c r="AL122" s="112">
        <v>3739.222788584349</v>
      </c>
      <c r="AM122" s="112">
        <v>3739.222788584349</v>
      </c>
      <c r="AN122" s="112">
        <v>4206.6256371573927</v>
      </c>
      <c r="AO122" s="112">
        <v>4206.6256371573927</v>
      </c>
      <c r="AP122" s="112">
        <v>4206.6256371573927</v>
      </c>
      <c r="AQ122" s="112">
        <v>4206.6256371573927</v>
      </c>
      <c r="AR122" s="112">
        <v>3739.222788584349</v>
      </c>
      <c r="AS122" s="112">
        <v>3739.222788584349</v>
      </c>
      <c r="AT122" s="112">
        <v>3739.222788584349</v>
      </c>
      <c r="AU122" s="112">
        <v>3739.222788584349</v>
      </c>
      <c r="AV122" s="112">
        <v>3739.222788584349</v>
      </c>
      <c r="AW122" s="112">
        <v>3739.222788584349</v>
      </c>
      <c r="AX122" s="112">
        <v>3739.222788584349</v>
      </c>
      <c r="AY122" s="112">
        <v>3739.222788584349</v>
      </c>
    </row>
    <row r="123" spans="1:52" x14ac:dyDescent="0.2">
      <c r="A123" s="115"/>
      <c r="B123" s="125">
        <v>2</v>
      </c>
      <c r="C123" s="112">
        <v>2257.8565329367084</v>
      </c>
      <c r="D123" s="112">
        <v>2257.8565329367084</v>
      </c>
      <c r="E123" s="112">
        <v>3048.1063194645562</v>
      </c>
      <c r="F123" s="112">
        <v>3048.1063194645562</v>
      </c>
      <c r="G123" s="112">
        <v>3048.1063194645562</v>
      </c>
      <c r="H123" s="112">
        <v>3048.1063194645562</v>
      </c>
      <c r="I123" s="112">
        <v>2709.4278395240503</v>
      </c>
      <c r="J123" s="112">
        <v>2709.4278395240503</v>
      </c>
      <c r="K123" s="112">
        <v>2709.4278395240503</v>
      </c>
      <c r="L123" s="112">
        <v>2709.4278395240503</v>
      </c>
      <c r="M123" s="112">
        <v>2709.4278395240503</v>
      </c>
      <c r="N123" s="112">
        <v>2709.4278395240503</v>
      </c>
      <c r="O123" s="112">
        <v>2709.4278395240503</v>
      </c>
      <c r="P123" s="112">
        <v>2709.4278395240503</v>
      </c>
      <c r="Q123" s="112">
        <v>3048.1063194645562</v>
      </c>
      <c r="R123" s="112">
        <v>3048.1063194645562</v>
      </c>
      <c r="S123" s="112">
        <v>3048.1063194645562</v>
      </c>
      <c r="T123" s="112">
        <v>3048.1063194645562</v>
      </c>
      <c r="U123" s="112">
        <v>2709.4278395240503</v>
      </c>
      <c r="V123" s="112">
        <v>2709.4278395240503</v>
      </c>
      <c r="W123" s="112">
        <v>2709.4278395240503</v>
      </c>
      <c r="X123" s="112">
        <v>2709.4278395240503</v>
      </c>
      <c r="Y123" s="112">
        <v>2709.4278395240503</v>
      </c>
      <c r="Z123" s="112">
        <v>2709.4278395240503</v>
      </c>
      <c r="AA123" s="112">
        <v>2709.4278395240503</v>
      </c>
      <c r="AB123" s="112">
        <v>2709.4278395240503</v>
      </c>
      <c r="AC123" s="112">
        <v>3048.1063194645562</v>
      </c>
      <c r="AD123" s="112">
        <v>3048.1063194645562</v>
      </c>
      <c r="AE123" s="112">
        <v>3048.1063194645562</v>
      </c>
      <c r="AF123" s="112">
        <v>3048.1063194645562</v>
      </c>
      <c r="AG123" s="112">
        <v>2709.4278395240503</v>
      </c>
      <c r="AH123" s="112">
        <v>2709.4278395240503</v>
      </c>
      <c r="AI123" s="112">
        <v>2709.4278395240503</v>
      </c>
      <c r="AJ123" s="112">
        <v>2709.4278395240503</v>
      </c>
      <c r="AK123" s="112">
        <v>2709.4278395240503</v>
      </c>
      <c r="AL123" s="112">
        <v>2709.4278395240503</v>
      </c>
      <c r="AM123" s="112">
        <v>2709.4278395240503</v>
      </c>
      <c r="AN123" s="112">
        <v>2709.4278395240503</v>
      </c>
      <c r="AO123" s="112">
        <v>3048.1063194645562</v>
      </c>
      <c r="AP123" s="112">
        <v>3048.1063194645562</v>
      </c>
      <c r="AQ123" s="112">
        <v>3048.1063194645562</v>
      </c>
      <c r="AR123" s="112">
        <v>3048.1063194645562</v>
      </c>
      <c r="AS123" s="112">
        <v>2709.4278395240503</v>
      </c>
      <c r="AT123" s="112">
        <v>2709.4278395240503</v>
      </c>
      <c r="AU123" s="112">
        <v>2709.4278395240503</v>
      </c>
      <c r="AV123" s="112">
        <v>2709.4278395240503</v>
      </c>
      <c r="AW123" s="112">
        <v>2709.4278395240503</v>
      </c>
      <c r="AX123" s="112">
        <v>2709.4278395240503</v>
      </c>
      <c r="AY123" s="112">
        <v>2709.4278395240503</v>
      </c>
    </row>
    <row r="124" spans="1:52" x14ac:dyDescent="0.2">
      <c r="A124" s="115"/>
      <c r="B124" s="125">
        <v>3</v>
      </c>
      <c r="C124" s="112">
        <v>1636.0349981462384</v>
      </c>
      <c r="D124" s="112">
        <v>1636.0349981462384</v>
      </c>
      <c r="E124" s="112">
        <v>1636.0349981462384</v>
      </c>
      <c r="F124" s="112">
        <v>2208.6472474974221</v>
      </c>
      <c r="G124" s="112">
        <v>2208.6472474974221</v>
      </c>
      <c r="H124" s="112">
        <v>2208.6472474974221</v>
      </c>
      <c r="I124" s="112">
        <v>2208.6472474974221</v>
      </c>
      <c r="J124" s="112">
        <v>1963.2419977754864</v>
      </c>
      <c r="K124" s="112">
        <v>1963.2419977754864</v>
      </c>
      <c r="L124" s="112">
        <v>1963.2419977754864</v>
      </c>
      <c r="M124" s="112">
        <v>1963.2419977754864</v>
      </c>
      <c r="N124" s="112">
        <v>1963.2419977754864</v>
      </c>
      <c r="O124" s="112">
        <v>1963.2419977754864</v>
      </c>
      <c r="P124" s="112">
        <v>1963.2419977754864</v>
      </c>
      <c r="Q124" s="112">
        <v>1963.2419977754864</v>
      </c>
      <c r="R124" s="112">
        <v>2208.6472474974221</v>
      </c>
      <c r="S124" s="112">
        <v>2208.6472474974221</v>
      </c>
      <c r="T124" s="112">
        <v>2208.6472474974221</v>
      </c>
      <c r="U124" s="112">
        <v>2208.6472474974221</v>
      </c>
      <c r="V124" s="112">
        <v>1963.2419977754864</v>
      </c>
      <c r="W124" s="112">
        <v>1963.2419977754864</v>
      </c>
      <c r="X124" s="112">
        <v>1963.2419977754864</v>
      </c>
      <c r="Y124" s="112">
        <v>1963.2419977754864</v>
      </c>
      <c r="Z124" s="112">
        <v>1963.2419977754864</v>
      </c>
      <c r="AA124" s="112">
        <v>1963.2419977754864</v>
      </c>
      <c r="AB124" s="112">
        <v>1963.2419977754864</v>
      </c>
      <c r="AC124" s="112">
        <v>1963.2419977754864</v>
      </c>
      <c r="AD124" s="112">
        <v>2208.6472474974221</v>
      </c>
      <c r="AE124" s="112">
        <v>2208.6472474974221</v>
      </c>
      <c r="AF124" s="112">
        <v>2208.6472474974221</v>
      </c>
      <c r="AG124" s="112">
        <v>2208.6472474974221</v>
      </c>
      <c r="AH124" s="112">
        <v>1963.2419977754864</v>
      </c>
      <c r="AI124" s="112">
        <v>1963.2419977754864</v>
      </c>
      <c r="AJ124" s="112">
        <v>1963.2419977754864</v>
      </c>
      <c r="AK124" s="112">
        <v>1963.2419977754864</v>
      </c>
      <c r="AL124" s="112">
        <v>1963.2419977754864</v>
      </c>
      <c r="AM124" s="112">
        <v>1963.2419977754864</v>
      </c>
      <c r="AN124" s="112">
        <v>1963.2419977754864</v>
      </c>
      <c r="AO124" s="112">
        <v>1963.2419977754864</v>
      </c>
      <c r="AP124" s="112">
        <v>2208.6472474974221</v>
      </c>
      <c r="AQ124" s="112">
        <v>2208.6472474974221</v>
      </c>
      <c r="AR124" s="112">
        <v>2208.6472474974221</v>
      </c>
      <c r="AS124" s="112">
        <v>2208.6472474974221</v>
      </c>
      <c r="AT124" s="112">
        <v>1963.2419977754864</v>
      </c>
      <c r="AU124" s="112">
        <v>1963.2419977754864</v>
      </c>
      <c r="AV124" s="112">
        <v>1963.2419977754864</v>
      </c>
      <c r="AW124" s="112">
        <v>1963.2419977754864</v>
      </c>
      <c r="AX124" s="112">
        <v>1963.2419977754864</v>
      </c>
      <c r="AY124" s="112">
        <v>1963.2419977754864</v>
      </c>
    </row>
    <row r="125" spans="1:52" x14ac:dyDescent="0.2">
      <c r="A125" s="115"/>
      <c r="B125" s="125">
        <v>4</v>
      </c>
      <c r="C125" s="112">
        <v>1185.4652747479915</v>
      </c>
      <c r="D125" s="112">
        <v>1185.4652747479915</v>
      </c>
      <c r="E125" s="112">
        <v>1185.4652747479915</v>
      </c>
      <c r="F125" s="112">
        <v>1185.4652747479915</v>
      </c>
      <c r="G125" s="112">
        <v>1600.3781209097885</v>
      </c>
      <c r="H125" s="112">
        <v>1600.3781209097885</v>
      </c>
      <c r="I125" s="112">
        <v>1600.3781209097885</v>
      </c>
      <c r="J125" s="112">
        <v>1600.3781209097885</v>
      </c>
      <c r="K125" s="112">
        <v>1422.5583296975899</v>
      </c>
      <c r="L125" s="112">
        <v>1422.5583296975899</v>
      </c>
      <c r="M125" s="112">
        <v>1422.5583296975899</v>
      </c>
      <c r="N125" s="112">
        <v>1422.5583296975899</v>
      </c>
      <c r="O125" s="112">
        <v>1422.5583296975899</v>
      </c>
      <c r="P125" s="112">
        <v>1422.5583296975899</v>
      </c>
      <c r="Q125" s="112">
        <v>1422.5583296975899</v>
      </c>
      <c r="R125" s="112">
        <v>1422.5583296975899</v>
      </c>
      <c r="S125" s="112">
        <v>1600.3781209097885</v>
      </c>
      <c r="T125" s="112">
        <v>1600.3781209097885</v>
      </c>
      <c r="U125" s="112">
        <v>1600.3781209097885</v>
      </c>
      <c r="V125" s="112">
        <v>1600.3781209097885</v>
      </c>
      <c r="W125" s="112">
        <v>1422.5583296975899</v>
      </c>
      <c r="X125" s="112">
        <v>1422.5583296975899</v>
      </c>
      <c r="Y125" s="112">
        <v>1422.5583296975899</v>
      </c>
      <c r="Z125" s="112">
        <v>1422.5583296975899</v>
      </c>
      <c r="AA125" s="112">
        <v>1422.5583296975899</v>
      </c>
      <c r="AB125" s="112">
        <v>1422.5583296975899</v>
      </c>
      <c r="AC125" s="112">
        <v>1422.5583296975899</v>
      </c>
      <c r="AD125" s="112">
        <v>1422.5583296975899</v>
      </c>
      <c r="AE125" s="112">
        <v>1600.3781209097885</v>
      </c>
      <c r="AF125" s="112">
        <v>1494.9572718335128</v>
      </c>
      <c r="AG125" s="112">
        <v>1600.3781209097885</v>
      </c>
      <c r="AH125" s="112">
        <v>1600.3781209097885</v>
      </c>
      <c r="AI125" s="112">
        <v>1422.5583296975899</v>
      </c>
      <c r="AJ125" s="112">
        <v>1422.5583296975899</v>
      </c>
      <c r="AK125" s="112">
        <v>1422.5583296975899</v>
      </c>
      <c r="AL125" s="112">
        <v>1422.5583296975899</v>
      </c>
      <c r="AM125" s="112">
        <v>1422.5583296975899</v>
      </c>
      <c r="AN125" s="112">
        <v>1422.5583296975899</v>
      </c>
      <c r="AO125" s="112">
        <v>1422.5583296975899</v>
      </c>
      <c r="AP125" s="112">
        <v>1422.5583296975899</v>
      </c>
      <c r="AQ125" s="112">
        <v>1600.3781209097885</v>
      </c>
      <c r="AR125" s="112">
        <v>1600.3781209097885</v>
      </c>
      <c r="AS125" s="112">
        <v>1600.3781209097885</v>
      </c>
      <c r="AT125" s="112">
        <v>1600.3781209097885</v>
      </c>
      <c r="AU125" s="112">
        <v>1422.5583296975899</v>
      </c>
      <c r="AV125" s="112">
        <v>1422.5583296975899</v>
      </c>
      <c r="AW125" s="112">
        <v>1422.5583296975899</v>
      </c>
      <c r="AX125" s="112">
        <v>1422.5583296975899</v>
      </c>
      <c r="AY125" s="112">
        <v>1422.5583296975899</v>
      </c>
    </row>
    <row r="126" spans="1:52" x14ac:dyDescent="0.2">
      <c r="A126" s="115"/>
      <c r="B126" s="125">
        <v>5</v>
      </c>
      <c r="C126" s="112">
        <v>858.98401881725181</v>
      </c>
      <c r="D126" s="112">
        <v>858.98401881725181</v>
      </c>
      <c r="E126" s="112">
        <v>858.98401881725181</v>
      </c>
      <c r="F126" s="112">
        <v>858.98401881725181</v>
      </c>
      <c r="G126" s="112">
        <v>858.98401881725181</v>
      </c>
      <c r="H126" s="112">
        <v>1159.6284254032898</v>
      </c>
      <c r="I126" s="112">
        <v>1159.6284254032898</v>
      </c>
      <c r="J126" s="112">
        <v>1159.6284254032898</v>
      </c>
      <c r="K126" s="112">
        <v>1159.6284254032898</v>
      </c>
      <c r="L126" s="112">
        <v>1030.7808225807023</v>
      </c>
      <c r="M126" s="112">
        <v>1030.7808225807023</v>
      </c>
      <c r="N126" s="112">
        <v>1030.7808225807023</v>
      </c>
      <c r="O126" s="112">
        <v>1030.7808225807023</v>
      </c>
      <c r="P126" s="112">
        <v>1030.7808225807023</v>
      </c>
      <c r="Q126" s="112">
        <v>1030.7808225807023</v>
      </c>
      <c r="R126" s="112">
        <v>1030.7808225807023</v>
      </c>
      <c r="S126" s="112">
        <v>1030.7808225807023</v>
      </c>
      <c r="T126" s="112">
        <v>1159.6284254032898</v>
      </c>
      <c r="U126" s="112">
        <v>1159.6284254032898</v>
      </c>
      <c r="V126" s="112">
        <v>1159.6284254032898</v>
      </c>
      <c r="W126" s="112">
        <v>1159.6284254032898</v>
      </c>
      <c r="X126" s="112">
        <v>1030.7808225807023</v>
      </c>
      <c r="Y126" s="112">
        <v>1030.7808225807023</v>
      </c>
      <c r="Z126" s="112">
        <v>1030.7808225807023</v>
      </c>
      <c r="AA126" s="112">
        <v>1030.7808225807023</v>
      </c>
      <c r="AB126" s="112">
        <v>1030.7808225807023</v>
      </c>
      <c r="AC126" s="112">
        <v>741.64853207926842</v>
      </c>
      <c r="AD126" s="112">
        <v>295.32322785574911</v>
      </c>
      <c r="AE126" s="112">
        <v>251.97391439839657</v>
      </c>
      <c r="AF126" s="112">
        <v>0</v>
      </c>
      <c r="AG126" s="112">
        <v>895.27736748940833</v>
      </c>
      <c r="AH126" s="112">
        <v>1159.6284254032898</v>
      </c>
      <c r="AI126" s="112">
        <v>1159.6284254032898</v>
      </c>
      <c r="AJ126" s="112">
        <v>1030.7808225807023</v>
      </c>
      <c r="AK126" s="112">
        <v>1030.7808225807023</v>
      </c>
      <c r="AL126" s="112">
        <v>1030.7808225807023</v>
      </c>
      <c r="AM126" s="112">
        <v>1030.7808225807023</v>
      </c>
      <c r="AN126" s="112">
        <v>1030.7808225807023</v>
      </c>
      <c r="AO126" s="112">
        <v>1030.7808225807023</v>
      </c>
      <c r="AP126" s="112">
        <v>1030.7808225807023</v>
      </c>
      <c r="AQ126" s="112">
        <v>1030.7808225807023</v>
      </c>
      <c r="AR126" s="112">
        <v>1159.6284254032898</v>
      </c>
      <c r="AS126" s="112">
        <v>1159.6284254032898</v>
      </c>
      <c r="AT126" s="112">
        <v>1159.6284254032898</v>
      </c>
      <c r="AU126" s="112">
        <v>1159.6284254032898</v>
      </c>
      <c r="AV126" s="112">
        <v>1030.7808225807023</v>
      </c>
      <c r="AW126" s="112">
        <v>1030.7808225807023</v>
      </c>
      <c r="AX126" s="112">
        <v>1030.7808225807023</v>
      </c>
      <c r="AY126" s="112">
        <v>1030.7808225807023</v>
      </c>
    </row>
    <row r="127" spans="1:52" x14ac:dyDescent="0.2">
      <c r="A127" s="115"/>
      <c r="B127" s="125">
        <v>6</v>
      </c>
      <c r="C127" s="112">
        <v>622.41683522977178</v>
      </c>
      <c r="D127" s="112">
        <v>622.41683522977178</v>
      </c>
      <c r="E127" s="112">
        <v>622.41683522977178</v>
      </c>
      <c r="F127" s="112">
        <v>622.41683522977178</v>
      </c>
      <c r="G127" s="112">
        <v>622.41683522977178</v>
      </c>
      <c r="H127" s="112">
        <v>622.41683522977178</v>
      </c>
      <c r="I127" s="112">
        <v>840.26272756019182</v>
      </c>
      <c r="J127" s="112">
        <v>840.26272756019182</v>
      </c>
      <c r="K127" s="112">
        <v>840.26272756019182</v>
      </c>
      <c r="L127" s="112">
        <v>840.26272756019182</v>
      </c>
      <c r="M127" s="112">
        <v>746.9002022757262</v>
      </c>
      <c r="N127" s="112">
        <v>746.9002022757262</v>
      </c>
      <c r="O127" s="112">
        <v>746.9002022757262</v>
      </c>
      <c r="P127" s="112">
        <v>746.9002022757262</v>
      </c>
      <c r="Q127" s="112">
        <v>746.9002022757262</v>
      </c>
      <c r="R127" s="112">
        <v>746.9002022757262</v>
      </c>
      <c r="S127" s="112">
        <v>746.9002022757262</v>
      </c>
      <c r="T127" s="112">
        <v>746.9002022757262</v>
      </c>
      <c r="U127" s="112">
        <v>840.26272756019182</v>
      </c>
      <c r="V127" s="112">
        <v>840.26272756019182</v>
      </c>
      <c r="W127" s="112">
        <v>840.26272756019182</v>
      </c>
      <c r="X127" s="112">
        <v>840.26272756019182</v>
      </c>
      <c r="Y127" s="112">
        <v>746.9002022757262</v>
      </c>
      <c r="Z127" s="112">
        <v>425.68752135911393</v>
      </c>
      <c r="AA127" s="112">
        <v>274.7229374278586</v>
      </c>
      <c r="AB127" s="112">
        <v>169.24237701516688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392.09757212027102</v>
      </c>
      <c r="AI127" s="112">
        <v>840.26272756019182</v>
      </c>
      <c r="AJ127" s="112">
        <v>840.26272756019182</v>
      </c>
      <c r="AK127" s="112">
        <v>746.9002022757262</v>
      </c>
      <c r="AL127" s="112">
        <v>746.9002022757262</v>
      </c>
      <c r="AM127" s="112">
        <v>746.9002022757262</v>
      </c>
      <c r="AN127" s="112">
        <v>746.9002022757262</v>
      </c>
      <c r="AO127" s="112">
        <v>746.9002022757262</v>
      </c>
      <c r="AP127" s="112">
        <v>746.9002022757262</v>
      </c>
      <c r="AQ127" s="112">
        <v>746.9002022757262</v>
      </c>
      <c r="AR127" s="112">
        <v>746.9002022757262</v>
      </c>
      <c r="AS127" s="112">
        <v>840.26272756019182</v>
      </c>
      <c r="AT127" s="112">
        <v>840.26272756019182</v>
      </c>
      <c r="AU127" s="112">
        <v>840.26272756019182</v>
      </c>
      <c r="AV127" s="112">
        <v>840.26272756019182</v>
      </c>
      <c r="AW127" s="112">
        <v>746.9002022757262</v>
      </c>
      <c r="AX127" s="112">
        <v>746.9002022757262</v>
      </c>
      <c r="AY127" s="112">
        <v>746.9002022757262</v>
      </c>
    </row>
    <row r="128" spans="1:52" x14ac:dyDescent="0.2">
      <c r="A128" s="115"/>
      <c r="B128" s="125">
        <v>7</v>
      </c>
      <c r="C128" s="112">
        <v>374.32839127689522</v>
      </c>
      <c r="D128" s="112">
        <v>388.23812762766823</v>
      </c>
      <c r="E128" s="112">
        <v>302.94141672784917</v>
      </c>
      <c r="F128" s="112">
        <v>373.51137392551527</v>
      </c>
      <c r="G128" s="112">
        <v>384.54058129021934</v>
      </c>
      <c r="H128" s="112">
        <v>423.6378450259154</v>
      </c>
      <c r="I128" s="112">
        <v>277.28204585793679</v>
      </c>
      <c r="J128" s="112">
        <v>393.76905956438731</v>
      </c>
      <c r="K128" s="112">
        <v>361.7692288954492</v>
      </c>
      <c r="L128" s="112">
        <v>433.86848250325511</v>
      </c>
      <c r="M128" s="112">
        <v>608.85145263781328</v>
      </c>
      <c r="N128" s="112">
        <v>541.20129123361198</v>
      </c>
      <c r="O128" s="112">
        <v>541.20129123361198</v>
      </c>
      <c r="P128" s="112">
        <v>541.20129123361198</v>
      </c>
      <c r="Q128" s="112">
        <v>541.20129123361198</v>
      </c>
      <c r="R128" s="112">
        <v>541.20129123361198</v>
      </c>
      <c r="S128" s="112">
        <v>541.20129123361198</v>
      </c>
      <c r="T128" s="112">
        <v>541.20129123361198</v>
      </c>
      <c r="U128" s="112">
        <v>541.20129123361198</v>
      </c>
      <c r="V128" s="112">
        <v>582.75768289702285</v>
      </c>
      <c r="W128" s="112">
        <v>574.80463539703828</v>
      </c>
      <c r="X128" s="112">
        <v>608.85145263781328</v>
      </c>
      <c r="Y128" s="112">
        <v>140.1832145268915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35.73741867880409</v>
      </c>
      <c r="AJ128" s="112">
        <v>416.83418919978385</v>
      </c>
      <c r="AK128" s="112">
        <v>608.85145263781328</v>
      </c>
      <c r="AL128" s="112">
        <v>541.20129123361198</v>
      </c>
      <c r="AM128" s="112">
        <v>541.20129123361198</v>
      </c>
      <c r="AN128" s="112">
        <v>541.20129123361198</v>
      </c>
      <c r="AO128" s="112">
        <v>541.20129123361198</v>
      </c>
      <c r="AP128" s="112">
        <v>541.20129123361198</v>
      </c>
      <c r="AQ128" s="112">
        <v>541.20129123361198</v>
      </c>
      <c r="AR128" s="112">
        <v>496.34288033559801</v>
      </c>
      <c r="AS128" s="112">
        <v>386.91361762818872</v>
      </c>
      <c r="AT128" s="112">
        <v>238.20771552036393</v>
      </c>
      <c r="AU128" s="112">
        <v>349.54171895923548</v>
      </c>
      <c r="AV128" s="112">
        <v>274.6981900225224</v>
      </c>
      <c r="AW128" s="112">
        <v>573.46754646032571</v>
      </c>
      <c r="AX128" s="112">
        <v>541.20129123361198</v>
      </c>
      <c r="AY128" s="112">
        <v>541.20129123361198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75.379594811847085</v>
      </c>
      <c r="N129" s="112">
        <v>218.20420294284636</v>
      </c>
      <c r="O129" s="112">
        <v>248.89844436034991</v>
      </c>
      <c r="P129" s="112">
        <v>263.56993163461857</v>
      </c>
      <c r="Q129" s="112">
        <v>190.09906324315762</v>
      </c>
      <c r="R129" s="112">
        <v>220.89769572497605</v>
      </c>
      <c r="S129" s="112">
        <v>215.24540416210397</v>
      </c>
      <c r="T129" s="112">
        <v>184.18888252215694</v>
      </c>
      <c r="U129" s="112">
        <v>41.615199311286801</v>
      </c>
      <c r="V129" s="112">
        <v>0</v>
      </c>
      <c r="W129" s="112">
        <v>0</v>
      </c>
      <c r="X129" s="112">
        <v>8.501441472501142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22.761755256213519</v>
      </c>
      <c r="AL129" s="112">
        <v>220.31157680809034</v>
      </c>
      <c r="AM129" s="112">
        <v>331.78957807141899</v>
      </c>
      <c r="AN129" s="112">
        <v>368.12087705304657</v>
      </c>
      <c r="AO129" s="112">
        <v>250.89168341986027</v>
      </c>
      <c r="AP129" s="112">
        <v>131.59650021197547</v>
      </c>
      <c r="AQ129" s="112">
        <v>41.933964091145981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143.5325914750876</v>
      </c>
      <c r="AY129" s="112">
        <v>202.15579209141737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11699.200236454</v>
      </c>
      <c r="E175" s="130">
        <f t="shared" si="1"/>
        <v>11999.859465954956</v>
      </c>
      <c r="F175" s="130">
        <f t="shared" si="1"/>
        <v>11121.101954632055</v>
      </c>
      <c r="G175" s="130">
        <f t="shared" si="1"/>
        <v>10534.096697699304</v>
      </c>
      <c r="H175" s="130">
        <f t="shared" si="1"/>
        <v>9647.0857978277872</v>
      </c>
      <c r="I175" s="130">
        <f t="shared" si="1"/>
        <v>9372.4620632486221</v>
      </c>
      <c r="J175" s="130">
        <f t="shared" si="1"/>
        <v>8794.0999400556575</v>
      </c>
      <c r="K175" s="130">
        <f t="shared" si="1"/>
        <v>8327.4164217353209</v>
      </c>
      <c r="L175" s="130">
        <f t="shared" si="1"/>
        <v>8085.0703110335271</v>
      </c>
      <c r="M175" s="130">
        <f t="shared" si="1"/>
        <v>7359.0273174214262</v>
      </c>
      <c r="N175" s="130">
        <f t="shared" si="1"/>
        <v>7203.3971340514927</v>
      </c>
      <c r="O175" s="130">
        <f t="shared" si="1"/>
        <v>7099.2914591009521</v>
      </c>
      <c r="P175" s="130">
        <f t="shared" si="1"/>
        <v>6990.6132443432771</v>
      </c>
      <c r="Q175" s="130">
        <f t="shared" si="1"/>
        <v>6889.1617810053649</v>
      </c>
      <c r="R175" s="130">
        <f t="shared" si="1"/>
        <v>6428.8671611077225</v>
      </c>
      <c r="S175" s="130">
        <f t="shared" si="1"/>
        <v>6204.6330977155558</v>
      </c>
      <c r="T175" s="130">
        <f t="shared" si="1"/>
        <v>6138.8395581047807</v>
      </c>
      <c r="U175" s="130">
        <f t="shared" si="1"/>
        <v>6123.4735426475854</v>
      </c>
      <c r="V175" s="130">
        <f t="shared" si="1"/>
        <v>6082.8758057722744</v>
      </c>
      <c r="W175" s="130">
        <f t="shared" si="1"/>
        <v>6332.3183640704465</v>
      </c>
      <c r="X175" s="130">
        <f t="shared" si="1"/>
        <v>6387.6731960499383</v>
      </c>
      <c r="Y175" s="130">
        <f t="shared" si="1"/>
        <v>6655.5398359344335</v>
      </c>
      <c r="Z175" s="130">
        <f t="shared" si="1"/>
        <v>7193.9450594885884</v>
      </c>
      <c r="AA175" s="130">
        <f t="shared" si="1"/>
        <v>7653.0711156272655</v>
      </c>
      <c r="AB175" s="130">
        <f t="shared" si="1"/>
        <v>8182.1931225327444</v>
      </c>
      <c r="AC175" s="130">
        <f t="shared" si="1"/>
        <v>8673.5790918885741</v>
      </c>
      <c r="AD175" s="130">
        <f t="shared" si="1"/>
        <v>9181.741370311438</v>
      </c>
      <c r="AE175" s="130">
        <f t="shared" si="1"/>
        <v>9330.9890799190653</v>
      </c>
      <c r="AF175" s="130">
        <f t="shared" si="1"/>
        <v>10105.576370844785</v>
      </c>
      <c r="AG175" s="130">
        <f t="shared" si="1"/>
        <v>9942.532523660193</v>
      </c>
      <c r="AH175" s="130">
        <f t="shared" si="1"/>
        <v>9875.8464825630399</v>
      </c>
      <c r="AI175" s="130">
        <f t="shared" si="1"/>
        <v>9693.2441657667387</v>
      </c>
      <c r="AJ175" s="130">
        <f t="shared" si="1"/>
        <v>9410.366684725519</v>
      </c>
      <c r="AK175" s="130">
        <f t="shared" si="1"/>
        <v>9126.4443471956984</v>
      </c>
      <c r="AL175" s="130">
        <f t="shared" si="1"/>
        <v>8977.2563732502858</v>
      </c>
      <c r="AM175" s="130">
        <f t="shared" si="1"/>
        <v>8590.4988731479134</v>
      </c>
      <c r="AN175" s="130">
        <f t="shared" si="1"/>
        <v>8252.2072650845766</v>
      </c>
      <c r="AO175" s="130">
        <f t="shared" si="1"/>
        <v>7438.0019777723755</v>
      </c>
      <c r="AP175" s="130">
        <f t="shared" si="1"/>
        <v>6973.7815943333453</v>
      </c>
      <c r="AQ175" s="130">
        <f t="shared" si="1"/>
        <v>6497.4334132969507</v>
      </c>
      <c r="AR175" s="130">
        <f t="shared" si="1"/>
        <v>6280.1376951383972</v>
      </c>
      <c r="AS175" s="130">
        <f t="shared" si="1"/>
        <v>6410.1859531255704</v>
      </c>
      <c r="AT175" s="130">
        <f t="shared" si="1"/>
        <v>6507.8529792740937</v>
      </c>
      <c r="AU175" s="130">
        <f t="shared" si="1"/>
        <v>6559.395098637413</v>
      </c>
      <c r="AV175" s="130">
        <f t="shared" si="1"/>
        <v>6659.6697606759308</v>
      </c>
      <c r="AW175" s="130">
        <f t="shared" si="1"/>
        <v>6802.3590835994892</v>
      </c>
      <c r="AX175" s="130">
        <f t="shared" si="1"/>
        <v>6886.8459595794411</v>
      </c>
      <c r="AY175" s="130">
        <f t="shared" si="1"/>
        <v>6772.9585190638227</v>
      </c>
    </row>
    <row r="176" spans="1:52" x14ac:dyDescent="0.2">
      <c r="A176" s="131"/>
      <c r="B176" s="142" t="s">
        <v>299</v>
      </c>
      <c r="C176" s="131" t="s">
        <v>293</v>
      </c>
      <c r="D176" s="131">
        <v>573</v>
      </c>
      <c r="E176" s="131">
        <v>668</v>
      </c>
      <c r="F176" s="131">
        <v>489</v>
      </c>
      <c r="G176" s="131">
        <v>403</v>
      </c>
      <c r="H176" s="131">
        <v>601</v>
      </c>
      <c r="I176" s="131">
        <v>793</v>
      </c>
      <c r="J176" s="131">
        <v>717</v>
      </c>
      <c r="K176" s="131">
        <v>872</v>
      </c>
      <c r="L176" s="131">
        <v>601</v>
      </c>
      <c r="M176" s="131">
        <v>559</v>
      </c>
      <c r="N176" s="131">
        <v>545</v>
      </c>
      <c r="O176" s="131">
        <v>577</v>
      </c>
      <c r="P176" s="131">
        <v>375</v>
      </c>
      <c r="Q176" s="131">
        <v>350</v>
      </c>
      <c r="R176" s="131">
        <v>361</v>
      </c>
      <c r="S176" s="131">
        <v>391</v>
      </c>
      <c r="T176" s="131">
        <v>548</v>
      </c>
      <c r="U176" s="131">
        <v>455</v>
      </c>
      <c r="V176" s="131">
        <v>656</v>
      </c>
      <c r="W176" s="131">
        <v>447</v>
      </c>
      <c r="X176" s="131">
        <v>870</v>
      </c>
      <c r="Y176" s="131">
        <v>744</v>
      </c>
      <c r="Z176" s="131">
        <v>820</v>
      </c>
      <c r="AA176" s="131">
        <v>534</v>
      </c>
      <c r="AB176" s="131">
        <v>178</v>
      </c>
      <c r="AC176" s="131">
        <v>163</v>
      </c>
      <c r="AD176" s="131">
        <v>151</v>
      </c>
      <c r="AE176" s="131">
        <v>207</v>
      </c>
      <c r="AF176" s="131">
        <v>190</v>
      </c>
      <c r="AG176" s="131">
        <v>180</v>
      </c>
      <c r="AH176" s="131">
        <v>215</v>
      </c>
      <c r="AI176" s="131">
        <v>203</v>
      </c>
      <c r="AJ176" s="131">
        <v>299</v>
      </c>
      <c r="AK176" s="131">
        <v>254</v>
      </c>
      <c r="AL176" s="131">
        <v>236</v>
      </c>
      <c r="AM176" s="131">
        <v>299</v>
      </c>
      <c r="AN176" s="131">
        <v>512</v>
      </c>
      <c r="AO176" s="131">
        <v>515</v>
      </c>
      <c r="AP176" s="131">
        <v>513</v>
      </c>
      <c r="AQ176" s="131">
        <v>486</v>
      </c>
      <c r="AR176" s="131">
        <v>273</v>
      </c>
      <c r="AS176" s="131">
        <v>239</v>
      </c>
      <c r="AT176" s="131">
        <v>205</v>
      </c>
      <c r="AU176" s="131">
        <v>345</v>
      </c>
      <c r="AV176" s="131">
        <v>215</v>
      </c>
      <c r="AW176" s="131">
        <v>219</v>
      </c>
      <c r="AX176" s="131">
        <v>222</v>
      </c>
      <c r="AY176" s="131">
        <v>190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442</v>
      </c>
      <c r="E177" s="130">
        <f t="shared" si="2"/>
        <v>0</v>
      </c>
      <c r="F177" s="130">
        <f t="shared" si="2"/>
        <v>221</v>
      </c>
      <c r="G177" s="130">
        <f t="shared" si="2"/>
        <v>0</v>
      </c>
      <c r="H177" s="130">
        <f t="shared" si="2"/>
        <v>242</v>
      </c>
      <c r="I177" s="130">
        <f t="shared" si="2"/>
        <v>0</v>
      </c>
      <c r="J177" s="130">
        <f t="shared" si="2"/>
        <v>121</v>
      </c>
      <c r="K177" s="130">
        <f t="shared" si="2"/>
        <v>242</v>
      </c>
      <c r="L177" s="130">
        <f t="shared" si="2"/>
        <v>0</v>
      </c>
      <c r="M177" s="130">
        <f t="shared" si="2"/>
        <v>242</v>
      </c>
      <c r="N177" s="130">
        <f t="shared" si="2"/>
        <v>121</v>
      </c>
      <c r="O177" s="130">
        <f t="shared" si="2"/>
        <v>121</v>
      </c>
      <c r="P177" s="130">
        <f t="shared" si="2"/>
        <v>121</v>
      </c>
      <c r="Q177" s="130">
        <f t="shared" si="2"/>
        <v>0</v>
      </c>
      <c r="R177" s="130">
        <f t="shared" si="2"/>
        <v>242</v>
      </c>
      <c r="S177" s="130">
        <f t="shared" si="2"/>
        <v>121</v>
      </c>
      <c r="T177" s="130">
        <f t="shared" si="2"/>
        <v>0</v>
      </c>
      <c r="U177" s="130">
        <f t="shared" si="2"/>
        <v>121</v>
      </c>
      <c r="V177" s="130">
        <f t="shared" si="2"/>
        <v>242</v>
      </c>
      <c r="W177" s="130">
        <f t="shared" si="2"/>
        <v>0</v>
      </c>
      <c r="X177" s="130">
        <f t="shared" si="2"/>
        <v>0</v>
      </c>
      <c r="Y177" s="130">
        <f t="shared" si="2"/>
        <v>242</v>
      </c>
      <c r="Z177" s="130">
        <f t="shared" si="2"/>
        <v>121</v>
      </c>
      <c r="AA177" s="130">
        <f t="shared" si="2"/>
        <v>121</v>
      </c>
      <c r="AB177" s="130">
        <f t="shared" si="2"/>
        <v>121</v>
      </c>
      <c r="AC177" s="130">
        <f t="shared" si="2"/>
        <v>121</v>
      </c>
      <c r="AD177" s="130">
        <f t="shared" si="2"/>
        <v>121</v>
      </c>
      <c r="AE177" s="130">
        <f t="shared" si="2"/>
        <v>242</v>
      </c>
      <c r="AF177" s="130">
        <f t="shared" si="2"/>
        <v>121</v>
      </c>
      <c r="AG177" s="130">
        <f t="shared" si="2"/>
        <v>121</v>
      </c>
      <c r="AH177" s="130">
        <f t="shared" si="2"/>
        <v>121</v>
      </c>
      <c r="AI177" s="130">
        <f t="shared" si="2"/>
        <v>121</v>
      </c>
      <c r="AJ177" s="130">
        <f t="shared" si="2"/>
        <v>121</v>
      </c>
      <c r="AK177" s="130">
        <f t="shared" si="2"/>
        <v>121</v>
      </c>
      <c r="AL177" s="130">
        <f t="shared" si="2"/>
        <v>0</v>
      </c>
      <c r="AM177" s="130">
        <f t="shared" si="2"/>
        <v>121</v>
      </c>
      <c r="AN177" s="130">
        <f t="shared" si="2"/>
        <v>0</v>
      </c>
      <c r="AO177" s="130">
        <f t="shared" si="2"/>
        <v>363</v>
      </c>
      <c r="AP177" s="130">
        <f t="shared" si="2"/>
        <v>121</v>
      </c>
      <c r="AQ177" s="130">
        <f t="shared" si="2"/>
        <v>121</v>
      </c>
      <c r="AR177" s="130">
        <f t="shared" si="2"/>
        <v>121</v>
      </c>
      <c r="AS177" s="130">
        <f t="shared" si="2"/>
        <v>0</v>
      </c>
      <c r="AT177" s="130">
        <f t="shared" si="2"/>
        <v>121</v>
      </c>
      <c r="AU177" s="130">
        <f t="shared" si="2"/>
        <v>121</v>
      </c>
      <c r="AV177" s="130">
        <f t="shared" si="2"/>
        <v>242</v>
      </c>
      <c r="AW177" s="130">
        <f t="shared" si="2"/>
        <v>0</v>
      </c>
      <c r="AX177" s="130">
        <f t="shared" si="2"/>
        <v>0</v>
      </c>
      <c r="AY177" s="130">
        <f t="shared" si="2"/>
        <v>363</v>
      </c>
    </row>
    <row r="178" spans="1:51" x14ac:dyDescent="0.2">
      <c r="A178" s="131"/>
      <c r="B178" s="142" t="s">
        <v>299</v>
      </c>
      <c r="C178" s="131" t="s">
        <v>293</v>
      </c>
      <c r="D178" s="131">
        <v>442</v>
      </c>
      <c r="E178" s="131">
        <v>0</v>
      </c>
      <c r="F178" s="131">
        <v>221</v>
      </c>
      <c r="G178" s="131">
        <v>0</v>
      </c>
      <c r="H178" s="131">
        <v>242</v>
      </c>
      <c r="I178" s="131">
        <v>0</v>
      </c>
      <c r="J178" s="131">
        <v>121</v>
      </c>
      <c r="K178" s="131">
        <v>242</v>
      </c>
      <c r="L178" s="131">
        <v>0</v>
      </c>
      <c r="M178" s="131">
        <v>242</v>
      </c>
      <c r="N178" s="131">
        <v>121</v>
      </c>
      <c r="O178" s="131">
        <v>121</v>
      </c>
      <c r="P178" s="131">
        <v>121</v>
      </c>
      <c r="Q178" s="131">
        <v>0</v>
      </c>
      <c r="R178" s="131">
        <v>242</v>
      </c>
      <c r="S178" s="131">
        <v>121</v>
      </c>
      <c r="T178" s="131">
        <v>0</v>
      </c>
      <c r="U178" s="131">
        <v>121</v>
      </c>
      <c r="V178" s="131">
        <v>242</v>
      </c>
      <c r="W178" s="131">
        <v>0</v>
      </c>
      <c r="X178" s="131">
        <v>0</v>
      </c>
      <c r="Y178" s="131">
        <v>242</v>
      </c>
      <c r="Z178" s="131">
        <v>121</v>
      </c>
      <c r="AA178" s="131">
        <v>121</v>
      </c>
      <c r="AB178" s="131">
        <v>121</v>
      </c>
      <c r="AC178" s="131">
        <v>121</v>
      </c>
      <c r="AD178" s="131">
        <v>121</v>
      </c>
      <c r="AE178" s="131">
        <v>242</v>
      </c>
      <c r="AF178" s="131">
        <v>121</v>
      </c>
      <c r="AG178" s="131">
        <v>121</v>
      </c>
      <c r="AH178" s="131">
        <v>121</v>
      </c>
      <c r="AI178" s="131">
        <v>121</v>
      </c>
      <c r="AJ178" s="131">
        <v>121</v>
      </c>
      <c r="AK178" s="131">
        <v>121</v>
      </c>
      <c r="AL178" s="131">
        <v>0</v>
      </c>
      <c r="AM178" s="131">
        <v>121</v>
      </c>
      <c r="AN178" s="131">
        <v>0</v>
      </c>
      <c r="AO178" s="131">
        <v>363</v>
      </c>
      <c r="AP178" s="131">
        <v>121</v>
      </c>
      <c r="AQ178" s="131">
        <v>121</v>
      </c>
      <c r="AR178" s="131">
        <v>121</v>
      </c>
      <c r="AS178" s="131">
        <v>0</v>
      </c>
      <c r="AT178" s="131">
        <v>121</v>
      </c>
      <c r="AU178" s="131">
        <v>121</v>
      </c>
      <c r="AV178" s="131">
        <v>242</v>
      </c>
      <c r="AW178" s="131">
        <v>0</v>
      </c>
      <c r="AX178" s="131">
        <v>0</v>
      </c>
      <c r="AY178" s="131">
        <v>363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26703.178338882975</v>
      </c>
      <c r="E179" s="130">
        <f t="shared" si="3"/>
        <v>26139.566033753992</v>
      </c>
      <c r="F179" s="130">
        <f t="shared" si="3"/>
        <v>26154.141338528047</v>
      </c>
      <c r="G179" s="130">
        <f t="shared" si="3"/>
        <v>26536.204541934298</v>
      </c>
      <c r="H179" s="130">
        <f t="shared" si="3"/>
        <v>27308.876620057119</v>
      </c>
      <c r="I179" s="130">
        <f t="shared" si="3"/>
        <v>28092.688741414349</v>
      </c>
      <c r="J179" s="130">
        <f t="shared" si="3"/>
        <v>28678.969100622799</v>
      </c>
      <c r="K179" s="130">
        <f t="shared" si="3"/>
        <v>29234.472240824281</v>
      </c>
      <c r="L179" s="130">
        <f t="shared" si="3"/>
        <v>29775.566700740848</v>
      </c>
      <c r="M179" s="130">
        <f t="shared" si="3"/>
        <v>30102.609654691012</v>
      </c>
      <c r="N179" s="130">
        <f t="shared" si="3"/>
        <v>30304.065391334148</v>
      </c>
      <c r="O179" s="130">
        <f t="shared" si="3"/>
        <v>30377.476824867179</v>
      </c>
      <c r="P179" s="130">
        <f t="shared" si="3"/>
        <v>30004.080703777545</v>
      </c>
      <c r="Q179" s="130">
        <f t="shared" si="3"/>
        <v>29961.324555566418</v>
      </c>
      <c r="R179" s="130">
        <f t="shared" si="3"/>
        <v>29903.415293260299</v>
      </c>
      <c r="S179" s="130">
        <f t="shared" si="3"/>
        <v>30076.481857003142</v>
      </c>
      <c r="T179" s="130">
        <f t="shared" si="3"/>
        <v>30632.887164004314</v>
      </c>
      <c r="U179" s="130">
        <f t="shared" si="3"/>
        <v>30915.142817328422</v>
      </c>
      <c r="V179" s="130">
        <f t="shared" si="3"/>
        <v>31080.204611573543</v>
      </c>
      <c r="W179" s="130">
        <f t="shared" si="3"/>
        <v>31258.534891987561</v>
      </c>
      <c r="X179" s="130">
        <f t="shared" si="3"/>
        <v>31289.479404117381</v>
      </c>
      <c r="Y179" s="130">
        <f t="shared" si="3"/>
        <v>31350.14496910078</v>
      </c>
      <c r="Z179" s="130">
        <f t="shared" si="3"/>
        <v>31394.135640990124</v>
      </c>
      <c r="AA179" s="130">
        <f t="shared" si="3"/>
        <v>31085.974168782697</v>
      </c>
      <c r="AB179" s="130">
        <f t="shared" si="3"/>
        <v>30194.929873716868</v>
      </c>
      <c r="AC179" s="130">
        <f t="shared" si="3"/>
        <v>29823.240091937132</v>
      </c>
      <c r="AD179" s="130">
        <f t="shared" si="3"/>
        <v>29515.997868015853</v>
      </c>
      <c r="AE179" s="130">
        <f t="shared" si="3"/>
        <v>29111.279680653377</v>
      </c>
      <c r="AF179" s="130">
        <f t="shared" si="3"/>
        <v>29282.490001775379</v>
      </c>
      <c r="AG179" s="130">
        <f t="shared" si="3"/>
        <v>28783.514112334789</v>
      </c>
      <c r="AH179" s="130">
        <f t="shared" si="3"/>
        <v>28439.156773119721</v>
      </c>
      <c r="AI179" s="130">
        <f t="shared" si="3"/>
        <v>28315.6763070095</v>
      </c>
      <c r="AJ179" s="130">
        <f t="shared" si="3"/>
        <v>28346.304620352326</v>
      </c>
      <c r="AK179" s="130">
        <f t="shared" si="3"/>
        <v>28508.810464472372</v>
      </c>
      <c r="AL179" s="130">
        <f t="shared" si="3"/>
        <v>28649.098778270112</v>
      </c>
      <c r="AM179" s="130">
        <f t="shared" si="3"/>
        <v>28803.37827710915</v>
      </c>
      <c r="AN179" s="130">
        <f t="shared" si="3"/>
        <v>28758.935737617823</v>
      </c>
      <c r="AO179" s="130">
        <f t="shared" si="3"/>
        <v>28988.691738622696</v>
      </c>
      <c r="AP179" s="130">
        <f t="shared" si="3"/>
        <v>29568.802055547672</v>
      </c>
      <c r="AQ179" s="130">
        <f t="shared" si="3"/>
        <v>29956.992981492705</v>
      </c>
      <c r="AR179" s="130">
        <f t="shared" si="3"/>
        <v>30599.636320390877</v>
      </c>
      <c r="AS179" s="130">
        <f t="shared" si="3"/>
        <v>30945.33327976715</v>
      </c>
      <c r="AT179" s="130">
        <f t="shared" si="3"/>
        <v>31120.777405448382</v>
      </c>
      <c r="AU179" s="130">
        <f t="shared" si="3"/>
        <v>31135.721073858396</v>
      </c>
      <c r="AV179" s="130">
        <f t="shared" si="3"/>
        <v>31118.137543579178</v>
      </c>
      <c r="AW179" s="130">
        <f t="shared" si="3"/>
        <v>31012.041389502283</v>
      </c>
      <c r="AX179" s="130">
        <f t="shared" si="3"/>
        <v>30816.288177273949</v>
      </c>
      <c r="AY179" s="130">
        <f t="shared" si="3"/>
        <v>30508.552417173243</v>
      </c>
    </row>
    <row r="180" spans="1:51" x14ac:dyDescent="0.2">
      <c r="A180" s="131"/>
      <c r="B180" s="142" t="s">
        <v>299</v>
      </c>
      <c r="C180" s="131" t="s">
        <v>293</v>
      </c>
      <c r="D180" s="131">
        <v>295.37565752591524</v>
      </c>
      <c r="E180" s="131">
        <v>374</v>
      </c>
      <c r="F180" s="131">
        <v>304.10553840361808</v>
      </c>
      <c r="G180" s="131">
        <v>319</v>
      </c>
      <c r="H180" s="131">
        <v>411.68554061534877</v>
      </c>
      <c r="I180" s="131">
        <v>430</v>
      </c>
      <c r="J180" s="131">
        <v>444.40591603053434</v>
      </c>
      <c r="K180" s="131">
        <v>387.11969631330845</v>
      </c>
      <c r="L180" s="131">
        <v>1071</v>
      </c>
      <c r="M180" s="131">
        <v>887.58723646712758</v>
      </c>
      <c r="N180" s="131">
        <v>852.36413793103452</v>
      </c>
      <c r="O180" s="131">
        <v>982.93359133126933</v>
      </c>
      <c r="P180" s="131">
        <v>738.03536842105268</v>
      </c>
      <c r="Q180" s="131">
        <v>941</v>
      </c>
      <c r="R180" s="131">
        <v>1012.9688736398392</v>
      </c>
      <c r="S180" s="131">
        <v>887.92976445396141</v>
      </c>
      <c r="T180" s="131">
        <v>411</v>
      </c>
      <c r="U180" s="131">
        <v>393.40057361376671</v>
      </c>
      <c r="V180" s="131">
        <v>395.31100929644577</v>
      </c>
      <c r="W180" s="131">
        <v>466</v>
      </c>
      <c r="X180" s="131">
        <v>681</v>
      </c>
      <c r="Y180" s="131">
        <v>852.99024228654548</v>
      </c>
      <c r="Z180" s="131">
        <v>866.62896364194557</v>
      </c>
      <c r="AA180" s="131">
        <v>847.7211111111111</v>
      </c>
      <c r="AB180" s="131">
        <v>456.66493107745276</v>
      </c>
      <c r="AC180" s="131">
        <v>567.85354398276161</v>
      </c>
      <c r="AD180" s="131">
        <v>485.79709289483696</v>
      </c>
      <c r="AE180" s="131">
        <v>592.62869729147428</v>
      </c>
      <c r="AF180" s="131">
        <v>882.96347699050398</v>
      </c>
      <c r="AG180" s="131">
        <v>874.61729744489878</v>
      </c>
      <c r="AH180" s="131">
        <v>718.37511961545874</v>
      </c>
      <c r="AI180" s="131">
        <v>712.91247283199471</v>
      </c>
      <c r="AJ180" s="131">
        <v>648.27484981885027</v>
      </c>
      <c r="AK180" s="131">
        <v>831.35315889680237</v>
      </c>
      <c r="AL180" s="131">
        <v>688</v>
      </c>
      <c r="AM180" s="131">
        <v>583.44527336904287</v>
      </c>
      <c r="AN180" s="131">
        <v>736</v>
      </c>
      <c r="AO180" s="131">
        <v>634.3513168503091</v>
      </c>
      <c r="AP180" s="131">
        <v>693.57297774665506</v>
      </c>
      <c r="AQ180" s="131">
        <v>628.39619062282952</v>
      </c>
      <c r="AR180" s="131">
        <v>708.93600000000004</v>
      </c>
      <c r="AS180" s="131">
        <v>540</v>
      </c>
      <c r="AT180" s="131">
        <v>511.91421661837262</v>
      </c>
      <c r="AU180" s="131">
        <v>612.42997758251954</v>
      </c>
      <c r="AV180" s="131">
        <v>1529.4292601441252</v>
      </c>
      <c r="AW180" s="131">
        <v>954</v>
      </c>
      <c r="AX180" s="131">
        <v>943</v>
      </c>
      <c r="AY180" s="131">
        <v>1075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8083.3245206595739</v>
      </c>
      <c r="E181" s="130">
        <f t="shared" si="4"/>
        <v>8594.1310696825094</v>
      </c>
      <c r="F181" s="130">
        <f t="shared" si="4"/>
        <v>9060.1786616126265</v>
      </c>
      <c r="G181" s="130">
        <f t="shared" si="4"/>
        <v>9368.8147935307425</v>
      </c>
      <c r="H181" s="130">
        <f t="shared" si="4"/>
        <v>9276.311947368029</v>
      </c>
      <c r="I181" s="130">
        <f t="shared" si="4"/>
        <v>9082.7081707371945</v>
      </c>
      <c r="J181" s="130">
        <f t="shared" si="4"/>
        <v>8989.2944648865923</v>
      </c>
      <c r="K181" s="130">
        <f t="shared" si="4"/>
        <v>8837.259895954583</v>
      </c>
      <c r="L181" s="130">
        <f t="shared" si="4"/>
        <v>8796.1402393032149</v>
      </c>
      <c r="M181" s="130">
        <f t="shared" si="4"/>
        <v>8909.9019224971398</v>
      </c>
      <c r="N181" s="130">
        <f t="shared" si="4"/>
        <v>8964.3730653785515</v>
      </c>
      <c r="O181" s="130">
        <f t="shared" si="4"/>
        <v>8986.6140060530543</v>
      </c>
      <c r="P181" s="130">
        <f t="shared" si="4"/>
        <v>9335.923394691883</v>
      </c>
      <c r="Q181" s="130">
        <f t="shared" si="4"/>
        <v>9528.0919084745856</v>
      </c>
      <c r="R181" s="130">
        <f t="shared" si="4"/>
        <v>9728.2282817637497</v>
      </c>
      <c r="S181" s="130">
        <f t="shared" si="4"/>
        <v>9852.9802537605137</v>
      </c>
      <c r="T181" s="130">
        <f t="shared" si="4"/>
        <v>9585.160851439643</v>
      </c>
      <c r="U181" s="130">
        <f t="shared" si="4"/>
        <v>9304.0973676835965</v>
      </c>
      <c r="V181" s="130">
        <f t="shared" si="4"/>
        <v>9126.2349646540933</v>
      </c>
      <c r="W181" s="130">
        <f t="shared" si="4"/>
        <v>8991.6246112483332</v>
      </c>
      <c r="X181" s="130">
        <f t="shared" si="4"/>
        <v>8929.092406380445</v>
      </c>
      <c r="Y181" s="130">
        <f t="shared" si="4"/>
        <v>8515.6867532234864</v>
      </c>
      <c r="Z181" s="130">
        <f t="shared" si="4"/>
        <v>8181.360890647632</v>
      </c>
      <c r="AA181" s="130">
        <f t="shared" si="4"/>
        <v>8071.9724777041065</v>
      </c>
      <c r="AB181" s="130">
        <f t="shared" si="4"/>
        <v>8334.2201100943548</v>
      </c>
      <c r="AC181" s="130">
        <f t="shared" si="4"/>
        <v>8247.4886684980793</v>
      </c>
      <c r="AD181" s="130">
        <f t="shared" si="4"/>
        <v>8101.9026951649994</v>
      </c>
      <c r="AE181" s="130">
        <f t="shared" si="4"/>
        <v>8199.3395360869654</v>
      </c>
      <c r="AF181" s="130">
        <f t="shared" si="4"/>
        <v>7601.6940524111724</v>
      </c>
      <c r="AG181" s="130">
        <f t="shared" si="4"/>
        <v>8081.391253177786</v>
      </c>
      <c r="AH181" s="130">
        <f t="shared" si="4"/>
        <v>8379.2318582548705</v>
      </c>
      <c r="AI181" s="130">
        <f t="shared" si="4"/>
        <v>8601.0183791697982</v>
      </c>
      <c r="AJ181" s="130">
        <f t="shared" si="4"/>
        <v>8783.7972495664308</v>
      </c>
      <c r="AK181" s="130">
        <f t="shared" si="4"/>
        <v>8871.7752187920596</v>
      </c>
      <c r="AL181" s="130">
        <f t="shared" si="4"/>
        <v>8965.9000611585852</v>
      </c>
      <c r="AM181" s="130">
        <f t="shared" si="4"/>
        <v>9046.6766335092561</v>
      </c>
      <c r="AN181" s="130">
        <f t="shared" si="4"/>
        <v>9411.6806464475339</v>
      </c>
      <c r="AO181" s="130">
        <f t="shared" si="4"/>
        <v>9572.1420298118937</v>
      </c>
      <c r="AP181" s="130">
        <f t="shared" si="4"/>
        <v>9663.5209457996079</v>
      </c>
      <c r="AQ181" s="130">
        <f t="shared" si="4"/>
        <v>9727.3993865092107</v>
      </c>
      <c r="AR181" s="130">
        <f t="shared" si="4"/>
        <v>9419.1939785229315</v>
      </c>
      <c r="AS181" s="130">
        <f t="shared" si="4"/>
        <v>9162.1468266931697</v>
      </c>
      <c r="AT181" s="130">
        <f t="shared" si="4"/>
        <v>8876.5752555382169</v>
      </c>
      <c r="AU181" s="130">
        <f t="shared" si="4"/>
        <v>8828.3998847430612</v>
      </c>
      <c r="AV181" s="130">
        <f t="shared" si="4"/>
        <v>8680.805998458005</v>
      </c>
      <c r="AW181" s="130">
        <f t="shared" si="4"/>
        <v>8829.6430745622547</v>
      </c>
      <c r="AX181" s="130">
        <f t="shared" si="4"/>
        <v>8910.2662751785847</v>
      </c>
      <c r="AY181" s="130">
        <f t="shared" si="4"/>
        <v>8952.7444426407637</v>
      </c>
    </row>
    <row r="182" spans="1:51" x14ac:dyDescent="0.2">
      <c r="A182" s="131"/>
      <c r="B182" s="142" t="s">
        <v>299</v>
      </c>
      <c r="C182" s="131" t="s">
        <v>293</v>
      </c>
      <c r="D182" s="131">
        <v>429.37565752591524</v>
      </c>
      <c r="E182" s="131">
        <v>297</v>
      </c>
      <c r="F182" s="131">
        <v>337.10553840361808</v>
      </c>
      <c r="G182" s="131">
        <v>306</v>
      </c>
      <c r="H182" s="131">
        <v>480.68554061534877</v>
      </c>
      <c r="I182" s="131">
        <v>416</v>
      </c>
      <c r="J182" s="131">
        <v>532.4059160305344</v>
      </c>
      <c r="K182" s="131">
        <v>437.11969631330845</v>
      </c>
      <c r="L182" s="131">
        <v>239</v>
      </c>
      <c r="M182" s="131">
        <v>277.58723646712758</v>
      </c>
      <c r="N182" s="131">
        <v>301.36413793103446</v>
      </c>
      <c r="O182" s="131">
        <v>308.93359133126933</v>
      </c>
      <c r="P182" s="131">
        <v>393.03536842105262</v>
      </c>
      <c r="Q182" s="131">
        <v>309</v>
      </c>
      <c r="R182" s="131">
        <v>336.96887363983922</v>
      </c>
      <c r="S182" s="131">
        <v>363.92976445396147</v>
      </c>
      <c r="T182" s="131">
        <v>484</v>
      </c>
      <c r="U182" s="131">
        <v>448.40057361376671</v>
      </c>
      <c r="V182" s="131">
        <v>456.31100929644577</v>
      </c>
      <c r="W182" s="131">
        <v>408</v>
      </c>
      <c r="X182" s="131">
        <v>916</v>
      </c>
      <c r="Y182" s="131">
        <v>963.99024228654548</v>
      </c>
      <c r="Z182" s="131">
        <v>780.62896364194557</v>
      </c>
      <c r="AA182" s="131">
        <v>776.7211111111111</v>
      </c>
      <c r="AB182" s="131">
        <v>1158.6649310774528</v>
      </c>
      <c r="AC182" s="131">
        <v>1272.8535439827615</v>
      </c>
      <c r="AD182" s="131">
        <v>992.79709289483696</v>
      </c>
      <c r="AE182" s="131">
        <v>1447.6286972914743</v>
      </c>
      <c r="AF182" s="131">
        <v>187.96347699050403</v>
      </c>
      <c r="AG182" s="131">
        <v>256.61729744489878</v>
      </c>
      <c r="AH182" s="131">
        <v>248.3751196154588</v>
      </c>
      <c r="AI182" s="131">
        <v>217.91247283199473</v>
      </c>
      <c r="AJ182" s="131">
        <v>279.27484981885021</v>
      </c>
      <c r="AK182" s="131">
        <v>237.35315889680231</v>
      </c>
      <c r="AL182" s="131">
        <v>220</v>
      </c>
      <c r="AM182" s="131">
        <v>264.44527336904292</v>
      </c>
      <c r="AN182" s="131">
        <v>408</v>
      </c>
      <c r="AO182" s="131">
        <v>442.35131685030905</v>
      </c>
      <c r="AP182" s="131">
        <v>445.57297774665506</v>
      </c>
      <c r="AQ182" s="131">
        <v>467.39619062282952</v>
      </c>
      <c r="AR182" s="131">
        <v>513.93600000000004</v>
      </c>
      <c r="AS182" s="131">
        <v>651</v>
      </c>
      <c r="AT182" s="131">
        <v>431.91421661837262</v>
      </c>
      <c r="AU182" s="131">
        <v>587.42997758251954</v>
      </c>
      <c r="AV182" s="131">
        <v>234.42926014412524</v>
      </c>
      <c r="AW182" s="131">
        <v>272</v>
      </c>
      <c r="AX182" s="131">
        <v>294</v>
      </c>
      <c r="AY182" s="131">
        <v>282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276.86662345287095</v>
      </c>
      <c r="K185" s="130">
        <v>872</v>
      </c>
      <c r="L185" s="130">
        <v>601</v>
      </c>
      <c r="M185" s="130">
        <v>559</v>
      </c>
      <c r="N185" s="130">
        <v>545</v>
      </c>
      <c r="O185" s="130">
        <v>577</v>
      </c>
      <c r="P185" s="130">
        <v>375</v>
      </c>
      <c r="Q185" s="130">
        <v>350</v>
      </c>
      <c r="R185" s="130">
        <v>361</v>
      </c>
      <c r="S185" s="130">
        <v>391</v>
      </c>
      <c r="T185" s="130">
        <v>548</v>
      </c>
      <c r="U185" s="130">
        <v>455</v>
      </c>
      <c r="V185" s="130">
        <v>656</v>
      </c>
      <c r="W185" s="130">
        <v>447</v>
      </c>
      <c r="X185" s="130">
        <v>870</v>
      </c>
      <c r="Y185" s="130">
        <v>744</v>
      </c>
      <c r="Z185" s="130">
        <v>820</v>
      </c>
      <c r="AA185" s="130">
        <v>534</v>
      </c>
      <c r="AB185" s="130">
        <v>178</v>
      </c>
      <c r="AC185" s="130">
        <v>163</v>
      </c>
      <c r="AD185" s="130">
        <v>151</v>
      </c>
      <c r="AE185" s="130">
        <v>101.49748358946272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62.467690360615961</v>
      </c>
      <c r="AN185" s="130">
        <v>512</v>
      </c>
      <c r="AO185" s="130">
        <v>515</v>
      </c>
      <c r="AP185" s="130">
        <v>513</v>
      </c>
      <c r="AQ185" s="130">
        <v>486</v>
      </c>
      <c r="AR185" s="130">
        <v>273</v>
      </c>
      <c r="AS185" s="130">
        <v>239</v>
      </c>
      <c r="AT185" s="130">
        <v>205</v>
      </c>
      <c r="AU185" s="130">
        <v>345</v>
      </c>
      <c r="AV185" s="130">
        <v>215</v>
      </c>
      <c r="AW185" s="130">
        <v>219</v>
      </c>
      <c r="AX185" s="130">
        <v>222</v>
      </c>
      <c r="AY185" s="130">
        <v>190</v>
      </c>
    </row>
    <row r="186" spans="1:51" x14ac:dyDescent="0.2">
      <c r="A186" s="115"/>
      <c r="B186" s="126">
        <v>2</v>
      </c>
      <c r="C186" s="112">
        <v>0</v>
      </c>
      <c r="D186" s="112">
        <v>573</v>
      </c>
      <c r="E186" s="112">
        <v>668</v>
      </c>
      <c r="F186" s="112">
        <v>489</v>
      </c>
      <c r="G186" s="112">
        <v>403</v>
      </c>
      <c r="H186" s="112">
        <v>601</v>
      </c>
      <c r="I186" s="112">
        <v>793</v>
      </c>
      <c r="J186" s="112">
        <v>440.13337654712905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105.50251641053728</v>
      </c>
      <c r="AF186" s="112">
        <v>190</v>
      </c>
      <c r="AG186" s="112">
        <v>180</v>
      </c>
      <c r="AH186" s="112">
        <v>215</v>
      </c>
      <c r="AI186" s="112">
        <v>203</v>
      </c>
      <c r="AJ186" s="112">
        <v>299</v>
      </c>
      <c r="AK186" s="112">
        <v>254</v>
      </c>
      <c r="AL186" s="112">
        <v>236</v>
      </c>
      <c r="AM186" s="112">
        <v>236.53230963938404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188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221</v>
      </c>
      <c r="E189" s="130">
        <v>0</v>
      </c>
      <c r="F189" s="130">
        <v>0</v>
      </c>
      <c r="G189" s="130">
        <v>0</v>
      </c>
      <c r="H189" s="130">
        <v>121</v>
      </c>
      <c r="I189" s="130">
        <v>0</v>
      </c>
      <c r="J189" s="130">
        <v>0</v>
      </c>
      <c r="K189" s="130">
        <v>121</v>
      </c>
      <c r="L189" s="130">
        <v>0</v>
      </c>
      <c r="M189" s="130">
        <v>121</v>
      </c>
      <c r="N189" s="130">
        <v>121</v>
      </c>
      <c r="O189" s="130">
        <v>121</v>
      </c>
      <c r="P189" s="130">
        <v>121</v>
      </c>
      <c r="Q189" s="130">
        <v>0</v>
      </c>
      <c r="R189" s="130">
        <v>121</v>
      </c>
      <c r="S189" s="130">
        <v>121</v>
      </c>
      <c r="T189" s="130">
        <v>0</v>
      </c>
      <c r="U189" s="130">
        <v>121</v>
      </c>
      <c r="V189" s="130">
        <v>121</v>
      </c>
      <c r="W189" s="130">
        <v>0</v>
      </c>
      <c r="X189" s="130">
        <v>0</v>
      </c>
      <c r="Y189" s="130">
        <v>0</v>
      </c>
      <c r="Z189" s="130">
        <v>121</v>
      </c>
      <c r="AA189" s="130">
        <v>0</v>
      </c>
      <c r="AB189" s="130">
        <v>0</v>
      </c>
      <c r="AC189" s="130">
        <v>121</v>
      </c>
      <c r="AD189" s="130">
        <v>0</v>
      </c>
      <c r="AE189" s="130">
        <v>121</v>
      </c>
      <c r="AF189" s="130">
        <v>121</v>
      </c>
      <c r="AG189" s="130">
        <v>121</v>
      </c>
      <c r="AH189" s="130">
        <v>121</v>
      </c>
      <c r="AI189" s="130">
        <v>121</v>
      </c>
      <c r="AJ189" s="130">
        <v>121</v>
      </c>
      <c r="AK189" s="130">
        <v>121</v>
      </c>
      <c r="AL189" s="130">
        <v>0</v>
      </c>
      <c r="AM189" s="130">
        <v>0</v>
      </c>
      <c r="AN189" s="130">
        <v>0</v>
      </c>
      <c r="AO189" s="130">
        <v>121</v>
      </c>
      <c r="AP189" s="130">
        <v>121</v>
      </c>
      <c r="AQ189" s="130">
        <v>121</v>
      </c>
      <c r="AR189" s="130">
        <v>121</v>
      </c>
      <c r="AS189" s="130">
        <v>0</v>
      </c>
      <c r="AT189" s="130">
        <v>121</v>
      </c>
      <c r="AU189" s="130">
        <v>0</v>
      </c>
      <c r="AV189" s="130">
        <v>121</v>
      </c>
      <c r="AW189" s="130">
        <v>0</v>
      </c>
      <c r="AX189" s="130">
        <v>0</v>
      </c>
      <c r="AY189" s="130">
        <v>121</v>
      </c>
    </row>
    <row r="190" spans="1:51" x14ac:dyDescent="0.2">
      <c r="A190" s="115"/>
      <c r="B190" s="125">
        <v>2</v>
      </c>
      <c r="C190" s="112">
        <v>0</v>
      </c>
      <c r="D190" s="112">
        <v>221</v>
      </c>
      <c r="E190" s="112">
        <v>0</v>
      </c>
      <c r="F190" s="112">
        <v>221</v>
      </c>
      <c r="G190" s="112">
        <v>0</v>
      </c>
      <c r="H190" s="112">
        <v>121</v>
      </c>
      <c r="I190" s="112">
        <v>0</v>
      </c>
      <c r="J190" s="112">
        <v>121</v>
      </c>
      <c r="K190" s="112">
        <v>121</v>
      </c>
      <c r="L190" s="112">
        <v>0</v>
      </c>
      <c r="M190" s="112">
        <v>121</v>
      </c>
      <c r="N190" s="112">
        <v>0</v>
      </c>
      <c r="O190" s="112">
        <v>0</v>
      </c>
      <c r="P190" s="112">
        <v>0</v>
      </c>
      <c r="Q190" s="112">
        <v>0</v>
      </c>
      <c r="R190" s="112">
        <v>121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121</v>
      </c>
      <c r="Z190" s="112">
        <v>0</v>
      </c>
      <c r="AA190" s="112">
        <v>0</v>
      </c>
      <c r="AB190" s="112">
        <v>121</v>
      </c>
      <c r="AC190" s="112">
        <v>0</v>
      </c>
      <c r="AD190" s="112">
        <v>0</v>
      </c>
      <c r="AE190" s="112">
        <v>121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121</v>
      </c>
      <c r="AN190" s="112">
        <v>0</v>
      </c>
      <c r="AO190" s="112">
        <v>121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121</v>
      </c>
      <c r="AW190" s="112">
        <v>0</v>
      </c>
      <c r="AX190" s="112">
        <v>0</v>
      </c>
      <c r="AY190" s="112">
        <v>121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121</v>
      </c>
      <c r="W191" s="112">
        <v>0</v>
      </c>
      <c r="X191" s="112">
        <v>0</v>
      </c>
      <c r="Y191" s="112">
        <v>121</v>
      </c>
      <c r="Z191" s="112">
        <v>0</v>
      </c>
      <c r="AA191" s="112">
        <v>121</v>
      </c>
      <c r="AB191" s="112">
        <v>0</v>
      </c>
      <c r="AC191" s="112">
        <v>0</v>
      </c>
      <c r="AD191" s="112">
        <v>121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121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121</v>
      </c>
      <c r="AV191" s="112">
        <v>0</v>
      </c>
      <c r="AW191" s="112">
        <v>0</v>
      </c>
      <c r="AX191" s="112">
        <v>0</v>
      </c>
      <c r="AY191" s="112">
        <v>121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23.322826291812532</v>
      </c>
      <c r="I205" s="112">
        <v>106.45885546986892</v>
      </c>
      <c r="J205" s="112">
        <v>308.93381873848983</v>
      </c>
      <c r="K205" s="112">
        <v>387.11969631330845</v>
      </c>
      <c r="L205" s="112">
        <v>1071</v>
      </c>
      <c r="M205" s="112">
        <v>887.58723646712758</v>
      </c>
      <c r="N205" s="112">
        <v>852.36413793103452</v>
      </c>
      <c r="O205" s="112">
        <v>982.93359133126933</v>
      </c>
      <c r="P205" s="112">
        <v>738.03536842105268</v>
      </c>
      <c r="Q205" s="112">
        <v>941</v>
      </c>
      <c r="R205" s="112">
        <v>1012.9688736398392</v>
      </c>
      <c r="S205" s="112">
        <v>887.92976445396141</v>
      </c>
      <c r="T205" s="112">
        <v>411</v>
      </c>
      <c r="U205" s="112">
        <v>393.40057361376671</v>
      </c>
      <c r="V205" s="112">
        <v>395.31100929644577</v>
      </c>
      <c r="W205" s="112">
        <v>466</v>
      </c>
      <c r="X205" s="112">
        <v>681</v>
      </c>
      <c r="Y205" s="112">
        <v>852.99024228654548</v>
      </c>
      <c r="Z205" s="112">
        <v>866.62896364194557</v>
      </c>
      <c r="AA205" s="112">
        <v>847.7211111111111</v>
      </c>
      <c r="AB205" s="112">
        <v>456.66493107745276</v>
      </c>
      <c r="AC205" s="112">
        <v>567.85354398276161</v>
      </c>
      <c r="AD205" s="112">
        <v>485.79709289483696</v>
      </c>
      <c r="AE205" s="112">
        <v>557.18695712494514</v>
      </c>
      <c r="AF205" s="112">
        <v>324.01850104247228</v>
      </c>
      <c r="AG205" s="112">
        <v>286.36565321246974</v>
      </c>
      <c r="AH205" s="112">
        <v>152.28793197308755</v>
      </c>
      <c r="AI205" s="112">
        <v>218.44219562090382</v>
      </c>
      <c r="AJ205" s="112">
        <v>282.67899844523527</v>
      </c>
      <c r="AK205" s="112">
        <v>573.80067087293196</v>
      </c>
      <c r="AL205" s="112">
        <v>494.47227406223283</v>
      </c>
      <c r="AM205" s="112">
        <v>508.69068823703822</v>
      </c>
      <c r="AN205" s="112">
        <v>736</v>
      </c>
      <c r="AO205" s="112">
        <v>634.3513168503091</v>
      </c>
      <c r="AP205" s="112">
        <v>693.57297774665506</v>
      </c>
      <c r="AQ205" s="112">
        <v>628.39619062282952</v>
      </c>
      <c r="AR205" s="112">
        <v>708.93600000000004</v>
      </c>
      <c r="AS205" s="112">
        <v>540</v>
      </c>
      <c r="AT205" s="112">
        <v>511.91421661837262</v>
      </c>
      <c r="AU205" s="112">
        <v>612.42997758251954</v>
      </c>
      <c r="AV205" s="112">
        <v>1529.4292601441252</v>
      </c>
      <c r="AW205" s="112">
        <v>954</v>
      </c>
      <c r="AX205" s="112">
        <v>943</v>
      </c>
      <c r="AY205" s="112">
        <v>1075</v>
      </c>
    </row>
    <row r="206" spans="1:51" x14ac:dyDescent="0.2">
      <c r="A206" s="115"/>
      <c r="B206" s="136">
        <v>10</v>
      </c>
      <c r="C206" s="112">
        <v>409.07152479012734</v>
      </c>
      <c r="D206" s="112">
        <v>295.37565752591524</v>
      </c>
      <c r="E206" s="112">
        <v>374</v>
      </c>
      <c r="F206" s="112">
        <v>304.10553840361808</v>
      </c>
      <c r="G206" s="112">
        <v>319</v>
      </c>
      <c r="H206" s="112">
        <v>388.36271432353624</v>
      </c>
      <c r="I206" s="112">
        <v>323.54114453013108</v>
      </c>
      <c r="J206" s="112">
        <v>135.47209729204451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35.441740166529144</v>
      </c>
      <c r="AF206" s="112">
        <v>558.9449759480317</v>
      </c>
      <c r="AG206" s="112">
        <v>588.25164423242904</v>
      </c>
      <c r="AH206" s="112">
        <v>566.08718764237119</v>
      </c>
      <c r="AI206" s="112">
        <v>494.47027721109089</v>
      </c>
      <c r="AJ206" s="112">
        <v>365.59585137361501</v>
      </c>
      <c r="AK206" s="112">
        <v>257.55248802387041</v>
      </c>
      <c r="AL206" s="112">
        <v>193.52772593776717</v>
      </c>
      <c r="AM206" s="112">
        <v>74.754585132004649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627.92847520987266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105.42084907627577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289.13229050143389</v>
      </c>
      <c r="AC212" s="116">
        <v>735.4575947249532</v>
      </c>
      <c r="AD212" s="116">
        <v>778.80690818230573</v>
      </c>
      <c r="AE212" s="116">
        <v>1159.6284254032898</v>
      </c>
      <c r="AF212" s="116">
        <v>187.96347699050403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321.21268091661227</v>
      </c>
      <c r="Z213" s="116">
        <v>472.1772648478676</v>
      </c>
      <c r="AA213" s="116">
        <v>577.65782526055932</v>
      </c>
      <c r="AB213" s="116">
        <v>746.9002022757262</v>
      </c>
      <c r="AC213" s="116">
        <v>537.3959492578083</v>
      </c>
      <c r="AD213" s="116">
        <v>213.99018471253126</v>
      </c>
      <c r="AE213" s="116">
        <v>182.57942281190856</v>
      </c>
      <c r="AF213" s="116">
        <v>0</v>
      </c>
      <c r="AG213" s="116">
        <v>256.61729744489878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62.762948400341656</v>
      </c>
      <c r="D214" s="116">
        <v>148.05965930016072</v>
      </c>
      <c r="E214" s="116">
        <v>77.48970210249459</v>
      </c>
      <c r="F214" s="116">
        <v>66.460494737790555</v>
      </c>
      <c r="G214" s="116">
        <v>27.363231002094494</v>
      </c>
      <c r="H214" s="116">
        <v>173.7190301700731</v>
      </c>
      <c r="I214" s="116">
        <v>215.08239307342598</v>
      </c>
      <c r="J214" s="116">
        <v>247.08222374236408</v>
      </c>
      <c r="K214" s="116">
        <v>174.98297013455817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26.093769740790435</v>
      </c>
      <c r="V214" s="116">
        <v>34.046817240775056</v>
      </c>
      <c r="W214" s="116">
        <v>0</v>
      </c>
      <c r="X214" s="116">
        <v>468.66823811092178</v>
      </c>
      <c r="Y214" s="116">
        <v>541.20129123361198</v>
      </c>
      <c r="Z214" s="116">
        <v>308.45169879407797</v>
      </c>
      <c r="AA214" s="116">
        <v>199.06328585055181</v>
      </c>
      <c r="AB214" s="116">
        <v>122.63243830029263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248.3751196154588</v>
      </c>
      <c r="AI214" s="116">
        <v>192.01726343802943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44.858410898013972</v>
      </c>
      <c r="AR214" s="116">
        <v>154.28767360542327</v>
      </c>
      <c r="AS214" s="116">
        <v>370.64373711744935</v>
      </c>
      <c r="AT214" s="116">
        <v>259.3097336785778</v>
      </c>
      <c r="AU214" s="116">
        <v>334.15326261529088</v>
      </c>
      <c r="AV214" s="116">
        <v>35.383906177487546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271.23705159965834</v>
      </c>
      <c r="D215" s="116">
        <v>281.31599822575453</v>
      </c>
      <c r="E215" s="116">
        <v>219.51029789750541</v>
      </c>
      <c r="F215" s="116">
        <v>270.64504366582753</v>
      </c>
      <c r="G215" s="116">
        <v>278.63676899790551</v>
      </c>
      <c r="H215" s="116">
        <v>306.96651044527567</v>
      </c>
      <c r="I215" s="116">
        <v>200.91760692657402</v>
      </c>
      <c r="J215" s="116">
        <v>285.32369228817032</v>
      </c>
      <c r="K215" s="116">
        <v>262.13672617875028</v>
      </c>
      <c r="L215" s="116">
        <v>239</v>
      </c>
      <c r="M215" s="116">
        <v>222.96744399614093</v>
      </c>
      <c r="N215" s="116">
        <v>143.2541306965278</v>
      </c>
      <c r="O215" s="116">
        <v>128.58264342225911</v>
      </c>
      <c r="P215" s="116">
        <v>202.05351181372009</v>
      </c>
      <c r="Q215" s="116">
        <v>171.25487933190166</v>
      </c>
      <c r="R215" s="116">
        <v>176.90717089477374</v>
      </c>
      <c r="S215" s="116">
        <v>207.96369253472076</v>
      </c>
      <c r="T215" s="116">
        <v>350.53737574559091</v>
      </c>
      <c r="U215" s="116">
        <v>392.15257505687771</v>
      </c>
      <c r="V215" s="116">
        <v>422.26419205567072</v>
      </c>
      <c r="W215" s="116">
        <v>408</v>
      </c>
      <c r="X215" s="116">
        <v>441.17164693898729</v>
      </c>
      <c r="Y215" s="116">
        <v>101.5762701363212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25.89520939396531</v>
      </c>
      <c r="AJ215" s="116">
        <v>279.27484981885021</v>
      </c>
      <c r="AK215" s="116">
        <v>220.86007013089696</v>
      </c>
      <c r="AL215" s="116">
        <v>60.36299698545875</v>
      </c>
      <c r="AM215" s="116">
        <v>24.03169800383111</v>
      </c>
      <c r="AN215" s="116">
        <v>141.26089163701744</v>
      </c>
      <c r="AO215" s="116">
        <v>260.55607484490224</v>
      </c>
      <c r="AP215" s="116">
        <v>350.21861096573173</v>
      </c>
      <c r="AQ215" s="116">
        <v>392.15257505687771</v>
      </c>
      <c r="AR215" s="116">
        <v>359.64832639457677</v>
      </c>
      <c r="AS215" s="116">
        <v>280.35626288255065</v>
      </c>
      <c r="AT215" s="116">
        <v>172.60448293979479</v>
      </c>
      <c r="AU215" s="116">
        <v>253.27671496722866</v>
      </c>
      <c r="AV215" s="116">
        <v>199.04535396663769</v>
      </c>
      <c r="AW215" s="116">
        <v>272</v>
      </c>
      <c r="AX215" s="116">
        <v>189.99678296546034</v>
      </c>
      <c r="AY215" s="116">
        <v>135.51861550327988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54.619792470986653</v>
      </c>
      <c r="N216" s="116">
        <v>158.11000723450667</v>
      </c>
      <c r="O216" s="116">
        <v>180.35094790901022</v>
      </c>
      <c r="P216" s="116">
        <v>190.98185660733253</v>
      </c>
      <c r="Q216" s="116">
        <v>137.74512066809834</v>
      </c>
      <c r="R216" s="116">
        <v>160.06170274506547</v>
      </c>
      <c r="S216" s="116">
        <v>155.9660719192407</v>
      </c>
      <c r="T216" s="116">
        <v>133.46262425440909</v>
      </c>
      <c r="U216" s="116">
        <v>30.154228816098545</v>
      </c>
      <c r="V216" s="116">
        <v>0</v>
      </c>
      <c r="W216" s="116">
        <v>0</v>
      </c>
      <c r="X216" s="116">
        <v>6.1601149500908718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16.493088765905345</v>
      </c>
      <c r="AL216" s="116">
        <v>159.63700301454125</v>
      </c>
      <c r="AM216" s="116">
        <v>240.41357536521181</v>
      </c>
      <c r="AN216" s="116">
        <v>266.73910836298256</v>
      </c>
      <c r="AO216" s="116">
        <v>181.79524200540683</v>
      </c>
      <c r="AP216" s="116">
        <v>95.354366780923314</v>
      </c>
      <c r="AQ216" s="116">
        <v>30.385204667937852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104.00321703453967</v>
      </c>
      <c r="AY216" s="116">
        <v>146.48138449672012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1996992.9876022418</v>
      </c>
      <c r="E259" s="130">
        <f t="shared" ref="E259:AX259" si="5">F$14*$B$259</f>
        <v>2123188.2298955536</v>
      </c>
      <c r="F259" s="130">
        <f t="shared" si="5"/>
        <v>2238325.7293977281</v>
      </c>
      <c r="G259" s="130">
        <f t="shared" si="5"/>
        <v>2314574.578443178</v>
      </c>
      <c r="H259" s="130">
        <f t="shared" si="5"/>
        <v>2291721.6625855928</v>
      </c>
      <c r="I259" s="130">
        <f t="shared" si="5"/>
        <v>2243891.6659898926</v>
      </c>
      <c r="J259" s="130">
        <f t="shared" si="5"/>
        <v>2220813.721382719</v>
      </c>
      <c r="K259" s="130">
        <f t="shared" si="5"/>
        <v>2183253.436965785</v>
      </c>
      <c r="L259" s="130">
        <f t="shared" si="5"/>
        <v>2173094.7867995664</v>
      </c>
      <c r="M259" s="130">
        <f t="shared" si="5"/>
        <v>2201199.718503776</v>
      </c>
      <c r="N259" s="130">
        <f t="shared" si="5"/>
        <v>2214656.8660032777</v>
      </c>
      <c r="O259" s="130">
        <f t="shared" si="5"/>
        <v>2220151.5114862276</v>
      </c>
      <c r="P259" s="130">
        <f t="shared" si="5"/>
        <v>2306448.7271717424</v>
      </c>
      <c r="Q259" s="130">
        <f t="shared" si="5"/>
        <v>2353924.1407198659</v>
      </c>
      <c r="R259" s="130">
        <f t="shared" si="5"/>
        <v>2403368.0215143478</v>
      </c>
      <c r="S259" s="130">
        <f t="shared" si="5"/>
        <v>2434188.1144885141</v>
      </c>
      <c r="T259" s="130">
        <f t="shared" si="5"/>
        <v>2368023.0771933198</v>
      </c>
      <c r="U259" s="130">
        <f t="shared" si="5"/>
        <v>2298586.0770212566</v>
      </c>
      <c r="V259" s="130">
        <f t="shared" si="5"/>
        <v>2254645.0017000567</v>
      </c>
      <c r="W259" s="130">
        <f t="shared" si="5"/>
        <v>2221389.3862508796</v>
      </c>
      <c r="X259" s="130">
        <f t="shared" si="5"/>
        <v>2205940.7457439546</v>
      </c>
      <c r="Y259" s="130">
        <f t="shared" si="5"/>
        <v>2103808.4871318503</v>
      </c>
      <c r="Z259" s="130">
        <f t="shared" si="5"/>
        <v>2021212.9657678783</v>
      </c>
      <c r="AA259" s="130">
        <f t="shared" si="5"/>
        <v>1994188.4546258547</v>
      </c>
      <c r="AB259" s="130">
        <f t="shared" si="5"/>
        <v>2058976.9808764232</v>
      </c>
      <c r="AC259" s="130">
        <f t="shared" si="5"/>
        <v>2037549.89598954</v>
      </c>
      <c r="AD259" s="130">
        <f t="shared" si="5"/>
        <v>2001582.7432300115</v>
      </c>
      <c r="AE259" s="130">
        <f t="shared" si="5"/>
        <v>2025654.6071713844</v>
      </c>
      <c r="AF259" s="130">
        <f t="shared" si="5"/>
        <v>1878005.7237296342</v>
      </c>
      <c r="AG259" s="130">
        <f t="shared" si="5"/>
        <v>1996515.3720377022</v>
      </c>
      <c r="AH259" s="130">
        <f t="shared" si="5"/>
        <v>2070097.1759405371</v>
      </c>
      <c r="AI259" s="130">
        <f t="shared" si="5"/>
        <v>2124889.7462350754</v>
      </c>
      <c r="AJ259" s="130">
        <f t="shared" si="5"/>
        <v>2170045.4394812193</v>
      </c>
      <c r="AK259" s="130">
        <f t="shared" si="5"/>
        <v>2191780.4802009165</v>
      </c>
      <c r="AL259" s="130">
        <f t="shared" si="5"/>
        <v>2215034.1117586638</v>
      </c>
      <c r="AM259" s="130">
        <f t="shared" si="5"/>
        <v>2234990.0405518916</v>
      </c>
      <c r="AN259" s="130">
        <f t="shared" si="5"/>
        <v>2325164.628052548</v>
      </c>
      <c r="AO259" s="130">
        <f t="shared" si="5"/>
        <v>2364806.7649654718</v>
      </c>
      <c r="AP259" s="130">
        <f t="shared" si="5"/>
        <v>2387382.01280759</v>
      </c>
      <c r="AQ259" s="130">
        <f t="shared" si="5"/>
        <v>2403163.2421557382</v>
      </c>
      <c r="AR259" s="130">
        <f t="shared" si="5"/>
        <v>2327020.8038660698</v>
      </c>
      <c r="AS259" s="130">
        <f t="shared" si="5"/>
        <v>2263517.0612691715</v>
      </c>
      <c r="AT259" s="130">
        <f t="shared" si="5"/>
        <v>2192966.333830548</v>
      </c>
      <c r="AU259" s="130">
        <f t="shared" si="5"/>
        <v>2181064.5627947347</v>
      </c>
      <c r="AV259" s="130">
        <f t="shared" si="5"/>
        <v>2144601.353236476</v>
      </c>
      <c r="AW259" s="130">
        <f t="shared" si="5"/>
        <v>2181371.6940183844</v>
      </c>
      <c r="AX259" s="130">
        <f t="shared" si="5"/>
        <v>2201289.7321792133</v>
      </c>
      <c r="AY259" s="130">
        <f>AZ$14*$B$259</f>
        <v>2211784.00372941</v>
      </c>
      <c r="AZ259" s="145">
        <f>SUM($D259:$AY259)</f>
        <v>105576842.60449339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2711277.1068566828</v>
      </c>
      <c r="E260" s="131">
        <f t="shared" ref="E260:AY260" si="6">(E$175-E$176+E$177-E$178+E$179-E$180+E$181-E$182)*$B$260</f>
        <v>2723673.3941634875</v>
      </c>
      <c r="F260" s="131">
        <f t="shared" si="6"/>
        <v>2712312.65267793</v>
      </c>
      <c r="G260" s="131">
        <f t="shared" si="6"/>
        <v>2724666.9619898605</v>
      </c>
      <c r="H260" s="131">
        <f t="shared" si="6"/>
        <v>2684334.1970413341</v>
      </c>
      <c r="I260" s="131">
        <f t="shared" si="6"/>
        <v>2694531.5385240102</v>
      </c>
      <c r="J260" s="131">
        <f t="shared" si="6"/>
        <v>2686113.1004102393</v>
      </c>
      <c r="K260" s="131">
        <f t="shared" si="6"/>
        <v>2682174.5499532539</v>
      </c>
      <c r="L260" s="131">
        <f t="shared" si="6"/>
        <v>2684746.6350646559</v>
      </c>
      <c r="M260" s="131">
        <f t="shared" si="6"/>
        <v>2678841.8653005189</v>
      </c>
      <c r="N260" s="131">
        <f t="shared" si="6"/>
        <v>2686386.4388941275</v>
      </c>
      <c r="O260" s="131">
        <f t="shared" si="6"/>
        <v>2675670.9064415186</v>
      </c>
      <c r="P260" s="131">
        <f t="shared" si="6"/>
        <v>2689472.7963582366</v>
      </c>
      <c r="Q260" s="131">
        <f t="shared" si="6"/>
        <v>2686714.6947027822</v>
      </c>
      <c r="R260" s="131">
        <f t="shared" si="6"/>
        <v>2660974.3793311254</v>
      </c>
      <c r="S260" s="131">
        <f t="shared" si="6"/>
        <v>2669474.140774277</v>
      </c>
      <c r="T260" s="131">
        <f t="shared" si="6"/>
        <v>2694833.2544129244</v>
      </c>
      <c r="U260" s="131">
        <f t="shared" si="6"/>
        <v>2702754.7548259236</v>
      </c>
      <c r="V260" s="131">
        <f t="shared" si="6"/>
        <v>2686901.6018044208</v>
      </c>
      <c r="W260" s="131">
        <f t="shared" si="6"/>
        <v>2715688.6720383805</v>
      </c>
      <c r="X260" s="131">
        <f t="shared" si="6"/>
        <v>2648354.7003928656</v>
      </c>
      <c r="Y260" s="131">
        <f t="shared" si="6"/>
        <v>2637623.4644211358</v>
      </c>
      <c r="Z260" s="131">
        <f t="shared" si="6"/>
        <v>2658131.0198305468</v>
      </c>
      <c r="AA260" s="131">
        <f t="shared" si="6"/>
        <v>2679154.5323935109</v>
      </c>
      <c r="AB260" s="131">
        <f t="shared" si="6"/>
        <v>2695080.794651344</v>
      </c>
      <c r="AC260" s="131">
        <f t="shared" si="6"/>
        <v>2684436.0458614957</v>
      </c>
      <c r="AD260" s="131">
        <f t="shared" si="6"/>
        <v>2710202.8648621575</v>
      </c>
      <c r="AE260" s="131">
        <f t="shared" si="6"/>
        <v>2663661.0541245872</v>
      </c>
      <c r="AF260" s="131">
        <f t="shared" si="6"/>
        <v>2743730.0082630194</v>
      </c>
      <c r="AG260" s="131">
        <f t="shared" si="6"/>
        <v>2729772.1976569779</v>
      </c>
      <c r="AH260" s="131">
        <f t="shared" si="6"/>
        <v>2730749.0924824034</v>
      </c>
      <c r="AI260" s="131">
        <f t="shared" si="6"/>
        <v>2728566.8343769233</v>
      </c>
      <c r="AJ260" s="131">
        <f t="shared" si="6"/>
        <v>2718835.1313003944</v>
      </c>
      <c r="AK260" s="131">
        <f t="shared" si="6"/>
        <v>2711059.4227599911</v>
      </c>
      <c r="AL260" s="131">
        <f t="shared" si="6"/>
        <v>2726895.3127607391</v>
      </c>
      <c r="AM260" s="131">
        <f t="shared" si="6"/>
        <v>2717619.7942216936</v>
      </c>
      <c r="AN260" s="131">
        <f t="shared" si="6"/>
        <v>2686009.4189489963</v>
      </c>
      <c r="AO260" s="131">
        <f t="shared" si="6"/>
        <v>2664427.9867503806</v>
      </c>
      <c r="AP260" s="131">
        <f t="shared" si="6"/>
        <v>2673237.5184112391</v>
      </c>
      <c r="AQ260" s="131">
        <f t="shared" si="6"/>
        <v>2676002.0040031928</v>
      </c>
      <c r="AR260" s="131">
        <f t="shared" si="6"/>
        <v>2688185.7596431319</v>
      </c>
      <c r="AS260" s="131">
        <f t="shared" si="6"/>
        <v>2705259.9635751536</v>
      </c>
      <c r="AT260" s="131">
        <f t="shared" si="6"/>
        <v>2721382.6324214372</v>
      </c>
      <c r="AU260" s="131">
        <f t="shared" si="6"/>
        <v>2698719.3661244297</v>
      </c>
      <c r="AV260" s="131">
        <f t="shared" si="6"/>
        <v>2668785.2869454916</v>
      </c>
      <c r="AW260" s="131">
        <f t="shared" si="6"/>
        <v>2711942.6128598414</v>
      </c>
      <c r="AX260" s="131">
        <f t="shared" si="6"/>
        <v>2709264.0247219186</v>
      </c>
      <c r="AY260" s="131">
        <f t="shared" si="6"/>
        <v>2681235.3227326698</v>
      </c>
      <c r="AZ260" s="147">
        <f>SUM($D260:$AY260)</f>
        <v>129319867.80906337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59</v>
      </c>
    </row>
    <row r="3" spans="1:54" x14ac:dyDescent="0.2">
      <c r="A3" s="106" t="s">
        <v>286</v>
      </c>
      <c r="B3" s="114">
        <v>51000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8671.5072274015638</v>
      </c>
      <c r="E9" s="123">
        <v>8671.5072274015638</v>
      </c>
      <c r="F9" s="123">
        <v>8671.5072274015638</v>
      </c>
      <c r="G9" s="123">
        <v>8671.5072274015638</v>
      </c>
      <c r="H9" s="123">
        <v>8091.1440239132826</v>
      </c>
      <c r="I9" s="123">
        <v>8091.1440239132826</v>
      </c>
      <c r="J9" s="123">
        <v>8091.1440239132826</v>
      </c>
      <c r="K9" s="123">
        <v>8091.1440239132826</v>
      </c>
      <c r="L9" s="123">
        <v>8091.1440239132826</v>
      </c>
      <c r="M9" s="123">
        <v>6997.4239824650322</v>
      </c>
      <c r="N9" s="123">
        <v>8091.1440239132826</v>
      </c>
      <c r="O9" s="123">
        <v>8091.1440239132826</v>
      </c>
      <c r="P9" s="123">
        <v>8671.5072274015638</v>
      </c>
      <c r="Q9" s="123">
        <v>8671.5072274015638</v>
      </c>
      <c r="R9" s="123">
        <v>8671.5072274015638</v>
      </c>
      <c r="S9" s="123">
        <v>8671.5072274015638</v>
      </c>
      <c r="T9" s="123">
        <v>8091.1440239132826</v>
      </c>
      <c r="U9" s="123">
        <v>8091.1440239132826</v>
      </c>
      <c r="V9" s="123">
        <v>8091.1440239132826</v>
      </c>
      <c r="W9" s="123">
        <v>8091.1440239132826</v>
      </c>
      <c r="X9" s="123">
        <v>8091.1440239132826</v>
      </c>
      <c r="Y9" s="123">
        <v>8091.1440239132826</v>
      </c>
      <c r="Z9" s="123">
        <v>7699.2590115608582</v>
      </c>
      <c r="AA9" s="123">
        <v>7701.1934506095931</v>
      </c>
      <c r="AB9" s="123">
        <v>8671.5072274015638</v>
      </c>
      <c r="AC9" s="123">
        <v>8671.5072274015638</v>
      </c>
      <c r="AD9" s="123">
        <v>8671.5072274015638</v>
      </c>
      <c r="AE9" s="123">
        <v>8671.5072274015638</v>
      </c>
      <c r="AF9" s="123">
        <v>8091.1440239132826</v>
      </c>
      <c r="AG9" s="123">
        <v>8091.1440239132826</v>
      </c>
      <c r="AH9" s="123">
        <v>8091.1440239132826</v>
      </c>
      <c r="AI9" s="123">
        <v>8091.1440239132826</v>
      </c>
      <c r="AJ9" s="123">
        <v>8091.1440239132826</v>
      </c>
      <c r="AK9" s="123">
        <v>8091.1440239132826</v>
      </c>
      <c r="AL9" s="123">
        <v>8091.1440239132826</v>
      </c>
      <c r="AM9" s="123">
        <v>8091.1440239132826</v>
      </c>
      <c r="AN9" s="123">
        <v>8671.5072274015638</v>
      </c>
      <c r="AO9" s="123">
        <v>8671.5072274015638</v>
      </c>
      <c r="AP9" s="123">
        <v>7637.5558774315286</v>
      </c>
      <c r="AQ9" s="123">
        <v>8671.5072274015638</v>
      </c>
      <c r="AR9" s="123">
        <v>8091.1440239132826</v>
      </c>
      <c r="AS9" s="123">
        <v>8091.1440239132826</v>
      </c>
      <c r="AT9" s="123">
        <v>8091.1440239132826</v>
      </c>
      <c r="AU9" s="123">
        <v>8091.1440239132826</v>
      </c>
      <c r="AV9" s="123">
        <v>8091.1440239132826</v>
      </c>
      <c r="AW9" s="123">
        <v>8091.1440239132826</v>
      </c>
      <c r="AX9" s="123">
        <v>8091.1440239132826</v>
      </c>
      <c r="AY9" s="123">
        <v>8091.1440239132826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780</v>
      </c>
      <c r="E10" s="106">
        <v>1705.8046924914556</v>
      </c>
      <c r="F10" s="106">
        <v>403</v>
      </c>
      <c r="G10" s="106">
        <v>13</v>
      </c>
      <c r="H10" s="106">
        <v>403</v>
      </c>
      <c r="I10" s="106">
        <v>3851.0605581057753</v>
      </c>
      <c r="J10" s="106">
        <v>3424.6093849829113</v>
      </c>
      <c r="K10" s="106">
        <v>0</v>
      </c>
      <c r="L10" s="106">
        <v>3424.6093849829113</v>
      </c>
      <c r="M10" s="106">
        <v>3424.6093849829113</v>
      </c>
      <c r="N10" s="106">
        <v>3424.6093849829113</v>
      </c>
      <c r="O10" s="106">
        <v>3424.6093849829113</v>
      </c>
      <c r="P10" s="106">
        <v>3424.6093849829113</v>
      </c>
      <c r="Q10" s="106">
        <v>3424.6093849829113</v>
      </c>
      <c r="R10" s="106">
        <v>3851.0605581057753</v>
      </c>
      <c r="S10" s="106">
        <v>13</v>
      </c>
      <c r="T10" s="106">
        <v>390</v>
      </c>
      <c r="U10" s="106">
        <v>3851.0605581057753</v>
      </c>
      <c r="V10" s="106">
        <v>3424.6093849829113</v>
      </c>
      <c r="W10" s="106">
        <v>3424.6093849829113</v>
      </c>
      <c r="X10" s="106">
        <v>403</v>
      </c>
      <c r="Y10" s="106">
        <v>13</v>
      </c>
      <c r="Z10" s="106">
        <v>3424.6093849829113</v>
      </c>
      <c r="AA10" s="106">
        <v>3424.6093849829113</v>
      </c>
      <c r="AB10" s="106">
        <v>3424.6093849829113</v>
      </c>
      <c r="AC10" s="106">
        <v>3424.6093849829113</v>
      </c>
      <c r="AD10" s="106">
        <v>3851.0605581057753</v>
      </c>
      <c r="AE10" s="106">
        <v>3851.0605581057753</v>
      </c>
      <c r="AF10" s="106">
        <v>3851.0605581057753</v>
      </c>
      <c r="AG10" s="106">
        <v>3838.0605581057753</v>
      </c>
      <c r="AH10" s="106">
        <v>403</v>
      </c>
      <c r="AI10" s="106">
        <v>13</v>
      </c>
      <c r="AJ10" s="106">
        <v>3424.6093849829113</v>
      </c>
      <c r="AK10" s="106">
        <v>13</v>
      </c>
      <c r="AL10" s="106">
        <v>403</v>
      </c>
      <c r="AM10" s="106">
        <v>13</v>
      </c>
      <c r="AN10" s="106">
        <v>403</v>
      </c>
      <c r="AO10" s="106">
        <v>13</v>
      </c>
      <c r="AP10" s="106">
        <v>403</v>
      </c>
      <c r="AQ10" s="106">
        <v>3851.0605581057753</v>
      </c>
      <c r="AR10" s="106">
        <v>3851.0605581057753</v>
      </c>
      <c r="AS10" s="106">
        <v>13</v>
      </c>
      <c r="AT10" s="106">
        <v>13</v>
      </c>
      <c r="AU10" s="106">
        <v>13</v>
      </c>
      <c r="AV10" s="106">
        <v>4118</v>
      </c>
      <c r="AW10" s="106">
        <v>3424.6093849829113</v>
      </c>
      <c r="AX10" s="106">
        <v>403</v>
      </c>
      <c r="AY10" s="106">
        <v>13</v>
      </c>
      <c r="AZ10" s="106">
        <v>403</v>
      </c>
    </row>
    <row r="11" spans="1:54" x14ac:dyDescent="0.2">
      <c r="B11" s="125">
        <v>2</v>
      </c>
      <c r="C11" s="112" t="s">
        <v>293</v>
      </c>
      <c r="D11" s="106">
        <v>0</v>
      </c>
      <c r="E11" s="106">
        <v>2794.6093849829113</v>
      </c>
      <c r="F11" s="106">
        <v>0</v>
      </c>
      <c r="G11" s="106">
        <v>3448.0605581057753</v>
      </c>
      <c r="H11" s="106">
        <v>3838.0605581057753</v>
      </c>
      <c r="I11" s="106">
        <v>3448.0605581057753</v>
      </c>
      <c r="J11" s="106">
        <v>0</v>
      </c>
      <c r="L11" s="106">
        <v>3411.6093849829113</v>
      </c>
      <c r="M11" s="106">
        <v>0</v>
      </c>
      <c r="O11" s="106">
        <v>0</v>
      </c>
      <c r="P11" s="106">
        <v>0</v>
      </c>
      <c r="Q11" s="106">
        <v>0</v>
      </c>
      <c r="S11" s="106">
        <v>0</v>
      </c>
      <c r="T11" s="106">
        <v>3838.0605581057753</v>
      </c>
      <c r="U11" s="106">
        <v>3448.0605581057753</v>
      </c>
      <c r="W11" s="106">
        <v>0</v>
      </c>
      <c r="Y11" s="106">
        <v>3021.6093849829113</v>
      </c>
      <c r="Z11" s="106">
        <v>3411.6093849829113</v>
      </c>
      <c r="AA11" s="106">
        <v>0</v>
      </c>
      <c r="AB11" s="106">
        <v>0</v>
      </c>
      <c r="AD11" s="106">
        <v>0</v>
      </c>
      <c r="AE11" s="106">
        <v>0</v>
      </c>
      <c r="AG11" s="106">
        <v>0</v>
      </c>
      <c r="AH11" s="106">
        <v>0</v>
      </c>
      <c r="AI11" s="106">
        <v>3021.6093849829113</v>
      </c>
      <c r="AJ11" s="106">
        <v>3411.6093849829113</v>
      </c>
      <c r="AK11" s="106">
        <v>0</v>
      </c>
      <c r="AL11" s="106">
        <v>3411.6093849829113</v>
      </c>
      <c r="AM11" s="106">
        <v>3021.6093849829113</v>
      </c>
      <c r="AN11" s="106">
        <v>0</v>
      </c>
      <c r="AO11" s="106">
        <v>0</v>
      </c>
      <c r="AP11" s="106">
        <v>3411.6093849829113</v>
      </c>
      <c r="AQ11" s="106">
        <v>3448.0605581057753</v>
      </c>
      <c r="AR11" s="106">
        <v>0</v>
      </c>
      <c r="AS11" s="106">
        <v>0</v>
      </c>
      <c r="AU11" s="106">
        <v>0</v>
      </c>
      <c r="AW11" s="106">
        <v>0</v>
      </c>
      <c r="AX11" s="106">
        <v>0</v>
      </c>
      <c r="AY11" s="106">
        <v>3021.6093849829113</v>
      </c>
      <c r="AZ11" s="106">
        <v>3411.6093849829113</v>
      </c>
      <c r="BA11" s="106">
        <v>0</v>
      </c>
    </row>
    <row r="12" spans="1:54" x14ac:dyDescent="0.2">
      <c r="B12" s="126">
        <v>3</v>
      </c>
      <c r="C12" s="112" t="s">
        <v>293</v>
      </c>
      <c r="G12" s="106">
        <v>0</v>
      </c>
      <c r="K12" s="106">
        <v>0</v>
      </c>
      <c r="L12" s="106">
        <v>0</v>
      </c>
      <c r="O12" s="106">
        <v>0</v>
      </c>
      <c r="U12" s="106">
        <v>0</v>
      </c>
      <c r="V12" s="106">
        <v>0</v>
      </c>
      <c r="W12" s="106">
        <v>0</v>
      </c>
      <c r="Y12" s="106">
        <v>0</v>
      </c>
      <c r="AA12" s="106">
        <v>0</v>
      </c>
      <c r="AG12" s="106">
        <v>0</v>
      </c>
      <c r="AM12" s="106">
        <v>0</v>
      </c>
      <c r="AO12" s="106">
        <v>0</v>
      </c>
      <c r="AP12" s="106">
        <v>3715</v>
      </c>
      <c r="AQ12" s="106">
        <v>0</v>
      </c>
      <c r="AR12" s="106">
        <v>0</v>
      </c>
      <c r="AU12" s="106">
        <v>0</v>
      </c>
      <c r="AV12" s="106">
        <v>0</v>
      </c>
      <c r="AW12" s="106">
        <v>0</v>
      </c>
      <c r="AY12" s="106">
        <v>0</v>
      </c>
      <c r="BB12" s="106">
        <v>3021.6093849829113</v>
      </c>
    </row>
    <row r="13" spans="1:54" x14ac:dyDescent="0.2">
      <c r="B13" s="126">
        <v>4</v>
      </c>
      <c r="C13" s="112" t="s">
        <v>293</v>
      </c>
      <c r="Q13" s="106">
        <v>0</v>
      </c>
      <c r="T13" s="106">
        <v>0</v>
      </c>
      <c r="AE13" s="106">
        <v>0</v>
      </c>
      <c r="AH13" s="106">
        <v>0</v>
      </c>
      <c r="AY13" s="106">
        <v>0</v>
      </c>
      <c r="BB13" s="106">
        <v>0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21962.101628950819</v>
      </c>
      <c r="E14" s="123">
        <f t="shared" ref="E14:AZ14" si="0">D$172*SUM(D$122:D$169)</f>
        <v>21962.101628950819</v>
      </c>
      <c r="F14" s="123">
        <f t="shared" si="0"/>
        <v>21962.101628950819</v>
      </c>
      <c r="G14" s="123">
        <f t="shared" si="0"/>
        <v>21962.101628950819</v>
      </c>
      <c r="H14" s="123">
        <f t="shared" si="0"/>
        <v>21962.101628950819</v>
      </c>
      <c r="I14" s="123">
        <f t="shared" si="0"/>
        <v>21962.101628950822</v>
      </c>
      <c r="J14" s="123">
        <f t="shared" si="0"/>
        <v>21962.101628950826</v>
      </c>
      <c r="K14" s="123">
        <f t="shared" si="0"/>
        <v>21962.101628950822</v>
      </c>
      <c r="L14" s="123">
        <f t="shared" si="0"/>
        <v>21962.10162895083</v>
      </c>
      <c r="M14" s="123">
        <f t="shared" si="0"/>
        <v>21962.10162895083</v>
      </c>
      <c r="N14" s="123">
        <f t="shared" si="0"/>
        <v>21962.101628950826</v>
      </c>
      <c r="O14" s="123">
        <f t="shared" si="0"/>
        <v>21962.101628950822</v>
      </c>
      <c r="P14" s="123">
        <f t="shared" si="0"/>
        <v>21962.101628950826</v>
      </c>
      <c r="Q14" s="123">
        <f t="shared" si="0"/>
        <v>21962.101628950826</v>
      </c>
      <c r="R14" s="123">
        <f t="shared" si="0"/>
        <v>21962.101628950822</v>
      </c>
      <c r="S14" s="123">
        <f t="shared" si="0"/>
        <v>21962.10162895083</v>
      </c>
      <c r="T14" s="123">
        <f t="shared" si="0"/>
        <v>21962.10162895083</v>
      </c>
      <c r="U14" s="123">
        <f t="shared" si="0"/>
        <v>21962.101628950822</v>
      </c>
      <c r="V14" s="123">
        <f t="shared" si="0"/>
        <v>21962.101628950826</v>
      </c>
      <c r="W14" s="123">
        <f t="shared" si="0"/>
        <v>21962.101628950822</v>
      </c>
      <c r="X14" s="123">
        <f t="shared" si="0"/>
        <v>21962.101628950826</v>
      </c>
      <c r="Y14" s="123">
        <f t="shared" si="0"/>
        <v>21962.101628950826</v>
      </c>
      <c r="Z14" s="123">
        <f t="shared" si="0"/>
        <v>21962.101628950822</v>
      </c>
      <c r="AA14" s="123">
        <f t="shared" si="0"/>
        <v>21962.10162895083</v>
      </c>
      <c r="AB14" s="123">
        <f t="shared" si="0"/>
        <v>21962.10162895083</v>
      </c>
      <c r="AC14" s="123">
        <f t="shared" si="0"/>
        <v>21962.101628950826</v>
      </c>
      <c r="AD14" s="123">
        <f t="shared" si="0"/>
        <v>21962.10162895083</v>
      </c>
      <c r="AE14" s="123">
        <f t="shared" si="0"/>
        <v>21962.10162895083</v>
      </c>
      <c r="AF14" s="123">
        <f t="shared" si="0"/>
        <v>21962.10162895083</v>
      </c>
      <c r="AG14" s="123">
        <f t="shared" si="0"/>
        <v>21962.101628950822</v>
      </c>
      <c r="AH14" s="123">
        <f t="shared" si="0"/>
        <v>21962.101628950822</v>
      </c>
      <c r="AI14" s="123">
        <f t="shared" si="0"/>
        <v>21962.10162895083</v>
      </c>
      <c r="AJ14" s="123">
        <f t="shared" si="0"/>
        <v>21962.101628950826</v>
      </c>
      <c r="AK14" s="123">
        <f t="shared" si="0"/>
        <v>21962.101628950826</v>
      </c>
      <c r="AL14" s="123">
        <f t="shared" si="0"/>
        <v>21962.101628950826</v>
      </c>
      <c r="AM14" s="123">
        <f t="shared" si="0"/>
        <v>21962.101628950822</v>
      </c>
      <c r="AN14" s="123">
        <f t="shared" si="0"/>
        <v>21962.101628950826</v>
      </c>
      <c r="AO14" s="123">
        <f t="shared" si="0"/>
        <v>21962.101628950826</v>
      </c>
      <c r="AP14" s="123">
        <f t="shared" si="0"/>
        <v>21962.101628950826</v>
      </c>
      <c r="AQ14" s="123">
        <f t="shared" si="0"/>
        <v>21962.101628950833</v>
      </c>
      <c r="AR14" s="123">
        <f t="shared" si="0"/>
        <v>21962.101628950826</v>
      </c>
      <c r="AS14" s="123">
        <f t="shared" si="0"/>
        <v>21962.101628950826</v>
      </c>
      <c r="AT14" s="123">
        <f t="shared" si="0"/>
        <v>21962.101628950826</v>
      </c>
      <c r="AU14" s="123">
        <f t="shared" si="0"/>
        <v>21962.101628950826</v>
      </c>
      <c r="AV14" s="123">
        <f t="shared" si="0"/>
        <v>21962.101628950826</v>
      </c>
      <c r="AW14" s="123">
        <f t="shared" si="0"/>
        <v>21962.101628950819</v>
      </c>
      <c r="AX14" s="123">
        <f t="shared" si="0"/>
        <v>21962.101628950815</v>
      </c>
      <c r="AY14" s="123">
        <f t="shared" si="0"/>
        <v>21962.101628950822</v>
      </c>
      <c r="AZ14" s="116">
        <f t="shared" si="0"/>
        <v>21962.101628950819</v>
      </c>
      <c r="BA14" s="113">
        <f>SUM($E14:$AZ14)</f>
        <v>1054180.878189639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36293.374362842609</v>
      </c>
      <c r="E15" s="130">
        <v>36293.374362842609</v>
      </c>
      <c r="F15" s="130">
        <v>36293.374362842609</v>
      </c>
      <c r="G15" s="130">
        <v>36293.374362842609</v>
      </c>
      <c r="H15" s="130">
        <v>32260.777211415654</v>
      </c>
      <c r="I15" s="130">
        <v>32260.777211415654</v>
      </c>
      <c r="J15" s="130">
        <v>32260.777211415654</v>
      </c>
      <c r="K15" s="130">
        <v>32260.777211415654</v>
      </c>
      <c r="L15" s="130">
        <v>32260.777211415654</v>
      </c>
      <c r="M15" s="130">
        <v>32260.777211415654</v>
      </c>
      <c r="N15" s="130">
        <v>32260.777211415654</v>
      </c>
      <c r="O15" s="130">
        <v>32260.777211415654</v>
      </c>
      <c r="P15" s="130">
        <v>36293.374362842609</v>
      </c>
      <c r="Q15" s="130">
        <v>36293.374362842609</v>
      </c>
      <c r="R15" s="130">
        <v>36293.374362842609</v>
      </c>
      <c r="S15" s="130">
        <v>36293.374362842609</v>
      </c>
      <c r="T15" s="130">
        <v>32260.777211415654</v>
      </c>
      <c r="U15" s="130">
        <v>32260.777211415654</v>
      </c>
      <c r="V15" s="130">
        <v>32260.777211415654</v>
      </c>
      <c r="W15" s="130">
        <v>32260.777211415654</v>
      </c>
      <c r="X15" s="130">
        <v>32260.777211415654</v>
      </c>
      <c r="Y15" s="130">
        <v>32260.777211415654</v>
      </c>
      <c r="Z15" s="130">
        <v>32260.777211415654</v>
      </c>
      <c r="AA15" s="130">
        <v>32260.777211415654</v>
      </c>
      <c r="AB15" s="130">
        <v>36293.374362842609</v>
      </c>
      <c r="AC15" s="130">
        <v>36293.374362842609</v>
      </c>
      <c r="AD15" s="130">
        <v>36293.374362842609</v>
      </c>
      <c r="AE15" s="130">
        <v>36293.374362842609</v>
      </c>
      <c r="AF15" s="130">
        <v>32260.777211415654</v>
      </c>
      <c r="AG15" s="130">
        <v>32260.777211415654</v>
      </c>
      <c r="AH15" s="130">
        <v>32260.777211415654</v>
      </c>
      <c r="AI15" s="130">
        <v>32260.777211415654</v>
      </c>
      <c r="AJ15" s="130">
        <v>32260.777211415654</v>
      </c>
      <c r="AK15" s="130">
        <v>32260.777211415654</v>
      </c>
      <c r="AL15" s="130">
        <v>32260.777211415654</v>
      </c>
      <c r="AM15" s="130">
        <v>32260.777211415654</v>
      </c>
      <c r="AN15" s="130">
        <v>36293.374362842609</v>
      </c>
      <c r="AO15" s="130">
        <v>36293.374362842609</v>
      </c>
      <c r="AP15" s="130">
        <v>36293.374362842609</v>
      </c>
      <c r="AQ15" s="130">
        <v>36293.374362842609</v>
      </c>
      <c r="AR15" s="130">
        <v>32260.777211415654</v>
      </c>
      <c r="AS15" s="130">
        <v>32260.777211415654</v>
      </c>
      <c r="AT15" s="130">
        <v>32260.777211415654</v>
      </c>
      <c r="AU15" s="130">
        <v>32260.777211415654</v>
      </c>
      <c r="AV15" s="130">
        <v>32260.777211415654</v>
      </c>
      <c r="AW15" s="130">
        <v>32260.777211415654</v>
      </c>
      <c r="AX15" s="130">
        <v>32260.777211415654</v>
      </c>
      <c r="AY15" s="130">
        <v>32260.777211415654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/>
      <c r="L16" s="116">
        <v>0</v>
      </c>
      <c r="M16" s="116">
        <v>0</v>
      </c>
      <c r="N16" s="116"/>
      <c r="O16" s="116">
        <v>0</v>
      </c>
      <c r="P16" s="116">
        <v>0</v>
      </c>
      <c r="Q16" s="116">
        <v>0</v>
      </c>
      <c r="R16" s="116"/>
      <c r="S16" s="116">
        <v>0</v>
      </c>
      <c r="T16" s="116">
        <v>0</v>
      </c>
      <c r="U16" s="116">
        <v>0</v>
      </c>
      <c r="V16" s="116"/>
      <c r="W16" s="116">
        <v>0</v>
      </c>
      <c r="X16" s="116"/>
      <c r="Y16" s="116">
        <v>0</v>
      </c>
      <c r="Z16" s="116">
        <v>0</v>
      </c>
      <c r="AA16" s="116">
        <v>0</v>
      </c>
      <c r="AB16" s="116">
        <v>0</v>
      </c>
      <c r="AC16" s="116"/>
      <c r="AD16" s="116">
        <v>0</v>
      </c>
      <c r="AE16" s="116">
        <v>0</v>
      </c>
      <c r="AF16" s="116"/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16">
        <v>0</v>
      </c>
      <c r="AT16" s="116"/>
      <c r="AU16" s="116">
        <v>0</v>
      </c>
      <c r="AV16" s="116"/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/>
      <c r="E17" s="116"/>
      <c r="F17" s="116"/>
      <c r="G17" s="116">
        <v>0</v>
      </c>
      <c r="H17" s="116"/>
      <c r="I17" s="116"/>
      <c r="J17" s="116"/>
      <c r="K17" s="116">
        <v>0</v>
      </c>
      <c r="L17" s="116">
        <v>0</v>
      </c>
      <c r="M17" s="116"/>
      <c r="N17" s="116"/>
      <c r="O17" s="116">
        <v>0</v>
      </c>
      <c r="P17" s="116"/>
      <c r="Q17" s="116"/>
      <c r="R17" s="116"/>
      <c r="S17" s="116"/>
      <c r="T17" s="116"/>
      <c r="U17" s="116">
        <v>0</v>
      </c>
      <c r="V17" s="116">
        <v>0</v>
      </c>
      <c r="W17" s="116">
        <v>0</v>
      </c>
      <c r="X17" s="116"/>
      <c r="Y17" s="116">
        <v>0</v>
      </c>
      <c r="Z17" s="116"/>
      <c r="AA17" s="116">
        <v>0</v>
      </c>
      <c r="AB17" s="116"/>
      <c r="AC17" s="116"/>
      <c r="AD17" s="116"/>
      <c r="AE17" s="116"/>
      <c r="AF17" s="116"/>
      <c r="AG17" s="116">
        <v>0</v>
      </c>
      <c r="AH17" s="116"/>
      <c r="AI17" s="116"/>
      <c r="AJ17" s="116"/>
      <c r="AK17" s="116"/>
      <c r="AL17" s="116"/>
      <c r="AM17" s="116">
        <v>0</v>
      </c>
      <c r="AN17" s="116"/>
      <c r="AO17" s="116">
        <v>0</v>
      </c>
      <c r="AP17" s="116">
        <v>0</v>
      </c>
      <c r="AQ17" s="116">
        <v>0</v>
      </c>
      <c r="AR17" s="116">
        <v>0</v>
      </c>
      <c r="AS17" s="116"/>
      <c r="AT17" s="116"/>
      <c r="AU17" s="116">
        <v>0</v>
      </c>
      <c r="AV17" s="116">
        <v>0</v>
      </c>
      <c r="AW17" s="116">
        <v>0</v>
      </c>
      <c r="AX17" s="116"/>
      <c r="AY17" s="116">
        <v>0</v>
      </c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>
        <v>0</v>
      </c>
      <c r="R18" s="131"/>
      <c r="S18" s="131"/>
      <c r="T18" s="131">
        <v>0</v>
      </c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>
        <v>0</v>
      </c>
      <c r="AF18" s="131"/>
      <c r="AG18" s="131"/>
      <c r="AH18" s="131">
        <v>0</v>
      </c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>
        <v>0</v>
      </c>
      <c r="BB18" s="106">
        <v>0</v>
      </c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>
        <v>8671.5072274015638</v>
      </c>
      <c r="E21" s="130">
        <v>8671.5072274015638</v>
      </c>
      <c r="F21" s="130">
        <v>8671.5072274015638</v>
      </c>
      <c r="G21" s="130">
        <v>8671.5072274015638</v>
      </c>
      <c r="H21" s="130">
        <v>8091.1440239132826</v>
      </c>
      <c r="I21" s="130">
        <v>8091.1440239132826</v>
      </c>
      <c r="J21" s="130">
        <v>8091.1440239132826</v>
      </c>
      <c r="K21" s="130">
        <v>8091.1440239132826</v>
      </c>
      <c r="L21" s="130">
        <v>8091.1440239132826</v>
      </c>
      <c r="M21" s="130">
        <v>6997.4239824650322</v>
      </c>
      <c r="N21" s="130">
        <v>8091.1440239132826</v>
      </c>
      <c r="O21" s="130">
        <v>8091.1440239132826</v>
      </c>
      <c r="P21" s="130">
        <v>8671.5072274015638</v>
      </c>
      <c r="Q21" s="130">
        <v>8671.5072274015638</v>
      </c>
      <c r="R21" s="130">
        <v>8671.5072274015638</v>
      </c>
      <c r="S21" s="130">
        <v>8671.5072274015638</v>
      </c>
      <c r="T21" s="130">
        <v>8091.1440239132826</v>
      </c>
      <c r="U21" s="130">
        <v>8091.1440239132826</v>
      </c>
      <c r="V21" s="130">
        <v>8091.1440239132826</v>
      </c>
      <c r="W21" s="130">
        <v>8091.1440239132826</v>
      </c>
      <c r="X21" s="130">
        <v>8091.1440239132826</v>
      </c>
      <c r="Y21" s="130">
        <v>8091.1440239132826</v>
      </c>
      <c r="Z21" s="130">
        <v>7699.2590115608582</v>
      </c>
      <c r="AA21" s="130">
        <v>7701.1934506095931</v>
      </c>
      <c r="AB21" s="130">
        <v>8671.5072274015638</v>
      </c>
      <c r="AC21" s="130">
        <v>8671.5072274015638</v>
      </c>
      <c r="AD21" s="130">
        <v>8671.5072274015638</v>
      </c>
      <c r="AE21" s="130">
        <v>8671.5072274015638</v>
      </c>
      <c r="AF21" s="130">
        <v>8091.1440239132826</v>
      </c>
      <c r="AG21" s="130">
        <v>8091.1440239132826</v>
      </c>
      <c r="AH21" s="130">
        <v>8091.1440239132826</v>
      </c>
      <c r="AI21" s="130">
        <v>8091.1440239132826</v>
      </c>
      <c r="AJ21" s="130">
        <v>8091.1440239132826</v>
      </c>
      <c r="AK21" s="130">
        <v>8091.1440239132826</v>
      </c>
      <c r="AL21" s="130">
        <v>8091.1440239132826</v>
      </c>
      <c r="AM21" s="130">
        <v>8091.1440239132826</v>
      </c>
      <c r="AN21" s="130">
        <v>8671.5072274015638</v>
      </c>
      <c r="AO21" s="130">
        <v>8671.5072274015638</v>
      </c>
      <c r="AP21" s="130">
        <v>7637.5558774315286</v>
      </c>
      <c r="AQ21" s="130">
        <v>8671.5072274015638</v>
      </c>
      <c r="AR21" s="130">
        <v>8091.1440239132826</v>
      </c>
      <c r="AS21" s="130">
        <v>8091.1440239132826</v>
      </c>
      <c r="AT21" s="130">
        <v>8091.1440239132826</v>
      </c>
      <c r="AU21" s="130">
        <v>8091.1440239132826</v>
      </c>
      <c r="AV21" s="130">
        <v>8091.1440239132826</v>
      </c>
      <c r="AW21" s="130">
        <v>8091.1440239132826</v>
      </c>
      <c r="AX21" s="130">
        <v>8091.1440239132826</v>
      </c>
      <c r="AY21" s="130">
        <v>8091.1440239132826</v>
      </c>
    </row>
    <row r="22" spans="1:54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4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>
        <v>780</v>
      </c>
      <c r="E25" s="116">
        <v>1705.8046924914556</v>
      </c>
      <c r="F25" s="116">
        <v>403</v>
      </c>
      <c r="G25" s="116">
        <v>13</v>
      </c>
      <c r="H25" s="116">
        <v>403</v>
      </c>
      <c r="I25" s="116">
        <v>3851.0605581057753</v>
      </c>
      <c r="J25" s="116">
        <v>3424.6093849829113</v>
      </c>
      <c r="K25" s="116">
        <v>0</v>
      </c>
      <c r="L25" s="116">
        <v>3424.6093849829113</v>
      </c>
      <c r="M25" s="116">
        <v>3424.6093849829113</v>
      </c>
      <c r="N25" s="116">
        <v>3424.6093849829113</v>
      </c>
      <c r="O25" s="116">
        <v>3424.6093849829113</v>
      </c>
      <c r="P25" s="116">
        <v>3424.6093849829113</v>
      </c>
      <c r="Q25" s="116">
        <v>3424.6093849829113</v>
      </c>
      <c r="R25" s="116">
        <v>3851.0605581057753</v>
      </c>
      <c r="S25" s="116">
        <v>13</v>
      </c>
      <c r="T25" s="116">
        <v>390</v>
      </c>
      <c r="U25" s="116">
        <v>3851.0605581057753</v>
      </c>
      <c r="V25" s="116">
        <v>3424.6093849829113</v>
      </c>
      <c r="W25" s="116">
        <v>3424.6093849829113</v>
      </c>
      <c r="X25" s="116">
        <v>403</v>
      </c>
      <c r="Y25" s="116">
        <v>13</v>
      </c>
      <c r="Z25" s="116">
        <v>3424.6093849829113</v>
      </c>
      <c r="AA25" s="116">
        <v>3424.6093849829113</v>
      </c>
      <c r="AB25" s="116">
        <v>3424.6093849829113</v>
      </c>
      <c r="AC25" s="116">
        <v>3424.6093849829113</v>
      </c>
      <c r="AD25" s="116">
        <v>3851.0605581057753</v>
      </c>
      <c r="AE25" s="116">
        <v>3851.0605581057753</v>
      </c>
      <c r="AF25" s="116">
        <v>3851.0605581057753</v>
      </c>
      <c r="AG25" s="116">
        <v>3838.0605581057753</v>
      </c>
      <c r="AH25" s="116">
        <v>403</v>
      </c>
      <c r="AI25" s="116">
        <v>13</v>
      </c>
      <c r="AJ25" s="116">
        <v>3424.6093849829113</v>
      </c>
      <c r="AK25" s="116">
        <v>13</v>
      </c>
      <c r="AL25" s="116">
        <v>403</v>
      </c>
      <c r="AM25" s="116">
        <v>13</v>
      </c>
      <c r="AN25" s="116">
        <v>403</v>
      </c>
      <c r="AO25" s="116">
        <v>13</v>
      </c>
      <c r="AP25" s="116">
        <v>403</v>
      </c>
      <c r="AQ25" s="116">
        <v>3851.0605581057753</v>
      </c>
      <c r="AR25" s="116">
        <v>3851.0605581057753</v>
      </c>
      <c r="AS25" s="116">
        <v>13</v>
      </c>
      <c r="AT25" s="116">
        <v>13</v>
      </c>
      <c r="AU25" s="116">
        <v>13</v>
      </c>
      <c r="AV25" s="116">
        <v>4118</v>
      </c>
      <c r="AW25" s="116">
        <v>3424.6093849829113</v>
      </c>
      <c r="AX25" s="116">
        <v>403</v>
      </c>
      <c r="AY25" s="116">
        <v>13</v>
      </c>
    </row>
    <row r="26" spans="1:54" x14ac:dyDescent="0.2">
      <c r="A26" s="115"/>
      <c r="B26" s="125">
        <v>2</v>
      </c>
      <c r="C26" s="115" t="s">
        <v>293</v>
      </c>
      <c r="D26" s="116">
        <v>0</v>
      </c>
      <c r="E26" s="116">
        <v>2794.6093849829113</v>
      </c>
      <c r="F26" s="116">
        <v>0</v>
      </c>
      <c r="G26" s="116">
        <v>3448.0605581057753</v>
      </c>
      <c r="H26" s="116">
        <v>3838.0605581057753</v>
      </c>
      <c r="I26" s="116">
        <v>3448.0605581057753</v>
      </c>
      <c r="J26" s="116">
        <v>0</v>
      </c>
      <c r="K26" s="116">
        <v>0</v>
      </c>
      <c r="L26" s="116">
        <v>3411.6093849829113</v>
      </c>
      <c r="M26" s="116">
        <v>0</v>
      </c>
      <c r="N26" s="116">
        <v>0</v>
      </c>
      <c r="O26" s="116">
        <v>0</v>
      </c>
      <c r="P26" s="116">
        <v>0</v>
      </c>
      <c r="Q26" s="116">
        <v>0</v>
      </c>
      <c r="R26" s="116">
        <v>0</v>
      </c>
      <c r="S26" s="116">
        <v>0</v>
      </c>
      <c r="T26" s="116">
        <v>3838.0605581057753</v>
      </c>
      <c r="U26" s="116">
        <v>3448.0605581057753</v>
      </c>
      <c r="V26" s="116">
        <v>0</v>
      </c>
      <c r="W26" s="116">
        <v>0</v>
      </c>
      <c r="X26" s="116">
        <v>0</v>
      </c>
      <c r="Y26" s="116">
        <v>3021.6093849829113</v>
      </c>
      <c r="Z26" s="116">
        <v>3411.6093849829113</v>
      </c>
      <c r="AA26" s="116">
        <v>0</v>
      </c>
      <c r="AB26" s="116">
        <v>0</v>
      </c>
      <c r="AC26" s="116">
        <v>0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3021.6093849829113</v>
      </c>
      <c r="AJ26" s="116">
        <v>3411.6093849829113</v>
      </c>
      <c r="AK26" s="116">
        <v>0</v>
      </c>
      <c r="AL26" s="116">
        <v>3411.6093849829113</v>
      </c>
      <c r="AM26" s="116">
        <v>3021.6093849829113</v>
      </c>
      <c r="AN26" s="116">
        <v>0</v>
      </c>
      <c r="AO26" s="116">
        <v>0</v>
      </c>
      <c r="AP26" s="116">
        <v>3411.6093849829113</v>
      </c>
      <c r="AQ26" s="116">
        <v>3448.0605581057753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3021.6093849829113</v>
      </c>
    </row>
    <row r="27" spans="1:54" x14ac:dyDescent="0.2">
      <c r="A27" s="115"/>
      <c r="B27" s="126">
        <v>3</v>
      </c>
      <c r="C27" s="115" t="s">
        <v>293</v>
      </c>
      <c r="D27" s="116">
        <v>0</v>
      </c>
      <c r="E27" s="116">
        <v>0</v>
      </c>
      <c r="F27" s="116">
        <v>0</v>
      </c>
      <c r="G27" s="116">
        <v>0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0</v>
      </c>
      <c r="Z27" s="116"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3715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</row>
    <row r="28" spans="1:54" x14ac:dyDescent="0.2">
      <c r="A28" s="115"/>
      <c r="B28" s="126">
        <v>4</v>
      </c>
      <c r="C28" s="115" t="s">
        <v>293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4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4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4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>
        <v>21962.101628950819</v>
      </c>
      <c r="E33" s="112">
        <v>21962.101628950819</v>
      </c>
      <c r="F33" s="112">
        <v>21962.101628950819</v>
      </c>
      <c r="G33" s="112">
        <v>21962.101628950819</v>
      </c>
      <c r="H33" s="112">
        <v>21962.101628950819</v>
      </c>
      <c r="I33" s="112">
        <v>21962.101628950822</v>
      </c>
      <c r="J33" s="112">
        <v>21962.101628950826</v>
      </c>
      <c r="K33" s="112">
        <v>21962.101628950822</v>
      </c>
      <c r="L33" s="112">
        <v>21962.10162895083</v>
      </c>
      <c r="M33" s="112">
        <v>21962.10162895083</v>
      </c>
      <c r="N33" s="112">
        <v>21962.101628950826</v>
      </c>
      <c r="O33" s="112">
        <v>21962.101628950822</v>
      </c>
      <c r="P33" s="112">
        <v>21962.101628950826</v>
      </c>
      <c r="Q33" s="112">
        <v>21962.101628950826</v>
      </c>
      <c r="R33" s="112">
        <v>21962.101628950822</v>
      </c>
      <c r="S33" s="112">
        <v>21962.10162895083</v>
      </c>
      <c r="T33" s="112">
        <v>21962.10162895083</v>
      </c>
      <c r="U33" s="112">
        <v>21962.101628950822</v>
      </c>
      <c r="V33" s="112">
        <v>21962.101628950826</v>
      </c>
      <c r="W33" s="112">
        <v>21962.101628950822</v>
      </c>
      <c r="X33" s="112">
        <v>21962.101628950826</v>
      </c>
      <c r="Y33" s="112">
        <v>21962.101628950826</v>
      </c>
      <c r="Z33" s="112">
        <v>21962.101628950822</v>
      </c>
      <c r="AA33" s="112">
        <v>21962.10162895083</v>
      </c>
      <c r="AB33" s="112">
        <v>21962.10162895083</v>
      </c>
      <c r="AC33" s="112">
        <v>21962.101628950826</v>
      </c>
      <c r="AD33" s="112">
        <v>21962.10162895083</v>
      </c>
      <c r="AE33" s="112">
        <v>21962.10162895083</v>
      </c>
      <c r="AF33" s="112">
        <v>21962.10162895083</v>
      </c>
      <c r="AG33" s="112">
        <v>21962.101628950822</v>
      </c>
      <c r="AH33" s="112">
        <v>21962.101628950822</v>
      </c>
      <c r="AI33" s="112">
        <v>21962.10162895083</v>
      </c>
      <c r="AJ33" s="112">
        <v>21962.101628950826</v>
      </c>
      <c r="AK33" s="112">
        <v>21962.101628950826</v>
      </c>
      <c r="AL33" s="112">
        <v>21962.101628950826</v>
      </c>
      <c r="AM33" s="112">
        <v>21962.101628950822</v>
      </c>
      <c r="AN33" s="112">
        <v>21962.101628950826</v>
      </c>
      <c r="AO33" s="112">
        <v>21962.101628950826</v>
      </c>
      <c r="AP33" s="112">
        <v>21962.101628950826</v>
      </c>
      <c r="AQ33" s="112">
        <v>21962.101628950833</v>
      </c>
      <c r="AR33" s="112">
        <v>21962.101628950826</v>
      </c>
      <c r="AS33" s="112">
        <v>21962.101628950826</v>
      </c>
      <c r="AT33" s="112">
        <v>21962.101628950826</v>
      </c>
      <c r="AU33" s="112">
        <v>21962.101628950826</v>
      </c>
      <c r="AV33" s="112">
        <v>21962.101628950826</v>
      </c>
      <c r="AW33" s="112">
        <v>21962.101628950819</v>
      </c>
      <c r="AX33" s="112">
        <v>21962.101628950815</v>
      </c>
      <c r="AY33" s="112">
        <v>21962.101628950822</v>
      </c>
    </row>
    <row r="34" spans="1:51" x14ac:dyDescent="0.2">
      <c r="A34" s="115"/>
      <c r="B34" s="125">
        <v>2</v>
      </c>
      <c r="C34" s="115" t="s">
        <v>293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</row>
    <row r="35" spans="1:51" x14ac:dyDescent="0.2">
      <c r="A35" s="115"/>
      <c r="B35" s="125">
        <v>3</v>
      </c>
      <c r="C35" s="115" t="s">
        <v>293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293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293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293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293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>
        <v>600.32158565547434</v>
      </c>
      <c r="E46" s="116">
        <v>5957.7531136399684</v>
      </c>
      <c r="F46" s="116">
        <v>5957.7531136399721</v>
      </c>
      <c r="G46" s="116">
        <v>5957.7531136399739</v>
      </c>
      <c r="H46" s="116">
        <v>1925.1559622130208</v>
      </c>
      <c r="I46" s="116"/>
      <c r="J46" s="116"/>
      <c r="K46" s="116"/>
      <c r="L46" s="116"/>
      <c r="M46" s="116"/>
      <c r="N46" s="116"/>
      <c r="O46" s="116"/>
      <c r="P46" s="116">
        <v>3661.7110302180336</v>
      </c>
      <c r="Q46" s="116">
        <v>5957.7531136399721</v>
      </c>
      <c r="R46" s="116">
        <v>5957.7531136399593</v>
      </c>
      <c r="S46" s="116">
        <v>5957.7531136399593</v>
      </c>
      <c r="T46" s="116">
        <v>1925.1559622130189</v>
      </c>
      <c r="U46" s="116"/>
      <c r="V46" s="116"/>
      <c r="W46" s="116"/>
      <c r="X46" s="116"/>
      <c r="Y46" s="116"/>
      <c r="Z46" s="116"/>
      <c r="AA46" s="116"/>
      <c r="AB46" s="116">
        <v>3661.711030218039</v>
      </c>
      <c r="AC46" s="116">
        <v>5957.7531136399612</v>
      </c>
      <c r="AD46" s="116">
        <v>5957.7531136399612</v>
      </c>
      <c r="AE46" s="116">
        <v>5957.7531136399612</v>
      </c>
      <c r="AF46" s="116">
        <v>1925.1559622130208</v>
      </c>
      <c r="AG46" s="116"/>
      <c r="AH46" s="116"/>
      <c r="AI46" s="116"/>
      <c r="AJ46" s="116"/>
      <c r="AK46" s="116"/>
      <c r="AL46" s="116"/>
      <c r="AM46" s="116"/>
      <c r="AN46" s="116">
        <v>3661.711030218039</v>
      </c>
      <c r="AO46" s="116">
        <v>5957.7531136399684</v>
      </c>
      <c r="AP46" s="116">
        <v>5957.7531136399539</v>
      </c>
      <c r="AQ46" s="116">
        <v>5957.7531136399666</v>
      </c>
      <c r="AR46" s="116">
        <v>1925.1559622130117</v>
      </c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>
        <v>8715.3250554324186</v>
      </c>
      <c r="E47" s="116">
        <v>8033.5196202518146</v>
      </c>
      <c r="F47" s="116">
        <v>8047.5196202518182</v>
      </c>
      <c r="G47" s="116">
        <v>8067.5196202518164</v>
      </c>
      <c r="H47" s="116">
        <v>8010.5196202518146</v>
      </c>
      <c r="I47" s="116">
        <v>8316.6755824648171</v>
      </c>
      <c r="J47" s="116">
        <v>8418.6755824648353</v>
      </c>
      <c r="K47" s="116">
        <v>8502.6755824648135</v>
      </c>
      <c r="L47" s="116">
        <v>8499.6755824648244</v>
      </c>
      <c r="M47" s="116">
        <v>10066.675582464832</v>
      </c>
      <c r="N47" s="116">
        <v>10015.675582464835</v>
      </c>
      <c r="O47" s="116">
        <v>9989.6755824648244</v>
      </c>
      <c r="P47" s="116">
        <v>10349.561703673742</v>
      </c>
      <c r="Q47" s="116">
        <v>6964.5196202518182</v>
      </c>
      <c r="R47" s="116">
        <v>7146.5196202518127</v>
      </c>
      <c r="S47" s="116">
        <v>7225.51962025182</v>
      </c>
      <c r="T47" s="116">
        <v>6825.51962025182</v>
      </c>
      <c r="U47" s="116">
        <v>9414.6755824648171</v>
      </c>
      <c r="V47" s="116">
        <v>9305.6755824648353</v>
      </c>
      <c r="W47" s="116">
        <v>9244.6755824648244</v>
      </c>
      <c r="X47" s="116">
        <v>9424.6755824648244</v>
      </c>
      <c r="Y47" s="116">
        <v>9453.6755824648353</v>
      </c>
      <c r="Z47" s="116">
        <v>9257.6755824648171</v>
      </c>
      <c r="AA47" s="116">
        <v>9471.6755824648244</v>
      </c>
      <c r="AB47" s="116">
        <v>9749.5617036737476</v>
      </c>
      <c r="AC47" s="116">
        <v>8015.5196202518146</v>
      </c>
      <c r="AD47" s="116">
        <v>8037.5196202518182</v>
      </c>
      <c r="AE47" s="116">
        <v>8041.5196202518182</v>
      </c>
      <c r="AF47" s="116">
        <v>8088.5196202518182</v>
      </c>
      <c r="AG47" s="116">
        <v>9296.6755824648317</v>
      </c>
      <c r="AH47" s="116">
        <v>9211.6755824648135</v>
      </c>
      <c r="AI47" s="116">
        <v>9139.6755824648317</v>
      </c>
      <c r="AJ47" s="116">
        <v>9268.675582464828</v>
      </c>
      <c r="AK47" s="116">
        <v>9223.6755824648244</v>
      </c>
      <c r="AL47" s="116">
        <v>9536.6755824648353</v>
      </c>
      <c r="AM47" s="116">
        <v>9325.6755824648244</v>
      </c>
      <c r="AN47" s="116">
        <v>9805.561703673744</v>
      </c>
      <c r="AO47" s="116">
        <v>6973.5196202518146</v>
      </c>
      <c r="AP47" s="116">
        <v>6651.5196202518146</v>
      </c>
      <c r="AQ47" s="116">
        <v>6919.5196202518237</v>
      </c>
      <c r="AR47" s="116">
        <v>6701.5196202518164</v>
      </c>
      <c r="AS47" s="116">
        <v>8808.6755824648244</v>
      </c>
      <c r="AT47" s="116">
        <v>9115.6755824648244</v>
      </c>
      <c r="AU47" s="116">
        <v>9094.6755824648244</v>
      </c>
      <c r="AV47" s="116">
        <v>8905.675582464828</v>
      </c>
      <c r="AW47" s="116">
        <v>9588.6755824648426</v>
      </c>
      <c r="AX47" s="116">
        <v>9806.6755824648208</v>
      </c>
      <c r="AY47" s="116">
        <v>9698.675582464839</v>
      </c>
    </row>
    <row r="48" spans="1:51" x14ac:dyDescent="0.2">
      <c r="A48" s="115"/>
      <c r="B48" s="125">
        <v>4</v>
      </c>
      <c r="C48" s="115" t="s">
        <v>293</v>
      </c>
      <c r="D48" s="116">
        <v>4442.6260928038964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1" x14ac:dyDescent="0.2">
      <c r="A49" s="115"/>
      <c r="B49" s="125">
        <v>5</v>
      </c>
      <c r="C49" s="115" t="s">
        <v>293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0</v>
      </c>
      <c r="J49" s="116">
        <v>0</v>
      </c>
      <c r="K49" s="116">
        <v>0</v>
      </c>
      <c r="L49" s="116">
        <v>0</v>
      </c>
      <c r="M49" s="116">
        <v>0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</v>
      </c>
      <c r="T49" s="116">
        <v>0</v>
      </c>
      <c r="U49" s="116">
        <v>0</v>
      </c>
      <c r="V49" s="116">
        <v>0</v>
      </c>
      <c r="W49" s="116">
        <v>0</v>
      </c>
      <c r="X49" s="116">
        <v>0</v>
      </c>
      <c r="Y49" s="116">
        <v>0</v>
      </c>
      <c r="Z49" s="116">
        <v>0</v>
      </c>
      <c r="AA49" s="116">
        <v>0</v>
      </c>
      <c r="AB49" s="116">
        <v>0</v>
      </c>
      <c r="AC49" s="116">
        <v>0</v>
      </c>
      <c r="AD49" s="116">
        <v>0</v>
      </c>
      <c r="AE49" s="116">
        <v>0</v>
      </c>
      <c r="AF49" s="116">
        <v>0</v>
      </c>
      <c r="AG49" s="116">
        <v>0</v>
      </c>
      <c r="AH49" s="116">
        <v>0</v>
      </c>
      <c r="AI49" s="116">
        <v>0</v>
      </c>
      <c r="AJ49" s="116">
        <v>0</v>
      </c>
      <c r="AK49" s="116">
        <v>0</v>
      </c>
      <c r="AL49" s="116">
        <v>0</v>
      </c>
      <c r="AM49" s="116">
        <v>0</v>
      </c>
      <c r="AN49" s="116">
        <v>0</v>
      </c>
      <c r="AO49" s="116">
        <v>0</v>
      </c>
      <c r="AP49" s="116">
        <v>0</v>
      </c>
      <c r="AQ49" s="116">
        <v>0</v>
      </c>
      <c r="AR49" s="116">
        <v>0</v>
      </c>
      <c r="AS49" s="116">
        <v>0</v>
      </c>
      <c r="AT49" s="116">
        <v>0</v>
      </c>
      <c r="AU49" s="116">
        <v>0</v>
      </c>
      <c r="AV49" s="116">
        <v>0</v>
      </c>
      <c r="AW49" s="116">
        <v>0</v>
      </c>
      <c r="AX49" s="116">
        <v>0</v>
      </c>
      <c r="AY49" s="116">
        <v>0</v>
      </c>
    </row>
    <row r="50" spans="1:51" x14ac:dyDescent="0.2">
      <c r="A50" s="115"/>
      <c r="B50" s="125">
        <v>6</v>
      </c>
      <c r="C50" s="115" t="s">
        <v>293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</v>
      </c>
      <c r="AR50" s="116">
        <v>0</v>
      </c>
      <c r="AS50" s="116">
        <v>0</v>
      </c>
      <c r="AT50" s="116">
        <v>0</v>
      </c>
      <c r="AU50" s="116">
        <v>0</v>
      </c>
      <c r="AV50" s="116">
        <v>0</v>
      </c>
      <c r="AW50" s="116">
        <v>0</v>
      </c>
      <c r="AX50" s="116">
        <v>0</v>
      </c>
      <c r="AY50" s="116">
        <v>0</v>
      </c>
    </row>
    <row r="51" spans="1:51" x14ac:dyDescent="0.2">
      <c r="A51" s="115"/>
      <c r="B51" s="125">
        <v>7</v>
      </c>
      <c r="C51" s="115" t="s">
        <v>293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</v>
      </c>
      <c r="AO51" s="116">
        <v>0</v>
      </c>
      <c r="AP51" s="116">
        <v>0</v>
      </c>
      <c r="AQ51" s="116">
        <v>0</v>
      </c>
      <c r="AR51" s="116">
        <v>0</v>
      </c>
      <c r="AS51" s="116">
        <v>0</v>
      </c>
      <c r="AT51" s="116">
        <v>0</v>
      </c>
      <c r="AU51" s="116">
        <v>0</v>
      </c>
      <c r="AV51" s="116">
        <v>0</v>
      </c>
      <c r="AW51" s="116">
        <v>0</v>
      </c>
      <c r="AX51" s="116">
        <v>0</v>
      </c>
      <c r="AY51" s="116">
        <v>0</v>
      </c>
    </row>
    <row r="52" spans="1:51" x14ac:dyDescent="0.2">
      <c r="A52" s="115"/>
      <c r="B52" s="125">
        <v>8</v>
      </c>
      <c r="C52" s="115" t="s">
        <v>293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</row>
    <row r="53" spans="1:51" x14ac:dyDescent="0.2">
      <c r="A53" s="115"/>
      <c r="B53" s="125">
        <v>9</v>
      </c>
      <c r="C53" s="115" t="s">
        <v>293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</row>
    <row r="54" spans="1:51" x14ac:dyDescent="0.2">
      <c r="A54" s="115"/>
      <c r="B54" s="125">
        <v>10</v>
      </c>
      <c r="C54" s="115" t="s">
        <v>293</v>
      </c>
      <c r="D54" s="116">
        <v>0</v>
      </c>
      <c r="E54" s="116">
        <v>0</v>
      </c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>
        <v>0</v>
      </c>
      <c r="AC54" s="116">
        <v>0</v>
      </c>
      <c r="AD54" s="116">
        <v>0</v>
      </c>
      <c r="AE54" s="116">
        <v>0</v>
      </c>
      <c r="AF54" s="116">
        <v>0</v>
      </c>
      <c r="AG54" s="116">
        <v>0</v>
      </c>
      <c r="AH54" s="116">
        <v>0</v>
      </c>
      <c r="AI54" s="116">
        <v>0</v>
      </c>
      <c r="AJ54" s="116">
        <v>0</v>
      </c>
      <c r="AK54" s="116">
        <v>0</v>
      </c>
      <c r="AL54" s="116">
        <v>0</v>
      </c>
      <c r="AM54" s="116">
        <v>0</v>
      </c>
      <c r="AN54" s="116">
        <v>0</v>
      </c>
      <c r="AO54" s="116">
        <v>0</v>
      </c>
      <c r="AP54" s="116">
        <v>0</v>
      </c>
      <c r="AQ54" s="116">
        <v>0</v>
      </c>
      <c r="AR54" s="116">
        <v>0</v>
      </c>
      <c r="AS54" s="116">
        <v>0</v>
      </c>
      <c r="AT54" s="116">
        <v>0</v>
      </c>
      <c r="AU54" s="116">
        <v>0</v>
      </c>
      <c r="AV54" s="116">
        <v>0</v>
      </c>
      <c r="AW54" s="116">
        <v>0</v>
      </c>
      <c r="AX54" s="116">
        <v>0</v>
      </c>
      <c r="AY54" s="116">
        <v>0</v>
      </c>
    </row>
    <row r="55" spans="1:51" x14ac:dyDescent="0.2">
      <c r="A55" s="115"/>
      <c r="B55" s="125">
        <v>11</v>
      </c>
      <c r="C55" s="115" t="s">
        <v>293</v>
      </c>
      <c r="D55" s="116">
        <v>0</v>
      </c>
      <c r="E55" s="116">
        <v>0</v>
      </c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>
        <v>0</v>
      </c>
      <c r="AC55" s="116">
        <v>0</v>
      </c>
      <c r="AD55" s="116">
        <v>0</v>
      </c>
      <c r="AE55" s="116">
        <v>0</v>
      </c>
      <c r="AF55" s="116">
        <v>0</v>
      </c>
      <c r="AG55" s="116">
        <v>0</v>
      </c>
      <c r="AH55" s="116">
        <v>0</v>
      </c>
      <c r="AI55" s="116">
        <v>0</v>
      </c>
      <c r="AJ55" s="116">
        <v>0</v>
      </c>
      <c r="AK55" s="116">
        <v>0</v>
      </c>
      <c r="AL55" s="116">
        <v>0</v>
      </c>
      <c r="AM55" s="116">
        <v>0</v>
      </c>
      <c r="AN55" s="116">
        <v>0</v>
      </c>
      <c r="AO55" s="116">
        <v>0</v>
      </c>
      <c r="AP55" s="116">
        <v>0</v>
      </c>
      <c r="AQ55" s="116">
        <v>0</v>
      </c>
      <c r="AR55" s="116">
        <v>0</v>
      </c>
      <c r="AS55" s="116">
        <v>0</v>
      </c>
      <c r="AT55" s="116">
        <v>0</v>
      </c>
      <c r="AU55" s="116">
        <v>0</v>
      </c>
      <c r="AV55" s="116">
        <v>0</v>
      </c>
      <c r="AW55" s="116">
        <v>0</v>
      </c>
      <c r="AX55" s="116">
        <v>0</v>
      </c>
      <c r="AY55" s="116">
        <v>0</v>
      </c>
    </row>
    <row r="56" spans="1:51" x14ac:dyDescent="0.2">
      <c r="A56" s="115"/>
      <c r="B56" s="125">
        <v>12</v>
      </c>
      <c r="C56" s="115" t="s">
        <v>293</v>
      </c>
      <c r="D56" s="116">
        <v>0</v>
      </c>
      <c r="E56" s="116">
        <v>0</v>
      </c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>
        <v>0</v>
      </c>
      <c r="AC56" s="116">
        <v>0</v>
      </c>
      <c r="AD56" s="116">
        <v>0</v>
      </c>
      <c r="AE56" s="116">
        <v>0</v>
      </c>
      <c r="AF56" s="116">
        <v>0</v>
      </c>
      <c r="AG56" s="116">
        <v>0</v>
      </c>
      <c r="AH56" s="116">
        <v>0</v>
      </c>
      <c r="AI56" s="116">
        <v>0</v>
      </c>
      <c r="AJ56" s="116">
        <v>0</v>
      </c>
      <c r="AK56" s="116">
        <v>0</v>
      </c>
      <c r="AL56" s="116">
        <v>0</v>
      </c>
      <c r="AM56" s="116">
        <v>0</v>
      </c>
      <c r="AN56" s="116">
        <v>0</v>
      </c>
      <c r="AO56" s="116">
        <v>0</v>
      </c>
      <c r="AP56" s="116">
        <v>0</v>
      </c>
      <c r="AQ56" s="116">
        <v>0</v>
      </c>
      <c r="AR56" s="116">
        <v>0</v>
      </c>
      <c r="AS56" s="116">
        <v>0</v>
      </c>
      <c r="AT56" s="116">
        <v>0</v>
      </c>
      <c r="AU56" s="116">
        <v>0</v>
      </c>
      <c r="AV56" s="116">
        <v>0</v>
      </c>
      <c r="AW56" s="116">
        <v>0</v>
      </c>
      <c r="AX56" s="116">
        <v>0</v>
      </c>
      <c r="AY56" s="116">
        <v>0</v>
      </c>
    </row>
    <row r="57" spans="1:51" x14ac:dyDescent="0.2">
      <c r="A57" s="115"/>
      <c r="B57" s="126">
        <v>13</v>
      </c>
      <c r="C57" s="115" t="s">
        <v>293</v>
      </c>
      <c r="D57" s="116">
        <v>0</v>
      </c>
      <c r="E57" s="116">
        <v>0</v>
      </c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>
        <v>0</v>
      </c>
      <c r="AC57" s="116">
        <v>0</v>
      </c>
      <c r="AD57" s="116">
        <v>0</v>
      </c>
      <c r="AE57" s="116">
        <v>0</v>
      </c>
      <c r="AF57" s="116">
        <v>0</v>
      </c>
      <c r="AG57" s="116">
        <v>0</v>
      </c>
      <c r="AH57" s="116">
        <v>0</v>
      </c>
      <c r="AI57" s="116">
        <v>0</v>
      </c>
      <c r="AJ57" s="116">
        <v>0</v>
      </c>
      <c r="AK57" s="116">
        <v>0</v>
      </c>
      <c r="AL57" s="116">
        <v>0</v>
      </c>
      <c r="AM57" s="116">
        <v>0</v>
      </c>
      <c r="AN57" s="116">
        <v>0</v>
      </c>
      <c r="AO57" s="116">
        <v>0</v>
      </c>
      <c r="AP57" s="116">
        <v>0</v>
      </c>
      <c r="AQ57" s="116">
        <v>0</v>
      </c>
      <c r="AR57" s="116">
        <v>0</v>
      </c>
      <c r="AS57" s="116">
        <v>0</v>
      </c>
      <c r="AT57" s="116">
        <v>0</v>
      </c>
      <c r="AU57" s="116">
        <v>0</v>
      </c>
      <c r="AV57" s="116">
        <v>0</v>
      </c>
      <c r="AW57" s="116">
        <v>0</v>
      </c>
      <c r="AX57" s="116">
        <v>0</v>
      </c>
      <c r="AY57" s="116">
        <v>0</v>
      </c>
    </row>
    <row r="58" spans="1:51" x14ac:dyDescent="0.2">
      <c r="A58" s="115"/>
      <c r="B58" s="126">
        <v>14</v>
      </c>
      <c r="C58" s="115" t="s">
        <v>293</v>
      </c>
      <c r="D58" s="116">
        <v>0</v>
      </c>
      <c r="E58" s="116">
        <v>0</v>
      </c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</row>
    <row r="59" spans="1:51" x14ac:dyDescent="0.2">
      <c r="A59" s="115"/>
      <c r="B59" s="126">
        <v>15</v>
      </c>
      <c r="C59" s="115" t="s">
        <v>293</v>
      </c>
      <c r="D59" s="116">
        <v>0</v>
      </c>
      <c r="E59" s="116">
        <v>0</v>
      </c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>
        <v>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</row>
    <row r="60" spans="1:51" x14ac:dyDescent="0.2">
      <c r="A60" s="115"/>
      <c r="B60" s="126">
        <v>16</v>
      </c>
      <c r="C60" s="115" t="s">
        <v>293</v>
      </c>
      <c r="D60" s="116">
        <v>0</v>
      </c>
      <c r="E60" s="116">
        <v>0</v>
      </c>
      <c r="F60" s="116">
        <v>0</v>
      </c>
      <c r="G60" s="116">
        <v>0</v>
      </c>
      <c r="H60" s="116">
        <v>0</v>
      </c>
      <c r="I60" s="116">
        <v>0</v>
      </c>
      <c r="J60" s="116">
        <v>0</v>
      </c>
      <c r="K60" s="116">
        <v>0</v>
      </c>
      <c r="L60" s="116">
        <v>0</v>
      </c>
      <c r="M60" s="116">
        <v>0</v>
      </c>
      <c r="N60" s="116">
        <v>0</v>
      </c>
      <c r="O60" s="116">
        <v>0</v>
      </c>
      <c r="P60" s="116">
        <v>0</v>
      </c>
      <c r="Q60" s="116">
        <v>0</v>
      </c>
      <c r="R60" s="116">
        <v>0</v>
      </c>
      <c r="S60" s="116">
        <v>0</v>
      </c>
      <c r="T60" s="116">
        <v>0</v>
      </c>
      <c r="U60" s="116">
        <v>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>
        <v>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</row>
    <row r="61" spans="1:51" x14ac:dyDescent="0.2">
      <c r="A61" s="115"/>
      <c r="B61" s="126">
        <v>17</v>
      </c>
      <c r="C61" s="115" t="s">
        <v>293</v>
      </c>
      <c r="D61" s="116">
        <v>0</v>
      </c>
      <c r="E61" s="116">
        <v>0</v>
      </c>
      <c r="F61" s="116">
        <v>0</v>
      </c>
      <c r="G61" s="116">
        <v>0</v>
      </c>
      <c r="H61" s="116">
        <v>0</v>
      </c>
      <c r="I61" s="116">
        <v>0</v>
      </c>
      <c r="J61" s="116">
        <v>0</v>
      </c>
      <c r="K61" s="116">
        <v>0</v>
      </c>
      <c r="L61" s="116">
        <v>0</v>
      </c>
      <c r="M61" s="116">
        <v>0</v>
      </c>
      <c r="N61" s="116">
        <v>0</v>
      </c>
      <c r="O61" s="116">
        <v>0</v>
      </c>
      <c r="P61" s="116">
        <v>0</v>
      </c>
      <c r="Q61" s="116">
        <v>0</v>
      </c>
      <c r="R61" s="116">
        <v>0</v>
      </c>
      <c r="S61" s="116">
        <v>0</v>
      </c>
      <c r="T61" s="116">
        <v>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</row>
    <row r="62" spans="1:51" x14ac:dyDescent="0.2">
      <c r="A62" s="115"/>
      <c r="B62" s="126">
        <v>18</v>
      </c>
      <c r="C62" s="115" t="s">
        <v>293</v>
      </c>
      <c r="D62" s="116">
        <v>0</v>
      </c>
      <c r="E62" s="116">
        <v>0</v>
      </c>
      <c r="F62" s="116">
        <v>0</v>
      </c>
      <c r="G62" s="116">
        <v>0</v>
      </c>
      <c r="H62" s="116">
        <v>0</v>
      </c>
      <c r="I62" s="116">
        <v>0</v>
      </c>
      <c r="J62" s="116">
        <v>0</v>
      </c>
      <c r="K62" s="116">
        <v>0</v>
      </c>
      <c r="L62" s="116">
        <v>0</v>
      </c>
      <c r="M62" s="116">
        <v>0</v>
      </c>
      <c r="N62" s="116">
        <v>0</v>
      </c>
      <c r="O62" s="116">
        <v>0</v>
      </c>
      <c r="P62" s="116">
        <v>0</v>
      </c>
      <c r="Q62" s="116">
        <v>0</v>
      </c>
      <c r="R62" s="116">
        <v>0</v>
      </c>
      <c r="S62" s="116">
        <v>0</v>
      </c>
      <c r="T62" s="116">
        <v>0</v>
      </c>
      <c r="U62" s="116">
        <v>0</v>
      </c>
      <c r="V62" s="116">
        <v>0</v>
      </c>
      <c r="W62" s="116">
        <v>0</v>
      </c>
      <c r="X62" s="116">
        <v>0</v>
      </c>
      <c r="Y62" s="116">
        <v>0</v>
      </c>
      <c r="Z62" s="116">
        <v>0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>
        <v>0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0</v>
      </c>
      <c r="AR62" s="116">
        <v>0</v>
      </c>
      <c r="AS62" s="116">
        <v>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</row>
    <row r="63" spans="1:51" x14ac:dyDescent="0.2">
      <c r="A63" s="115"/>
      <c r="B63" s="126">
        <v>19</v>
      </c>
      <c r="C63" s="115" t="s">
        <v>293</v>
      </c>
      <c r="D63" s="116">
        <v>0</v>
      </c>
      <c r="E63" s="116">
        <v>0</v>
      </c>
      <c r="F63" s="116">
        <v>0</v>
      </c>
      <c r="G63" s="116">
        <v>0</v>
      </c>
      <c r="H63" s="116">
        <v>0</v>
      </c>
      <c r="I63" s="116">
        <v>0</v>
      </c>
      <c r="J63" s="116">
        <v>0</v>
      </c>
      <c r="K63" s="116">
        <v>0</v>
      </c>
      <c r="L63" s="116">
        <v>0</v>
      </c>
      <c r="M63" s="116">
        <v>0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>
        <v>0</v>
      </c>
      <c r="V63" s="116">
        <v>0</v>
      </c>
      <c r="W63" s="116">
        <v>0</v>
      </c>
      <c r="X63" s="116">
        <v>0</v>
      </c>
      <c r="Y63" s="116">
        <v>0</v>
      </c>
      <c r="Z63" s="116">
        <v>0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>
        <v>0</v>
      </c>
      <c r="AJ63" s="116">
        <v>0</v>
      </c>
      <c r="AK63" s="116">
        <v>0</v>
      </c>
      <c r="AL63" s="116">
        <v>0</v>
      </c>
      <c r="AM63" s="116">
        <v>0</v>
      </c>
      <c r="AN63" s="116">
        <v>0</v>
      </c>
      <c r="AO63" s="116">
        <v>0</v>
      </c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</row>
    <row r="64" spans="1:51" x14ac:dyDescent="0.2">
      <c r="A64" s="115"/>
      <c r="B64" s="126">
        <v>20</v>
      </c>
      <c r="C64" s="115" t="s">
        <v>293</v>
      </c>
      <c r="D64" s="116">
        <v>0</v>
      </c>
      <c r="E64" s="116">
        <v>0</v>
      </c>
      <c r="F64" s="116">
        <v>0</v>
      </c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</row>
    <row r="65" spans="1:51" x14ac:dyDescent="0.2">
      <c r="A65" s="115"/>
      <c r="B65" s="126">
        <v>21</v>
      </c>
      <c r="C65" s="115" t="s">
        <v>293</v>
      </c>
      <c r="D65" s="116">
        <v>0</v>
      </c>
      <c r="E65" s="116">
        <v>0</v>
      </c>
      <c r="F65" s="116">
        <v>0</v>
      </c>
      <c r="G65" s="116">
        <v>0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</row>
    <row r="66" spans="1:51" x14ac:dyDescent="0.2">
      <c r="A66" s="115"/>
      <c r="B66" s="126">
        <v>22</v>
      </c>
      <c r="C66" s="115" t="s">
        <v>293</v>
      </c>
      <c r="D66" s="116">
        <v>0</v>
      </c>
      <c r="E66" s="116">
        <v>0</v>
      </c>
      <c r="F66" s="116">
        <v>0</v>
      </c>
      <c r="G66" s="116">
        <v>0</v>
      </c>
      <c r="H66" s="116">
        <v>0</v>
      </c>
      <c r="I66" s="116">
        <v>0</v>
      </c>
      <c r="J66" s="116">
        <v>0</v>
      </c>
      <c r="K66" s="116">
        <v>0</v>
      </c>
      <c r="L66" s="116">
        <v>0</v>
      </c>
      <c r="M66" s="116">
        <v>0</v>
      </c>
      <c r="N66" s="116">
        <v>0</v>
      </c>
      <c r="O66" s="116">
        <v>0</v>
      </c>
      <c r="P66" s="116">
        <v>0</v>
      </c>
      <c r="Q66" s="116">
        <v>0</v>
      </c>
      <c r="R66" s="116">
        <v>0</v>
      </c>
      <c r="S66" s="116">
        <v>0</v>
      </c>
      <c r="T66" s="116">
        <v>0</v>
      </c>
      <c r="U66" s="116">
        <v>0</v>
      </c>
      <c r="V66" s="116">
        <v>0</v>
      </c>
      <c r="W66" s="116">
        <v>0</v>
      </c>
      <c r="X66" s="116">
        <v>0</v>
      </c>
      <c r="Y66" s="116">
        <v>0</v>
      </c>
      <c r="Z66" s="116">
        <v>0</v>
      </c>
      <c r="AA66" s="116">
        <v>0</v>
      </c>
      <c r="AB66" s="116">
        <v>0</v>
      </c>
      <c r="AC66" s="116">
        <v>0</v>
      </c>
      <c r="AD66" s="116">
        <v>0</v>
      </c>
      <c r="AE66" s="116">
        <v>0</v>
      </c>
      <c r="AF66" s="116">
        <v>0</v>
      </c>
      <c r="AG66" s="116">
        <v>0</v>
      </c>
      <c r="AH66" s="116">
        <v>0</v>
      </c>
      <c r="AI66" s="116">
        <v>0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0</v>
      </c>
      <c r="AR66" s="116">
        <v>0</v>
      </c>
      <c r="AS66" s="116">
        <v>0</v>
      </c>
      <c r="AT66" s="116">
        <v>0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</row>
    <row r="67" spans="1:51" x14ac:dyDescent="0.2">
      <c r="A67" s="115"/>
      <c r="B67" s="126">
        <v>23</v>
      </c>
      <c r="C67" s="115" t="s">
        <v>293</v>
      </c>
      <c r="D67" s="116">
        <v>0</v>
      </c>
      <c r="E67" s="116">
        <v>0</v>
      </c>
      <c r="F67" s="116">
        <v>0</v>
      </c>
      <c r="G67" s="116">
        <v>0</v>
      </c>
      <c r="H67" s="116">
        <v>0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>
        <v>0</v>
      </c>
      <c r="R67" s="116">
        <v>0</v>
      </c>
      <c r="S67" s="116">
        <v>0</v>
      </c>
      <c r="T67" s="116">
        <v>0</v>
      </c>
      <c r="U67" s="116">
        <v>0</v>
      </c>
      <c r="V67" s="116">
        <v>0</v>
      </c>
      <c r="W67" s="116">
        <v>0</v>
      </c>
      <c r="X67" s="116">
        <v>0</v>
      </c>
      <c r="Y67" s="116">
        <v>0</v>
      </c>
      <c r="Z67" s="116">
        <v>0</v>
      </c>
      <c r="AA67" s="116">
        <v>0</v>
      </c>
      <c r="AB67" s="116">
        <v>0</v>
      </c>
      <c r="AC67" s="116">
        <v>0</v>
      </c>
      <c r="AD67" s="116">
        <v>0</v>
      </c>
      <c r="AE67" s="116">
        <v>0</v>
      </c>
      <c r="AF67" s="116">
        <v>0</v>
      </c>
      <c r="AG67" s="116">
        <v>0</v>
      </c>
      <c r="AH67" s="116">
        <v>0</v>
      </c>
      <c r="AI67" s="116">
        <v>0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0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</row>
    <row r="68" spans="1:51" x14ac:dyDescent="0.2">
      <c r="A68" s="115"/>
      <c r="B68" s="126">
        <v>24</v>
      </c>
      <c r="C68" s="115" t="s">
        <v>293</v>
      </c>
      <c r="D68" s="116">
        <v>0</v>
      </c>
      <c r="E68" s="116">
        <v>0</v>
      </c>
      <c r="F68" s="116">
        <v>0</v>
      </c>
      <c r="G68" s="116">
        <v>0</v>
      </c>
      <c r="H68" s="116">
        <v>0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>
        <v>0</v>
      </c>
      <c r="R68" s="116">
        <v>0</v>
      </c>
      <c r="S68" s="116">
        <v>0</v>
      </c>
      <c r="T68" s="116">
        <v>0</v>
      </c>
      <c r="U68" s="116">
        <v>0</v>
      </c>
      <c r="V68" s="116">
        <v>0</v>
      </c>
      <c r="W68" s="116">
        <v>0</v>
      </c>
      <c r="X68" s="116">
        <v>0</v>
      </c>
      <c r="Y68" s="116">
        <v>0</v>
      </c>
      <c r="Z68" s="116">
        <v>0</v>
      </c>
      <c r="AA68" s="116">
        <v>0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>
        <v>0</v>
      </c>
      <c r="AJ68" s="116">
        <v>0</v>
      </c>
      <c r="AK68" s="116">
        <v>0</v>
      </c>
      <c r="AL68" s="116">
        <v>0</v>
      </c>
      <c r="AM68" s="116">
        <v>0</v>
      </c>
      <c r="AN68" s="116">
        <v>0</v>
      </c>
      <c r="AO68" s="116">
        <v>0</v>
      </c>
      <c r="AP68" s="116">
        <v>0</v>
      </c>
      <c r="AQ68" s="116">
        <v>0</v>
      </c>
      <c r="AR68" s="116">
        <v>0</v>
      </c>
      <c r="AS68" s="116">
        <v>0</v>
      </c>
      <c r="AT68" s="116">
        <v>0</v>
      </c>
      <c r="AU68" s="116">
        <v>0</v>
      </c>
      <c r="AV68" s="116">
        <v>0</v>
      </c>
      <c r="AW68" s="116">
        <v>0</v>
      </c>
      <c r="AX68" s="116">
        <v>0</v>
      </c>
      <c r="AY68" s="116">
        <v>0</v>
      </c>
    </row>
    <row r="69" spans="1:51" x14ac:dyDescent="0.2">
      <c r="A69" s="115"/>
      <c r="B69" s="133">
        <v>25</v>
      </c>
      <c r="C69" s="115" t="s">
        <v>293</v>
      </c>
      <c r="D69" s="116">
        <v>0</v>
      </c>
      <c r="E69" s="116">
        <v>0</v>
      </c>
      <c r="F69" s="116">
        <v>0</v>
      </c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</row>
    <row r="70" spans="1:51" x14ac:dyDescent="0.2">
      <c r="A70" s="115"/>
      <c r="B70" s="133">
        <v>26</v>
      </c>
      <c r="C70" s="115" t="s">
        <v>293</v>
      </c>
      <c r="D70" s="116">
        <v>0</v>
      </c>
      <c r="E70" s="116">
        <v>0</v>
      </c>
      <c r="F70" s="116">
        <v>0</v>
      </c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116">
        <v>0</v>
      </c>
      <c r="M70" s="116">
        <v>0</v>
      </c>
      <c r="N70" s="116">
        <v>0</v>
      </c>
      <c r="O70" s="116">
        <v>0</v>
      </c>
      <c r="P70" s="116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116">
        <v>0</v>
      </c>
      <c r="W70" s="116">
        <v>0</v>
      </c>
      <c r="X70" s="116">
        <v>0</v>
      </c>
      <c r="Y70" s="116">
        <v>0</v>
      </c>
      <c r="Z70" s="116">
        <v>0</v>
      </c>
      <c r="AA70" s="116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116">
        <v>0</v>
      </c>
      <c r="AH70" s="116">
        <v>0</v>
      </c>
      <c r="AI70" s="116">
        <v>0</v>
      </c>
      <c r="AJ70" s="116">
        <v>0</v>
      </c>
      <c r="AK70" s="116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</row>
    <row r="71" spans="1:51" x14ac:dyDescent="0.2">
      <c r="A71" s="115"/>
      <c r="B71" s="133">
        <v>27</v>
      </c>
      <c r="C71" s="115" t="s">
        <v>293</v>
      </c>
      <c r="D71" s="116">
        <v>0</v>
      </c>
      <c r="E71" s="116">
        <v>0</v>
      </c>
      <c r="F71" s="116">
        <v>0</v>
      </c>
      <c r="G71" s="116">
        <v>0</v>
      </c>
      <c r="H71" s="116">
        <v>0</v>
      </c>
      <c r="I71" s="116">
        <v>0</v>
      </c>
      <c r="J71" s="116">
        <v>0</v>
      </c>
      <c r="K71" s="116">
        <v>0</v>
      </c>
      <c r="L71" s="116">
        <v>0</v>
      </c>
      <c r="M71" s="116">
        <v>0</v>
      </c>
      <c r="N71" s="116">
        <v>0</v>
      </c>
      <c r="O71" s="116">
        <v>0</v>
      </c>
      <c r="P71" s="116">
        <v>0</v>
      </c>
      <c r="Q71" s="116">
        <v>0</v>
      </c>
      <c r="R71" s="116">
        <v>0</v>
      </c>
      <c r="S71" s="116">
        <v>0</v>
      </c>
      <c r="T71" s="116">
        <v>0</v>
      </c>
      <c r="U71" s="116">
        <v>0</v>
      </c>
      <c r="V71" s="116">
        <v>0</v>
      </c>
      <c r="W71" s="116">
        <v>0</v>
      </c>
      <c r="X71" s="116">
        <v>0</v>
      </c>
      <c r="Y71" s="116">
        <v>0</v>
      </c>
      <c r="Z71" s="116">
        <v>0</v>
      </c>
      <c r="AA71" s="116">
        <v>0</v>
      </c>
      <c r="AB71" s="116">
        <v>0</v>
      </c>
      <c r="AC71" s="116">
        <v>0</v>
      </c>
      <c r="AD71" s="116">
        <v>0</v>
      </c>
      <c r="AE71" s="116">
        <v>0</v>
      </c>
      <c r="AF71" s="116">
        <v>0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0</v>
      </c>
      <c r="AU71" s="116">
        <v>0</v>
      </c>
      <c r="AV71" s="116">
        <v>0</v>
      </c>
      <c r="AW71" s="116">
        <v>0</v>
      </c>
      <c r="AX71" s="116">
        <v>0</v>
      </c>
      <c r="AY71" s="116">
        <v>0</v>
      </c>
    </row>
    <row r="72" spans="1:51" x14ac:dyDescent="0.2">
      <c r="A72" s="115"/>
      <c r="B72" s="133">
        <v>28</v>
      </c>
      <c r="C72" s="115" t="s">
        <v>293</v>
      </c>
      <c r="D72" s="116">
        <v>0</v>
      </c>
      <c r="E72" s="116">
        <v>0</v>
      </c>
      <c r="F72" s="116">
        <v>0</v>
      </c>
      <c r="G72" s="116">
        <v>0</v>
      </c>
      <c r="H72" s="116">
        <v>0</v>
      </c>
      <c r="I72" s="116">
        <v>0</v>
      </c>
      <c r="J72" s="116">
        <v>0</v>
      </c>
      <c r="K72" s="116">
        <v>0</v>
      </c>
      <c r="L72" s="116">
        <v>0</v>
      </c>
      <c r="M72" s="116">
        <v>0</v>
      </c>
      <c r="N72" s="116">
        <v>0</v>
      </c>
      <c r="O72" s="116">
        <v>0</v>
      </c>
      <c r="P72" s="116">
        <v>0</v>
      </c>
      <c r="Q72" s="116">
        <v>0</v>
      </c>
      <c r="R72" s="116">
        <v>0</v>
      </c>
      <c r="S72" s="116">
        <v>0</v>
      </c>
      <c r="T72" s="116">
        <v>0</v>
      </c>
      <c r="U72" s="116">
        <v>0</v>
      </c>
      <c r="V72" s="116">
        <v>0</v>
      </c>
      <c r="W72" s="116">
        <v>0</v>
      </c>
      <c r="X72" s="116">
        <v>0</v>
      </c>
      <c r="Y72" s="116">
        <v>0</v>
      </c>
      <c r="Z72" s="116">
        <v>0</v>
      </c>
      <c r="AA72" s="116">
        <v>0</v>
      </c>
      <c r="AB72" s="116">
        <v>0</v>
      </c>
      <c r="AC72" s="116">
        <v>0</v>
      </c>
      <c r="AD72" s="116">
        <v>0</v>
      </c>
      <c r="AE72" s="116">
        <v>0</v>
      </c>
      <c r="AF72" s="116">
        <v>0</v>
      </c>
      <c r="AG72" s="116">
        <v>0</v>
      </c>
      <c r="AH72" s="116">
        <v>0</v>
      </c>
      <c r="AI72" s="116">
        <v>0</v>
      </c>
      <c r="AJ72" s="116">
        <v>0</v>
      </c>
      <c r="AK72" s="116">
        <v>0</v>
      </c>
      <c r="AL72" s="116">
        <v>0</v>
      </c>
      <c r="AM72" s="116">
        <v>0</v>
      </c>
      <c r="AN72" s="116">
        <v>0</v>
      </c>
      <c r="AO72" s="116">
        <v>0</v>
      </c>
      <c r="AP72" s="116">
        <v>0</v>
      </c>
      <c r="AQ72" s="116">
        <v>0</v>
      </c>
      <c r="AR72" s="116">
        <v>0</v>
      </c>
      <c r="AS72" s="116">
        <v>0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</row>
    <row r="73" spans="1:51" x14ac:dyDescent="0.2">
      <c r="A73" s="115"/>
      <c r="B73" s="133">
        <v>29</v>
      </c>
      <c r="C73" s="115" t="s">
        <v>293</v>
      </c>
      <c r="D73" s="116">
        <v>0</v>
      </c>
      <c r="E73" s="116">
        <v>0</v>
      </c>
      <c r="F73" s="116">
        <v>0</v>
      </c>
      <c r="G73" s="116">
        <v>0</v>
      </c>
      <c r="H73" s="116">
        <v>0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>
        <v>0</v>
      </c>
      <c r="R73" s="116">
        <v>0</v>
      </c>
      <c r="S73" s="116">
        <v>0</v>
      </c>
      <c r="T73" s="116">
        <v>0</v>
      </c>
      <c r="U73" s="116">
        <v>0</v>
      </c>
      <c r="V73" s="116">
        <v>0</v>
      </c>
      <c r="W73" s="116">
        <v>0</v>
      </c>
      <c r="X73" s="116">
        <v>0</v>
      </c>
      <c r="Y73" s="116">
        <v>0</v>
      </c>
      <c r="Z73" s="116">
        <v>0</v>
      </c>
      <c r="AA73" s="116">
        <v>0</v>
      </c>
      <c r="AB73" s="116">
        <v>0</v>
      </c>
      <c r="AC73" s="116">
        <v>0</v>
      </c>
      <c r="AD73" s="116">
        <v>0</v>
      </c>
      <c r="AE73" s="116">
        <v>0</v>
      </c>
      <c r="AF73" s="116">
        <v>0</v>
      </c>
      <c r="AG73" s="116">
        <v>0</v>
      </c>
      <c r="AH73" s="116">
        <v>0</v>
      </c>
      <c r="AI73" s="116">
        <v>0</v>
      </c>
      <c r="AJ73" s="116">
        <v>0</v>
      </c>
      <c r="AK73" s="116">
        <v>0</v>
      </c>
      <c r="AL73" s="116">
        <v>0</v>
      </c>
      <c r="AM73" s="116">
        <v>0</v>
      </c>
      <c r="AN73" s="116">
        <v>0</v>
      </c>
      <c r="AO73" s="116">
        <v>0</v>
      </c>
      <c r="AP73" s="116">
        <v>0</v>
      </c>
      <c r="AQ73" s="116">
        <v>0</v>
      </c>
      <c r="AR73" s="116">
        <v>0</v>
      </c>
      <c r="AS73" s="116">
        <v>0</v>
      </c>
      <c r="AT73" s="116">
        <v>0</v>
      </c>
      <c r="AU73" s="116">
        <v>0</v>
      </c>
      <c r="AV73" s="116">
        <v>0</v>
      </c>
      <c r="AW73" s="116">
        <v>0</v>
      </c>
      <c r="AX73" s="116">
        <v>0</v>
      </c>
      <c r="AY73" s="116">
        <v>0</v>
      </c>
    </row>
    <row r="74" spans="1:51" x14ac:dyDescent="0.2">
      <c r="A74" s="115"/>
      <c r="B74" s="133">
        <v>30</v>
      </c>
      <c r="C74" s="115" t="s">
        <v>293</v>
      </c>
      <c r="D74" s="116">
        <v>0</v>
      </c>
      <c r="E74" s="116">
        <v>0</v>
      </c>
      <c r="F74" s="116">
        <v>0</v>
      </c>
      <c r="G74" s="116">
        <v>0</v>
      </c>
      <c r="H74" s="116">
        <v>0</v>
      </c>
      <c r="I74" s="116">
        <v>0</v>
      </c>
      <c r="J74" s="116">
        <v>0</v>
      </c>
      <c r="K74" s="116">
        <v>0</v>
      </c>
      <c r="L74" s="116">
        <v>0</v>
      </c>
      <c r="M74" s="116">
        <v>0</v>
      </c>
      <c r="N74" s="116">
        <v>0</v>
      </c>
      <c r="O74" s="116">
        <v>0</v>
      </c>
      <c r="P74" s="116">
        <v>0</v>
      </c>
      <c r="Q74" s="116">
        <v>0</v>
      </c>
      <c r="R74" s="116">
        <v>0</v>
      </c>
      <c r="S74" s="116">
        <v>0</v>
      </c>
      <c r="T74" s="116">
        <v>0</v>
      </c>
      <c r="U74" s="116">
        <v>0</v>
      </c>
      <c r="V74" s="116">
        <v>0</v>
      </c>
      <c r="W74" s="116">
        <v>0</v>
      </c>
      <c r="X74" s="116">
        <v>0</v>
      </c>
      <c r="Y74" s="116">
        <v>0</v>
      </c>
      <c r="Z74" s="116">
        <v>0</v>
      </c>
      <c r="AA74" s="116">
        <v>0</v>
      </c>
      <c r="AB74" s="116">
        <v>0</v>
      </c>
      <c r="AC74" s="116">
        <v>0</v>
      </c>
      <c r="AD74" s="116">
        <v>0</v>
      </c>
      <c r="AE74" s="116">
        <v>0</v>
      </c>
      <c r="AF74" s="116">
        <v>0</v>
      </c>
      <c r="AG74" s="116">
        <v>0</v>
      </c>
      <c r="AH74" s="116">
        <v>0</v>
      </c>
      <c r="AI74" s="116">
        <v>0</v>
      </c>
      <c r="AJ74" s="116">
        <v>0</v>
      </c>
      <c r="AK74" s="116">
        <v>0</v>
      </c>
      <c r="AL74" s="116">
        <v>0</v>
      </c>
      <c r="AM74" s="116">
        <v>0</v>
      </c>
      <c r="AN74" s="116">
        <v>0</v>
      </c>
      <c r="AO74" s="116">
        <v>0</v>
      </c>
      <c r="AP74" s="116">
        <v>0</v>
      </c>
      <c r="AQ74" s="116">
        <v>0</v>
      </c>
      <c r="AR74" s="116">
        <v>0</v>
      </c>
      <c r="AS74" s="116">
        <v>0</v>
      </c>
      <c r="AT74" s="116">
        <v>0</v>
      </c>
      <c r="AU74" s="116">
        <v>0</v>
      </c>
      <c r="AV74" s="116">
        <v>0</v>
      </c>
      <c r="AW74" s="116">
        <v>0</v>
      </c>
      <c r="AX74" s="116">
        <v>0</v>
      </c>
      <c r="AY74" s="116">
        <v>0</v>
      </c>
    </row>
    <row r="75" spans="1:51" x14ac:dyDescent="0.2">
      <c r="A75" s="115"/>
      <c r="B75" s="133">
        <v>31</v>
      </c>
      <c r="C75" s="115" t="s">
        <v>293</v>
      </c>
      <c r="D75" s="116">
        <v>0</v>
      </c>
      <c r="E75" s="116">
        <v>0</v>
      </c>
      <c r="F75" s="116">
        <v>0</v>
      </c>
      <c r="G75" s="116">
        <v>0</v>
      </c>
      <c r="H75" s="116">
        <v>0</v>
      </c>
      <c r="I75" s="116">
        <v>0</v>
      </c>
      <c r="J75" s="116">
        <v>0</v>
      </c>
      <c r="K75" s="116">
        <v>0</v>
      </c>
      <c r="L75" s="116">
        <v>0</v>
      </c>
      <c r="M75" s="116">
        <v>0</v>
      </c>
      <c r="N75" s="116">
        <v>0</v>
      </c>
      <c r="O75" s="116">
        <v>0</v>
      </c>
      <c r="P75" s="116">
        <v>0</v>
      </c>
      <c r="Q75" s="116">
        <v>0</v>
      </c>
      <c r="R75" s="116">
        <v>0</v>
      </c>
      <c r="S75" s="116">
        <v>0</v>
      </c>
      <c r="T75" s="116">
        <v>0</v>
      </c>
      <c r="U75" s="116">
        <v>0</v>
      </c>
      <c r="V75" s="116">
        <v>0</v>
      </c>
      <c r="W75" s="116">
        <v>0</v>
      </c>
      <c r="X75" s="116">
        <v>0</v>
      </c>
      <c r="Y75" s="116">
        <v>0</v>
      </c>
      <c r="Z75" s="116">
        <v>0</v>
      </c>
      <c r="AA75" s="116">
        <v>0</v>
      </c>
      <c r="AB75" s="116">
        <v>0</v>
      </c>
      <c r="AC75" s="116">
        <v>0</v>
      </c>
      <c r="AD75" s="116">
        <v>0</v>
      </c>
      <c r="AE75" s="116">
        <v>0</v>
      </c>
      <c r="AF75" s="116">
        <v>0</v>
      </c>
      <c r="AG75" s="116">
        <v>0</v>
      </c>
      <c r="AH75" s="116">
        <v>0</v>
      </c>
      <c r="AI75" s="116">
        <v>0</v>
      </c>
      <c r="AJ75" s="116">
        <v>0</v>
      </c>
      <c r="AK75" s="116">
        <v>0</v>
      </c>
      <c r="AL75" s="116">
        <v>0</v>
      </c>
      <c r="AM75" s="116">
        <v>0</v>
      </c>
      <c r="AN75" s="116">
        <v>0</v>
      </c>
      <c r="AO75" s="116">
        <v>0</v>
      </c>
      <c r="AP75" s="116">
        <v>0</v>
      </c>
      <c r="AQ75" s="116">
        <v>0</v>
      </c>
      <c r="AR75" s="116">
        <v>0</v>
      </c>
      <c r="AS75" s="116">
        <v>0</v>
      </c>
      <c r="AT75" s="116">
        <v>0</v>
      </c>
      <c r="AU75" s="116">
        <v>0</v>
      </c>
      <c r="AV75" s="116">
        <v>0</v>
      </c>
      <c r="AW75" s="116">
        <v>0</v>
      </c>
      <c r="AX75" s="116">
        <v>0</v>
      </c>
      <c r="AY75" s="116">
        <v>0</v>
      </c>
    </row>
    <row r="76" spans="1:51" x14ac:dyDescent="0.2">
      <c r="A76" s="115"/>
      <c r="B76" s="133">
        <v>32</v>
      </c>
      <c r="C76" s="115" t="s">
        <v>293</v>
      </c>
      <c r="D76" s="116">
        <v>0</v>
      </c>
      <c r="E76" s="116">
        <v>0</v>
      </c>
      <c r="F76" s="116">
        <v>0</v>
      </c>
      <c r="G76" s="116">
        <v>0</v>
      </c>
      <c r="H76" s="116">
        <v>0</v>
      </c>
      <c r="I76" s="116">
        <v>0</v>
      </c>
      <c r="J76" s="116">
        <v>0</v>
      </c>
      <c r="K76" s="116">
        <v>0</v>
      </c>
      <c r="L76" s="116">
        <v>0</v>
      </c>
      <c r="M76" s="116">
        <v>0</v>
      </c>
      <c r="N76" s="116">
        <v>0</v>
      </c>
      <c r="O76" s="116">
        <v>0</v>
      </c>
      <c r="P76" s="116">
        <v>0</v>
      </c>
      <c r="Q76" s="116">
        <v>0</v>
      </c>
      <c r="R76" s="116">
        <v>0</v>
      </c>
      <c r="S76" s="116">
        <v>0</v>
      </c>
      <c r="T76" s="116">
        <v>0</v>
      </c>
      <c r="U76" s="116">
        <v>0</v>
      </c>
      <c r="V76" s="116">
        <v>0</v>
      </c>
      <c r="W76" s="116">
        <v>0</v>
      </c>
      <c r="X76" s="116">
        <v>0</v>
      </c>
      <c r="Y76" s="116">
        <v>0</v>
      </c>
      <c r="Z76" s="116">
        <v>0</v>
      </c>
      <c r="AA76" s="116">
        <v>0</v>
      </c>
      <c r="AB76" s="116">
        <v>0</v>
      </c>
      <c r="AC76" s="116">
        <v>0</v>
      </c>
      <c r="AD76" s="116">
        <v>0</v>
      </c>
      <c r="AE76" s="116">
        <v>0</v>
      </c>
      <c r="AF76" s="116">
        <v>0</v>
      </c>
      <c r="AG76" s="116">
        <v>0</v>
      </c>
      <c r="AH76" s="116">
        <v>0</v>
      </c>
      <c r="AI76" s="116">
        <v>0</v>
      </c>
      <c r="AJ76" s="116">
        <v>0</v>
      </c>
      <c r="AK76" s="116">
        <v>0</v>
      </c>
      <c r="AL76" s="116">
        <v>0</v>
      </c>
      <c r="AM76" s="116">
        <v>0</v>
      </c>
      <c r="AN76" s="116">
        <v>0</v>
      </c>
      <c r="AO76" s="116">
        <v>0</v>
      </c>
      <c r="AP76" s="116">
        <v>0</v>
      </c>
      <c r="AQ76" s="116">
        <v>0</v>
      </c>
      <c r="AR76" s="116">
        <v>0</v>
      </c>
      <c r="AS76" s="116">
        <v>0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</row>
    <row r="77" spans="1:51" x14ac:dyDescent="0.2">
      <c r="A77" s="115"/>
      <c r="B77" s="133">
        <v>33</v>
      </c>
      <c r="C77" s="115" t="s">
        <v>293</v>
      </c>
      <c r="D77" s="116">
        <v>0</v>
      </c>
      <c r="E77" s="116">
        <v>0</v>
      </c>
      <c r="F77" s="116">
        <v>0</v>
      </c>
      <c r="G77" s="116">
        <v>0</v>
      </c>
      <c r="H77" s="116">
        <v>0</v>
      </c>
      <c r="I77" s="116">
        <v>0</v>
      </c>
      <c r="J77" s="116">
        <v>0</v>
      </c>
      <c r="K77" s="116">
        <v>0</v>
      </c>
      <c r="L77" s="116">
        <v>0</v>
      </c>
      <c r="M77" s="116">
        <v>0</v>
      </c>
      <c r="N77" s="116">
        <v>0</v>
      </c>
      <c r="O77" s="116">
        <v>0</v>
      </c>
      <c r="P77" s="116">
        <v>0</v>
      </c>
      <c r="Q77" s="116">
        <v>0</v>
      </c>
      <c r="R77" s="116">
        <v>0</v>
      </c>
      <c r="S77" s="116">
        <v>0</v>
      </c>
      <c r="T77" s="116">
        <v>0</v>
      </c>
      <c r="U77" s="116">
        <v>0</v>
      </c>
      <c r="V77" s="116">
        <v>0</v>
      </c>
      <c r="W77" s="116">
        <v>0</v>
      </c>
      <c r="X77" s="116">
        <v>0</v>
      </c>
      <c r="Y77" s="116">
        <v>0</v>
      </c>
      <c r="Z77" s="116">
        <v>0</v>
      </c>
      <c r="AA77" s="116">
        <v>0</v>
      </c>
      <c r="AB77" s="116">
        <v>0</v>
      </c>
      <c r="AC77" s="116">
        <v>0</v>
      </c>
      <c r="AD77" s="116">
        <v>0</v>
      </c>
      <c r="AE77" s="116">
        <v>0</v>
      </c>
      <c r="AF77" s="116">
        <v>0</v>
      </c>
      <c r="AG77" s="116">
        <v>0</v>
      </c>
      <c r="AH77" s="116">
        <v>0</v>
      </c>
      <c r="AI77" s="116">
        <v>0</v>
      </c>
      <c r="AJ77" s="116">
        <v>0</v>
      </c>
      <c r="AK77" s="116">
        <v>0</v>
      </c>
      <c r="AL77" s="116">
        <v>0</v>
      </c>
      <c r="AM77" s="116">
        <v>0</v>
      </c>
      <c r="AN77" s="116">
        <v>0</v>
      </c>
      <c r="AO77" s="116">
        <v>0</v>
      </c>
      <c r="AP77" s="116">
        <v>0</v>
      </c>
      <c r="AQ77" s="116">
        <v>0</v>
      </c>
      <c r="AR77" s="116">
        <v>0</v>
      </c>
      <c r="AS77" s="116">
        <v>0</v>
      </c>
      <c r="AT77" s="116">
        <v>0</v>
      </c>
      <c r="AU77" s="116">
        <v>0</v>
      </c>
      <c r="AV77" s="116">
        <v>0</v>
      </c>
      <c r="AW77" s="116">
        <v>0</v>
      </c>
      <c r="AX77" s="116">
        <v>0</v>
      </c>
      <c r="AY77" s="116">
        <v>0</v>
      </c>
    </row>
    <row r="78" spans="1:51" x14ac:dyDescent="0.2">
      <c r="A78" s="115"/>
      <c r="B78" s="133">
        <v>34</v>
      </c>
      <c r="C78" s="115" t="s">
        <v>293</v>
      </c>
      <c r="D78" s="116">
        <v>0</v>
      </c>
      <c r="E78" s="116">
        <v>0</v>
      </c>
      <c r="F78" s="116">
        <v>0</v>
      </c>
      <c r="G78" s="116">
        <v>0</v>
      </c>
      <c r="H78" s="116">
        <v>0</v>
      </c>
      <c r="I78" s="116">
        <v>0</v>
      </c>
      <c r="J78" s="116">
        <v>0</v>
      </c>
      <c r="K78" s="116">
        <v>0</v>
      </c>
      <c r="L78" s="116">
        <v>0</v>
      </c>
      <c r="M78" s="116">
        <v>0</v>
      </c>
      <c r="N78" s="116">
        <v>0</v>
      </c>
      <c r="O78" s="116">
        <v>0</v>
      </c>
      <c r="P78" s="116">
        <v>0</v>
      </c>
      <c r="Q78" s="116">
        <v>0</v>
      </c>
      <c r="R78" s="116">
        <v>0</v>
      </c>
      <c r="S78" s="116">
        <v>0</v>
      </c>
      <c r="T78" s="116">
        <v>0</v>
      </c>
      <c r="U78" s="116">
        <v>0</v>
      </c>
      <c r="V78" s="116">
        <v>0</v>
      </c>
      <c r="W78" s="116">
        <v>0</v>
      </c>
      <c r="X78" s="116">
        <v>0</v>
      </c>
      <c r="Y78" s="116">
        <v>0</v>
      </c>
      <c r="Z78" s="116">
        <v>0</v>
      </c>
      <c r="AA78" s="116">
        <v>0</v>
      </c>
      <c r="AB78" s="116">
        <v>0</v>
      </c>
      <c r="AC78" s="116">
        <v>0</v>
      </c>
      <c r="AD78" s="116">
        <v>0</v>
      </c>
      <c r="AE78" s="116">
        <v>0</v>
      </c>
      <c r="AF78" s="116">
        <v>0</v>
      </c>
      <c r="AG78" s="116">
        <v>0</v>
      </c>
      <c r="AH78" s="116">
        <v>0</v>
      </c>
      <c r="AI78" s="116">
        <v>0</v>
      </c>
      <c r="AJ78" s="116">
        <v>0</v>
      </c>
      <c r="AK78" s="116">
        <v>0</v>
      </c>
      <c r="AL78" s="116">
        <v>0</v>
      </c>
      <c r="AM78" s="116">
        <v>0</v>
      </c>
      <c r="AN78" s="116">
        <v>0</v>
      </c>
      <c r="AO78" s="116">
        <v>0</v>
      </c>
      <c r="AP78" s="116">
        <v>0</v>
      </c>
      <c r="AQ78" s="116">
        <v>0</v>
      </c>
      <c r="AR78" s="116">
        <v>0</v>
      </c>
      <c r="AS78" s="116">
        <v>0</v>
      </c>
      <c r="AT78" s="116">
        <v>0</v>
      </c>
      <c r="AU78" s="116">
        <v>0</v>
      </c>
      <c r="AV78" s="116">
        <v>0</v>
      </c>
      <c r="AW78" s="116">
        <v>0</v>
      </c>
      <c r="AX78" s="116">
        <v>0</v>
      </c>
      <c r="AY78" s="116">
        <v>0</v>
      </c>
    </row>
    <row r="79" spans="1:51" x14ac:dyDescent="0.2">
      <c r="A79" s="115"/>
      <c r="B79" s="133">
        <v>35</v>
      </c>
      <c r="C79" s="115" t="s">
        <v>293</v>
      </c>
      <c r="D79" s="116">
        <v>0</v>
      </c>
      <c r="E79" s="116">
        <v>0</v>
      </c>
      <c r="F79" s="116">
        <v>0</v>
      </c>
      <c r="G79" s="116">
        <v>0</v>
      </c>
      <c r="H79" s="116">
        <v>0</v>
      </c>
      <c r="I79" s="116">
        <v>0</v>
      </c>
      <c r="J79" s="116">
        <v>0</v>
      </c>
      <c r="K79" s="116">
        <v>0</v>
      </c>
      <c r="L79" s="116">
        <v>0</v>
      </c>
      <c r="M79" s="116">
        <v>0</v>
      </c>
      <c r="N79" s="116">
        <v>0</v>
      </c>
      <c r="O79" s="116">
        <v>0</v>
      </c>
      <c r="P79" s="116">
        <v>0</v>
      </c>
      <c r="Q79" s="116">
        <v>0</v>
      </c>
      <c r="R79" s="116">
        <v>0</v>
      </c>
      <c r="S79" s="116">
        <v>0</v>
      </c>
      <c r="T79" s="116">
        <v>0</v>
      </c>
      <c r="U79" s="116">
        <v>0</v>
      </c>
      <c r="V79" s="116">
        <v>0</v>
      </c>
      <c r="W79" s="116">
        <v>0</v>
      </c>
      <c r="X79" s="116">
        <v>0</v>
      </c>
      <c r="Y79" s="116">
        <v>0</v>
      </c>
      <c r="Z79" s="116">
        <v>0</v>
      </c>
      <c r="AA79" s="116">
        <v>0</v>
      </c>
      <c r="AB79" s="116">
        <v>0</v>
      </c>
      <c r="AC79" s="116">
        <v>0</v>
      </c>
      <c r="AD79" s="116">
        <v>0</v>
      </c>
      <c r="AE79" s="116">
        <v>0</v>
      </c>
      <c r="AF79" s="116">
        <v>0</v>
      </c>
      <c r="AG79" s="116">
        <v>0</v>
      </c>
      <c r="AH79" s="116">
        <v>0</v>
      </c>
      <c r="AI79" s="116">
        <v>0</v>
      </c>
      <c r="AJ79" s="116">
        <v>0</v>
      </c>
      <c r="AK79" s="116">
        <v>0</v>
      </c>
      <c r="AL79" s="116">
        <v>0</v>
      </c>
      <c r="AM79" s="116">
        <v>0</v>
      </c>
      <c r="AN79" s="116">
        <v>0</v>
      </c>
      <c r="AO79" s="116">
        <v>0</v>
      </c>
      <c r="AP79" s="116">
        <v>0</v>
      </c>
      <c r="AQ79" s="116">
        <v>0</v>
      </c>
      <c r="AR79" s="116">
        <v>0</v>
      </c>
      <c r="AS79" s="116">
        <v>0</v>
      </c>
      <c r="AT79" s="116">
        <v>0</v>
      </c>
      <c r="AU79" s="116">
        <v>0</v>
      </c>
      <c r="AV79" s="116">
        <v>0</v>
      </c>
      <c r="AW79" s="116">
        <v>0</v>
      </c>
      <c r="AX79" s="116">
        <v>0</v>
      </c>
      <c r="AY79" s="116">
        <v>0</v>
      </c>
    </row>
    <row r="80" spans="1:51" x14ac:dyDescent="0.2">
      <c r="A80" s="115"/>
      <c r="B80" s="133">
        <v>36</v>
      </c>
      <c r="C80" s="115" t="s">
        <v>293</v>
      </c>
      <c r="D80" s="116">
        <v>0</v>
      </c>
      <c r="E80" s="116">
        <v>0</v>
      </c>
      <c r="F80" s="116">
        <v>0</v>
      </c>
      <c r="G80" s="116">
        <v>0</v>
      </c>
      <c r="H80" s="116">
        <v>0</v>
      </c>
      <c r="I80" s="116">
        <v>0</v>
      </c>
      <c r="J80" s="116">
        <v>0</v>
      </c>
      <c r="K80" s="116">
        <v>0</v>
      </c>
      <c r="L80" s="116">
        <v>0</v>
      </c>
      <c r="M80" s="116">
        <v>0</v>
      </c>
      <c r="N80" s="116">
        <v>0</v>
      </c>
      <c r="O80" s="116">
        <v>0</v>
      </c>
      <c r="P80" s="116">
        <v>0</v>
      </c>
      <c r="Q80" s="116">
        <v>0</v>
      </c>
      <c r="R80" s="116">
        <v>0</v>
      </c>
      <c r="S80" s="116">
        <v>0</v>
      </c>
      <c r="T80" s="116">
        <v>0</v>
      </c>
      <c r="U80" s="116">
        <v>0</v>
      </c>
      <c r="V80" s="116">
        <v>0</v>
      </c>
      <c r="W80" s="116">
        <v>0</v>
      </c>
      <c r="X80" s="116">
        <v>0</v>
      </c>
      <c r="Y80" s="116">
        <v>0</v>
      </c>
      <c r="Z80" s="116">
        <v>0</v>
      </c>
      <c r="AA80" s="116">
        <v>0</v>
      </c>
      <c r="AB80" s="116">
        <v>0</v>
      </c>
      <c r="AC80" s="116">
        <v>0</v>
      </c>
      <c r="AD80" s="116">
        <v>0</v>
      </c>
      <c r="AE80" s="116">
        <v>0</v>
      </c>
      <c r="AF80" s="116">
        <v>0</v>
      </c>
      <c r="AG80" s="116">
        <v>0</v>
      </c>
      <c r="AH80" s="116">
        <v>0</v>
      </c>
      <c r="AI80" s="116">
        <v>0</v>
      </c>
      <c r="AJ80" s="116">
        <v>0</v>
      </c>
      <c r="AK80" s="116">
        <v>0</v>
      </c>
      <c r="AL80" s="116">
        <v>0</v>
      </c>
      <c r="AM80" s="116">
        <v>0</v>
      </c>
      <c r="AN80" s="116">
        <v>0</v>
      </c>
      <c r="AO80" s="116">
        <v>0</v>
      </c>
      <c r="AP80" s="116">
        <v>0</v>
      </c>
      <c r="AQ80" s="116">
        <v>0</v>
      </c>
      <c r="AR80" s="116">
        <v>0</v>
      </c>
      <c r="AS80" s="116">
        <v>0</v>
      </c>
      <c r="AT80" s="116">
        <v>0</v>
      </c>
      <c r="AU80" s="116">
        <v>0</v>
      </c>
      <c r="AV80" s="116">
        <v>0</v>
      </c>
      <c r="AW80" s="116">
        <v>0</v>
      </c>
      <c r="AX80" s="116">
        <v>0</v>
      </c>
      <c r="AY80" s="116">
        <v>0</v>
      </c>
    </row>
    <row r="81" spans="1:52" x14ac:dyDescent="0.2">
      <c r="A81" s="115"/>
      <c r="B81" s="136">
        <v>37</v>
      </c>
      <c r="C81" s="115" t="s">
        <v>293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293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293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293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293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2115427.0256860075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26883.981009513045</v>
      </c>
      <c r="D122" s="112">
        <v>36293.374362842609</v>
      </c>
      <c r="E122" s="112">
        <v>36293.374362842609</v>
      </c>
      <c r="F122" s="112">
        <v>36293.374362842609</v>
      </c>
      <c r="G122" s="112">
        <v>36293.374362842609</v>
      </c>
      <c r="H122" s="112">
        <v>32260.777211415654</v>
      </c>
      <c r="I122" s="112">
        <v>32260.777211415654</v>
      </c>
      <c r="J122" s="112">
        <v>32260.777211415654</v>
      </c>
      <c r="K122" s="112">
        <v>32260.777211415654</v>
      </c>
      <c r="L122" s="112">
        <v>32260.777211415654</v>
      </c>
      <c r="M122" s="112">
        <v>32260.777211415654</v>
      </c>
      <c r="N122" s="112">
        <v>32260.777211415654</v>
      </c>
      <c r="O122" s="112">
        <v>32260.777211415654</v>
      </c>
      <c r="P122" s="112">
        <v>36293.374362842609</v>
      </c>
      <c r="Q122" s="112">
        <v>36293.374362842609</v>
      </c>
      <c r="R122" s="112">
        <v>36293.374362842609</v>
      </c>
      <c r="S122" s="112">
        <v>36293.374362842609</v>
      </c>
      <c r="T122" s="112">
        <v>32260.777211415654</v>
      </c>
      <c r="U122" s="112">
        <v>32260.777211415654</v>
      </c>
      <c r="V122" s="112">
        <v>32260.777211415654</v>
      </c>
      <c r="W122" s="112">
        <v>32260.777211415654</v>
      </c>
      <c r="X122" s="112">
        <v>32260.777211415654</v>
      </c>
      <c r="Y122" s="112">
        <v>32260.777211415654</v>
      </c>
      <c r="Z122" s="112">
        <v>32260.777211415654</v>
      </c>
      <c r="AA122" s="112">
        <v>32260.777211415654</v>
      </c>
      <c r="AB122" s="112">
        <v>36293.374362842609</v>
      </c>
      <c r="AC122" s="112">
        <v>36293.374362842609</v>
      </c>
      <c r="AD122" s="112">
        <v>36293.374362842609</v>
      </c>
      <c r="AE122" s="112">
        <v>36293.374362842609</v>
      </c>
      <c r="AF122" s="112">
        <v>32260.777211415654</v>
      </c>
      <c r="AG122" s="112">
        <v>32260.777211415654</v>
      </c>
      <c r="AH122" s="112">
        <v>32260.777211415654</v>
      </c>
      <c r="AI122" s="112">
        <v>32260.777211415654</v>
      </c>
      <c r="AJ122" s="112">
        <v>32260.777211415654</v>
      </c>
      <c r="AK122" s="112">
        <v>32260.777211415654</v>
      </c>
      <c r="AL122" s="112">
        <v>32260.777211415654</v>
      </c>
      <c r="AM122" s="112">
        <v>32260.777211415654</v>
      </c>
      <c r="AN122" s="112">
        <v>36293.374362842609</v>
      </c>
      <c r="AO122" s="112">
        <v>36293.374362842609</v>
      </c>
      <c r="AP122" s="112">
        <v>36293.374362842609</v>
      </c>
      <c r="AQ122" s="112">
        <v>36293.374362842609</v>
      </c>
      <c r="AR122" s="112">
        <v>32260.777211415654</v>
      </c>
      <c r="AS122" s="112">
        <v>32260.777211415654</v>
      </c>
      <c r="AT122" s="112">
        <v>32260.777211415654</v>
      </c>
      <c r="AU122" s="112">
        <v>32260.777211415654</v>
      </c>
      <c r="AV122" s="112">
        <v>32260.777211415654</v>
      </c>
      <c r="AW122" s="112">
        <v>32260.777211415654</v>
      </c>
      <c r="AX122" s="112">
        <v>32260.777211415654</v>
      </c>
      <c r="AY122" s="112">
        <v>32260.777211415654</v>
      </c>
    </row>
    <row r="123" spans="1:52" x14ac:dyDescent="0.2">
      <c r="A123" s="115"/>
      <c r="B123" s="125">
        <v>2</v>
      </c>
      <c r="C123" s="112">
        <v>15306.947222812862</v>
      </c>
      <c r="D123" s="112">
        <v>14706.625637157387</v>
      </c>
      <c r="E123" s="112">
        <v>14706.625637157393</v>
      </c>
      <c r="F123" s="112">
        <v>14706.625637157389</v>
      </c>
      <c r="G123" s="112">
        <v>14706.625637157387</v>
      </c>
      <c r="H123" s="112">
        <v>18739.222788584339</v>
      </c>
      <c r="I123" s="112">
        <v>18368.336667375428</v>
      </c>
      <c r="J123" s="112">
        <v>18368.336667375428</v>
      </c>
      <c r="K123" s="112">
        <v>18368.336667375428</v>
      </c>
      <c r="L123" s="112">
        <v>18368.336667375428</v>
      </c>
      <c r="M123" s="112">
        <v>18368.336667375428</v>
      </c>
      <c r="N123" s="112">
        <v>18368.336667375428</v>
      </c>
      <c r="O123" s="112">
        <v>18368.336667375428</v>
      </c>
      <c r="P123" s="112">
        <v>14706.625637157395</v>
      </c>
      <c r="Q123" s="112">
        <v>14706.625637157385</v>
      </c>
      <c r="R123" s="112">
        <v>14706.625637157398</v>
      </c>
      <c r="S123" s="112">
        <v>14706.625637157398</v>
      </c>
      <c r="T123" s="112">
        <v>18739.222788584339</v>
      </c>
      <c r="U123" s="112">
        <v>18368.336667375428</v>
      </c>
      <c r="V123" s="112">
        <v>18368.336667375428</v>
      </c>
      <c r="W123" s="112">
        <v>18368.336667375428</v>
      </c>
      <c r="X123" s="112">
        <v>18368.336667375428</v>
      </c>
      <c r="Y123" s="112">
        <v>18368.336667375428</v>
      </c>
      <c r="Z123" s="112">
        <v>18368.336667375428</v>
      </c>
      <c r="AA123" s="112">
        <v>18368.336667375428</v>
      </c>
      <c r="AB123" s="112">
        <v>14706.625637157389</v>
      </c>
      <c r="AC123" s="112">
        <v>14706.625637157396</v>
      </c>
      <c r="AD123" s="112">
        <v>14706.625637157396</v>
      </c>
      <c r="AE123" s="112">
        <v>14706.625637157396</v>
      </c>
      <c r="AF123" s="112">
        <v>18739.222788584339</v>
      </c>
      <c r="AG123" s="112">
        <v>18368.336667375428</v>
      </c>
      <c r="AH123" s="112">
        <v>18368.336667375428</v>
      </c>
      <c r="AI123" s="112">
        <v>18368.336667375428</v>
      </c>
      <c r="AJ123" s="112">
        <v>18368.336667375428</v>
      </c>
      <c r="AK123" s="112">
        <v>18368.336667375428</v>
      </c>
      <c r="AL123" s="112">
        <v>18368.336667375428</v>
      </c>
      <c r="AM123" s="112">
        <v>18368.336667375428</v>
      </c>
      <c r="AN123" s="112">
        <v>14706.625637157389</v>
      </c>
      <c r="AO123" s="112">
        <v>14706.625637157389</v>
      </c>
      <c r="AP123" s="112">
        <v>14706.625637157404</v>
      </c>
      <c r="AQ123" s="112">
        <v>14706.625637157391</v>
      </c>
      <c r="AR123" s="112">
        <v>18739.222788584346</v>
      </c>
      <c r="AS123" s="112">
        <v>18368.336667375428</v>
      </c>
      <c r="AT123" s="112">
        <v>18368.336667375428</v>
      </c>
      <c r="AU123" s="112">
        <v>18368.336667375428</v>
      </c>
      <c r="AV123" s="112">
        <v>18368.336667375428</v>
      </c>
      <c r="AW123" s="112">
        <v>18368.336667375432</v>
      </c>
      <c r="AX123" s="112">
        <v>18368.336667375432</v>
      </c>
      <c r="AY123" s="112">
        <v>18368.336667375432</v>
      </c>
    </row>
    <row r="124" spans="1:52" x14ac:dyDescent="0.2">
      <c r="A124" s="115"/>
      <c r="B124" s="125">
        <v>3</v>
      </c>
      <c r="C124" s="112">
        <v>8715.3250554324186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370.8861212089214</v>
      </c>
      <c r="J124" s="112">
        <v>370.88612120891048</v>
      </c>
      <c r="K124" s="112">
        <v>370.88612120892685</v>
      </c>
      <c r="L124" s="112">
        <v>370.88612120892503</v>
      </c>
      <c r="M124" s="112">
        <v>370.88612120891594</v>
      </c>
      <c r="N124" s="112">
        <v>370.88612120890866</v>
      </c>
      <c r="O124" s="112">
        <v>370.88612120891412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370.8861212089214</v>
      </c>
      <c r="V124" s="112">
        <v>370.88612120891048</v>
      </c>
      <c r="W124" s="112">
        <v>370.88612120891594</v>
      </c>
      <c r="X124" s="112">
        <v>370.88612120891958</v>
      </c>
      <c r="Y124" s="112">
        <v>370.88612120891048</v>
      </c>
      <c r="Z124" s="112">
        <v>370.88612120892321</v>
      </c>
      <c r="AA124" s="112">
        <v>370.88612120892321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370.88612120890684</v>
      </c>
      <c r="AH124" s="112">
        <v>370.88612120892503</v>
      </c>
      <c r="AI124" s="112">
        <v>370.88612120891594</v>
      </c>
      <c r="AJ124" s="112">
        <v>370.88612120891594</v>
      </c>
      <c r="AK124" s="112">
        <v>370.88612120891958</v>
      </c>
      <c r="AL124" s="112">
        <v>370.88612120891048</v>
      </c>
      <c r="AM124" s="112">
        <v>370.88612120891594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370.88612120891958</v>
      </c>
      <c r="AT124" s="112">
        <v>370.8861212089214</v>
      </c>
      <c r="AU124" s="112">
        <v>370.8861212089214</v>
      </c>
      <c r="AV124" s="112">
        <v>370.88612120891776</v>
      </c>
      <c r="AW124" s="112">
        <v>370.88612120890321</v>
      </c>
      <c r="AX124" s="112">
        <v>370.88612120891958</v>
      </c>
      <c r="AY124" s="112">
        <v>370.88612120891048</v>
      </c>
    </row>
    <row r="125" spans="1:52" x14ac:dyDescent="0.2">
      <c r="A125" s="115"/>
      <c r="B125" s="125">
        <v>4</v>
      </c>
      <c r="C125" s="112">
        <v>93.746712241669229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299</v>
      </c>
      <c r="C180" s="131" t="s">
        <v>293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29037.898371049178</v>
      </c>
      <c r="E181" s="130">
        <f t="shared" si="4"/>
        <v>29037.898371049178</v>
      </c>
      <c r="F181" s="130">
        <f t="shared" si="4"/>
        <v>29037.898371049178</v>
      </c>
      <c r="G181" s="130">
        <f t="shared" si="4"/>
        <v>29037.898371049178</v>
      </c>
      <c r="H181" s="130">
        <f t="shared" si="4"/>
        <v>29037.89837104917</v>
      </c>
      <c r="I181" s="130">
        <f t="shared" si="4"/>
        <v>29037.898371049174</v>
      </c>
      <c r="J181" s="130">
        <f t="shared" si="4"/>
        <v>29037.89837104917</v>
      </c>
      <c r="K181" s="130">
        <f t="shared" si="4"/>
        <v>29037.898371049178</v>
      </c>
      <c r="L181" s="130">
        <f t="shared" si="4"/>
        <v>29037.898371049178</v>
      </c>
      <c r="M181" s="130">
        <f t="shared" si="4"/>
        <v>29037.898371049174</v>
      </c>
      <c r="N181" s="130">
        <f t="shared" si="4"/>
        <v>29037.89837104917</v>
      </c>
      <c r="O181" s="130">
        <f t="shared" si="4"/>
        <v>29037.898371049174</v>
      </c>
      <c r="P181" s="130">
        <f t="shared" si="4"/>
        <v>29037.898371049174</v>
      </c>
      <c r="Q181" s="130">
        <f t="shared" si="4"/>
        <v>29037.89837104917</v>
      </c>
      <c r="R181" s="130">
        <f t="shared" si="4"/>
        <v>29037.898371049178</v>
      </c>
      <c r="S181" s="130">
        <f t="shared" si="4"/>
        <v>29037.898371049178</v>
      </c>
      <c r="T181" s="130">
        <f t="shared" si="4"/>
        <v>29037.89837104917</v>
      </c>
      <c r="U181" s="130">
        <f t="shared" si="4"/>
        <v>29037.898371049174</v>
      </c>
      <c r="V181" s="130">
        <f t="shared" si="4"/>
        <v>29037.89837104917</v>
      </c>
      <c r="W181" s="130">
        <f t="shared" si="4"/>
        <v>29037.898371049174</v>
      </c>
      <c r="X181" s="130">
        <f t="shared" si="4"/>
        <v>29037.898371049174</v>
      </c>
      <c r="Y181" s="130">
        <f t="shared" si="4"/>
        <v>29037.89837104917</v>
      </c>
      <c r="Z181" s="130">
        <f t="shared" si="4"/>
        <v>29037.898371049178</v>
      </c>
      <c r="AA181" s="130">
        <f t="shared" si="4"/>
        <v>29037.898371049178</v>
      </c>
      <c r="AB181" s="130">
        <f t="shared" si="4"/>
        <v>29037.898371049174</v>
      </c>
      <c r="AC181" s="130">
        <f t="shared" si="4"/>
        <v>29037.898371049178</v>
      </c>
      <c r="AD181" s="130">
        <f t="shared" si="4"/>
        <v>29037.898371049178</v>
      </c>
      <c r="AE181" s="130">
        <f t="shared" si="4"/>
        <v>29037.898371049178</v>
      </c>
      <c r="AF181" s="130">
        <f t="shared" si="4"/>
        <v>29037.89837104917</v>
      </c>
      <c r="AG181" s="130">
        <f t="shared" si="4"/>
        <v>29037.898371049163</v>
      </c>
      <c r="AH181" s="130">
        <f t="shared" si="4"/>
        <v>29037.898371049178</v>
      </c>
      <c r="AI181" s="130">
        <f t="shared" si="4"/>
        <v>29037.898371049174</v>
      </c>
      <c r="AJ181" s="130">
        <f t="shared" si="4"/>
        <v>29037.898371049174</v>
      </c>
      <c r="AK181" s="130">
        <f t="shared" si="4"/>
        <v>29037.898371049174</v>
      </c>
      <c r="AL181" s="130">
        <f t="shared" si="4"/>
        <v>29037.89837104917</v>
      </c>
      <c r="AM181" s="130">
        <f t="shared" si="4"/>
        <v>29037.898371049174</v>
      </c>
      <c r="AN181" s="130">
        <f t="shared" si="4"/>
        <v>29037.898371049174</v>
      </c>
      <c r="AO181" s="130">
        <f t="shared" si="4"/>
        <v>29037.898371049174</v>
      </c>
      <c r="AP181" s="130">
        <f t="shared" si="4"/>
        <v>29037.898371049181</v>
      </c>
      <c r="AQ181" s="130">
        <f t="shared" si="4"/>
        <v>29037.898371049174</v>
      </c>
      <c r="AR181" s="130">
        <f t="shared" si="4"/>
        <v>29037.898371049174</v>
      </c>
      <c r="AS181" s="130">
        <f t="shared" si="4"/>
        <v>29037.898371049174</v>
      </c>
      <c r="AT181" s="130">
        <f t="shared" si="4"/>
        <v>29037.898371049174</v>
      </c>
      <c r="AU181" s="130">
        <f t="shared" si="4"/>
        <v>29037.898371049174</v>
      </c>
      <c r="AV181" s="130">
        <f t="shared" si="4"/>
        <v>29037.898371049178</v>
      </c>
      <c r="AW181" s="130">
        <f t="shared" si="4"/>
        <v>29037.898371049174</v>
      </c>
      <c r="AX181" s="130">
        <f t="shared" si="4"/>
        <v>29037.898371049181</v>
      </c>
      <c r="AY181" s="130">
        <f t="shared" si="4"/>
        <v>29037.898371049178</v>
      </c>
    </row>
    <row r="182" spans="1:51" x14ac:dyDescent="0.2">
      <c r="A182" s="131"/>
      <c r="B182" s="142" t="s">
        <v>299</v>
      </c>
      <c r="C182" s="131" t="s">
        <v>293</v>
      </c>
      <c r="D182" s="131">
        <v>340</v>
      </c>
      <c r="E182" s="131">
        <v>326</v>
      </c>
      <c r="F182" s="131">
        <v>306</v>
      </c>
      <c r="G182" s="131">
        <v>363</v>
      </c>
      <c r="H182" s="131">
        <v>1982</v>
      </c>
      <c r="I182" s="131">
        <v>1880</v>
      </c>
      <c r="J182" s="131">
        <v>1796</v>
      </c>
      <c r="K182" s="131">
        <v>1799</v>
      </c>
      <c r="L182" s="131">
        <v>232</v>
      </c>
      <c r="M182" s="131">
        <v>283</v>
      </c>
      <c r="N182" s="131">
        <v>309</v>
      </c>
      <c r="O182" s="131">
        <v>320</v>
      </c>
      <c r="P182" s="131">
        <v>1409</v>
      </c>
      <c r="Q182" s="131">
        <v>1227</v>
      </c>
      <c r="R182" s="131">
        <v>1148</v>
      </c>
      <c r="S182" s="131">
        <v>1548</v>
      </c>
      <c r="T182" s="131">
        <v>884</v>
      </c>
      <c r="U182" s="131">
        <v>993</v>
      </c>
      <c r="V182" s="131">
        <v>1054</v>
      </c>
      <c r="W182" s="131">
        <v>874</v>
      </c>
      <c r="X182" s="131">
        <v>845</v>
      </c>
      <c r="Y182" s="131">
        <v>1041</v>
      </c>
      <c r="Z182" s="131">
        <v>827</v>
      </c>
      <c r="AA182" s="131">
        <v>920</v>
      </c>
      <c r="AB182" s="131">
        <v>358</v>
      </c>
      <c r="AC182" s="131">
        <v>336</v>
      </c>
      <c r="AD182" s="131">
        <v>332</v>
      </c>
      <c r="AE182" s="131">
        <v>285</v>
      </c>
      <c r="AF182" s="131">
        <v>1002</v>
      </c>
      <c r="AG182" s="131">
        <v>1087</v>
      </c>
      <c r="AH182" s="131">
        <v>1159</v>
      </c>
      <c r="AI182" s="131">
        <v>1030</v>
      </c>
      <c r="AJ182" s="131">
        <v>1075</v>
      </c>
      <c r="AK182" s="131">
        <v>762</v>
      </c>
      <c r="AL182" s="131">
        <v>973</v>
      </c>
      <c r="AM182" s="131">
        <v>864</v>
      </c>
      <c r="AN182" s="131">
        <v>1400</v>
      </c>
      <c r="AO182" s="131">
        <v>1722</v>
      </c>
      <c r="AP182" s="131">
        <v>1454</v>
      </c>
      <c r="AQ182" s="131">
        <v>1672</v>
      </c>
      <c r="AR182" s="131">
        <v>1490</v>
      </c>
      <c r="AS182" s="131">
        <v>1183</v>
      </c>
      <c r="AT182" s="131">
        <v>1204</v>
      </c>
      <c r="AU182" s="131">
        <v>1393</v>
      </c>
      <c r="AV182" s="131">
        <v>710</v>
      </c>
      <c r="AW182" s="131">
        <v>492</v>
      </c>
      <c r="AX182" s="131">
        <v>600</v>
      </c>
      <c r="AY182" s="131">
        <v>645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340</v>
      </c>
      <c r="E210" s="116">
        <v>326</v>
      </c>
      <c r="F210" s="116">
        <v>306</v>
      </c>
      <c r="G210" s="116">
        <v>363</v>
      </c>
      <c r="H210" s="116">
        <v>1982</v>
      </c>
      <c r="I210" s="116">
        <v>1668.8283628451513</v>
      </c>
      <c r="J210" s="116">
        <v>1584.8283628451575</v>
      </c>
      <c r="K210" s="116">
        <v>1587.8283628451481</v>
      </c>
      <c r="L210" s="116">
        <v>20.828362845149201</v>
      </c>
      <c r="M210" s="116">
        <v>71.828362845154402</v>
      </c>
      <c r="N210" s="116">
        <v>97.828362845158523</v>
      </c>
      <c r="O210" s="116">
        <v>108.82836284515543</v>
      </c>
      <c r="P210" s="116">
        <v>1409</v>
      </c>
      <c r="Q210" s="116">
        <v>1227</v>
      </c>
      <c r="R210" s="116">
        <v>1148</v>
      </c>
      <c r="S210" s="116">
        <v>1548</v>
      </c>
      <c r="T210" s="116">
        <v>884</v>
      </c>
      <c r="U210" s="116">
        <v>781.82836284515133</v>
      </c>
      <c r="V210" s="116">
        <v>842.82836284515747</v>
      </c>
      <c r="W210" s="116">
        <v>662.8283628451544</v>
      </c>
      <c r="X210" s="116">
        <v>633.82836284515236</v>
      </c>
      <c r="Y210" s="116">
        <v>829.82836284515747</v>
      </c>
      <c r="Z210" s="116">
        <v>615.8283628451502</v>
      </c>
      <c r="AA210" s="116">
        <v>708.8283628451502</v>
      </c>
      <c r="AB210" s="116">
        <v>358</v>
      </c>
      <c r="AC210" s="116">
        <v>336</v>
      </c>
      <c r="AD210" s="116">
        <v>332</v>
      </c>
      <c r="AE210" s="116">
        <v>285</v>
      </c>
      <c r="AF210" s="116">
        <v>1002</v>
      </c>
      <c r="AG210" s="116">
        <v>875.82836284515952</v>
      </c>
      <c r="AH210" s="116">
        <v>947.82836284514917</v>
      </c>
      <c r="AI210" s="116">
        <v>818.8283628451544</v>
      </c>
      <c r="AJ210" s="116">
        <v>863.8283628451544</v>
      </c>
      <c r="AK210" s="116">
        <v>550.82836284515236</v>
      </c>
      <c r="AL210" s="116">
        <v>761.82836284515747</v>
      </c>
      <c r="AM210" s="116">
        <v>652.8283628451544</v>
      </c>
      <c r="AN210" s="116">
        <v>1400</v>
      </c>
      <c r="AO210" s="116">
        <v>1722</v>
      </c>
      <c r="AP210" s="116">
        <v>1454</v>
      </c>
      <c r="AQ210" s="116">
        <v>1672</v>
      </c>
      <c r="AR210" s="116">
        <v>1490</v>
      </c>
      <c r="AS210" s="116">
        <v>971.82836284515236</v>
      </c>
      <c r="AT210" s="116">
        <v>992.82836284515133</v>
      </c>
      <c r="AU210" s="116">
        <v>1181.8283628451513</v>
      </c>
      <c r="AV210" s="116">
        <v>498.82836284515332</v>
      </c>
      <c r="AW210" s="116">
        <v>280.82836284516156</v>
      </c>
      <c r="AX210" s="116">
        <v>388.82836284515224</v>
      </c>
      <c r="AY210" s="116">
        <v>433.82836284515747</v>
      </c>
    </row>
    <row r="211" spans="1:51" x14ac:dyDescent="0.2">
      <c r="A211" s="115"/>
      <c r="B211" s="125">
        <v>3</v>
      </c>
      <c r="C211" s="112">
        <v>519.62338230012585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211.17163715484872</v>
      </c>
      <c r="J211" s="116">
        <v>211.1716371548425</v>
      </c>
      <c r="K211" s="116">
        <v>211.17163715485182</v>
      </c>
      <c r="L211" s="116">
        <v>211.1716371548508</v>
      </c>
      <c r="M211" s="116">
        <v>211.1716371548456</v>
      </c>
      <c r="N211" s="116">
        <v>211.17163715484148</v>
      </c>
      <c r="O211" s="116">
        <v>211.17163715484457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211.17163715484872</v>
      </c>
      <c r="V211" s="116">
        <v>211.1716371548425</v>
      </c>
      <c r="W211" s="116">
        <v>211.1716371548456</v>
      </c>
      <c r="X211" s="116">
        <v>211.17163715484767</v>
      </c>
      <c r="Y211" s="116">
        <v>211.1716371548425</v>
      </c>
      <c r="Z211" s="116">
        <v>211.17163715484975</v>
      </c>
      <c r="AA211" s="116">
        <v>211.17163715484975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211.17163715484043</v>
      </c>
      <c r="AH211" s="116">
        <v>211.1716371548508</v>
      </c>
      <c r="AI211" s="116">
        <v>211.1716371548456</v>
      </c>
      <c r="AJ211" s="116">
        <v>211.1716371548456</v>
      </c>
      <c r="AK211" s="116">
        <v>211.17163715484767</v>
      </c>
      <c r="AL211" s="116">
        <v>211.1716371548425</v>
      </c>
      <c r="AM211" s="116">
        <v>211.1716371548456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211.17163715484767</v>
      </c>
      <c r="AT211" s="116">
        <v>211.17163715484872</v>
      </c>
      <c r="AU211" s="116">
        <v>211.17163715484872</v>
      </c>
      <c r="AV211" s="116">
        <v>211.17163715484668</v>
      </c>
      <c r="AW211" s="116">
        <v>211.17163715483841</v>
      </c>
      <c r="AX211" s="116">
        <v>211.17163715484773</v>
      </c>
      <c r="AY211" s="116">
        <v>211.17163715484256</v>
      </c>
    </row>
    <row r="212" spans="1:51" x14ac:dyDescent="0.2">
      <c r="A212" s="115"/>
      <c r="B212" s="125">
        <v>4</v>
      </c>
      <c r="C212" s="112">
        <v>53.376617699874174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14275366.058818033</v>
      </c>
      <c r="E259" s="130">
        <f t="shared" ref="E259:AX259" si="5">F$14*$B$259</f>
        <v>14275366.058818033</v>
      </c>
      <c r="F259" s="130">
        <f t="shared" si="5"/>
        <v>14275366.058818033</v>
      </c>
      <c r="G259" s="130">
        <f t="shared" si="5"/>
        <v>14275366.058818033</v>
      </c>
      <c r="H259" s="130">
        <f t="shared" si="5"/>
        <v>14275366.058818035</v>
      </c>
      <c r="I259" s="130">
        <f t="shared" si="5"/>
        <v>14275366.058818037</v>
      </c>
      <c r="J259" s="130">
        <f t="shared" si="5"/>
        <v>14275366.058818035</v>
      </c>
      <c r="K259" s="130">
        <f t="shared" si="5"/>
        <v>14275366.058818039</v>
      </c>
      <c r="L259" s="130">
        <f t="shared" si="5"/>
        <v>14275366.058818039</v>
      </c>
      <c r="M259" s="130">
        <f t="shared" si="5"/>
        <v>14275366.058818037</v>
      </c>
      <c r="N259" s="130">
        <f t="shared" si="5"/>
        <v>14275366.058818035</v>
      </c>
      <c r="O259" s="130">
        <f t="shared" si="5"/>
        <v>14275366.058818037</v>
      </c>
      <c r="P259" s="130">
        <f t="shared" si="5"/>
        <v>14275366.058818037</v>
      </c>
      <c r="Q259" s="130">
        <f t="shared" si="5"/>
        <v>14275366.058818035</v>
      </c>
      <c r="R259" s="130">
        <f t="shared" si="5"/>
        <v>14275366.058818039</v>
      </c>
      <c r="S259" s="130">
        <f t="shared" si="5"/>
        <v>14275366.058818039</v>
      </c>
      <c r="T259" s="130">
        <f t="shared" si="5"/>
        <v>14275366.058818035</v>
      </c>
      <c r="U259" s="130">
        <f t="shared" si="5"/>
        <v>14275366.058818037</v>
      </c>
      <c r="V259" s="130">
        <f t="shared" si="5"/>
        <v>14275366.058818035</v>
      </c>
      <c r="W259" s="130">
        <f t="shared" si="5"/>
        <v>14275366.058818037</v>
      </c>
      <c r="X259" s="130">
        <f t="shared" si="5"/>
        <v>14275366.058818037</v>
      </c>
      <c r="Y259" s="130">
        <f t="shared" si="5"/>
        <v>14275366.058818035</v>
      </c>
      <c r="Z259" s="130">
        <f t="shared" si="5"/>
        <v>14275366.058818039</v>
      </c>
      <c r="AA259" s="130">
        <f t="shared" si="5"/>
        <v>14275366.058818039</v>
      </c>
      <c r="AB259" s="130">
        <f t="shared" si="5"/>
        <v>14275366.058818037</v>
      </c>
      <c r="AC259" s="130">
        <f t="shared" si="5"/>
        <v>14275366.058818039</v>
      </c>
      <c r="AD259" s="130">
        <f t="shared" si="5"/>
        <v>14275366.058818039</v>
      </c>
      <c r="AE259" s="130">
        <f t="shared" si="5"/>
        <v>14275366.058818039</v>
      </c>
      <c r="AF259" s="130">
        <f t="shared" si="5"/>
        <v>14275366.058818035</v>
      </c>
      <c r="AG259" s="130">
        <f t="shared" si="5"/>
        <v>14275366.058818035</v>
      </c>
      <c r="AH259" s="130">
        <f t="shared" si="5"/>
        <v>14275366.058818039</v>
      </c>
      <c r="AI259" s="130">
        <f t="shared" si="5"/>
        <v>14275366.058818037</v>
      </c>
      <c r="AJ259" s="130">
        <f t="shared" si="5"/>
        <v>14275366.058818037</v>
      </c>
      <c r="AK259" s="130">
        <f t="shared" si="5"/>
        <v>14275366.058818037</v>
      </c>
      <c r="AL259" s="130">
        <f t="shared" si="5"/>
        <v>14275366.058818035</v>
      </c>
      <c r="AM259" s="130">
        <f t="shared" si="5"/>
        <v>14275366.058818037</v>
      </c>
      <c r="AN259" s="130">
        <f t="shared" si="5"/>
        <v>14275366.058818037</v>
      </c>
      <c r="AO259" s="130">
        <f t="shared" si="5"/>
        <v>14275366.058818037</v>
      </c>
      <c r="AP259" s="130">
        <f t="shared" si="5"/>
        <v>14275366.058818042</v>
      </c>
      <c r="AQ259" s="130">
        <f t="shared" si="5"/>
        <v>14275366.058818037</v>
      </c>
      <c r="AR259" s="130">
        <f t="shared" si="5"/>
        <v>14275366.058818037</v>
      </c>
      <c r="AS259" s="130">
        <f t="shared" si="5"/>
        <v>14275366.058818037</v>
      </c>
      <c r="AT259" s="130">
        <f t="shared" si="5"/>
        <v>14275366.058818037</v>
      </c>
      <c r="AU259" s="130">
        <f t="shared" si="5"/>
        <v>14275366.058818037</v>
      </c>
      <c r="AV259" s="130">
        <f t="shared" si="5"/>
        <v>14275366.058818033</v>
      </c>
      <c r="AW259" s="130">
        <f t="shared" si="5"/>
        <v>14275366.058818029</v>
      </c>
      <c r="AX259" s="130">
        <f t="shared" si="5"/>
        <v>14275366.058818035</v>
      </c>
      <c r="AY259" s="130">
        <f>AZ$14*$B$259</f>
        <v>14275366.058818033</v>
      </c>
      <c r="AZ259" s="145">
        <f>SUM($D259:$AY259)</f>
        <v>685217570.82326543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1721873.9022629505</v>
      </c>
      <c r="E260" s="131">
        <f t="shared" ref="E260:AY260" si="6">(E$175-E$176+E$177-E$178+E$179-E$180+E$181-E$182)*$B$260</f>
        <v>1722713.9022629505</v>
      </c>
      <c r="F260" s="131">
        <f t="shared" si="6"/>
        <v>1723913.9022629505</v>
      </c>
      <c r="G260" s="131">
        <f t="shared" si="6"/>
        <v>1720493.9022629505</v>
      </c>
      <c r="H260" s="131">
        <f t="shared" si="6"/>
        <v>1623353.9022629503</v>
      </c>
      <c r="I260" s="131">
        <f t="shared" si="6"/>
        <v>1629473.9022629503</v>
      </c>
      <c r="J260" s="131">
        <f t="shared" si="6"/>
        <v>1634513.9022629503</v>
      </c>
      <c r="K260" s="131">
        <f t="shared" si="6"/>
        <v>1634333.9022629505</v>
      </c>
      <c r="L260" s="131">
        <f t="shared" si="6"/>
        <v>1728353.9022629505</v>
      </c>
      <c r="M260" s="131">
        <f t="shared" si="6"/>
        <v>1725293.9022629503</v>
      </c>
      <c r="N260" s="131">
        <f t="shared" si="6"/>
        <v>1723733.9022629503</v>
      </c>
      <c r="O260" s="131">
        <f t="shared" si="6"/>
        <v>1723073.9022629503</v>
      </c>
      <c r="P260" s="131">
        <f t="shared" si="6"/>
        <v>1657733.9022629503</v>
      </c>
      <c r="Q260" s="131">
        <f t="shared" si="6"/>
        <v>1668653.9022629503</v>
      </c>
      <c r="R260" s="131">
        <f t="shared" si="6"/>
        <v>1673393.9022629505</v>
      </c>
      <c r="S260" s="131">
        <f t="shared" si="6"/>
        <v>1649393.9022629505</v>
      </c>
      <c r="T260" s="131">
        <f t="shared" si="6"/>
        <v>1689233.9022629503</v>
      </c>
      <c r="U260" s="131">
        <f t="shared" si="6"/>
        <v>1682693.9022629503</v>
      </c>
      <c r="V260" s="131">
        <f t="shared" si="6"/>
        <v>1679033.9022629503</v>
      </c>
      <c r="W260" s="131">
        <f t="shared" si="6"/>
        <v>1689833.9022629503</v>
      </c>
      <c r="X260" s="131">
        <f t="shared" si="6"/>
        <v>1691573.9022629503</v>
      </c>
      <c r="Y260" s="131">
        <f t="shared" si="6"/>
        <v>1679813.9022629503</v>
      </c>
      <c r="Z260" s="131">
        <f t="shared" si="6"/>
        <v>1692653.9022629505</v>
      </c>
      <c r="AA260" s="131">
        <f t="shared" si="6"/>
        <v>1687073.9022629505</v>
      </c>
      <c r="AB260" s="131">
        <f t="shared" si="6"/>
        <v>1720793.9022629503</v>
      </c>
      <c r="AC260" s="131">
        <f t="shared" si="6"/>
        <v>1722113.9022629505</v>
      </c>
      <c r="AD260" s="131">
        <f t="shared" si="6"/>
        <v>1722353.9022629505</v>
      </c>
      <c r="AE260" s="131">
        <f t="shared" si="6"/>
        <v>1725173.9022629505</v>
      </c>
      <c r="AF260" s="131">
        <f t="shared" si="6"/>
        <v>1682153.9022629503</v>
      </c>
      <c r="AG260" s="131">
        <f t="shared" si="6"/>
        <v>1677053.9022629499</v>
      </c>
      <c r="AH260" s="131">
        <f t="shared" si="6"/>
        <v>1672733.9022629505</v>
      </c>
      <c r="AI260" s="131">
        <f t="shared" si="6"/>
        <v>1680473.9022629503</v>
      </c>
      <c r="AJ260" s="131">
        <f t="shared" si="6"/>
        <v>1677773.9022629503</v>
      </c>
      <c r="AK260" s="131">
        <f t="shared" si="6"/>
        <v>1696553.9022629503</v>
      </c>
      <c r="AL260" s="131">
        <f t="shared" si="6"/>
        <v>1683893.9022629503</v>
      </c>
      <c r="AM260" s="131">
        <f t="shared" si="6"/>
        <v>1690433.9022629503</v>
      </c>
      <c r="AN260" s="131">
        <f t="shared" si="6"/>
        <v>1658273.9022629503</v>
      </c>
      <c r="AO260" s="131">
        <f t="shared" si="6"/>
        <v>1638953.9022629503</v>
      </c>
      <c r="AP260" s="131">
        <f t="shared" si="6"/>
        <v>1655033.9022629508</v>
      </c>
      <c r="AQ260" s="131">
        <f t="shared" si="6"/>
        <v>1641953.9022629503</v>
      </c>
      <c r="AR260" s="131">
        <f t="shared" si="6"/>
        <v>1652873.9022629503</v>
      </c>
      <c r="AS260" s="131">
        <f t="shared" si="6"/>
        <v>1671293.9022629503</v>
      </c>
      <c r="AT260" s="131">
        <f t="shared" si="6"/>
        <v>1670033.9022629503</v>
      </c>
      <c r="AU260" s="131">
        <f t="shared" si="6"/>
        <v>1658693.9022629503</v>
      </c>
      <c r="AV260" s="131">
        <f t="shared" si="6"/>
        <v>1699673.9022629505</v>
      </c>
      <c r="AW260" s="131">
        <f t="shared" si="6"/>
        <v>1712753.9022629503</v>
      </c>
      <c r="AX260" s="131">
        <f t="shared" si="6"/>
        <v>1706273.9022629508</v>
      </c>
      <c r="AY260" s="131">
        <f t="shared" si="6"/>
        <v>1703573.9022629505</v>
      </c>
      <c r="AZ260" s="147">
        <f>SUM($D260:$AY260)</f>
        <v>80873107.308621615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3</v>
      </c>
      <c r="E49" s="106">
        <v>2955.6</v>
      </c>
      <c r="F49" s="106">
        <v>4</v>
      </c>
      <c r="G49" s="106">
        <v>3940.7999999999997</v>
      </c>
      <c r="H49" s="106">
        <v>4</v>
      </c>
      <c r="I49" s="106">
        <v>3940.7999999999997</v>
      </c>
      <c r="J49" s="106">
        <v>4</v>
      </c>
      <c r="K49" s="106">
        <v>3940.7999999999997</v>
      </c>
      <c r="L49" s="106">
        <v>4</v>
      </c>
      <c r="M49" s="106">
        <v>3940.7999999999997</v>
      </c>
      <c r="N49" s="106">
        <v>4</v>
      </c>
      <c r="O49" s="106">
        <v>3940.7999999999997</v>
      </c>
      <c r="P49" s="106">
        <v>5</v>
      </c>
      <c r="Q49" s="106">
        <v>4926</v>
      </c>
      <c r="R49" s="106">
        <v>4</v>
      </c>
      <c r="S49" s="106">
        <v>3940.7999999999997</v>
      </c>
      <c r="T49" s="106">
        <v>31</v>
      </c>
      <c r="U49" s="106">
        <v>30541.199999999997</v>
      </c>
      <c r="V49" s="106">
        <v>44</v>
      </c>
      <c r="W49" s="106">
        <v>43348.799999999996</v>
      </c>
      <c r="X49" s="106">
        <v>50</v>
      </c>
      <c r="Y49" s="106">
        <v>49260</v>
      </c>
      <c r="Z49" s="106">
        <v>48</v>
      </c>
      <c r="AA49" s="106">
        <v>47289.599999999999</v>
      </c>
      <c r="AB49" s="106">
        <v>12</v>
      </c>
      <c r="AC49" s="106">
        <v>11822.4</v>
      </c>
      <c r="AD49" s="106">
        <v>12</v>
      </c>
      <c r="AE49" s="106">
        <v>11822.4</v>
      </c>
      <c r="AF49" s="106">
        <v>8</v>
      </c>
      <c r="AG49" s="106">
        <v>7881.5999999999995</v>
      </c>
      <c r="AH49" s="106">
        <v>7</v>
      </c>
      <c r="AI49" s="106">
        <v>6896.4</v>
      </c>
      <c r="AJ49" s="106">
        <v>17</v>
      </c>
      <c r="AK49" s="106">
        <v>16748.399999999998</v>
      </c>
      <c r="AL49" s="106">
        <v>11</v>
      </c>
      <c r="AM49" s="106">
        <v>10837.199999999999</v>
      </c>
      <c r="AN49" s="106">
        <v>17</v>
      </c>
      <c r="AO49" s="106">
        <v>16748.399999999998</v>
      </c>
      <c r="AP49" s="106">
        <v>11</v>
      </c>
      <c r="AQ49" s="106">
        <v>10837.199999999999</v>
      </c>
      <c r="AR49" s="106">
        <v>2</v>
      </c>
      <c r="AS49" s="106">
        <v>1970.3999999999999</v>
      </c>
      <c r="AT49" s="106">
        <v>3</v>
      </c>
      <c r="AU49" s="106">
        <v>2955.6</v>
      </c>
      <c r="AV49" s="106">
        <v>3</v>
      </c>
      <c r="AW49" s="106">
        <v>2955.6</v>
      </c>
      <c r="AX49" s="106">
        <v>2</v>
      </c>
      <c r="AY49" s="106">
        <v>1970.3999999999999</v>
      </c>
      <c r="AZ49" s="106">
        <v>4</v>
      </c>
      <c r="BA49" s="106">
        <v>3940.7999999999997</v>
      </c>
      <c r="BB49" s="106">
        <v>4</v>
      </c>
      <c r="BC49" s="106">
        <v>3940.7999999999997</v>
      </c>
      <c r="BD49" s="106">
        <v>4</v>
      </c>
      <c r="BE49" s="106">
        <v>3940.7999999999997</v>
      </c>
      <c r="BF49" s="106">
        <v>5</v>
      </c>
      <c r="BG49" s="106">
        <v>4926</v>
      </c>
      <c r="BH49" s="106">
        <v>5</v>
      </c>
      <c r="BI49" s="106">
        <v>4926</v>
      </c>
      <c r="BJ49" s="106">
        <v>6</v>
      </c>
      <c r="BK49" s="106">
        <v>5911.2</v>
      </c>
      <c r="BL49" s="106">
        <v>4</v>
      </c>
      <c r="BM49" s="106">
        <v>3940.7999999999997</v>
      </c>
      <c r="BN49" s="106">
        <v>5</v>
      </c>
      <c r="BO49" s="106">
        <v>4926</v>
      </c>
      <c r="BP49" s="106">
        <v>8</v>
      </c>
      <c r="BQ49" s="106">
        <v>7881.5999999999995</v>
      </c>
      <c r="BR49" s="106">
        <v>7</v>
      </c>
      <c r="BS49" s="106">
        <v>6896.4</v>
      </c>
      <c r="BT49" s="106">
        <v>13</v>
      </c>
      <c r="BU49" s="106">
        <v>12807.599999999999</v>
      </c>
      <c r="BV49" s="106">
        <v>7</v>
      </c>
      <c r="BW49" s="106">
        <v>6896.4</v>
      </c>
      <c r="BX49" s="106">
        <v>3</v>
      </c>
      <c r="BY49" s="106">
        <v>2955.6</v>
      </c>
      <c r="BZ49" s="106">
        <v>2</v>
      </c>
      <c r="CA49" s="106">
        <v>1970.3999999999999</v>
      </c>
      <c r="CB49" s="106">
        <v>3</v>
      </c>
      <c r="CC49" s="106">
        <v>2955.6</v>
      </c>
      <c r="CD49" s="106">
        <v>4</v>
      </c>
      <c r="CE49" s="106">
        <v>3940.7999999999997</v>
      </c>
      <c r="CF49" s="106">
        <v>39</v>
      </c>
      <c r="CG49" s="106">
        <v>38422.799999999996</v>
      </c>
      <c r="CH49" s="106">
        <v>41</v>
      </c>
      <c r="CI49" s="106">
        <v>40393.199999999997</v>
      </c>
      <c r="CJ49" s="106">
        <v>32</v>
      </c>
      <c r="CK49" s="106">
        <v>31526.399999999998</v>
      </c>
      <c r="CL49" s="106">
        <v>67</v>
      </c>
      <c r="CM49" s="106">
        <v>66008.399999999994</v>
      </c>
      <c r="CN49" s="106">
        <v>7</v>
      </c>
      <c r="CO49" s="106">
        <v>6896.4</v>
      </c>
      <c r="CP49" s="106">
        <v>7</v>
      </c>
      <c r="CQ49" s="106">
        <v>6896.4</v>
      </c>
      <c r="CR49" s="106">
        <v>8</v>
      </c>
      <c r="CS49" s="106">
        <v>7881.5999999999995</v>
      </c>
      <c r="CT49" s="106">
        <v>4</v>
      </c>
      <c r="CU49" s="106">
        <v>3940.7999999999997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3</v>
      </c>
      <c r="E56" s="106">
        <v>3452.3999999999996</v>
      </c>
      <c r="F56" s="106">
        <v>4</v>
      </c>
      <c r="G56" s="106">
        <v>4603.2</v>
      </c>
      <c r="H56" s="106">
        <v>4</v>
      </c>
      <c r="I56" s="106">
        <v>4603.2</v>
      </c>
      <c r="J56" s="106">
        <v>4</v>
      </c>
      <c r="K56" s="106">
        <v>4603.2</v>
      </c>
      <c r="L56" s="106">
        <v>4</v>
      </c>
      <c r="M56" s="106">
        <v>4603.2</v>
      </c>
      <c r="N56" s="106">
        <v>4</v>
      </c>
      <c r="O56" s="106">
        <v>4603.2</v>
      </c>
      <c r="P56" s="106">
        <v>5</v>
      </c>
      <c r="Q56" s="106">
        <v>5754</v>
      </c>
      <c r="R56" s="106">
        <v>4</v>
      </c>
      <c r="S56" s="106">
        <v>4603.2</v>
      </c>
      <c r="T56" s="106">
        <v>32</v>
      </c>
      <c r="U56" s="106">
        <v>36825.599999999999</v>
      </c>
      <c r="V56" s="106">
        <v>41</v>
      </c>
      <c r="W56" s="106">
        <v>47182.799999999996</v>
      </c>
      <c r="X56" s="106">
        <v>51</v>
      </c>
      <c r="Y56" s="106">
        <v>58690.799999999996</v>
      </c>
      <c r="Z56" s="106">
        <v>48</v>
      </c>
      <c r="AA56" s="106">
        <v>55238.399999999994</v>
      </c>
      <c r="AB56" s="106">
        <v>11</v>
      </c>
      <c r="AC56" s="106">
        <v>12658.8</v>
      </c>
      <c r="AD56" s="106">
        <v>10</v>
      </c>
      <c r="AE56" s="106">
        <v>11508</v>
      </c>
      <c r="AF56" s="106">
        <v>9</v>
      </c>
      <c r="AG56" s="106">
        <v>10357.199999999999</v>
      </c>
      <c r="AH56" s="106">
        <v>7</v>
      </c>
      <c r="AI56" s="106">
        <v>8055.5999999999995</v>
      </c>
      <c r="AJ56" s="106">
        <v>17</v>
      </c>
      <c r="AK56" s="106">
        <v>19563.599999999999</v>
      </c>
      <c r="AL56" s="106">
        <v>9</v>
      </c>
      <c r="AM56" s="106">
        <v>10357.199999999999</v>
      </c>
      <c r="AN56" s="106">
        <v>14</v>
      </c>
      <c r="AO56" s="106">
        <v>16111.199999999999</v>
      </c>
      <c r="AP56" s="106">
        <v>11</v>
      </c>
      <c r="AQ56" s="106">
        <v>12658.8</v>
      </c>
      <c r="AR56" s="106">
        <v>2</v>
      </c>
      <c r="AS56" s="106">
        <v>2301.6</v>
      </c>
      <c r="AT56" s="106">
        <v>3</v>
      </c>
      <c r="AU56" s="106">
        <v>3452.3999999999996</v>
      </c>
      <c r="AV56" s="106">
        <v>4</v>
      </c>
      <c r="AW56" s="106">
        <v>4603.2</v>
      </c>
      <c r="AX56" s="106">
        <v>2</v>
      </c>
      <c r="AY56" s="106">
        <v>2301.6</v>
      </c>
      <c r="AZ56" s="106">
        <v>4</v>
      </c>
      <c r="BA56" s="106">
        <v>4603.2</v>
      </c>
      <c r="BB56" s="106">
        <v>3</v>
      </c>
      <c r="BC56" s="106">
        <v>3452.3999999999996</v>
      </c>
      <c r="BD56" s="106">
        <v>5</v>
      </c>
      <c r="BE56" s="106">
        <v>5754</v>
      </c>
      <c r="BF56" s="106">
        <v>4</v>
      </c>
      <c r="BG56" s="106">
        <v>4603.2</v>
      </c>
      <c r="BH56" s="106">
        <v>5</v>
      </c>
      <c r="BI56" s="106">
        <v>5754</v>
      </c>
      <c r="BJ56" s="106">
        <v>6</v>
      </c>
      <c r="BK56" s="106">
        <v>6904.7999999999993</v>
      </c>
      <c r="BL56" s="106">
        <v>3</v>
      </c>
      <c r="BM56" s="106">
        <v>3452.3999999999996</v>
      </c>
      <c r="BN56" s="106">
        <v>4</v>
      </c>
      <c r="BO56" s="106">
        <v>4603.2</v>
      </c>
      <c r="BP56" s="106">
        <v>8</v>
      </c>
      <c r="BQ56" s="106">
        <v>9206.4</v>
      </c>
      <c r="BR56" s="106">
        <v>6</v>
      </c>
      <c r="BS56" s="106">
        <v>6904.7999999999993</v>
      </c>
      <c r="BT56" s="106">
        <v>11</v>
      </c>
      <c r="BU56" s="106">
        <v>12658.8</v>
      </c>
      <c r="BV56" s="106">
        <v>7</v>
      </c>
      <c r="BW56" s="106">
        <v>8055.5999999999995</v>
      </c>
      <c r="BX56" s="106">
        <v>3</v>
      </c>
      <c r="BY56" s="106">
        <v>3452.3999999999996</v>
      </c>
      <c r="BZ56" s="106">
        <v>3</v>
      </c>
      <c r="CA56" s="106">
        <v>3452.3999999999996</v>
      </c>
      <c r="CB56" s="106">
        <v>3</v>
      </c>
      <c r="CC56" s="106">
        <v>3452.3999999999996</v>
      </c>
      <c r="CD56" s="106">
        <v>4</v>
      </c>
      <c r="CE56" s="106">
        <v>4603.2</v>
      </c>
      <c r="CF56" s="106">
        <v>43</v>
      </c>
      <c r="CG56" s="106">
        <v>49484.4</v>
      </c>
      <c r="CH56" s="106">
        <v>37</v>
      </c>
      <c r="CI56" s="106">
        <v>42579.6</v>
      </c>
      <c r="CJ56" s="106">
        <v>33</v>
      </c>
      <c r="CK56" s="106">
        <v>37976.400000000001</v>
      </c>
      <c r="CL56" s="106">
        <v>61</v>
      </c>
      <c r="CM56" s="106">
        <v>70198.8</v>
      </c>
      <c r="CN56" s="106">
        <v>7</v>
      </c>
      <c r="CO56" s="106">
        <v>8055.5999999999995</v>
      </c>
      <c r="CP56" s="106">
        <v>8</v>
      </c>
      <c r="CQ56" s="106">
        <v>9206.4</v>
      </c>
      <c r="CR56" s="106">
        <v>9</v>
      </c>
      <c r="CS56" s="106">
        <v>10357.199999999999</v>
      </c>
      <c r="CT56" s="106">
        <v>5</v>
      </c>
      <c r="CU56" s="106">
        <v>5754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3</v>
      </c>
      <c r="E58" s="106">
        <v>3531.6000000000004</v>
      </c>
      <c r="F58" s="106">
        <v>4</v>
      </c>
      <c r="G58" s="106">
        <v>4708.8</v>
      </c>
      <c r="H58" s="106">
        <v>4</v>
      </c>
      <c r="I58" s="106">
        <v>4708.8</v>
      </c>
      <c r="J58" s="106">
        <v>4</v>
      </c>
      <c r="K58" s="106">
        <v>4708.8</v>
      </c>
      <c r="L58" s="106">
        <v>4</v>
      </c>
      <c r="M58" s="106">
        <v>4708.8</v>
      </c>
      <c r="N58" s="106">
        <v>3</v>
      </c>
      <c r="O58" s="106">
        <v>3531.6000000000004</v>
      </c>
      <c r="P58" s="106">
        <v>5</v>
      </c>
      <c r="Q58" s="106">
        <v>5886</v>
      </c>
      <c r="R58" s="106">
        <v>4</v>
      </c>
      <c r="S58" s="106">
        <v>4708.8</v>
      </c>
      <c r="T58" s="106">
        <v>31</v>
      </c>
      <c r="U58" s="106">
        <v>36493.200000000004</v>
      </c>
      <c r="V58" s="106">
        <v>40</v>
      </c>
      <c r="W58" s="106">
        <v>47088</v>
      </c>
      <c r="X58" s="106">
        <v>47</v>
      </c>
      <c r="Y58" s="106">
        <v>55328.4</v>
      </c>
      <c r="Z58" s="106">
        <v>42</v>
      </c>
      <c r="AA58" s="106">
        <v>49442.400000000001</v>
      </c>
      <c r="AB58" s="106">
        <v>10</v>
      </c>
      <c r="AC58" s="106">
        <v>11772</v>
      </c>
      <c r="AD58" s="106">
        <v>10</v>
      </c>
      <c r="AE58" s="106">
        <v>11772</v>
      </c>
      <c r="AF58" s="106">
        <v>8</v>
      </c>
      <c r="AG58" s="106">
        <v>9417.6</v>
      </c>
      <c r="AH58" s="106">
        <v>6</v>
      </c>
      <c r="AI58" s="106">
        <v>7063.2000000000007</v>
      </c>
      <c r="AJ58" s="106">
        <v>16</v>
      </c>
      <c r="AK58" s="106">
        <v>18835.2</v>
      </c>
      <c r="AL58" s="106">
        <v>10</v>
      </c>
      <c r="AM58" s="106">
        <v>11772</v>
      </c>
      <c r="AN58" s="106">
        <v>15</v>
      </c>
      <c r="AO58" s="106">
        <v>17658</v>
      </c>
      <c r="AP58" s="106">
        <v>12</v>
      </c>
      <c r="AQ58" s="106">
        <v>14126.400000000001</v>
      </c>
      <c r="AR58" s="106">
        <v>2</v>
      </c>
      <c r="AS58" s="106">
        <v>2354.4</v>
      </c>
      <c r="AT58" s="106">
        <v>4</v>
      </c>
      <c r="AU58" s="106">
        <v>4708.8</v>
      </c>
      <c r="AV58" s="106">
        <v>3</v>
      </c>
      <c r="AW58" s="106">
        <v>3531.6000000000004</v>
      </c>
      <c r="AX58" s="106">
        <v>2</v>
      </c>
      <c r="AY58" s="106">
        <v>2354.4</v>
      </c>
      <c r="AZ58" s="106">
        <v>4</v>
      </c>
      <c r="BA58" s="106">
        <v>4708.8</v>
      </c>
      <c r="BB58" s="106">
        <v>3</v>
      </c>
      <c r="BC58" s="106">
        <v>3531.6000000000004</v>
      </c>
      <c r="BD58" s="106">
        <v>5</v>
      </c>
      <c r="BE58" s="106">
        <v>5886</v>
      </c>
      <c r="BF58" s="106">
        <v>4</v>
      </c>
      <c r="BG58" s="106">
        <v>4708.8</v>
      </c>
      <c r="BH58" s="106">
        <v>4</v>
      </c>
      <c r="BI58" s="106">
        <v>4708.8</v>
      </c>
      <c r="BJ58" s="106">
        <v>7</v>
      </c>
      <c r="BK58" s="106">
        <v>8240.4</v>
      </c>
      <c r="BL58" s="106">
        <v>4</v>
      </c>
      <c r="BM58" s="106">
        <v>4708.8</v>
      </c>
      <c r="BN58" s="106">
        <v>5</v>
      </c>
      <c r="BO58" s="106">
        <v>5886</v>
      </c>
      <c r="BP58" s="106">
        <v>8</v>
      </c>
      <c r="BQ58" s="106">
        <v>9417.6</v>
      </c>
      <c r="BR58" s="106">
        <v>6</v>
      </c>
      <c r="BS58" s="106">
        <v>7063.2000000000007</v>
      </c>
      <c r="BT58" s="106">
        <v>13</v>
      </c>
      <c r="BU58" s="106">
        <v>15303.6</v>
      </c>
      <c r="BV58" s="106">
        <v>7</v>
      </c>
      <c r="BW58" s="106">
        <v>8240.4</v>
      </c>
      <c r="BX58" s="106">
        <v>2</v>
      </c>
      <c r="BY58" s="106">
        <v>2354.4</v>
      </c>
      <c r="BZ58" s="106">
        <v>3</v>
      </c>
      <c r="CA58" s="106">
        <v>3531.6000000000004</v>
      </c>
      <c r="CB58" s="106">
        <v>3</v>
      </c>
      <c r="CC58" s="106">
        <v>3531.6000000000004</v>
      </c>
      <c r="CD58" s="106">
        <v>4</v>
      </c>
      <c r="CE58" s="106">
        <v>4708.8</v>
      </c>
      <c r="CF58" s="106">
        <v>40</v>
      </c>
      <c r="CG58" s="106">
        <v>47088</v>
      </c>
      <c r="CH58" s="106">
        <v>35</v>
      </c>
      <c r="CI58" s="106">
        <v>41202</v>
      </c>
      <c r="CJ58" s="106">
        <v>37</v>
      </c>
      <c r="CK58" s="106">
        <v>43556.4</v>
      </c>
      <c r="CL58" s="106">
        <v>60</v>
      </c>
      <c r="CM58" s="106">
        <v>70632</v>
      </c>
      <c r="CN58" s="106">
        <v>7</v>
      </c>
      <c r="CO58" s="106">
        <v>8240.4</v>
      </c>
      <c r="CP58" s="106">
        <v>7</v>
      </c>
      <c r="CQ58" s="106">
        <v>8240.4</v>
      </c>
      <c r="CR58" s="106">
        <v>9</v>
      </c>
      <c r="CS58" s="106">
        <v>10594.800000000001</v>
      </c>
      <c r="CT58" s="106">
        <v>4</v>
      </c>
      <c r="CU58" s="106">
        <v>4708.8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30</v>
      </c>
      <c r="E71" s="106">
        <v>16920</v>
      </c>
      <c r="F71" s="106">
        <v>31</v>
      </c>
      <c r="G71" s="106">
        <v>17484</v>
      </c>
      <c r="H71" s="106">
        <v>17</v>
      </c>
      <c r="I71" s="106">
        <v>9588</v>
      </c>
      <c r="J71" s="106">
        <v>16</v>
      </c>
      <c r="K71" s="106">
        <v>9024</v>
      </c>
      <c r="L71" s="106">
        <v>20</v>
      </c>
      <c r="M71" s="106">
        <v>11280</v>
      </c>
      <c r="N71" s="106">
        <v>28</v>
      </c>
      <c r="O71" s="106">
        <v>15792</v>
      </c>
      <c r="P71" s="106">
        <v>17</v>
      </c>
      <c r="Q71" s="106">
        <v>9588</v>
      </c>
      <c r="R71" s="106">
        <v>27</v>
      </c>
      <c r="S71" s="106">
        <v>15228</v>
      </c>
      <c r="T71" s="106">
        <v>16</v>
      </c>
      <c r="U71" s="106">
        <v>9024</v>
      </c>
      <c r="V71" s="106">
        <v>17</v>
      </c>
      <c r="W71" s="106">
        <v>9588</v>
      </c>
      <c r="X71" s="106">
        <v>9</v>
      </c>
      <c r="Y71" s="106">
        <v>5076</v>
      </c>
      <c r="Z71" s="106">
        <v>13</v>
      </c>
      <c r="AA71" s="106">
        <v>7332</v>
      </c>
      <c r="AB71" s="106">
        <v>11</v>
      </c>
      <c r="AC71" s="106">
        <v>6204</v>
      </c>
      <c r="AD71" s="106">
        <v>11</v>
      </c>
      <c r="AE71" s="106">
        <v>6204</v>
      </c>
      <c r="AF71" s="106">
        <v>11</v>
      </c>
      <c r="AG71" s="106">
        <v>6204</v>
      </c>
      <c r="AH71" s="106">
        <v>12</v>
      </c>
      <c r="AI71" s="106">
        <v>6768</v>
      </c>
      <c r="AJ71" s="106">
        <v>20</v>
      </c>
      <c r="AK71" s="106">
        <v>11280</v>
      </c>
      <c r="AL71" s="106">
        <v>18</v>
      </c>
      <c r="AM71" s="106">
        <v>10152</v>
      </c>
      <c r="AN71" s="106">
        <v>27</v>
      </c>
      <c r="AO71" s="106">
        <v>15228</v>
      </c>
      <c r="AP71" s="106">
        <v>15</v>
      </c>
      <c r="AQ71" s="106">
        <v>8460</v>
      </c>
      <c r="AR71" s="106">
        <v>42</v>
      </c>
      <c r="AS71" s="106">
        <v>23688</v>
      </c>
      <c r="AT71" s="106">
        <v>32</v>
      </c>
      <c r="AU71" s="106">
        <v>18048</v>
      </c>
      <c r="AV71" s="106">
        <v>37</v>
      </c>
      <c r="AW71" s="106">
        <v>20868</v>
      </c>
      <c r="AX71" s="106">
        <v>22</v>
      </c>
      <c r="AY71" s="106">
        <v>12408</v>
      </c>
      <c r="AZ71" s="106">
        <v>3</v>
      </c>
      <c r="BA71" s="106">
        <v>1692</v>
      </c>
      <c r="BB71" s="106">
        <v>2</v>
      </c>
      <c r="BC71" s="106">
        <v>1128</v>
      </c>
      <c r="BD71" s="106">
        <v>2</v>
      </c>
      <c r="BE71" s="106">
        <v>1128</v>
      </c>
      <c r="BF71" s="106">
        <v>4</v>
      </c>
      <c r="BG71" s="106">
        <v>2256</v>
      </c>
      <c r="BH71" s="106">
        <v>3</v>
      </c>
      <c r="BI71" s="106">
        <v>1692</v>
      </c>
      <c r="BJ71" s="106">
        <v>2</v>
      </c>
      <c r="BK71" s="106">
        <v>1128</v>
      </c>
      <c r="BL71" s="106">
        <v>3</v>
      </c>
      <c r="BM71" s="106">
        <v>1692</v>
      </c>
      <c r="BN71" s="106">
        <v>2</v>
      </c>
      <c r="BO71" s="106">
        <v>1128</v>
      </c>
      <c r="BP71" s="106">
        <v>4</v>
      </c>
      <c r="BQ71" s="106">
        <v>2256</v>
      </c>
      <c r="BR71" s="106">
        <v>3</v>
      </c>
      <c r="BS71" s="106">
        <v>1692</v>
      </c>
      <c r="BT71" s="106">
        <v>4</v>
      </c>
      <c r="BU71" s="106">
        <v>2256</v>
      </c>
      <c r="BV71" s="106">
        <v>4</v>
      </c>
      <c r="BW71" s="106">
        <v>2256</v>
      </c>
      <c r="BX71" s="106">
        <v>22</v>
      </c>
      <c r="BY71" s="106">
        <v>12408</v>
      </c>
      <c r="BZ71" s="106">
        <v>17</v>
      </c>
      <c r="CA71" s="106">
        <v>9588</v>
      </c>
      <c r="CB71" s="106">
        <v>21</v>
      </c>
      <c r="CC71" s="106">
        <v>11844</v>
      </c>
      <c r="CD71" s="106">
        <v>22</v>
      </c>
      <c r="CE71" s="106">
        <v>12408</v>
      </c>
      <c r="CF71" s="106">
        <v>3</v>
      </c>
      <c r="CG71" s="106">
        <v>1692</v>
      </c>
      <c r="CH71" s="106">
        <v>3</v>
      </c>
      <c r="CI71" s="106">
        <v>1692</v>
      </c>
      <c r="CJ71" s="106">
        <v>2</v>
      </c>
      <c r="CK71" s="106">
        <v>1128</v>
      </c>
      <c r="CL71" s="106">
        <v>3</v>
      </c>
      <c r="CM71" s="106">
        <v>1692</v>
      </c>
      <c r="CN71" s="106">
        <v>4</v>
      </c>
      <c r="CO71" s="106">
        <v>2256</v>
      </c>
      <c r="CP71" s="106">
        <v>5</v>
      </c>
      <c r="CQ71" s="106">
        <v>2820</v>
      </c>
      <c r="CR71" s="106">
        <v>4</v>
      </c>
      <c r="CS71" s="106">
        <v>2256</v>
      </c>
      <c r="CT71" s="106">
        <v>4</v>
      </c>
      <c r="CU71" s="106">
        <v>2256</v>
      </c>
    </row>
    <row r="72" spans="2:99" x14ac:dyDescent="0.2">
      <c r="C72" s="105" t="s">
        <v>238</v>
      </c>
      <c r="D72" s="106">
        <v>28</v>
      </c>
      <c r="E72" s="106">
        <v>2083.1999999999998</v>
      </c>
      <c r="F72" s="106">
        <v>29</v>
      </c>
      <c r="G72" s="106">
        <v>2157.6</v>
      </c>
      <c r="H72" s="106">
        <v>21</v>
      </c>
      <c r="I72" s="106">
        <v>1562.3999999999999</v>
      </c>
      <c r="J72" s="106">
        <v>18</v>
      </c>
      <c r="K72" s="106">
        <v>1339.1999999999998</v>
      </c>
      <c r="L72" s="106">
        <v>21</v>
      </c>
      <c r="M72" s="106">
        <v>1562.3999999999999</v>
      </c>
      <c r="N72" s="106">
        <v>32</v>
      </c>
      <c r="O72" s="106">
        <v>2380.7999999999997</v>
      </c>
      <c r="P72" s="106">
        <v>19</v>
      </c>
      <c r="Q72" s="106">
        <v>1413.6</v>
      </c>
      <c r="R72" s="106">
        <v>30</v>
      </c>
      <c r="S72" s="106">
        <v>2231.9999999999995</v>
      </c>
      <c r="T72" s="106">
        <v>17</v>
      </c>
      <c r="U72" s="106">
        <v>1264.8</v>
      </c>
      <c r="V72" s="106">
        <v>16</v>
      </c>
      <c r="W72" s="106">
        <v>1190.3999999999999</v>
      </c>
      <c r="X72" s="106">
        <v>10</v>
      </c>
      <c r="Y72" s="106">
        <v>743.99999999999989</v>
      </c>
      <c r="Z72" s="106">
        <v>14</v>
      </c>
      <c r="AA72" s="106">
        <v>1041.5999999999999</v>
      </c>
      <c r="AB72" s="106">
        <v>11</v>
      </c>
      <c r="AC72" s="106">
        <v>818.39999999999986</v>
      </c>
      <c r="AD72" s="106">
        <v>12</v>
      </c>
      <c r="AE72" s="106">
        <v>892.8</v>
      </c>
      <c r="AF72" s="106">
        <v>12</v>
      </c>
      <c r="AG72" s="106">
        <v>892.8</v>
      </c>
      <c r="AH72" s="106">
        <v>14</v>
      </c>
      <c r="AI72" s="106">
        <v>1041.5999999999999</v>
      </c>
      <c r="AJ72" s="106">
        <v>25</v>
      </c>
      <c r="AK72" s="106">
        <v>1859.9999999999998</v>
      </c>
      <c r="AL72" s="106">
        <v>21</v>
      </c>
      <c r="AM72" s="106">
        <v>1562.3999999999999</v>
      </c>
      <c r="AN72" s="106">
        <v>31</v>
      </c>
      <c r="AO72" s="106">
        <v>2306.3999999999996</v>
      </c>
      <c r="AP72" s="106">
        <v>17</v>
      </c>
      <c r="AQ72" s="106">
        <v>1264.8</v>
      </c>
      <c r="AR72" s="106">
        <v>40</v>
      </c>
      <c r="AS72" s="106">
        <v>2975.9999999999995</v>
      </c>
      <c r="AT72" s="106">
        <v>32</v>
      </c>
      <c r="AU72" s="106">
        <v>2380.7999999999997</v>
      </c>
      <c r="AV72" s="106">
        <v>44</v>
      </c>
      <c r="AW72" s="106">
        <v>3273.5999999999995</v>
      </c>
      <c r="AX72" s="106">
        <v>25</v>
      </c>
      <c r="AY72" s="106">
        <v>1859.9999999999998</v>
      </c>
      <c r="AZ72" s="106">
        <v>3</v>
      </c>
      <c r="BA72" s="106">
        <v>223.2</v>
      </c>
      <c r="BB72" s="106">
        <v>2</v>
      </c>
      <c r="BC72" s="106">
        <v>148.79999999999998</v>
      </c>
      <c r="BD72" s="106">
        <v>2</v>
      </c>
      <c r="BE72" s="106">
        <v>148.79999999999998</v>
      </c>
      <c r="BF72" s="106">
        <v>4</v>
      </c>
      <c r="BG72" s="106">
        <v>297.59999999999997</v>
      </c>
      <c r="BH72" s="106">
        <v>3</v>
      </c>
      <c r="BI72" s="106">
        <v>223.2</v>
      </c>
      <c r="BJ72" s="106">
        <v>2</v>
      </c>
      <c r="BK72" s="106">
        <v>148.79999999999998</v>
      </c>
      <c r="BL72" s="106">
        <v>3</v>
      </c>
      <c r="BM72" s="106">
        <v>223.2</v>
      </c>
      <c r="BN72" s="106">
        <v>2</v>
      </c>
      <c r="BO72" s="106">
        <v>148.79999999999998</v>
      </c>
      <c r="BP72" s="106">
        <v>3</v>
      </c>
      <c r="BQ72" s="106">
        <v>223.2</v>
      </c>
      <c r="BR72" s="106">
        <v>3</v>
      </c>
      <c r="BS72" s="106">
        <v>223.2</v>
      </c>
      <c r="BT72" s="106">
        <v>4</v>
      </c>
      <c r="BU72" s="106">
        <v>297.59999999999997</v>
      </c>
      <c r="BV72" s="106">
        <v>5</v>
      </c>
      <c r="BW72" s="106">
        <v>371.99999999999994</v>
      </c>
      <c r="BX72" s="106">
        <v>23</v>
      </c>
      <c r="BY72" s="106">
        <v>1711.1999999999998</v>
      </c>
      <c r="BZ72" s="106">
        <v>19</v>
      </c>
      <c r="CA72" s="106">
        <v>1413.6</v>
      </c>
      <c r="CB72" s="106">
        <v>25</v>
      </c>
      <c r="CC72" s="106">
        <v>1859.9999999999998</v>
      </c>
      <c r="CD72" s="106">
        <v>23</v>
      </c>
      <c r="CE72" s="106">
        <v>1711.1999999999998</v>
      </c>
      <c r="CF72" s="106">
        <v>3</v>
      </c>
      <c r="CG72" s="106">
        <v>223.2</v>
      </c>
      <c r="CH72" s="106">
        <v>3</v>
      </c>
      <c r="CI72" s="106">
        <v>223.2</v>
      </c>
      <c r="CJ72" s="106">
        <v>2</v>
      </c>
      <c r="CK72" s="106">
        <v>148.79999999999998</v>
      </c>
      <c r="CL72" s="106">
        <v>3</v>
      </c>
      <c r="CM72" s="106">
        <v>223.2</v>
      </c>
      <c r="CN72" s="106">
        <v>4</v>
      </c>
      <c r="CO72" s="106">
        <v>297.59999999999997</v>
      </c>
      <c r="CP72" s="106">
        <v>5</v>
      </c>
      <c r="CQ72" s="106">
        <v>371.99999999999994</v>
      </c>
      <c r="CR72" s="106">
        <v>3</v>
      </c>
      <c r="CS72" s="106">
        <v>223.2</v>
      </c>
      <c r="CT72" s="106">
        <v>4</v>
      </c>
      <c r="CU72" s="106">
        <v>297.59999999999997</v>
      </c>
    </row>
    <row r="73" spans="2:99" x14ac:dyDescent="0.2">
      <c r="C73" s="105" t="s">
        <v>239</v>
      </c>
      <c r="D73" s="106">
        <v>25</v>
      </c>
      <c r="E73" s="106">
        <v>13979.999999999998</v>
      </c>
      <c r="F73" s="106">
        <v>28</v>
      </c>
      <c r="G73" s="106">
        <v>15657.599999999999</v>
      </c>
      <c r="H73" s="106">
        <v>19</v>
      </c>
      <c r="I73" s="106">
        <v>10624.8</v>
      </c>
      <c r="J73" s="106">
        <v>16</v>
      </c>
      <c r="K73" s="106">
        <v>8947.1999999999989</v>
      </c>
      <c r="L73" s="106">
        <v>22</v>
      </c>
      <c r="M73" s="106">
        <v>12302.399999999998</v>
      </c>
      <c r="N73" s="106">
        <v>28</v>
      </c>
      <c r="O73" s="106">
        <v>15657.599999999999</v>
      </c>
      <c r="P73" s="106">
        <v>16</v>
      </c>
      <c r="Q73" s="106">
        <v>8947.1999999999989</v>
      </c>
      <c r="R73" s="106">
        <v>27</v>
      </c>
      <c r="S73" s="106">
        <v>15098.399999999998</v>
      </c>
      <c r="T73" s="106">
        <v>18</v>
      </c>
      <c r="U73" s="106">
        <v>10065.599999999999</v>
      </c>
      <c r="V73" s="106">
        <v>16</v>
      </c>
      <c r="W73" s="106">
        <v>8947.1999999999989</v>
      </c>
      <c r="X73" s="106">
        <v>11</v>
      </c>
      <c r="Y73" s="106">
        <v>6151.1999999999989</v>
      </c>
      <c r="Z73" s="106">
        <v>15</v>
      </c>
      <c r="AA73" s="106">
        <v>8387.9999999999982</v>
      </c>
      <c r="AB73" s="106">
        <v>11</v>
      </c>
      <c r="AC73" s="106">
        <v>6151.1999999999989</v>
      </c>
      <c r="AD73" s="106">
        <v>10</v>
      </c>
      <c r="AE73" s="106">
        <v>5591.9999999999991</v>
      </c>
      <c r="AF73" s="106">
        <v>13</v>
      </c>
      <c r="AG73" s="106">
        <v>7269.5999999999995</v>
      </c>
      <c r="AH73" s="106">
        <v>12</v>
      </c>
      <c r="AI73" s="106">
        <v>6710.4</v>
      </c>
      <c r="AJ73" s="106">
        <v>23</v>
      </c>
      <c r="AK73" s="106">
        <v>12861.599999999999</v>
      </c>
      <c r="AL73" s="106">
        <v>18</v>
      </c>
      <c r="AM73" s="106">
        <v>10065.599999999999</v>
      </c>
      <c r="AN73" s="106">
        <v>27</v>
      </c>
      <c r="AO73" s="106">
        <v>15098.399999999998</v>
      </c>
      <c r="AP73" s="106">
        <v>16</v>
      </c>
      <c r="AQ73" s="106">
        <v>8947.1999999999989</v>
      </c>
      <c r="AR73" s="106">
        <v>41</v>
      </c>
      <c r="AS73" s="106">
        <v>22927.199999999997</v>
      </c>
      <c r="AT73" s="106">
        <v>31</v>
      </c>
      <c r="AU73" s="106">
        <v>17335.199999999997</v>
      </c>
      <c r="AV73" s="106">
        <v>35</v>
      </c>
      <c r="AW73" s="106">
        <v>19571.999999999996</v>
      </c>
      <c r="AX73" s="106">
        <v>21</v>
      </c>
      <c r="AY73" s="106">
        <v>11743.199999999999</v>
      </c>
      <c r="AZ73" s="106">
        <v>3</v>
      </c>
      <c r="BA73" s="106">
        <v>1677.6</v>
      </c>
      <c r="BB73" s="106">
        <v>2</v>
      </c>
      <c r="BC73" s="106">
        <v>1118.3999999999999</v>
      </c>
      <c r="BD73" s="106">
        <v>2</v>
      </c>
      <c r="BE73" s="106">
        <v>1118.3999999999999</v>
      </c>
      <c r="BF73" s="106">
        <v>4</v>
      </c>
      <c r="BG73" s="106">
        <v>2236.7999999999997</v>
      </c>
      <c r="BH73" s="106">
        <v>3</v>
      </c>
      <c r="BI73" s="106">
        <v>1677.6</v>
      </c>
      <c r="BJ73" s="106">
        <v>2</v>
      </c>
      <c r="BK73" s="106">
        <v>1118.3999999999999</v>
      </c>
      <c r="BL73" s="106">
        <v>3</v>
      </c>
      <c r="BM73" s="106">
        <v>1677.6</v>
      </c>
      <c r="BN73" s="106">
        <v>2</v>
      </c>
      <c r="BO73" s="106">
        <v>1118.3999999999999</v>
      </c>
      <c r="BP73" s="106">
        <v>4</v>
      </c>
      <c r="BQ73" s="106">
        <v>2236.7999999999997</v>
      </c>
      <c r="BR73" s="106">
        <v>3</v>
      </c>
      <c r="BS73" s="106">
        <v>1677.6</v>
      </c>
      <c r="BT73" s="106">
        <v>4</v>
      </c>
      <c r="BU73" s="106">
        <v>2236.7999999999997</v>
      </c>
      <c r="BV73" s="106">
        <v>5</v>
      </c>
      <c r="BW73" s="106">
        <v>2795.9999999999995</v>
      </c>
      <c r="BX73" s="106">
        <v>23</v>
      </c>
      <c r="BY73" s="106">
        <v>12861.599999999999</v>
      </c>
      <c r="BZ73" s="106">
        <v>20</v>
      </c>
      <c r="CA73" s="106">
        <v>11183.999999999998</v>
      </c>
      <c r="CB73" s="106">
        <v>20</v>
      </c>
      <c r="CC73" s="106">
        <v>11183.999999999998</v>
      </c>
      <c r="CD73" s="106">
        <v>20</v>
      </c>
      <c r="CE73" s="106">
        <v>11183.999999999998</v>
      </c>
      <c r="CF73" s="106">
        <v>3</v>
      </c>
      <c r="CG73" s="106">
        <v>1677.6</v>
      </c>
      <c r="CH73" s="106">
        <v>3</v>
      </c>
      <c r="CI73" s="106">
        <v>1677.6</v>
      </c>
      <c r="CJ73" s="106">
        <v>2</v>
      </c>
      <c r="CK73" s="106">
        <v>1118.3999999999999</v>
      </c>
      <c r="CL73" s="106">
        <v>3</v>
      </c>
      <c r="CM73" s="106">
        <v>1677.6</v>
      </c>
      <c r="CN73" s="106">
        <v>4</v>
      </c>
      <c r="CO73" s="106">
        <v>2236.7999999999997</v>
      </c>
      <c r="CP73" s="106">
        <v>4</v>
      </c>
      <c r="CQ73" s="106">
        <v>2236.7999999999997</v>
      </c>
      <c r="CR73" s="106">
        <v>4</v>
      </c>
      <c r="CS73" s="106">
        <v>2236.7999999999997</v>
      </c>
      <c r="CT73" s="106">
        <v>4</v>
      </c>
      <c r="CU73" s="106">
        <v>2236.7999999999997</v>
      </c>
    </row>
    <row r="74" spans="2:99" x14ac:dyDescent="0.2">
      <c r="C74" s="105" t="s">
        <v>240</v>
      </c>
      <c r="D74" s="106">
        <v>26</v>
      </c>
      <c r="E74" s="106">
        <v>10483.199999999999</v>
      </c>
      <c r="F74" s="106">
        <v>30</v>
      </c>
      <c r="G74" s="106">
        <v>12096</v>
      </c>
      <c r="H74" s="106">
        <v>21</v>
      </c>
      <c r="I74" s="106">
        <v>8467.1999999999989</v>
      </c>
      <c r="J74" s="106">
        <v>18</v>
      </c>
      <c r="K74" s="106">
        <v>7257.5999999999995</v>
      </c>
      <c r="L74" s="106">
        <v>22</v>
      </c>
      <c r="M74" s="106">
        <v>8870.4</v>
      </c>
      <c r="N74" s="106">
        <v>27</v>
      </c>
      <c r="O74" s="106">
        <v>10886.4</v>
      </c>
      <c r="P74" s="106">
        <v>18</v>
      </c>
      <c r="Q74" s="106">
        <v>7257.5999999999995</v>
      </c>
      <c r="R74" s="106">
        <v>24</v>
      </c>
      <c r="S74" s="106">
        <v>9676.7999999999993</v>
      </c>
      <c r="T74" s="106">
        <v>19</v>
      </c>
      <c r="U74" s="106">
        <v>7660.8</v>
      </c>
      <c r="V74" s="106">
        <v>17</v>
      </c>
      <c r="W74" s="106">
        <v>6854.4</v>
      </c>
      <c r="X74" s="106">
        <v>10</v>
      </c>
      <c r="Y74" s="106">
        <v>4032</v>
      </c>
      <c r="Z74" s="106">
        <v>14</v>
      </c>
      <c r="AA74" s="106">
        <v>5644.8</v>
      </c>
      <c r="AB74" s="106">
        <v>11</v>
      </c>
      <c r="AC74" s="106">
        <v>4435.2</v>
      </c>
      <c r="AD74" s="106">
        <v>10</v>
      </c>
      <c r="AE74" s="106">
        <v>4032</v>
      </c>
      <c r="AF74" s="106">
        <v>13</v>
      </c>
      <c r="AG74" s="106">
        <v>5241.5999999999995</v>
      </c>
      <c r="AH74" s="106">
        <v>14</v>
      </c>
      <c r="AI74" s="106">
        <v>5644.8</v>
      </c>
      <c r="AJ74" s="106">
        <v>24</v>
      </c>
      <c r="AK74" s="106">
        <v>9676.7999999999993</v>
      </c>
      <c r="AL74" s="106">
        <v>21</v>
      </c>
      <c r="AM74" s="106">
        <v>8467.1999999999989</v>
      </c>
      <c r="AN74" s="106">
        <v>28</v>
      </c>
      <c r="AO74" s="106">
        <v>11289.6</v>
      </c>
      <c r="AP74" s="106">
        <v>16</v>
      </c>
      <c r="AQ74" s="106">
        <v>6451.2</v>
      </c>
      <c r="AR74" s="106">
        <v>36</v>
      </c>
      <c r="AS74" s="106">
        <v>14515.199999999999</v>
      </c>
      <c r="AT74" s="106">
        <v>32</v>
      </c>
      <c r="AU74" s="106">
        <v>12902.4</v>
      </c>
      <c r="AV74" s="106">
        <v>38</v>
      </c>
      <c r="AW74" s="106">
        <v>15321.6</v>
      </c>
      <c r="AX74" s="106">
        <v>23</v>
      </c>
      <c r="AY74" s="106">
        <v>9273.6</v>
      </c>
      <c r="AZ74" s="106">
        <v>3</v>
      </c>
      <c r="BA74" s="106">
        <v>1209.5999999999999</v>
      </c>
      <c r="BB74" s="106">
        <v>2</v>
      </c>
      <c r="BC74" s="106">
        <v>806.4</v>
      </c>
      <c r="BD74" s="106">
        <v>2</v>
      </c>
      <c r="BE74" s="106">
        <v>806.4</v>
      </c>
      <c r="BF74" s="106">
        <v>4</v>
      </c>
      <c r="BG74" s="106">
        <v>1612.8</v>
      </c>
      <c r="BH74" s="106">
        <v>2</v>
      </c>
      <c r="BI74" s="106">
        <v>806.4</v>
      </c>
      <c r="BJ74" s="106">
        <v>3</v>
      </c>
      <c r="BK74" s="106">
        <v>1209.5999999999999</v>
      </c>
      <c r="BL74" s="106">
        <v>3</v>
      </c>
      <c r="BM74" s="106">
        <v>1209.5999999999999</v>
      </c>
      <c r="BN74" s="106">
        <v>2</v>
      </c>
      <c r="BO74" s="106">
        <v>806.4</v>
      </c>
      <c r="BP74" s="106">
        <v>4</v>
      </c>
      <c r="BQ74" s="106">
        <v>1612.8</v>
      </c>
      <c r="BR74" s="106">
        <v>3</v>
      </c>
      <c r="BS74" s="106">
        <v>1209.5999999999999</v>
      </c>
      <c r="BT74" s="106">
        <v>4</v>
      </c>
      <c r="BU74" s="106">
        <v>1612.8</v>
      </c>
      <c r="BV74" s="106">
        <v>5</v>
      </c>
      <c r="BW74" s="106">
        <v>2016</v>
      </c>
      <c r="BX74" s="106">
        <v>22</v>
      </c>
      <c r="BY74" s="106">
        <v>8870.4</v>
      </c>
      <c r="BZ74" s="106">
        <v>21</v>
      </c>
      <c r="CA74" s="106">
        <v>8467.1999999999989</v>
      </c>
      <c r="CB74" s="106">
        <v>22</v>
      </c>
      <c r="CC74" s="106">
        <v>8870.4</v>
      </c>
      <c r="CD74" s="106">
        <v>22</v>
      </c>
      <c r="CE74" s="106">
        <v>8870.4</v>
      </c>
      <c r="CF74" s="106">
        <v>3</v>
      </c>
      <c r="CG74" s="106">
        <v>1209.5999999999999</v>
      </c>
      <c r="CH74" s="106">
        <v>3</v>
      </c>
      <c r="CI74" s="106">
        <v>1209.5999999999999</v>
      </c>
      <c r="CJ74" s="106">
        <v>2</v>
      </c>
      <c r="CK74" s="106">
        <v>806.4</v>
      </c>
      <c r="CL74" s="106">
        <v>3</v>
      </c>
      <c r="CM74" s="106">
        <v>1209.5999999999999</v>
      </c>
      <c r="CN74" s="106">
        <v>5</v>
      </c>
      <c r="CO74" s="106">
        <v>2016</v>
      </c>
      <c r="CP74" s="106">
        <v>4</v>
      </c>
      <c r="CQ74" s="106">
        <v>1612.8</v>
      </c>
      <c r="CR74" s="106">
        <v>4</v>
      </c>
      <c r="CS74" s="106">
        <v>1612.8</v>
      </c>
      <c r="CT74" s="106">
        <v>4</v>
      </c>
      <c r="CU74" s="106">
        <v>1612.8</v>
      </c>
    </row>
    <row r="75" spans="2:99" x14ac:dyDescent="0.2">
      <c r="C75" s="105" t="s">
        <v>241</v>
      </c>
      <c r="D75" s="106">
        <v>25</v>
      </c>
      <c r="E75" s="106">
        <v>16079.999999999998</v>
      </c>
      <c r="F75" s="106">
        <v>28</v>
      </c>
      <c r="G75" s="106">
        <v>18009.599999999999</v>
      </c>
      <c r="H75" s="106">
        <v>19</v>
      </c>
      <c r="I75" s="106">
        <v>12220.8</v>
      </c>
      <c r="J75" s="106">
        <v>16</v>
      </c>
      <c r="K75" s="106">
        <v>10291.199999999999</v>
      </c>
      <c r="L75" s="106">
        <v>20</v>
      </c>
      <c r="M75" s="106">
        <v>12863.999999999998</v>
      </c>
      <c r="N75" s="106">
        <v>25</v>
      </c>
      <c r="O75" s="106">
        <v>16079.999999999998</v>
      </c>
      <c r="P75" s="106">
        <v>16</v>
      </c>
      <c r="Q75" s="106">
        <v>10291.199999999999</v>
      </c>
      <c r="R75" s="106">
        <v>23</v>
      </c>
      <c r="S75" s="106">
        <v>14793.599999999999</v>
      </c>
      <c r="T75" s="106">
        <v>16</v>
      </c>
      <c r="U75" s="106">
        <v>10291.199999999999</v>
      </c>
      <c r="V75" s="106">
        <v>16</v>
      </c>
      <c r="W75" s="106">
        <v>10291.199999999999</v>
      </c>
      <c r="X75" s="106">
        <v>11</v>
      </c>
      <c r="Y75" s="106">
        <v>7075.1999999999989</v>
      </c>
      <c r="Z75" s="106">
        <v>13</v>
      </c>
      <c r="AA75" s="106">
        <v>8361.5999999999985</v>
      </c>
      <c r="AB75" s="106">
        <v>10</v>
      </c>
      <c r="AC75" s="106">
        <v>6431.9999999999991</v>
      </c>
      <c r="AD75" s="106">
        <v>11</v>
      </c>
      <c r="AE75" s="106">
        <v>7075.1999999999989</v>
      </c>
      <c r="AF75" s="106">
        <v>11</v>
      </c>
      <c r="AG75" s="106">
        <v>7075.1999999999989</v>
      </c>
      <c r="AH75" s="106">
        <v>14</v>
      </c>
      <c r="AI75" s="106">
        <v>9004.7999999999993</v>
      </c>
      <c r="AJ75" s="106">
        <v>21</v>
      </c>
      <c r="AK75" s="106">
        <v>13507.199999999999</v>
      </c>
      <c r="AL75" s="106">
        <v>17</v>
      </c>
      <c r="AM75" s="106">
        <v>10934.4</v>
      </c>
      <c r="AN75" s="106">
        <v>28</v>
      </c>
      <c r="AO75" s="106">
        <v>18009.599999999999</v>
      </c>
      <c r="AP75" s="106">
        <v>15</v>
      </c>
      <c r="AQ75" s="106">
        <v>9647.9999999999982</v>
      </c>
      <c r="AR75" s="106">
        <v>39</v>
      </c>
      <c r="AS75" s="106">
        <v>25084.799999999996</v>
      </c>
      <c r="AT75" s="106">
        <v>33</v>
      </c>
      <c r="AU75" s="106">
        <v>21225.599999999999</v>
      </c>
      <c r="AV75" s="106">
        <v>38</v>
      </c>
      <c r="AW75" s="106">
        <v>24441.599999999999</v>
      </c>
      <c r="AX75" s="106">
        <v>22</v>
      </c>
      <c r="AY75" s="106">
        <v>14150.399999999998</v>
      </c>
      <c r="AZ75" s="106">
        <v>3</v>
      </c>
      <c r="BA75" s="106">
        <v>1929.6</v>
      </c>
      <c r="BB75" s="106">
        <v>2</v>
      </c>
      <c r="BC75" s="106">
        <v>1286.3999999999999</v>
      </c>
      <c r="BD75" s="106">
        <v>2</v>
      </c>
      <c r="BE75" s="106">
        <v>1286.3999999999999</v>
      </c>
      <c r="BF75" s="106">
        <v>4</v>
      </c>
      <c r="BG75" s="106">
        <v>2572.7999999999997</v>
      </c>
      <c r="BH75" s="106">
        <v>2</v>
      </c>
      <c r="BI75" s="106">
        <v>1286.3999999999999</v>
      </c>
      <c r="BJ75" s="106">
        <v>2</v>
      </c>
      <c r="BK75" s="106">
        <v>1286.3999999999999</v>
      </c>
      <c r="BL75" s="106">
        <v>3</v>
      </c>
      <c r="BM75" s="106">
        <v>1929.6</v>
      </c>
      <c r="BN75" s="106">
        <v>2</v>
      </c>
      <c r="BO75" s="106">
        <v>1286.3999999999999</v>
      </c>
      <c r="BP75" s="106">
        <v>4</v>
      </c>
      <c r="BQ75" s="106">
        <v>2572.7999999999997</v>
      </c>
      <c r="BR75" s="106">
        <v>3</v>
      </c>
      <c r="BS75" s="106">
        <v>1929.6</v>
      </c>
      <c r="BT75" s="106">
        <v>4</v>
      </c>
      <c r="BU75" s="106">
        <v>2572.7999999999997</v>
      </c>
      <c r="BV75" s="106">
        <v>5</v>
      </c>
      <c r="BW75" s="106">
        <v>3215.9999999999995</v>
      </c>
      <c r="BX75" s="106">
        <v>21</v>
      </c>
      <c r="BY75" s="106">
        <v>13507.199999999999</v>
      </c>
      <c r="BZ75" s="106">
        <v>20</v>
      </c>
      <c r="CA75" s="106">
        <v>12863.999999999998</v>
      </c>
      <c r="CB75" s="106">
        <v>20</v>
      </c>
      <c r="CC75" s="106">
        <v>12863.999999999998</v>
      </c>
      <c r="CD75" s="106">
        <v>19</v>
      </c>
      <c r="CE75" s="106">
        <v>12220.8</v>
      </c>
      <c r="CF75" s="106">
        <v>3</v>
      </c>
      <c r="CG75" s="106">
        <v>1929.6</v>
      </c>
      <c r="CH75" s="106">
        <v>3</v>
      </c>
      <c r="CI75" s="106">
        <v>1929.6</v>
      </c>
      <c r="CJ75" s="106">
        <v>2</v>
      </c>
      <c r="CK75" s="106">
        <v>1286.3999999999999</v>
      </c>
      <c r="CL75" s="106">
        <v>3</v>
      </c>
      <c r="CM75" s="106">
        <v>1929.6</v>
      </c>
      <c r="CN75" s="106">
        <v>5</v>
      </c>
      <c r="CO75" s="106">
        <v>3215.9999999999995</v>
      </c>
      <c r="CP75" s="106">
        <v>4</v>
      </c>
      <c r="CQ75" s="106">
        <v>2572.7999999999997</v>
      </c>
      <c r="CR75" s="106">
        <v>3</v>
      </c>
      <c r="CS75" s="106">
        <v>1929.6</v>
      </c>
      <c r="CT75" s="106">
        <v>3</v>
      </c>
      <c r="CU75" s="106">
        <v>1929.6</v>
      </c>
    </row>
    <row r="76" spans="2:99" x14ac:dyDescent="0.2">
      <c r="C76" s="105" t="s">
        <v>242</v>
      </c>
      <c r="D76" s="106">
        <v>28</v>
      </c>
      <c r="E76" s="106">
        <v>21806.399999999998</v>
      </c>
      <c r="F76" s="106">
        <v>28</v>
      </c>
      <c r="G76" s="106">
        <v>21806.399999999998</v>
      </c>
      <c r="H76" s="106">
        <v>20</v>
      </c>
      <c r="I76" s="106">
        <v>15576</v>
      </c>
      <c r="J76" s="106">
        <v>16</v>
      </c>
      <c r="K76" s="106">
        <v>12460.8</v>
      </c>
      <c r="L76" s="106">
        <v>21</v>
      </c>
      <c r="M76" s="106">
        <v>16354.8</v>
      </c>
      <c r="N76" s="106">
        <v>26</v>
      </c>
      <c r="O76" s="106">
        <v>20248.8</v>
      </c>
      <c r="P76" s="106">
        <v>18</v>
      </c>
      <c r="Q76" s="106">
        <v>14018.4</v>
      </c>
      <c r="R76" s="106">
        <v>22</v>
      </c>
      <c r="S76" s="106">
        <v>17133.599999999999</v>
      </c>
      <c r="T76" s="106">
        <v>18</v>
      </c>
      <c r="U76" s="106">
        <v>14018.4</v>
      </c>
      <c r="V76" s="106">
        <v>14</v>
      </c>
      <c r="W76" s="106">
        <v>10903.199999999999</v>
      </c>
      <c r="X76" s="106">
        <v>10</v>
      </c>
      <c r="Y76" s="106">
        <v>7788</v>
      </c>
      <c r="Z76" s="106">
        <v>14</v>
      </c>
      <c r="AA76" s="106">
        <v>10903.199999999999</v>
      </c>
      <c r="AB76" s="106">
        <v>11</v>
      </c>
      <c r="AC76" s="106">
        <v>8566.7999999999993</v>
      </c>
      <c r="AD76" s="106">
        <v>10</v>
      </c>
      <c r="AE76" s="106">
        <v>7788</v>
      </c>
      <c r="AF76" s="106">
        <v>12</v>
      </c>
      <c r="AG76" s="106">
        <v>9345.5999999999985</v>
      </c>
      <c r="AH76" s="106">
        <v>12</v>
      </c>
      <c r="AI76" s="106">
        <v>9345.5999999999985</v>
      </c>
      <c r="AJ76" s="106">
        <v>23</v>
      </c>
      <c r="AK76" s="106">
        <v>17912.399999999998</v>
      </c>
      <c r="AL76" s="106">
        <v>17</v>
      </c>
      <c r="AM76" s="106">
        <v>13239.599999999999</v>
      </c>
      <c r="AN76" s="106">
        <v>26</v>
      </c>
      <c r="AO76" s="106">
        <v>20248.8</v>
      </c>
      <c r="AP76" s="106">
        <v>15</v>
      </c>
      <c r="AQ76" s="106">
        <v>11682</v>
      </c>
      <c r="AR76" s="106">
        <v>37</v>
      </c>
      <c r="AS76" s="106">
        <v>28815.599999999999</v>
      </c>
      <c r="AT76" s="106">
        <v>29</v>
      </c>
      <c r="AU76" s="106">
        <v>22585.199999999997</v>
      </c>
      <c r="AV76" s="106">
        <v>36</v>
      </c>
      <c r="AW76" s="106">
        <v>28036.799999999999</v>
      </c>
      <c r="AX76" s="106">
        <v>19</v>
      </c>
      <c r="AY76" s="106">
        <v>14797.199999999999</v>
      </c>
      <c r="AZ76" s="106">
        <v>3</v>
      </c>
      <c r="BA76" s="106">
        <v>2336.3999999999996</v>
      </c>
      <c r="BB76" s="106">
        <v>2</v>
      </c>
      <c r="BC76" s="106">
        <v>1557.6</v>
      </c>
      <c r="BD76" s="106">
        <v>2</v>
      </c>
      <c r="BE76" s="106">
        <v>1557.6</v>
      </c>
      <c r="BF76" s="106">
        <v>4</v>
      </c>
      <c r="BG76" s="106">
        <v>3115.2</v>
      </c>
      <c r="BH76" s="106">
        <v>2</v>
      </c>
      <c r="BI76" s="106">
        <v>1557.6</v>
      </c>
      <c r="BJ76" s="106">
        <v>2</v>
      </c>
      <c r="BK76" s="106">
        <v>1557.6</v>
      </c>
      <c r="BL76" s="106">
        <v>3</v>
      </c>
      <c r="BM76" s="106">
        <v>2336.3999999999996</v>
      </c>
      <c r="BN76" s="106">
        <v>2</v>
      </c>
      <c r="BO76" s="106">
        <v>1557.6</v>
      </c>
      <c r="BP76" s="106">
        <v>4</v>
      </c>
      <c r="BQ76" s="106">
        <v>3115.2</v>
      </c>
      <c r="BR76" s="106">
        <v>3</v>
      </c>
      <c r="BS76" s="106">
        <v>2336.3999999999996</v>
      </c>
      <c r="BT76" s="106">
        <v>3</v>
      </c>
      <c r="BU76" s="106">
        <v>2336.3999999999996</v>
      </c>
      <c r="BV76" s="106">
        <v>4</v>
      </c>
      <c r="BW76" s="106">
        <v>3115.2</v>
      </c>
      <c r="BX76" s="106">
        <v>24</v>
      </c>
      <c r="BY76" s="106">
        <v>18691.199999999997</v>
      </c>
      <c r="BZ76" s="106">
        <v>19</v>
      </c>
      <c r="CA76" s="106">
        <v>14797.199999999999</v>
      </c>
      <c r="CB76" s="106">
        <v>22</v>
      </c>
      <c r="CC76" s="106">
        <v>17133.599999999999</v>
      </c>
      <c r="CD76" s="106">
        <v>20</v>
      </c>
      <c r="CE76" s="106">
        <v>15576</v>
      </c>
      <c r="CF76" s="106">
        <v>3</v>
      </c>
      <c r="CG76" s="106">
        <v>2336.3999999999996</v>
      </c>
      <c r="CH76" s="106">
        <v>3</v>
      </c>
      <c r="CI76" s="106">
        <v>2336.3999999999996</v>
      </c>
      <c r="CJ76" s="106">
        <v>2</v>
      </c>
      <c r="CK76" s="106">
        <v>1557.6</v>
      </c>
      <c r="CL76" s="106">
        <v>3</v>
      </c>
      <c r="CM76" s="106">
        <v>2336.3999999999996</v>
      </c>
      <c r="CN76" s="106">
        <v>4</v>
      </c>
      <c r="CO76" s="106">
        <v>3115.2</v>
      </c>
      <c r="CP76" s="106">
        <v>4</v>
      </c>
      <c r="CQ76" s="106">
        <v>3115.2</v>
      </c>
      <c r="CR76" s="106">
        <v>4</v>
      </c>
      <c r="CS76" s="106">
        <v>3115.2</v>
      </c>
      <c r="CT76" s="106">
        <v>3</v>
      </c>
      <c r="CU76" s="106">
        <v>2336.3999999999996</v>
      </c>
    </row>
    <row r="77" spans="2:99" x14ac:dyDescent="0.2">
      <c r="C77" s="105" t="s">
        <v>243</v>
      </c>
      <c r="D77" s="106">
        <v>29</v>
      </c>
      <c r="E77" s="106">
        <v>8073.5999999999995</v>
      </c>
      <c r="F77" s="106">
        <v>32</v>
      </c>
      <c r="G77" s="106">
        <v>8908.7999999999993</v>
      </c>
      <c r="H77" s="106">
        <v>19</v>
      </c>
      <c r="I77" s="106">
        <v>5289.5999999999995</v>
      </c>
      <c r="J77" s="106">
        <v>16</v>
      </c>
      <c r="K77" s="106">
        <v>4454.3999999999996</v>
      </c>
      <c r="L77" s="106">
        <v>23</v>
      </c>
      <c r="M77" s="106">
        <v>6403.2</v>
      </c>
      <c r="N77" s="106">
        <v>30</v>
      </c>
      <c r="O77" s="106">
        <v>8352</v>
      </c>
      <c r="P77" s="106">
        <v>20</v>
      </c>
      <c r="Q77" s="106">
        <v>5568</v>
      </c>
      <c r="R77" s="106">
        <v>25</v>
      </c>
      <c r="S77" s="106">
        <v>6959.9999999999991</v>
      </c>
      <c r="T77" s="106">
        <v>16</v>
      </c>
      <c r="U77" s="106">
        <v>4454.3999999999996</v>
      </c>
      <c r="V77" s="106">
        <v>15</v>
      </c>
      <c r="W77" s="106">
        <v>4176</v>
      </c>
      <c r="X77" s="106">
        <v>11</v>
      </c>
      <c r="Y77" s="106">
        <v>3062.3999999999996</v>
      </c>
      <c r="Z77" s="106">
        <v>15</v>
      </c>
      <c r="AA77" s="106">
        <v>4176</v>
      </c>
      <c r="AB77" s="106">
        <v>12</v>
      </c>
      <c r="AC77" s="106">
        <v>3340.7999999999997</v>
      </c>
      <c r="AD77" s="106">
        <v>11</v>
      </c>
      <c r="AE77" s="106">
        <v>3062.3999999999996</v>
      </c>
      <c r="AF77" s="106">
        <v>12</v>
      </c>
      <c r="AG77" s="106">
        <v>3340.7999999999997</v>
      </c>
      <c r="AH77" s="106">
        <v>14</v>
      </c>
      <c r="AI77" s="106">
        <v>3897.5999999999995</v>
      </c>
      <c r="AJ77" s="106">
        <v>25</v>
      </c>
      <c r="AK77" s="106">
        <v>6959.9999999999991</v>
      </c>
      <c r="AL77" s="106">
        <v>20</v>
      </c>
      <c r="AM77" s="106">
        <v>5568</v>
      </c>
      <c r="AN77" s="106">
        <v>30</v>
      </c>
      <c r="AO77" s="106">
        <v>8352</v>
      </c>
      <c r="AP77" s="106">
        <v>16</v>
      </c>
      <c r="AQ77" s="106">
        <v>4454.3999999999996</v>
      </c>
      <c r="AR77" s="106">
        <v>44</v>
      </c>
      <c r="AS77" s="106">
        <v>12249.599999999999</v>
      </c>
      <c r="AT77" s="106">
        <v>31</v>
      </c>
      <c r="AU77" s="106">
        <v>8630.4</v>
      </c>
      <c r="AV77" s="106">
        <v>42</v>
      </c>
      <c r="AW77" s="106">
        <v>11692.8</v>
      </c>
      <c r="AX77" s="106">
        <v>22</v>
      </c>
      <c r="AY77" s="106">
        <v>6124.7999999999993</v>
      </c>
      <c r="AZ77" s="106">
        <v>3</v>
      </c>
      <c r="BA77" s="106">
        <v>835.19999999999993</v>
      </c>
      <c r="BB77" s="106">
        <v>2</v>
      </c>
      <c r="BC77" s="106">
        <v>556.79999999999995</v>
      </c>
      <c r="BD77" s="106">
        <v>2</v>
      </c>
      <c r="BE77" s="106">
        <v>556.79999999999995</v>
      </c>
      <c r="BF77" s="106">
        <v>4</v>
      </c>
      <c r="BG77" s="106">
        <v>1113.5999999999999</v>
      </c>
      <c r="BH77" s="106">
        <v>2</v>
      </c>
      <c r="BI77" s="106">
        <v>556.79999999999995</v>
      </c>
      <c r="BJ77" s="106">
        <v>3</v>
      </c>
      <c r="BK77" s="106">
        <v>835.19999999999993</v>
      </c>
      <c r="BL77" s="106">
        <v>3</v>
      </c>
      <c r="BM77" s="106">
        <v>835.19999999999993</v>
      </c>
      <c r="BN77" s="106">
        <v>2</v>
      </c>
      <c r="BO77" s="106">
        <v>556.79999999999995</v>
      </c>
      <c r="BP77" s="106">
        <v>4</v>
      </c>
      <c r="BQ77" s="106">
        <v>1113.5999999999999</v>
      </c>
      <c r="BR77" s="106">
        <v>3</v>
      </c>
      <c r="BS77" s="106">
        <v>835.19999999999993</v>
      </c>
      <c r="BT77" s="106">
        <v>4</v>
      </c>
      <c r="BU77" s="106">
        <v>1113.5999999999999</v>
      </c>
      <c r="BV77" s="106">
        <v>5</v>
      </c>
      <c r="BW77" s="106">
        <v>1392</v>
      </c>
      <c r="BX77" s="106">
        <v>24</v>
      </c>
      <c r="BY77" s="106">
        <v>6681.5999999999995</v>
      </c>
      <c r="BZ77" s="106">
        <v>20</v>
      </c>
      <c r="CA77" s="106">
        <v>5568</v>
      </c>
      <c r="CB77" s="106">
        <v>25</v>
      </c>
      <c r="CC77" s="106">
        <v>6959.9999999999991</v>
      </c>
      <c r="CD77" s="106">
        <v>20</v>
      </c>
      <c r="CE77" s="106">
        <v>5568</v>
      </c>
      <c r="CF77" s="106">
        <v>4</v>
      </c>
      <c r="CG77" s="106">
        <v>1113.5999999999999</v>
      </c>
      <c r="CH77" s="106">
        <v>3</v>
      </c>
      <c r="CI77" s="106">
        <v>835.19999999999993</v>
      </c>
      <c r="CJ77" s="106">
        <v>2</v>
      </c>
      <c r="CK77" s="106">
        <v>556.79999999999995</v>
      </c>
      <c r="CL77" s="106">
        <v>3</v>
      </c>
      <c r="CM77" s="106">
        <v>835.19999999999993</v>
      </c>
      <c r="CN77" s="106">
        <v>5</v>
      </c>
      <c r="CO77" s="106">
        <v>1392</v>
      </c>
      <c r="CP77" s="106">
        <v>4</v>
      </c>
      <c r="CQ77" s="106">
        <v>1113.5999999999999</v>
      </c>
      <c r="CR77" s="106">
        <v>4</v>
      </c>
      <c r="CS77" s="106">
        <v>1113.5999999999999</v>
      </c>
      <c r="CT77" s="106">
        <v>4</v>
      </c>
      <c r="CU77" s="106">
        <v>1113.5999999999999</v>
      </c>
    </row>
    <row r="78" spans="2:99" x14ac:dyDescent="0.2">
      <c r="C78" s="105" t="s">
        <v>244</v>
      </c>
      <c r="D78" s="106">
        <v>26</v>
      </c>
      <c r="E78" s="106">
        <v>14352</v>
      </c>
      <c r="F78" s="106">
        <v>31</v>
      </c>
      <c r="G78" s="106">
        <v>17112</v>
      </c>
      <c r="H78" s="106">
        <v>17</v>
      </c>
      <c r="I78" s="106">
        <v>9384</v>
      </c>
      <c r="J78" s="106">
        <v>16</v>
      </c>
      <c r="K78" s="106">
        <v>8832</v>
      </c>
      <c r="L78" s="106">
        <v>21</v>
      </c>
      <c r="M78" s="106">
        <v>11592</v>
      </c>
      <c r="N78" s="106">
        <v>27</v>
      </c>
      <c r="O78" s="106">
        <v>14904</v>
      </c>
      <c r="P78" s="106">
        <v>19</v>
      </c>
      <c r="Q78" s="106">
        <v>10488</v>
      </c>
      <c r="R78" s="106">
        <v>25</v>
      </c>
      <c r="S78" s="106">
        <v>13800</v>
      </c>
      <c r="T78" s="106">
        <v>19</v>
      </c>
      <c r="U78" s="106">
        <v>10488</v>
      </c>
      <c r="V78" s="106">
        <v>15</v>
      </c>
      <c r="W78" s="106">
        <v>8280</v>
      </c>
      <c r="X78" s="106">
        <v>10</v>
      </c>
      <c r="Y78" s="106">
        <v>5520</v>
      </c>
      <c r="Z78" s="106">
        <v>13</v>
      </c>
      <c r="AA78" s="106">
        <v>7176</v>
      </c>
      <c r="AB78" s="106">
        <v>11</v>
      </c>
      <c r="AC78" s="106">
        <v>6072</v>
      </c>
      <c r="AD78" s="106">
        <v>11</v>
      </c>
      <c r="AE78" s="106">
        <v>6072</v>
      </c>
      <c r="AF78" s="106">
        <v>12</v>
      </c>
      <c r="AG78" s="106">
        <v>6624</v>
      </c>
      <c r="AH78" s="106">
        <v>14</v>
      </c>
      <c r="AI78" s="106">
        <v>7728</v>
      </c>
      <c r="AJ78" s="106">
        <v>23</v>
      </c>
      <c r="AK78" s="106">
        <v>12696</v>
      </c>
      <c r="AL78" s="106">
        <v>17</v>
      </c>
      <c r="AM78" s="106">
        <v>9384</v>
      </c>
      <c r="AN78" s="106">
        <v>28</v>
      </c>
      <c r="AO78" s="106">
        <v>15456</v>
      </c>
      <c r="AP78" s="106">
        <v>17</v>
      </c>
      <c r="AQ78" s="106">
        <v>9384</v>
      </c>
      <c r="AR78" s="106">
        <v>37</v>
      </c>
      <c r="AS78" s="106">
        <v>20424</v>
      </c>
      <c r="AT78" s="106">
        <v>33</v>
      </c>
      <c r="AU78" s="106">
        <v>18216</v>
      </c>
      <c r="AV78" s="106">
        <v>37</v>
      </c>
      <c r="AW78" s="106">
        <v>20424</v>
      </c>
      <c r="AX78" s="106">
        <v>21</v>
      </c>
      <c r="AY78" s="106">
        <v>11592</v>
      </c>
      <c r="AZ78" s="106">
        <v>4</v>
      </c>
      <c r="BA78" s="106">
        <v>2208</v>
      </c>
      <c r="BB78" s="106">
        <v>2</v>
      </c>
      <c r="BC78" s="106">
        <v>1104</v>
      </c>
      <c r="BD78" s="106">
        <v>2</v>
      </c>
      <c r="BE78" s="106">
        <v>1104</v>
      </c>
      <c r="BF78" s="106">
        <v>4</v>
      </c>
      <c r="BG78" s="106">
        <v>2208</v>
      </c>
      <c r="BH78" s="106">
        <v>2</v>
      </c>
      <c r="BI78" s="106">
        <v>1104</v>
      </c>
      <c r="BJ78" s="106">
        <v>2</v>
      </c>
      <c r="BK78" s="106">
        <v>1104</v>
      </c>
      <c r="BL78" s="106">
        <v>3</v>
      </c>
      <c r="BM78" s="106">
        <v>1656</v>
      </c>
      <c r="BN78" s="106">
        <v>2</v>
      </c>
      <c r="BO78" s="106">
        <v>1104</v>
      </c>
      <c r="BP78" s="106">
        <v>4</v>
      </c>
      <c r="BQ78" s="106">
        <v>2208</v>
      </c>
      <c r="BR78" s="106">
        <v>3</v>
      </c>
      <c r="BS78" s="106">
        <v>1656</v>
      </c>
      <c r="BT78" s="106">
        <v>4</v>
      </c>
      <c r="BU78" s="106">
        <v>2208</v>
      </c>
      <c r="BV78" s="106">
        <v>4</v>
      </c>
      <c r="BW78" s="106">
        <v>2208</v>
      </c>
      <c r="BX78" s="106">
        <v>24</v>
      </c>
      <c r="BY78" s="106">
        <v>13248</v>
      </c>
      <c r="BZ78" s="106">
        <v>19</v>
      </c>
      <c r="CA78" s="106">
        <v>10488</v>
      </c>
      <c r="CB78" s="106">
        <v>22</v>
      </c>
      <c r="CC78" s="106">
        <v>12144</v>
      </c>
      <c r="CD78" s="106">
        <v>21</v>
      </c>
      <c r="CE78" s="106">
        <v>11592</v>
      </c>
      <c r="CF78" s="106">
        <v>3</v>
      </c>
      <c r="CG78" s="106">
        <v>1656</v>
      </c>
      <c r="CH78" s="106">
        <v>3</v>
      </c>
      <c r="CI78" s="106">
        <v>1656</v>
      </c>
      <c r="CJ78" s="106">
        <v>2</v>
      </c>
      <c r="CK78" s="106">
        <v>1104</v>
      </c>
      <c r="CL78" s="106">
        <v>3</v>
      </c>
      <c r="CM78" s="106">
        <v>1656</v>
      </c>
      <c r="CN78" s="106">
        <v>5</v>
      </c>
      <c r="CO78" s="106">
        <v>2760</v>
      </c>
      <c r="CP78" s="106">
        <v>4</v>
      </c>
      <c r="CQ78" s="106">
        <v>2208</v>
      </c>
      <c r="CR78" s="106">
        <v>3</v>
      </c>
      <c r="CS78" s="106">
        <v>1656</v>
      </c>
      <c r="CT78" s="106">
        <v>4</v>
      </c>
      <c r="CU78" s="106">
        <v>2208</v>
      </c>
    </row>
    <row r="79" spans="2:99" x14ac:dyDescent="0.2">
      <c r="C79" s="105" t="s">
        <v>245</v>
      </c>
      <c r="D79" s="106">
        <v>28</v>
      </c>
      <c r="E79" s="106">
        <v>21201.599999999999</v>
      </c>
      <c r="F79" s="106">
        <v>29</v>
      </c>
      <c r="G79" s="106">
        <v>21958.799999999999</v>
      </c>
      <c r="H79" s="106">
        <v>19</v>
      </c>
      <c r="I79" s="106">
        <v>14386.8</v>
      </c>
      <c r="J79" s="106">
        <v>17</v>
      </c>
      <c r="K79" s="106">
        <v>12872.4</v>
      </c>
      <c r="L79" s="106">
        <v>19</v>
      </c>
      <c r="M79" s="106">
        <v>14386.8</v>
      </c>
      <c r="N79" s="106">
        <v>26</v>
      </c>
      <c r="O79" s="106">
        <v>19687.199999999997</v>
      </c>
      <c r="P79" s="106">
        <v>18</v>
      </c>
      <c r="Q79" s="106">
        <v>13629.599999999999</v>
      </c>
      <c r="R79" s="106">
        <v>24</v>
      </c>
      <c r="S79" s="106">
        <v>18172.8</v>
      </c>
      <c r="T79" s="106">
        <v>16</v>
      </c>
      <c r="U79" s="106">
        <v>12115.199999999999</v>
      </c>
      <c r="V79" s="106">
        <v>15</v>
      </c>
      <c r="W79" s="106">
        <v>11357.999999999998</v>
      </c>
      <c r="X79" s="106">
        <v>9</v>
      </c>
      <c r="Y79" s="106">
        <v>6814.7999999999993</v>
      </c>
      <c r="Z79" s="106">
        <v>15</v>
      </c>
      <c r="AA79" s="106">
        <v>11357.999999999998</v>
      </c>
      <c r="AB79" s="106">
        <v>11</v>
      </c>
      <c r="AC79" s="106">
        <v>8329.1999999999989</v>
      </c>
      <c r="AD79" s="106">
        <v>10</v>
      </c>
      <c r="AE79" s="106">
        <v>7571.9999999999991</v>
      </c>
      <c r="AF79" s="106">
        <v>12</v>
      </c>
      <c r="AG79" s="106">
        <v>9086.4</v>
      </c>
      <c r="AH79" s="106">
        <v>13</v>
      </c>
      <c r="AI79" s="106">
        <v>9843.5999999999985</v>
      </c>
      <c r="AJ79" s="106">
        <v>20</v>
      </c>
      <c r="AK79" s="106">
        <v>15143.999999999998</v>
      </c>
      <c r="AL79" s="106">
        <v>17</v>
      </c>
      <c r="AM79" s="106">
        <v>12872.4</v>
      </c>
      <c r="AN79" s="106">
        <v>27</v>
      </c>
      <c r="AO79" s="106">
        <v>20444.399999999998</v>
      </c>
      <c r="AP79" s="106">
        <v>17</v>
      </c>
      <c r="AQ79" s="106">
        <v>12872.4</v>
      </c>
      <c r="AR79" s="106">
        <v>40</v>
      </c>
      <c r="AS79" s="106">
        <v>30287.999999999996</v>
      </c>
      <c r="AT79" s="106">
        <v>28</v>
      </c>
      <c r="AU79" s="106">
        <v>21201.599999999999</v>
      </c>
      <c r="AV79" s="106">
        <v>38</v>
      </c>
      <c r="AW79" s="106">
        <v>28773.599999999999</v>
      </c>
      <c r="AX79" s="106">
        <v>19</v>
      </c>
      <c r="AY79" s="106">
        <v>14386.8</v>
      </c>
      <c r="AZ79" s="106">
        <v>3</v>
      </c>
      <c r="BA79" s="106">
        <v>2271.6</v>
      </c>
      <c r="BB79" s="106">
        <v>2</v>
      </c>
      <c r="BC79" s="106">
        <v>1514.3999999999999</v>
      </c>
      <c r="BD79" s="106">
        <v>2</v>
      </c>
      <c r="BE79" s="106">
        <v>1514.3999999999999</v>
      </c>
      <c r="BF79" s="106">
        <v>4</v>
      </c>
      <c r="BG79" s="106">
        <v>3028.7999999999997</v>
      </c>
      <c r="BH79" s="106">
        <v>3</v>
      </c>
      <c r="BI79" s="106">
        <v>2271.6</v>
      </c>
      <c r="BJ79" s="106">
        <v>3</v>
      </c>
      <c r="BK79" s="106">
        <v>2271.6</v>
      </c>
      <c r="BL79" s="106">
        <v>3</v>
      </c>
      <c r="BM79" s="106">
        <v>2271.6</v>
      </c>
      <c r="BN79" s="106">
        <v>2</v>
      </c>
      <c r="BO79" s="106">
        <v>1514.3999999999999</v>
      </c>
      <c r="BP79" s="106">
        <v>4</v>
      </c>
      <c r="BQ79" s="106">
        <v>3028.7999999999997</v>
      </c>
      <c r="BR79" s="106">
        <v>3</v>
      </c>
      <c r="BS79" s="106">
        <v>2271.6</v>
      </c>
      <c r="BT79" s="106">
        <v>3</v>
      </c>
      <c r="BU79" s="106">
        <v>2271.6</v>
      </c>
      <c r="BV79" s="106">
        <v>5</v>
      </c>
      <c r="BW79" s="106">
        <v>3785.9999999999995</v>
      </c>
      <c r="BX79" s="106">
        <v>23</v>
      </c>
      <c r="BY79" s="106">
        <v>17415.599999999999</v>
      </c>
      <c r="BZ79" s="106">
        <v>17</v>
      </c>
      <c r="CA79" s="106">
        <v>12872.4</v>
      </c>
      <c r="CB79" s="106">
        <v>21</v>
      </c>
      <c r="CC79" s="106">
        <v>15901.199999999999</v>
      </c>
      <c r="CD79" s="106">
        <v>19</v>
      </c>
      <c r="CE79" s="106">
        <v>14386.8</v>
      </c>
      <c r="CF79" s="106">
        <v>3</v>
      </c>
      <c r="CG79" s="106">
        <v>2271.6</v>
      </c>
      <c r="CH79" s="106">
        <v>3</v>
      </c>
      <c r="CI79" s="106">
        <v>2271.6</v>
      </c>
      <c r="CJ79" s="106">
        <v>2</v>
      </c>
      <c r="CK79" s="106">
        <v>1514.3999999999999</v>
      </c>
      <c r="CL79" s="106">
        <v>3</v>
      </c>
      <c r="CM79" s="106">
        <v>2271.6</v>
      </c>
      <c r="CN79" s="106">
        <v>5</v>
      </c>
      <c r="CO79" s="106">
        <v>3785.9999999999995</v>
      </c>
      <c r="CP79" s="106">
        <v>5</v>
      </c>
      <c r="CQ79" s="106">
        <v>3785.9999999999995</v>
      </c>
      <c r="CR79" s="106">
        <v>4</v>
      </c>
      <c r="CS79" s="106">
        <v>3028.7999999999997</v>
      </c>
      <c r="CT79" s="106">
        <v>4</v>
      </c>
      <c r="CU79" s="106">
        <v>3028.7999999999997</v>
      </c>
    </row>
    <row r="80" spans="2:99" x14ac:dyDescent="0.2">
      <c r="C80" s="105" t="s">
        <v>246</v>
      </c>
      <c r="D80" s="106">
        <v>25</v>
      </c>
      <c r="E80" s="106">
        <v>20130</v>
      </c>
      <c r="F80" s="106">
        <v>30</v>
      </c>
      <c r="G80" s="106">
        <v>24155.999999999996</v>
      </c>
      <c r="H80" s="106">
        <v>20</v>
      </c>
      <c r="I80" s="106">
        <v>16103.999999999998</v>
      </c>
      <c r="J80" s="106">
        <v>15</v>
      </c>
      <c r="K80" s="106">
        <v>12077.999999999998</v>
      </c>
      <c r="L80" s="106">
        <v>19</v>
      </c>
      <c r="M80" s="106">
        <v>15298.8</v>
      </c>
      <c r="N80" s="106">
        <v>29</v>
      </c>
      <c r="O80" s="106">
        <v>23350.799999999999</v>
      </c>
      <c r="P80" s="106">
        <v>17</v>
      </c>
      <c r="Q80" s="106">
        <v>13688.4</v>
      </c>
      <c r="R80" s="106">
        <v>25</v>
      </c>
      <c r="S80" s="106">
        <v>20130</v>
      </c>
      <c r="T80" s="106">
        <v>18</v>
      </c>
      <c r="U80" s="106">
        <v>14493.599999999999</v>
      </c>
      <c r="V80" s="106">
        <v>14</v>
      </c>
      <c r="W80" s="106">
        <v>11272.8</v>
      </c>
      <c r="X80" s="106">
        <v>9</v>
      </c>
      <c r="Y80" s="106">
        <v>7246.7999999999993</v>
      </c>
      <c r="Z80" s="106">
        <v>13</v>
      </c>
      <c r="AA80" s="106">
        <v>10467.599999999999</v>
      </c>
      <c r="AB80" s="106">
        <v>10</v>
      </c>
      <c r="AC80" s="106">
        <v>8051.9999999999991</v>
      </c>
      <c r="AD80" s="106">
        <v>11</v>
      </c>
      <c r="AE80" s="106">
        <v>8857.1999999999989</v>
      </c>
      <c r="AF80" s="106">
        <v>11</v>
      </c>
      <c r="AG80" s="106">
        <v>8857.1999999999989</v>
      </c>
      <c r="AH80" s="106">
        <v>13</v>
      </c>
      <c r="AI80" s="106">
        <v>10467.599999999999</v>
      </c>
      <c r="AJ80" s="106">
        <v>22</v>
      </c>
      <c r="AK80" s="106">
        <v>17714.399999999998</v>
      </c>
      <c r="AL80" s="106">
        <v>17</v>
      </c>
      <c r="AM80" s="106">
        <v>13688.4</v>
      </c>
      <c r="AN80" s="106">
        <v>24</v>
      </c>
      <c r="AO80" s="106">
        <v>19324.8</v>
      </c>
      <c r="AP80" s="106">
        <v>15</v>
      </c>
      <c r="AQ80" s="106">
        <v>12077.999999999998</v>
      </c>
      <c r="AR80" s="106">
        <v>39</v>
      </c>
      <c r="AS80" s="106">
        <v>31402.799999999996</v>
      </c>
      <c r="AT80" s="106">
        <v>32</v>
      </c>
      <c r="AU80" s="106">
        <v>25766.399999999998</v>
      </c>
      <c r="AV80" s="106">
        <v>33</v>
      </c>
      <c r="AW80" s="106">
        <v>26571.599999999999</v>
      </c>
      <c r="AX80" s="106">
        <v>22</v>
      </c>
      <c r="AY80" s="106">
        <v>17714.399999999998</v>
      </c>
      <c r="AZ80" s="106">
        <v>3</v>
      </c>
      <c r="BA80" s="106">
        <v>2415.6</v>
      </c>
      <c r="BB80" s="106">
        <v>2</v>
      </c>
      <c r="BC80" s="106">
        <v>1610.3999999999999</v>
      </c>
      <c r="BD80" s="106">
        <v>2</v>
      </c>
      <c r="BE80" s="106">
        <v>1610.3999999999999</v>
      </c>
      <c r="BF80" s="106">
        <v>4</v>
      </c>
      <c r="BG80" s="106">
        <v>3220.7999999999997</v>
      </c>
      <c r="BH80" s="106">
        <v>2</v>
      </c>
      <c r="BI80" s="106">
        <v>1610.3999999999999</v>
      </c>
      <c r="BJ80" s="106">
        <v>3</v>
      </c>
      <c r="BK80" s="106">
        <v>2415.6</v>
      </c>
      <c r="BL80" s="106">
        <v>3</v>
      </c>
      <c r="BM80" s="106">
        <v>2415.6</v>
      </c>
      <c r="BN80" s="106">
        <v>2</v>
      </c>
      <c r="BO80" s="106">
        <v>1610.3999999999999</v>
      </c>
      <c r="BP80" s="106">
        <v>4</v>
      </c>
      <c r="BQ80" s="106">
        <v>3220.7999999999997</v>
      </c>
      <c r="BR80" s="106">
        <v>3</v>
      </c>
      <c r="BS80" s="106">
        <v>2415.6</v>
      </c>
      <c r="BT80" s="106">
        <v>4</v>
      </c>
      <c r="BU80" s="106">
        <v>3220.7999999999997</v>
      </c>
      <c r="BV80" s="106">
        <v>5</v>
      </c>
      <c r="BW80" s="106">
        <v>4025.9999999999995</v>
      </c>
      <c r="BX80" s="106">
        <v>23</v>
      </c>
      <c r="BY80" s="106">
        <v>18519.599999999999</v>
      </c>
      <c r="BZ80" s="106">
        <v>19</v>
      </c>
      <c r="CA80" s="106">
        <v>15298.8</v>
      </c>
      <c r="CB80" s="106">
        <v>19</v>
      </c>
      <c r="CC80" s="106">
        <v>15298.8</v>
      </c>
      <c r="CD80" s="106">
        <v>21</v>
      </c>
      <c r="CE80" s="106">
        <v>16909.199999999997</v>
      </c>
      <c r="CF80" s="106">
        <v>3</v>
      </c>
      <c r="CG80" s="106">
        <v>2415.6</v>
      </c>
      <c r="CH80" s="106">
        <v>3</v>
      </c>
      <c r="CI80" s="106">
        <v>2415.6</v>
      </c>
      <c r="CJ80" s="106">
        <v>2</v>
      </c>
      <c r="CK80" s="106">
        <v>1610.3999999999999</v>
      </c>
      <c r="CL80" s="106">
        <v>3</v>
      </c>
      <c r="CM80" s="106">
        <v>2415.6</v>
      </c>
      <c r="CN80" s="106">
        <v>4</v>
      </c>
      <c r="CO80" s="106">
        <v>3220.7999999999997</v>
      </c>
      <c r="CP80" s="106">
        <v>4</v>
      </c>
      <c r="CQ80" s="106">
        <v>3220.7999999999997</v>
      </c>
      <c r="CR80" s="106">
        <v>4</v>
      </c>
      <c r="CS80" s="106">
        <v>3220.7999999999997</v>
      </c>
      <c r="CT80" s="106">
        <v>4</v>
      </c>
      <c r="CU80" s="106">
        <v>3220.7999999999997</v>
      </c>
    </row>
    <row r="81" spans="2:99" x14ac:dyDescent="0.2">
      <c r="C81" s="105" t="s">
        <v>247</v>
      </c>
      <c r="D81" s="106">
        <v>25</v>
      </c>
      <c r="E81" s="106">
        <v>18840</v>
      </c>
      <c r="F81" s="106">
        <v>27</v>
      </c>
      <c r="G81" s="106">
        <v>20347.2</v>
      </c>
      <c r="H81" s="106">
        <v>20</v>
      </c>
      <c r="I81" s="106">
        <v>15072</v>
      </c>
      <c r="J81" s="106">
        <v>15</v>
      </c>
      <c r="K81" s="106">
        <v>11304</v>
      </c>
      <c r="L81" s="106">
        <v>20</v>
      </c>
      <c r="M81" s="106">
        <v>15072</v>
      </c>
      <c r="N81" s="106">
        <v>29</v>
      </c>
      <c r="O81" s="106">
        <v>21854.400000000001</v>
      </c>
      <c r="P81" s="106">
        <v>16</v>
      </c>
      <c r="Q81" s="106">
        <v>12057.6</v>
      </c>
      <c r="R81" s="106">
        <v>25</v>
      </c>
      <c r="S81" s="106">
        <v>18840</v>
      </c>
      <c r="T81" s="106">
        <v>16</v>
      </c>
      <c r="U81" s="106">
        <v>12057.6</v>
      </c>
      <c r="V81" s="106">
        <v>15</v>
      </c>
      <c r="W81" s="106">
        <v>11304</v>
      </c>
      <c r="X81" s="106">
        <v>9</v>
      </c>
      <c r="Y81" s="106">
        <v>6782.4000000000005</v>
      </c>
      <c r="Z81" s="106">
        <v>14</v>
      </c>
      <c r="AA81" s="106">
        <v>10550.4</v>
      </c>
      <c r="AB81" s="106">
        <v>11</v>
      </c>
      <c r="AC81" s="106">
        <v>8289.6</v>
      </c>
      <c r="AD81" s="106">
        <v>9</v>
      </c>
      <c r="AE81" s="106">
        <v>6782.4000000000005</v>
      </c>
      <c r="AF81" s="106">
        <v>11</v>
      </c>
      <c r="AG81" s="106">
        <v>8289.6</v>
      </c>
      <c r="AH81" s="106">
        <v>14</v>
      </c>
      <c r="AI81" s="106">
        <v>10550.4</v>
      </c>
      <c r="AJ81" s="106">
        <v>21</v>
      </c>
      <c r="AK81" s="106">
        <v>15825.6</v>
      </c>
      <c r="AL81" s="106">
        <v>17</v>
      </c>
      <c r="AM81" s="106">
        <v>12811.2</v>
      </c>
      <c r="AN81" s="106">
        <v>28</v>
      </c>
      <c r="AO81" s="106">
        <v>21100.799999999999</v>
      </c>
      <c r="AP81" s="106">
        <v>16</v>
      </c>
      <c r="AQ81" s="106">
        <v>12057.6</v>
      </c>
      <c r="AR81" s="106">
        <v>37</v>
      </c>
      <c r="AS81" s="106">
        <v>27883.200000000001</v>
      </c>
      <c r="AT81" s="106">
        <v>32</v>
      </c>
      <c r="AU81" s="106">
        <v>24115.200000000001</v>
      </c>
      <c r="AV81" s="106">
        <v>36</v>
      </c>
      <c r="AW81" s="106">
        <v>27129.600000000002</v>
      </c>
      <c r="AX81" s="106">
        <v>23</v>
      </c>
      <c r="AY81" s="106">
        <v>17332.8</v>
      </c>
      <c r="AZ81" s="106">
        <v>3</v>
      </c>
      <c r="BA81" s="106">
        <v>2260.8000000000002</v>
      </c>
      <c r="BB81" s="106">
        <v>2</v>
      </c>
      <c r="BC81" s="106">
        <v>1507.2</v>
      </c>
      <c r="BD81" s="106">
        <v>2</v>
      </c>
      <c r="BE81" s="106">
        <v>1507.2</v>
      </c>
      <c r="BF81" s="106">
        <v>4</v>
      </c>
      <c r="BG81" s="106">
        <v>3014.4</v>
      </c>
      <c r="BH81" s="106">
        <v>2</v>
      </c>
      <c r="BI81" s="106">
        <v>1507.2</v>
      </c>
      <c r="BJ81" s="106">
        <v>2</v>
      </c>
      <c r="BK81" s="106">
        <v>1507.2</v>
      </c>
      <c r="BL81" s="106">
        <v>3</v>
      </c>
      <c r="BM81" s="106">
        <v>2260.8000000000002</v>
      </c>
      <c r="BN81" s="106">
        <v>2</v>
      </c>
      <c r="BO81" s="106">
        <v>1507.2</v>
      </c>
      <c r="BP81" s="106">
        <v>4</v>
      </c>
      <c r="BQ81" s="106">
        <v>3014.4</v>
      </c>
      <c r="BR81" s="106">
        <v>3</v>
      </c>
      <c r="BS81" s="106">
        <v>2260.8000000000002</v>
      </c>
      <c r="BT81" s="106">
        <v>4</v>
      </c>
      <c r="BU81" s="106">
        <v>3014.4</v>
      </c>
      <c r="BV81" s="106">
        <v>4</v>
      </c>
      <c r="BW81" s="106">
        <v>3014.4</v>
      </c>
      <c r="BX81" s="106">
        <v>23</v>
      </c>
      <c r="BY81" s="106">
        <v>17332.8</v>
      </c>
      <c r="BZ81" s="106">
        <v>17</v>
      </c>
      <c r="CA81" s="106">
        <v>12811.2</v>
      </c>
      <c r="CB81" s="106">
        <v>20</v>
      </c>
      <c r="CC81" s="106">
        <v>15072</v>
      </c>
      <c r="CD81" s="106">
        <v>19</v>
      </c>
      <c r="CE81" s="106">
        <v>14318.4</v>
      </c>
      <c r="CF81" s="106">
        <v>3</v>
      </c>
      <c r="CG81" s="106">
        <v>2260.8000000000002</v>
      </c>
      <c r="CH81" s="106">
        <v>3</v>
      </c>
      <c r="CI81" s="106">
        <v>2260.8000000000002</v>
      </c>
      <c r="CJ81" s="106">
        <v>2</v>
      </c>
      <c r="CK81" s="106">
        <v>1507.2</v>
      </c>
      <c r="CL81" s="106">
        <v>3</v>
      </c>
      <c r="CM81" s="106">
        <v>2260.8000000000002</v>
      </c>
      <c r="CN81" s="106">
        <v>4</v>
      </c>
      <c r="CO81" s="106">
        <v>3014.4</v>
      </c>
      <c r="CP81" s="106">
        <v>4</v>
      </c>
      <c r="CQ81" s="106">
        <v>3014.4</v>
      </c>
      <c r="CR81" s="106">
        <v>3</v>
      </c>
      <c r="CS81" s="106">
        <v>2260.8000000000002</v>
      </c>
      <c r="CT81" s="106">
        <v>4</v>
      </c>
      <c r="CU81" s="106">
        <v>3014.4</v>
      </c>
    </row>
    <row r="82" spans="2:99" x14ac:dyDescent="0.2">
      <c r="C82" s="105" t="s">
        <v>248</v>
      </c>
      <c r="D82" s="106">
        <v>29</v>
      </c>
      <c r="E82" s="106">
        <v>14755.199999999997</v>
      </c>
      <c r="F82" s="106">
        <v>29</v>
      </c>
      <c r="G82" s="106">
        <v>14755.199999999997</v>
      </c>
      <c r="H82" s="106">
        <v>20</v>
      </c>
      <c r="I82" s="106">
        <v>10175.999999999998</v>
      </c>
      <c r="J82" s="106">
        <v>17</v>
      </c>
      <c r="K82" s="106">
        <v>8649.5999999999985</v>
      </c>
      <c r="L82" s="106">
        <v>21</v>
      </c>
      <c r="M82" s="106">
        <v>10684.799999999997</v>
      </c>
      <c r="N82" s="106">
        <v>28</v>
      </c>
      <c r="O82" s="106">
        <v>14246.399999999998</v>
      </c>
      <c r="P82" s="106">
        <v>18</v>
      </c>
      <c r="Q82" s="106">
        <v>9158.3999999999978</v>
      </c>
      <c r="R82" s="106">
        <v>23</v>
      </c>
      <c r="S82" s="106">
        <v>11702.399999999998</v>
      </c>
      <c r="T82" s="106">
        <v>17</v>
      </c>
      <c r="U82" s="106">
        <v>8649.5999999999985</v>
      </c>
      <c r="V82" s="106">
        <v>15</v>
      </c>
      <c r="W82" s="106">
        <v>7631.9999999999982</v>
      </c>
      <c r="X82" s="106">
        <v>11</v>
      </c>
      <c r="Y82" s="106">
        <v>5596.7999999999993</v>
      </c>
      <c r="Z82" s="106">
        <v>13</v>
      </c>
      <c r="AA82" s="106">
        <v>6614.3999999999987</v>
      </c>
      <c r="AB82" s="106">
        <v>10</v>
      </c>
      <c r="AC82" s="106">
        <v>5087.9999999999991</v>
      </c>
      <c r="AD82" s="106">
        <v>10</v>
      </c>
      <c r="AE82" s="106">
        <v>5087.9999999999991</v>
      </c>
      <c r="AF82" s="106">
        <v>11</v>
      </c>
      <c r="AG82" s="106">
        <v>5596.7999999999993</v>
      </c>
      <c r="AH82" s="106">
        <v>12</v>
      </c>
      <c r="AI82" s="106">
        <v>6105.5999999999985</v>
      </c>
      <c r="AJ82" s="106">
        <v>23</v>
      </c>
      <c r="AK82" s="106">
        <v>11702.399999999998</v>
      </c>
      <c r="AL82" s="106">
        <v>19</v>
      </c>
      <c r="AM82" s="106">
        <v>9667.1999999999989</v>
      </c>
      <c r="AN82" s="106">
        <v>28</v>
      </c>
      <c r="AO82" s="106">
        <v>14246.399999999998</v>
      </c>
      <c r="AP82" s="106">
        <v>15</v>
      </c>
      <c r="AQ82" s="106">
        <v>7631.9999999999982</v>
      </c>
      <c r="AR82" s="106">
        <v>43</v>
      </c>
      <c r="AS82" s="106">
        <v>21878.399999999994</v>
      </c>
      <c r="AT82" s="106">
        <v>33</v>
      </c>
      <c r="AU82" s="106">
        <v>16790.399999999998</v>
      </c>
      <c r="AV82" s="106">
        <v>35</v>
      </c>
      <c r="AW82" s="106">
        <v>17807.999999999996</v>
      </c>
      <c r="AX82" s="106">
        <v>23</v>
      </c>
      <c r="AY82" s="106">
        <v>11702.399999999998</v>
      </c>
      <c r="AZ82" s="106">
        <v>3</v>
      </c>
      <c r="BA82" s="106">
        <v>1526.3999999999996</v>
      </c>
      <c r="BB82" s="106">
        <v>2</v>
      </c>
      <c r="BC82" s="106">
        <v>1017.5999999999998</v>
      </c>
      <c r="BD82" s="106">
        <v>2</v>
      </c>
      <c r="BE82" s="106">
        <v>1017.5999999999998</v>
      </c>
      <c r="BF82" s="106">
        <v>4</v>
      </c>
      <c r="BG82" s="106">
        <v>2035.1999999999996</v>
      </c>
      <c r="BH82" s="106">
        <v>2</v>
      </c>
      <c r="BI82" s="106">
        <v>1017.5999999999998</v>
      </c>
      <c r="BJ82" s="106">
        <v>3</v>
      </c>
      <c r="BK82" s="106">
        <v>1526.3999999999996</v>
      </c>
      <c r="BL82" s="106">
        <v>3</v>
      </c>
      <c r="BM82" s="106">
        <v>1526.3999999999996</v>
      </c>
      <c r="BN82" s="106">
        <v>2</v>
      </c>
      <c r="BO82" s="106">
        <v>1017.5999999999998</v>
      </c>
      <c r="BP82" s="106">
        <v>4</v>
      </c>
      <c r="BQ82" s="106">
        <v>2035.1999999999996</v>
      </c>
      <c r="BR82" s="106">
        <v>3</v>
      </c>
      <c r="BS82" s="106">
        <v>1526.3999999999996</v>
      </c>
      <c r="BT82" s="106">
        <v>4</v>
      </c>
      <c r="BU82" s="106">
        <v>2035.1999999999996</v>
      </c>
      <c r="BV82" s="106">
        <v>4</v>
      </c>
      <c r="BW82" s="106">
        <v>2035.1999999999996</v>
      </c>
      <c r="BX82" s="106">
        <v>21</v>
      </c>
      <c r="BY82" s="106">
        <v>10684.799999999997</v>
      </c>
      <c r="BZ82" s="106">
        <v>17</v>
      </c>
      <c r="CA82" s="106">
        <v>8649.5999999999985</v>
      </c>
      <c r="CB82" s="106">
        <v>23</v>
      </c>
      <c r="CC82" s="106">
        <v>11702.399999999998</v>
      </c>
      <c r="CD82" s="106">
        <v>21</v>
      </c>
      <c r="CE82" s="106">
        <v>10684.799999999997</v>
      </c>
      <c r="CF82" s="106">
        <v>3</v>
      </c>
      <c r="CG82" s="106">
        <v>1526.3999999999996</v>
      </c>
      <c r="CH82" s="106">
        <v>3</v>
      </c>
      <c r="CI82" s="106">
        <v>1526.3999999999996</v>
      </c>
      <c r="CJ82" s="106">
        <v>2</v>
      </c>
      <c r="CK82" s="106">
        <v>1017.5999999999998</v>
      </c>
      <c r="CL82" s="106">
        <v>3</v>
      </c>
      <c r="CM82" s="106">
        <v>1526.3999999999996</v>
      </c>
      <c r="CN82" s="106">
        <v>5</v>
      </c>
      <c r="CO82" s="106">
        <v>2543.9999999999995</v>
      </c>
      <c r="CP82" s="106">
        <v>5</v>
      </c>
      <c r="CQ82" s="106">
        <v>2543.9999999999995</v>
      </c>
      <c r="CR82" s="106">
        <v>4</v>
      </c>
      <c r="CS82" s="106">
        <v>2035.1999999999996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28</v>
      </c>
      <c r="E83" s="106">
        <v>24091.200000000001</v>
      </c>
      <c r="F83" s="106">
        <v>26</v>
      </c>
      <c r="G83" s="106">
        <v>22370.399999999998</v>
      </c>
      <c r="H83" s="106">
        <v>17</v>
      </c>
      <c r="I83" s="106">
        <v>14626.8</v>
      </c>
      <c r="J83" s="106">
        <v>18</v>
      </c>
      <c r="K83" s="106">
        <v>15487.199999999999</v>
      </c>
      <c r="L83" s="106">
        <v>19</v>
      </c>
      <c r="M83" s="106">
        <v>16347.6</v>
      </c>
      <c r="N83" s="106">
        <v>26</v>
      </c>
      <c r="O83" s="106">
        <v>22370.399999999998</v>
      </c>
      <c r="P83" s="106">
        <v>16</v>
      </c>
      <c r="Q83" s="106">
        <v>13766.4</v>
      </c>
      <c r="R83" s="106">
        <v>22</v>
      </c>
      <c r="S83" s="106">
        <v>18928.8</v>
      </c>
      <c r="T83" s="106">
        <v>15</v>
      </c>
      <c r="U83" s="106">
        <v>12906</v>
      </c>
      <c r="V83" s="106">
        <v>15</v>
      </c>
      <c r="W83" s="106">
        <v>12906</v>
      </c>
      <c r="X83" s="106">
        <v>10</v>
      </c>
      <c r="Y83" s="106">
        <v>8604</v>
      </c>
      <c r="Z83" s="106">
        <v>14</v>
      </c>
      <c r="AA83" s="106">
        <v>12045.6</v>
      </c>
      <c r="AB83" s="106">
        <v>11</v>
      </c>
      <c r="AC83" s="106">
        <v>9464.4</v>
      </c>
      <c r="AD83" s="106">
        <v>10</v>
      </c>
      <c r="AE83" s="106">
        <v>8604</v>
      </c>
      <c r="AF83" s="106">
        <v>12</v>
      </c>
      <c r="AG83" s="106">
        <v>10324.799999999999</v>
      </c>
      <c r="AH83" s="106">
        <v>12</v>
      </c>
      <c r="AI83" s="106">
        <v>10324.799999999999</v>
      </c>
      <c r="AJ83" s="106">
        <v>21</v>
      </c>
      <c r="AK83" s="106">
        <v>18068.399999999998</v>
      </c>
      <c r="AL83" s="106">
        <v>19</v>
      </c>
      <c r="AM83" s="106">
        <v>16347.6</v>
      </c>
      <c r="AN83" s="106">
        <v>25</v>
      </c>
      <c r="AO83" s="106">
        <v>21510</v>
      </c>
      <c r="AP83" s="106">
        <v>16</v>
      </c>
      <c r="AQ83" s="106">
        <v>13766.4</v>
      </c>
      <c r="AR83" s="106">
        <v>38</v>
      </c>
      <c r="AS83" s="106">
        <v>32695.200000000001</v>
      </c>
      <c r="AT83" s="106">
        <v>29</v>
      </c>
      <c r="AU83" s="106">
        <v>24951.599999999999</v>
      </c>
      <c r="AV83" s="106">
        <v>38</v>
      </c>
      <c r="AW83" s="106">
        <v>32695.200000000001</v>
      </c>
      <c r="AX83" s="106">
        <v>20</v>
      </c>
      <c r="AY83" s="106">
        <v>17208</v>
      </c>
      <c r="AZ83" s="106">
        <v>3</v>
      </c>
      <c r="BA83" s="106">
        <v>2581.1999999999998</v>
      </c>
      <c r="BB83" s="106">
        <v>2</v>
      </c>
      <c r="BC83" s="106">
        <v>1720.8</v>
      </c>
      <c r="BD83" s="106">
        <v>2</v>
      </c>
      <c r="BE83" s="106">
        <v>1720.8</v>
      </c>
      <c r="BF83" s="106">
        <v>4</v>
      </c>
      <c r="BG83" s="106">
        <v>3441.6</v>
      </c>
      <c r="BH83" s="106">
        <v>2</v>
      </c>
      <c r="BI83" s="106">
        <v>1720.8</v>
      </c>
      <c r="BJ83" s="106">
        <v>2</v>
      </c>
      <c r="BK83" s="106">
        <v>1720.8</v>
      </c>
      <c r="BL83" s="106">
        <v>3</v>
      </c>
      <c r="BM83" s="106">
        <v>2581.1999999999998</v>
      </c>
      <c r="BN83" s="106">
        <v>2</v>
      </c>
      <c r="BO83" s="106">
        <v>1720.8</v>
      </c>
      <c r="BP83" s="106">
        <v>3</v>
      </c>
      <c r="BQ83" s="106">
        <v>2581.1999999999998</v>
      </c>
      <c r="BR83" s="106">
        <v>3</v>
      </c>
      <c r="BS83" s="106">
        <v>2581.1999999999998</v>
      </c>
      <c r="BT83" s="106">
        <v>4</v>
      </c>
      <c r="BU83" s="106">
        <v>3441.6</v>
      </c>
      <c r="BV83" s="106">
        <v>5</v>
      </c>
      <c r="BW83" s="106">
        <v>4302</v>
      </c>
      <c r="BX83" s="106">
        <v>21</v>
      </c>
      <c r="BY83" s="106">
        <v>18068.399999999998</v>
      </c>
      <c r="BZ83" s="106">
        <v>19</v>
      </c>
      <c r="CA83" s="106">
        <v>16347.6</v>
      </c>
      <c r="CB83" s="106">
        <v>21</v>
      </c>
      <c r="CC83" s="106">
        <v>18068.399999999998</v>
      </c>
      <c r="CD83" s="106">
        <v>19</v>
      </c>
      <c r="CE83" s="106">
        <v>16347.6</v>
      </c>
      <c r="CF83" s="106">
        <v>3</v>
      </c>
      <c r="CG83" s="106">
        <v>2581.1999999999998</v>
      </c>
      <c r="CH83" s="106">
        <v>3</v>
      </c>
      <c r="CI83" s="106">
        <v>2581.1999999999998</v>
      </c>
      <c r="CJ83" s="106">
        <v>2</v>
      </c>
      <c r="CK83" s="106">
        <v>1720.8</v>
      </c>
      <c r="CL83" s="106">
        <v>3</v>
      </c>
      <c r="CM83" s="106">
        <v>2581.1999999999998</v>
      </c>
      <c r="CN83" s="106">
        <v>5</v>
      </c>
      <c r="CO83" s="106">
        <v>4302</v>
      </c>
      <c r="CP83" s="106">
        <v>4</v>
      </c>
      <c r="CQ83" s="106">
        <v>3441.6</v>
      </c>
      <c r="CR83" s="106">
        <v>3</v>
      </c>
      <c r="CS83" s="106">
        <v>2581.1999999999998</v>
      </c>
      <c r="CT83" s="106">
        <v>4</v>
      </c>
      <c r="CU83" s="106">
        <v>3441.6</v>
      </c>
    </row>
    <row r="84" spans="2:99" x14ac:dyDescent="0.2">
      <c r="C84" s="105" t="s">
        <v>250</v>
      </c>
      <c r="D84" s="106">
        <v>27</v>
      </c>
      <c r="E84" s="106">
        <v>21092.399999999998</v>
      </c>
      <c r="F84" s="106">
        <v>30</v>
      </c>
      <c r="G84" s="106">
        <v>23435.999999999996</v>
      </c>
      <c r="H84" s="106">
        <v>17</v>
      </c>
      <c r="I84" s="106">
        <v>13280.4</v>
      </c>
      <c r="J84" s="106">
        <v>16</v>
      </c>
      <c r="K84" s="106">
        <v>12499.199999999999</v>
      </c>
      <c r="L84" s="106">
        <v>18</v>
      </c>
      <c r="M84" s="106">
        <v>14061.599999999999</v>
      </c>
      <c r="N84" s="106">
        <v>28</v>
      </c>
      <c r="O84" s="106">
        <v>21873.599999999999</v>
      </c>
      <c r="P84" s="106">
        <v>17</v>
      </c>
      <c r="Q84" s="106">
        <v>13280.4</v>
      </c>
      <c r="R84" s="106">
        <v>23</v>
      </c>
      <c r="S84" s="106">
        <v>17967.599999999999</v>
      </c>
      <c r="T84" s="106">
        <v>16</v>
      </c>
      <c r="U84" s="106">
        <v>12499.199999999999</v>
      </c>
      <c r="V84" s="106">
        <v>16</v>
      </c>
      <c r="W84" s="106">
        <v>12499.199999999999</v>
      </c>
      <c r="X84" s="106">
        <v>9</v>
      </c>
      <c r="Y84" s="106">
        <v>7030.7999999999993</v>
      </c>
      <c r="Z84" s="106">
        <v>13</v>
      </c>
      <c r="AA84" s="106">
        <v>10155.599999999999</v>
      </c>
      <c r="AB84" s="106">
        <v>11</v>
      </c>
      <c r="AC84" s="106">
        <v>8593.1999999999989</v>
      </c>
      <c r="AD84" s="106">
        <v>11</v>
      </c>
      <c r="AE84" s="106">
        <v>8593.1999999999989</v>
      </c>
      <c r="AF84" s="106">
        <v>12</v>
      </c>
      <c r="AG84" s="106">
        <v>9374.4</v>
      </c>
      <c r="AH84" s="106">
        <v>14</v>
      </c>
      <c r="AI84" s="106">
        <v>10936.8</v>
      </c>
      <c r="AJ84" s="106">
        <v>22</v>
      </c>
      <c r="AK84" s="106">
        <v>17186.399999999998</v>
      </c>
      <c r="AL84" s="106">
        <v>19</v>
      </c>
      <c r="AM84" s="106">
        <v>14842.8</v>
      </c>
      <c r="AN84" s="106">
        <v>27</v>
      </c>
      <c r="AO84" s="106">
        <v>21092.399999999998</v>
      </c>
      <c r="AP84" s="106">
        <v>15</v>
      </c>
      <c r="AQ84" s="106">
        <v>11717.999999999998</v>
      </c>
      <c r="AR84" s="106">
        <v>38</v>
      </c>
      <c r="AS84" s="106">
        <v>29685.599999999999</v>
      </c>
      <c r="AT84" s="106">
        <v>31</v>
      </c>
      <c r="AU84" s="106">
        <v>24217.199999999997</v>
      </c>
      <c r="AV84" s="106">
        <v>36</v>
      </c>
      <c r="AW84" s="106">
        <v>28123.199999999997</v>
      </c>
      <c r="AX84" s="106">
        <v>20</v>
      </c>
      <c r="AY84" s="106">
        <v>15623.999999999998</v>
      </c>
      <c r="AZ84" s="106">
        <v>3</v>
      </c>
      <c r="BA84" s="106">
        <v>2343.6</v>
      </c>
      <c r="BB84" s="106">
        <v>2</v>
      </c>
      <c r="BC84" s="106">
        <v>1562.3999999999999</v>
      </c>
      <c r="BD84" s="106">
        <v>2</v>
      </c>
      <c r="BE84" s="106">
        <v>1562.3999999999999</v>
      </c>
      <c r="BF84" s="106">
        <v>4</v>
      </c>
      <c r="BG84" s="106">
        <v>3124.7999999999997</v>
      </c>
      <c r="BH84" s="106">
        <v>2</v>
      </c>
      <c r="BI84" s="106">
        <v>1562.3999999999999</v>
      </c>
      <c r="BJ84" s="106">
        <v>2</v>
      </c>
      <c r="BK84" s="106">
        <v>1562.3999999999999</v>
      </c>
      <c r="BL84" s="106">
        <v>3</v>
      </c>
      <c r="BM84" s="106">
        <v>2343.6</v>
      </c>
      <c r="BN84" s="106">
        <v>2</v>
      </c>
      <c r="BO84" s="106">
        <v>1562.3999999999999</v>
      </c>
      <c r="BP84" s="106">
        <v>3</v>
      </c>
      <c r="BQ84" s="106">
        <v>2343.6</v>
      </c>
      <c r="BR84" s="106">
        <v>3</v>
      </c>
      <c r="BS84" s="106">
        <v>2343.6</v>
      </c>
      <c r="BT84" s="106">
        <v>4</v>
      </c>
      <c r="BU84" s="106">
        <v>3124.7999999999997</v>
      </c>
      <c r="BV84" s="106">
        <v>5</v>
      </c>
      <c r="BW84" s="106">
        <v>3905.9999999999995</v>
      </c>
      <c r="BX84" s="106">
        <v>20</v>
      </c>
      <c r="BY84" s="106">
        <v>15623.999999999998</v>
      </c>
      <c r="BZ84" s="106">
        <v>17</v>
      </c>
      <c r="CA84" s="106">
        <v>13280.4</v>
      </c>
      <c r="CB84" s="106">
        <v>23</v>
      </c>
      <c r="CC84" s="106">
        <v>17967.599999999999</v>
      </c>
      <c r="CD84" s="106">
        <v>19</v>
      </c>
      <c r="CE84" s="106">
        <v>14842.8</v>
      </c>
      <c r="CF84" s="106">
        <v>3</v>
      </c>
      <c r="CG84" s="106">
        <v>2343.6</v>
      </c>
      <c r="CH84" s="106">
        <v>3</v>
      </c>
      <c r="CI84" s="106">
        <v>2343.6</v>
      </c>
      <c r="CJ84" s="106">
        <v>2</v>
      </c>
      <c r="CK84" s="106">
        <v>1562.3999999999999</v>
      </c>
      <c r="CL84" s="106">
        <v>3</v>
      </c>
      <c r="CM84" s="106">
        <v>2343.6</v>
      </c>
      <c r="CN84" s="106">
        <v>4</v>
      </c>
      <c r="CO84" s="106">
        <v>3124.7999999999997</v>
      </c>
      <c r="CP84" s="106">
        <v>5</v>
      </c>
      <c r="CQ84" s="106">
        <v>3905.9999999999995</v>
      </c>
      <c r="CR84" s="106">
        <v>4</v>
      </c>
      <c r="CS84" s="106">
        <v>3124.7999999999997</v>
      </c>
      <c r="CT84" s="106">
        <v>3</v>
      </c>
      <c r="CU84" s="106">
        <v>2343.6</v>
      </c>
    </row>
    <row r="85" spans="2:99" x14ac:dyDescent="0.2">
      <c r="C85" s="105" t="s">
        <v>251</v>
      </c>
      <c r="D85" s="106">
        <v>27</v>
      </c>
      <c r="E85" s="106">
        <v>4050</v>
      </c>
      <c r="F85" s="106">
        <v>34</v>
      </c>
      <c r="G85" s="106">
        <v>5100</v>
      </c>
      <c r="H85" s="106">
        <v>22</v>
      </c>
      <c r="I85" s="106">
        <v>3300</v>
      </c>
      <c r="J85" s="106">
        <v>18</v>
      </c>
      <c r="K85" s="106">
        <v>2700</v>
      </c>
      <c r="L85" s="106">
        <v>20</v>
      </c>
      <c r="M85" s="106">
        <v>3000</v>
      </c>
      <c r="N85" s="106">
        <v>31</v>
      </c>
      <c r="O85" s="106">
        <v>4650</v>
      </c>
      <c r="P85" s="106">
        <v>18</v>
      </c>
      <c r="Q85" s="106">
        <v>2700</v>
      </c>
      <c r="R85" s="106">
        <v>29</v>
      </c>
      <c r="S85" s="106">
        <v>4350</v>
      </c>
      <c r="T85" s="106">
        <v>17</v>
      </c>
      <c r="U85" s="106">
        <v>2550</v>
      </c>
      <c r="V85" s="106">
        <v>16</v>
      </c>
      <c r="W85" s="106">
        <v>2400</v>
      </c>
      <c r="X85" s="106">
        <v>11</v>
      </c>
      <c r="Y85" s="106">
        <v>1650</v>
      </c>
      <c r="Z85" s="106">
        <v>15</v>
      </c>
      <c r="AA85" s="106">
        <v>2250</v>
      </c>
      <c r="AB85" s="106">
        <v>12</v>
      </c>
      <c r="AC85" s="106">
        <v>1800</v>
      </c>
      <c r="AD85" s="106">
        <v>12</v>
      </c>
      <c r="AE85" s="106">
        <v>1800</v>
      </c>
      <c r="AF85" s="106">
        <v>13</v>
      </c>
      <c r="AG85" s="106">
        <v>1950</v>
      </c>
      <c r="AH85" s="106">
        <v>14</v>
      </c>
      <c r="AI85" s="106">
        <v>2100</v>
      </c>
      <c r="AJ85" s="106">
        <v>23</v>
      </c>
      <c r="AK85" s="106">
        <v>3450</v>
      </c>
      <c r="AL85" s="106">
        <v>21</v>
      </c>
      <c r="AM85" s="106">
        <v>3150</v>
      </c>
      <c r="AN85" s="106">
        <v>31</v>
      </c>
      <c r="AO85" s="106">
        <v>4650</v>
      </c>
      <c r="AP85" s="106">
        <v>17</v>
      </c>
      <c r="AQ85" s="106">
        <v>2550</v>
      </c>
      <c r="AR85" s="106">
        <v>44</v>
      </c>
      <c r="AS85" s="106">
        <v>6600</v>
      </c>
      <c r="AT85" s="106">
        <v>36</v>
      </c>
      <c r="AU85" s="106">
        <v>5400</v>
      </c>
      <c r="AV85" s="106">
        <v>42</v>
      </c>
      <c r="AW85" s="106">
        <v>6300</v>
      </c>
      <c r="AX85" s="106">
        <v>26</v>
      </c>
      <c r="AY85" s="106">
        <v>3900</v>
      </c>
      <c r="AZ85" s="106">
        <v>3</v>
      </c>
      <c r="BA85" s="106">
        <v>450</v>
      </c>
      <c r="BB85" s="106">
        <v>2</v>
      </c>
      <c r="BC85" s="106">
        <v>300</v>
      </c>
      <c r="BD85" s="106">
        <v>2</v>
      </c>
      <c r="BE85" s="106">
        <v>300</v>
      </c>
      <c r="BF85" s="106">
        <v>4</v>
      </c>
      <c r="BG85" s="106">
        <v>600</v>
      </c>
      <c r="BH85" s="106">
        <v>3</v>
      </c>
      <c r="BI85" s="106">
        <v>450</v>
      </c>
      <c r="BJ85" s="106">
        <v>3</v>
      </c>
      <c r="BK85" s="106">
        <v>450</v>
      </c>
      <c r="BL85" s="106">
        <v>3</v>
      </c>
      <c r="BM85" s="106">
        <v>450</v>
      </c>
      <c r="BN85" s="106">
        <v>2</v>
      </c>
      <c r="BO85" s="106">
        <v>300</v>
      </c>
      <c r="BP85" s="106">
        <v>4</v>
      </c>
      <c r="BQ85" s="106">
        <v>600</v>
      </c>
      <c r="BR85" s="106">
        <v>4</v>
      </c>
      <c r="BS85" s="106">
        <v>600</v>
      </c>
      <c r="BT85" s="106">
        <v>4</v>
      </c>
      <c r="BU85" s="106">
        <v>600</v>
      </c>
      <c r="BV85" s="106">
        <v>5</v>
      </c>
      <c r="BW85" s="106">
        <v>750</v>
      </c>
      <c r="BX85" s="106">
        <v>25</v>
      </c>
      <c r="BY85" s="106">
        <v>3750</v>
      </c>
      <c r="BZ85" s="106">
        <v>21</v>
      </c>
      <c r="CA85" s="106">
        <v>3150</v>
      </c>
      <c r="CB85" s="106">
        <v>21</v>
      </c>
      <c r="CC85" s="106">
        <v>3150</v>
      </c>
      <c r="CD85" s="106">
        <v>21</v>
      </c>
      <c r="CE85" s="106">
        <v>3150</v>
      </c>
      <c r="CF85" s="106">
        <v>3</v>
      </c>
      <c r="CG85" s="106">
        <v>450</v>
      </c>
      <c r="CH85" s="106">
        <v>3</v>
      </c>
      <c r="CI85" s="106">
        <v>450</v>
      </c>
      <c r="CJ85" s="106">
        <v>2</v>
      </c>
      <c r="CK85" s="106">
        <v>300</v>
      </c>
      <c r="CL85" s="106">
        <v>3</v>
      </c>
      <c r="CM85" s="106">
        <v>450</v>
      </c>
      <c r="CN85" s="106">
        <v>5</v>
      </c>
      <c r="CO85" s="106">
        <v>750</v>
      </c>
      <c r="CP85" s="106">
        <v>4</v>
      </c>
      <c r="CQ85" s="106">
        <v>600</v>
      </c>
      <c r="CR85" s="106">
        <v>3</v>
      </c>
      <c r="CS85" s="106">
        <v>450</v>
      </c>
      <c r="CT85" s="106">
        <v>4</v>
      </c>
      <c r="CU85" s="106">
        <v>600</v>
      </c>
    </row>
    <row r="86" spans="2:99" x14ac:dyDescent="0.2">
      <c r="C86" s="105" t="s">
        <v>252</v>
      </c>
      <c r="D86" s="106">
        <v>28</v>
      </c>
      <c r="E86" s="106">
        <v>15120</v>
      </c>
      <c r="F86" s="106">
        <v>31</v>
      </c>
      <c r="G86" s="106">
        <v>16740</v>
      </c>
      <c r="H86" s="106">
        <v>21</v>
      </c>
      <c r="I86" s="106">
        <v>11340</v>
      </c>
      <c r="J86" s="106">
        <v>16</v>
      </c>
      <c r="K86" s="106">
        <v>8640</v>
      </c>
      <c r="L86" s="106">
        <v>20</v>
      </c>
      <c r="M86" s="106">
        <v>10800</v>
      </c>
      <c r="N86" s="106">
        <v>30</v>
      </c>
      <c r="O86" s="106">
        <v>16200</v>
      </c>
      <c r="P86" s="106">
        <v>19</v>
      </c>
      <c r="Q86" s="106">
        <v>10260</v>
      </c>
      <c r="R86" s="106">
        <v>24</v>
      </c>
      <c r="S86" s="106">
        <v>12960</v>
      </c>
      <c r="T86" s="106">
        <v>16</v>
      </c>
      <c r="U86" s="106">
        <v>8640</v>
      </c>
      <c r="V86" s="106">
        <v>16</v>
      </c>
      <c r="W86" s="106">
        <v>8640</v>
      </c>
      <c r="X86" s="106">
        <v>10</v>
      </c>
      <c r="Y86" s="106">
        <v>5400</v>
      </c>
      <c r="Z86" s="106">
        <v>15</v>
      </c>
      <c r="AA86" s="106">
        <v>8100</v>
      </c>
      <c r="AB86" s="106">
        <v>11</v>
      </c>
      <c r="AC86" s="106">
        <v>5940</v>
      </c>
      <c r="AD86" s="106">
        <v>11</v>
      </c>
      <c r="AE86" s="106">
        <v>5940</v>
      </c>
      <c r="AF86" s="106">
        <v>12</v>
      </c>
      <c r="AG86" s="106">
        <v>6480</v>
      </c>
      <c r="AH86" s="106">
        <v>12</v>
      </c>
      <c r="AI86" s="106">
        <v>6480</v>
      </c>
      <c r="AJ86" s="106">
        <v>22</v>
      </c>
      <c r="AK86" s="106">
        <v>11880</v>
      </c>
      <c r="AL86" s="106">
        <v>19</v>
      </c>
      <c r="AM86" s="106">
        <v>10260</v>
      </c>
      <c r="AN86" s="106">
        <v>24</v>
      </c>
      <c r="AO86" s="106">
        <v>12960</v>
      </c>
      <c r="AP86" s="106">
        <v>18</v>
      </c>
      <c r="AQ86" s="106">
        <v>9720</v>
      </c>
      <c r="AR86" s="106">
        <v>39</v>
      </c>
      <c r="AS86" s="106">
        <v>21060</v>
      </c>
      <c r="AT86" s="106">
        <v>32</v>
      </c>
      <c r="AU86" s="106">
        <v>17280</v>
      </c>
      <c r="AV86" s="106">
        <v>37</v>
      </c>
      <c r="AW86" s="106">
        <v>19980</v>
      </c>
      <c r="AX86" s="106">
        <v>20</v>
      </c>
      <c r="AY86" s="106">
        <v>10800</v>
      </c>
      <c r="AZ86" s="106">
        <v>3</v>
      </c>
      <c r="BA86" s="106">
        <v>1620</v>
      </c>
      <c r="BB86" s="106">
        <v>2</v>
      </c>
      <c r="BC86" s="106">
        <v>1080</v>
      </c>
      <c r="BD86" s="106">
        <v>2</v>
      </c>
      <c r="BE86" s="106">
        <v>1080</v>
      </c>
      <c r="BF86" s="106">
        <v>4</v>
      </c>
      <c r="BG86" s="106">
        <v>2160</v>
      </c>
      <c r="BH86" s="106">
        <v>2</v>
      </c>
      <c r="BI86" s="106">
        <v>1080</v>
      </c>
      <c r="BJ86" s="106">
        <v>2</v>
      </c>
      <c r="BK86" s="106">
        <v>1080</v>
      </c>
      <c r="BL86" s="106">
        <v>3</v>
      </c>
      <c r="BM86" s="106">
        <v>1620</v>
      </c>
      <c r="BN86" s="106">
        <v>2</v>
      </c>
      <c r="BO86" s="106">
        <v>1080</v>
      </c>
      <c r="BP86" s="106">
        <v>3</v>
      </c>
      <c r="BQ86" s="106">
        <v>1620</v>
      </c>
      <c r="BR86" s="106">
        <v>3</v>
      </c>
      <c r="BS86" s="106">
        <v>1620</v>
      </c>
      <c r="BT86" s="106">
        <v>4</v>
      </c>
      <c r="BU86" s="106">
        <v>2160</v>
      </c>
      <c r="BV86" s="106">
        <v>5</v>
      </c>
      <c r="BW86" s="106">
        <v>2700</v>
      </c>
      <c r="BX86" s="106">
        <v>23</v>
      </c>
      <c r="BY86" s="106">
        <v>12420</v>
      </c>
      <c r="BZ86" s="106">
        <v>18</v>
      </c>
      <c r="CA86" s="106">
        <v>9720</v>
      </c>
      <c r="CB86" s="106">
        <v>23</v>
      </c>
      <c r="CC86" s="106">
        <v>12420</v>
      </c>
      <c r="CD86" s="106">
        <v>23</v>
      </c>
      <c r="CE86" s="106">
        <v>12420</v>
      </c>
      <c r="CF86" s="106">
        <v>3</v>
      </c>
      <c r="CG86" s="106">
        <v>1620</v>
      </c>
      <c r="CH86" s="106">
        <v>3</v>
      </c>
      <c r="CI86" s="106">
        <v>1620</v>
      </c>
      <c r="CJ86" s="106">
        <v>2</v>
      </c>
      <c r="CK86" s="106">
        <v>1080</v>
      </c>
      <c r="CL86" s="106">
        <v>3</v>
      </c>
      <c r="CM86" s="106">
        <v>1620</v>
      </c>
      <c r="CN86" s="106">
        <v>5</v>
      </c>
      <c r="CO86" s="106">
        <v>2700</v>
      </c>
      <c r="CP86" s="106">
        <v>5</v>
      </c>
      <c r="CQ86" s="106">
        <v>2700</v>
      </c>
      <c r="CR86" s="106">
        <v>3</v>
      </c>
      <c r="CS86" s="106">
        <v>1620</v>
      </c>
      <c r="CT86" s="106">
        <v>4</v>
      </c>
      <c r="CU86" s="106">
        <v>2160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3</v>
      </c>
      <c r="G87" s="106">
        <v>5864.4</v>
      </c>
      <c r="H87" s="106">
        <v>5</v>
      </c>
      <c r="I87" s="106">
        <v>9774</v>
      </c>
      <c r="J87" s="106">
        <v>3</v>
      </c>
      <c r="K87" s="106">
        <v>5864.4</v>
      </c>
      <c r="L87" s="106">
        <v>4</v>
      </c>
      <c r="M87" s="106">
        <v>7819.2</v>
      </c>
      <c r="N87" s="106">
        <v>7</v>
      </c>
      <c r="O87" s="106">
        <v>13683.6</v>
      </c>
      <c r="P87" s="106">
        <v>5</v>
      </c>
      <c r="Q87" s="106">
        <v>9774</v>
      </c>
      <c r="R87" s="106">
        <v>8</v>
      </c>
      <c r="S87" s="106">
        <v>15638.4</v>
      </c>
      <c r="T87" s="106">
        <v>6</v>
      </c>
      <c r="U87" s="106">
        <v>11728.8</v>
      </c>
      <c r="V87" s="106">
        <v>5</v>
      </c>
      <c r="W87" s="106">
        <v>9774</v>
      </c>
      <c r="X87" s="106">
        <v>6</v>
      </c>
      <c r="Y87" s="106">
        <v>11728.8</v>
      </c>
      <c r="Z87" s="106">
        <v>8</v>
      </c>
      <c r="AA87" s="106">
        <v>15638.4</v>
      </c>
      <c r="AB87" s="106">
        <v>10</v>
      </c>
      <c r="AC87" s="106">
        <v>19548</v>
      </c>
      <c r="AD87" s="106">
        <v>12</v>
      </c>
      <c r="AE87" s="106">
        <v>23457.599999999999</v>
      </c>
      <c r="AF87" s="106">
        <v>12</v>
      </c>
      <c r="AG87" s="106">
        <v>23457.599999999999</v>
      </c>
      <c r="AH87" s="106">
        <v>14</v>
      </c>
      <c r="AI87" s="106">
        <v>27367.200000000001</v>
      </c>
      <c r="AJ87" s="106">
        <v>7</v>
      </c>
      <c r="AK87" s="106">
        <v>13683.6</v>
      </c>
      <c r="AL87" s="106">
        <v>7</v>
      </c>
      <c r="AM87" s="106">
        <v>13683.6</v>
      </c>
      <c r="AN87" s="106">
        <v>9</v>
      </c>
      <c r="AO87" s="106">
        <v>17593.2</v>
      </c>
      <c r="AP87" s="106">
        <v>11</v>
      </c>
      <c r="AQ87" s="106">
        <v>21502.799999999999</v>
      </c>
      <c r="AR87" s="106">
        <v>22</v>
      </c>
      <c r="AS87" s="106">
        <v>43005.599999999999</v>
      </c>
      <c r="AT87" s="106">
        <v>25</v>
      </c>
      <c r="AU87" s="106">
        <v>48870</v>
      </c>
      <c r="AV87" s="106">
        <v>21</v>
      </c>
      <c r="AW87" s="106">
        <v>41050.799999999996</v>
      </c>
      <c r="AX87" s="106">
        <v>19</v>
      </c>
      <c r="AY87" s="106">
        <v>37141.199999999997</v>
      </c>
      <c r="AZ87" s="106">
        <v>3</v>
      </c>
      <c r="BA87" s="106">
        <v>5864.4</v>
      </c>
      <c r="BB87" s="106">
        <v>3</v>
      </c>
      <c r="BC87" s="106">
        <v>5864.4</v>
      </c>
      <c r="BD87" s="106">
        <v>5</v>
      </c>
      <c r="BE87" s="106">
        <v>9774</v>
      </c>
      <c r="BF87" s="106">
        <v>4</v>
      </c>
      <c r="BG87" s="106">
        <v>7819.2</v>
      </c>
      <c r="BH87" s="106">
        <v>8</v>
      </c>
      <c r="BI87" s="106">
        <v>15638.4</v>
      </c>
      <c r="BJ87" s="106">
        <v>8</v>
      </c>
      <c r="BK87" s="106">
        <v>15638.4</v>
      </c>
      <c r="BL87" s="106">
        <v>8</v>
      </c>
      <c r="BM87" s="106">
        <v>15638.4</v>
      </c>
      <c r="BN87" s="106">
        <v>9</v>
      </c>
      <c r="BO87" s="106">
        <v>17593.2</v>
      </c>
      <c r="BP87" s="106">
        <v>22</v>
      </c>
      <c r="BQ87" s="106">
        <v>43005.599999999999</v>
      </c>
      <c r="BR87" s="106">
        <v>17</v>
      </c>
      <c r="BS87" s="106">
        <v>33231.599999999999</v>
      </c>
      <c r="BT87" s="106">
        <v>12</v>
      </c>
      <c r="BU87" s="106">
        <v>23457.599999999999</v>
      </c>
      <c r="BV87" s="106">
        <v>18</v>
      </c>
      <c r="BW87" s="106">
        <v>35186.400000000001</v>
      </c>
      <c r="BX87" s="106">
        <v>10</v>
      </c>
      <c r="BY87" s="106">
        <v>19548</v>
      </c>
      <c r="BZ87" s="106">
        <v>10</v>
      </c>
      <c r="CA87" s="106">
        <v>19548</v>
      </c>
      <c r="CB87" s="106">
        <v>8</v>
      </c>
      <c r="CC87" s="106">
        <v>15638.4</v>
      </c>
      <c r="CD87" s="106">
        <v>11</v>
      </c>
      <c r="CE87" s="106">
        <v>21502.799999999999</v>
      </c>
      <c r="CF87" s="106">
        <v>5</v>
      </c>
      <c r="CG87" s="106">
        <v>9774</v>
      </c>
      <c r="CH87" s="106">
        <v>5</v>
      </c>
      <c r="CI87" s="106">
        <v>9774</v>
      </c>
      <c r="CJ87" s="106">
        <v>4</v>
      </c>
      <c r="CK87" s="106">
        <v>7819.2</v>
      </c>
      <c r="CL87" s="106">
        <v>5</v>
      </c>
      <c r="CM87" s="106">
        <v>9774</v>
      </c>
      <c r="CN87" s="106">
        <v>4</v>
      </c>
      <c r="CO87" s="106">
        <v>7819.2</v>
      </c>
      <c r="CP87" s="106">
        <v>3</v>
      </c>
      <c r="CQ87" s="106">
        <v>5864.4</v>
      </c>
      <c r="CR87" s="106">
        <v>4</v>
      </c>
      <c r="CS87" s="106">
        <v>7819.2</v>
      </c>
      <c r="CT87" s="106">
        <v>4</v>
      </c>
      <c r="CU87" s="106">
        <v>7819.2</v>
      </c>
    </row>
    <row r="88" spans="2:99" x14ac:dyDescent="0.2">
      <c r="C88" s="105" t="s">
        <v>254</v>
      </c>
      <c r="D88" s="106">
        <v>5</v>
      </c>
      <c r="E88" s="106">
        <v>9462</v>
      </c>
      <c r="F88" s="106">
        <v>3</v>
      </c>
      <c r="G88" s="106">
        <v>5677.2</v>
      </c>
      <c r="H88" s="106">
        <v>5</v>
      </c>
      <c r="I88" s="106">
        <v>9462</v>
      </c>
      <c r="J88" s="106">
        <v>4</v>
      </c>
      <c r="K88" s="106">
        <v>7569.5999999999995</v>
      </c>
      <c r="L88" s="106">
        <v>5</v>
      </c>
      <c r="M88" s="106">
        <v>9462</v>
      </c>
      <c r="N88" s="106">
        <v>7</v>
      </c>
      <c r="O88" s="106">
        <v>13246.8</v>
      </c>
      <c r="P88" s="106">
        <v>5</v>
      </c>
      <c r="Q88" s="106">
        <v>9462</v>
      </c>
      <c r="R88" s="106">
        <v>8</v>
      </c>
      <c r="S88" s="106">
        <v>15139.199999999999</v>
      </c>
      <c r="T88" s="106">
        <v>7</v>
      </c>
      <c r="U88" s="106">
        <v>13246.8</v>
      </c>
      <c r="V88" s="106">
        <v>5</v>
      </c>
      <c r="W88" s="106">
        <v>9462</v>
      </c>
      <c r="X88" s="106">
        <v>6</v>
      </c>
      <c r="Y88" s="106">
        <v>11354.4</v>
      </c>
      <c r="Z88" s="106">
        <v>9</v>
      </c>
      <c r="AA88" s="106">
        <v>17031.599999999999</v>
      </c>
      <c r="AB88" s="106">
        <v>10</v>
      </c>
      <c r="AC88" s="106">
        <v>18924</v>
      </c>
      <c r="AD88" s="106">
        <v>13</v>
      </c>
      <c r="AE88" s="106">
        <v>24601.199999999997</v>
      </c>
      <c r="AF88" s="106">
        <v>11</v>
      </c>
      <c r="AG88" s="106">
        <v>20816.399999999998</v>
      </c>
      <c r="AH88" s="106">
        <v>14</v>
      </c>
      <c r="AI88" s="106">
        <v>26493.599999999999</v>
      </c>
      <c r="AJ88" s="106">
        <v>7</v>
      </c>
      <c r="AK88" s="106">
        <v>13246.8</v>
      </c>
      <c r="AL88" s="106">
        <v>8</v>
      </c>
      <c r="AM88" s="106">
        <v>15139.199999999999</v>
      </c>
      <c r="AN88" s="106">
        <v>8</v>
      </c>
      <c r="AO88" s="106">
        <v>15139.199999999999</v>
      </c>
      <c r="AP88" s="106">
        <v>11</v>
      </c>
      <c r="AQ88" s="106">
        <v>20816.399999999998</v>
      </c>
      <c r="AR88" s="106">
        <v>23</v>
      </c>
      <c r="AS88" s="106">
        <v>43525.2</v>
      </c>
      <c r="AT88" s="106">
        <v>26</v>
      </c>
      <c r="AU88" s="106">
        <v>49202.399999999994</v>
      </c>
      <c r="AV88" s="106">
        <v>24</v>
      </c>
      <c r="AW88" s="106">
        <v>45417.599999999999</v>
      </c>
      <c r="AX88" s="106">
        <v>20</v>
      </c>
      <c r="AY88" s="106">
        <v>37848</v>
      </c>
      <c r="AZ88" s="106">
        <v>3</v>
      </c>
      <c r="BA88" s="106">
        <v>5677.2</v>
      </c>
      <c r="BB88" s="106">
        <v>3</v>
      </c>
      <c r="BC88" s="106">
        <v>5677.2</v>
      </c>
      <c r="BD88" s="106">
        <v>5</v>
      </c>
      <c r="BE88" s="106">
        <v>9462</v>
      </c>
      <c r="BF88" s="106">
        <v>4</v>
      </c>
      <c r="BG88" s="106">
        <v>7569.5999999999995</v>
      </c>
      <c r="BH88" s="106">
        <v>8</v>
      </c>
      <c r="BI88" s="106">
        <v>15139.199999999999</v>
      </c>
      <c r="BJ88" s="106">
        <v>8</v>
      </c>
      <c r="BK88" s="106">
        <v>15139.199999999999</v>
      </c>
      <c r="BL88" s="106">
        <v>9</v>
      </c>
      <c r="BM88" s="106">
        <v>17031.599999999999</v>
      </c>
      <c r="BN88" s="106">
        <v>9</v>
      </c>
      <c r="BO88" s="106">
        <v>17031.599999999999</v>
      </c>
      <c r="BP88" s="106">
        <v>22</v>
      </c>
      <c r="BQ88" s="106">
        <v>41632.799999999996</v>
      </c>
      <c r="BR88" s="106">
        <v>20</v>
      </c>
      <c r="BS88" s="106">
        <v>37848</v>
      </c>
      <c r="BT88" s="106">
        <v>11</v>
      </c>
      <c r="BU88" s="106">
        <v>20816.399999999998</v>
      </c>
      <c r="BV88" s="106">
        <v>19</v>
      </c>
      <c r="BW88" s="106">
        <v>35955.599999999999</v>
      </c>
      <c r="BX88" s="106">
        <v>10</v>
      </c>
      <c r="BY88" s="106">
        <v>18924</v>
      </c>
      <c r="BZ88" s="106">
        <v>10</v>
      </c>
      <c r="CA88" s="106">
        <v>18924</v>
      </c>
      <c r="CB88" s="106">
        <v>10</v>
      </c>
      <c r="CC88" s="106">
        <v>18924</v>
      </c>
      <c r="CD88" s="106">
        <v>9</v>
      </c>
      <c r="CE88" s="106">
        <v>17031.599999999999</v>
      </c>
      <c r="CF88" s="106">
        <v>4</v>
      </c>
      <c r="CG88" s="106">
        <v>7569.5999999999995</v>
      </c>
      <c r="CH88" s="106">
        <v>5</v>
      </c>
      <c r="CI88" s="106">
        <v>9462</v>
      </c>
      <c r="CJ88" s="106">
        <v>4</v>
      </c>
      <c r="CK88" s="106">
        <v>7569.5999999999995</v>
      </c>
      <c r="CL88" s="106">
        <v>6</v>
      </c>
      <c r="CM88" s="106">
        <v>11354.4</v>
      </c>
      <c r="CN88" s="106">
        <v>4</v>
      </c>
      <c r="CO88" s="106">
        <v>7569.5999999999995</v>
      </c>
      <c r="CP88" s="106">
        <v>3</v>
      </c>
      <c r="CQ88" s="106">
        <v>5677.2</v>
      </c>
      <c r="CR88" s="106">
        <v>4</v>
      </c>
      <c r="CS88" s="106">
        <v>7569.5999999999995</v>
      </c>
      <c r="CT88" s="106">
        <v>4</v>
      </c>
      <c r="CU88" s="106">
        <v>7569.5999999999995</v>
      </c>
    </row>
    <row r="89" spans="2:99" x14ac:dyDescent="0.2">
      <c r="C89" s="105" t="s">
        <v>255</v>
      </c>
      <c r="D89" s="106">
        <v>4</v>
      </c>
      <c r="E89" s="106">
        <v>9590.4</v>
      </c>
      <c r="F89" s="106">
        <v>3</v>
      </c>
      <c r="G89" s="106">
        <v>7192.7999999999993</v>
      </c>
      <c r="H89" s="106">
        <v>4</v>
      </c>
      <c r="I89" s="106">
        <v>9590.4</v>
      </c>
      <c r="J89" s="106">
        <v>4</v>
      </c>
      <c r="K89" s="106">
        <v>9590.4</v>
      </c>
      <c r="L89" s="106">
        <v>5</v>
      </c>
      <c r="M89" s="106">
        <v>11988</v>
      </c>
      <c r="N89" s="106">
        <v>8</v>
      </c>
      <c r="O89" s="106">
        <v>19180.8</v>
      </c>
      <c r="P89" s="106">
        <v>5</v>
      </c>
      <c r="Q89" s="106">
        <v>11988</v>
      </c>
      <c r="R89" s="106">
        <v>7</v>
      </c>
      <c r="S89" s="106">
        <v>16783.2</v>
      </c>
      <c r="T89" s="106">
        <v>7</v>
      </c>
      <c r="U89" s="106">
        <v>16783.2</v>
      </c>
      <c r="V89" s="106">
        <v>4</v>
      </c>
      <c r="W89" s="106">
        <v>9590.4</v>
      </c>
      <c r="X89" s="106">
        <v>6</v>
      </c>
      <c r="Y89" s="106">
        <v>14385.599999999999</v>
      </c>
      <c r="Z89" s="106">
        <v>8</v>
      </c>
      <c r="AA89" s="106">
        <v>19180.8</v>
      </c>
      <c r="AB89" s="106">
        <v>10</v>
      </c>
      <c r="AC89" s="106">
        <v>23976</v>
      </c>
      <c r="AD89" s="106">
        <v>11</v>
      </c>
      <c r="AE89" s="106">
        <v>26373.599999999999</v>
      </c>
      <c r="AF89" s="106">
        <v>11</v>
      </c>
      <c r="AG89" s="106">
        <v>26373.599999999999</v>
      </c>
      <c r="AH89" s="106">
        <v>13</v>
      </c>
      <c r="AI89" s="106">
        <v>31168.799999999999</v>
      </c>
      <c r="AJ89" s="106">
        <v>6</v>
      </c>
      <c r="AK89" s="106">
        <v>14385.599999999999</v>
      </c>
      <c r="AL89" s="106">
        <v>7</v>
      </c>
      <c r="AM89" s="106">
        <v>16783.2</v>
      </c>
      <c r="AN89" s="106">
        <v>8</v>
      </c>
      <c r="AO89" s="106">
        <v>19180.8</v>
      </c>
      <c r="AP89" s="106">
        <v>10</v>
      </c>
      <c r="AQ89" s="106">
        <v>23976</v>
      </c>
      <c r="AR89" s="106">
        <v>25</v>
      </c>
      <c r="AS89" s="106">
        <v>59940</v>
      </c>
      <c r="AT89" s="106">
        <v>23</v>
      </c>
      <c r="AU89" s="106">
        <v>55144.799999999996</v>
      </c>
      <c r="AV89" s="106">
        <v>22</v>
      </c>
      <c r="AW89" s="106">
        <v>52747.199999999997</v>
      </c>
      <c r="AX89" s="106">
        <v>17</v>
      </c>
      <c r="AY89" s="106">
        <v>40759.199999999997</v>
      </c>
      <c r="AZ89" s="106">
        <v>3</v>
      </c>
      <c r="BA89" s="106">
        <v>7192.7999999999993</v>
      </c>
      <c r="BB89" s="106">
        <v>3</v>
      </c>
      <c r="BC89" s="106">
        <v>7192.7999999999993</v>
      </c>
      <c r="BD89" s="106">
        <v>5</v>
      </c>
      <c r="BE89" s="106">
        <v>11988</v>
      </c>
      <c r="BF89" s="106">
        <v>4</v>
      </c>
      <c r="BG89" s="106">
        <v>9590.4</v>
      </c>
      <c r="BH89" s="106">
        <v>8</v>
      </c>
      <c r="BI89" s="106">
        <v>19180.8</v>
      </c>
      <c r="BJ89" s="106">
        <v>7</v>
      </c>
      <c r="BK89" s="106">
        <v>16783.2</v>
      </c>
      <c r="BL89" s="106">
        <v>8</v>
      </c>
      <c r="BM89" s="106">
        <v>19180.8</v>
      </c>
      <c r="BN89" s="106">
        <v>8</v>
      </c>
      <c r="BO89" s="106">
        <v>19180.8</v>
      </c>
      <c r="BP89" s="106">
        <v>20</v>
      </c>
      <c r="BQ89" s="106">
        <v>47952</v>
      </c>
      <c r="BR89" s="106">
        <v>19</v>
      </c>
      <c r="BS89" s="106">
        <v>45554.400000000001</v>
      </c>
      <c r="BT89" s="106">
        <v>11</v>
      </c>
      <c r="BU89" s="106">
        <v>26373.599999999999</v>
      </c>
      <c r="BV89" s="106">
        <v>17</v>
      </c>
      <c r="BW89" s="106">
        <v>40759.199999999997</v>
      </c>
      <c r="BX89" s="106">
        <v>9</v>
      </c>
      <c r="BY89" s="106">
        <v>21578.399999999998</v>
      </c>
      <c r="BZ89" s="106">
        <v>11</v>
      </c>
      <c r="CA89" s="106">
        <v>26373.599999999999</v>
      </c>
      <c r="CB89" s="106">
        <v>8</v>
      </c>
      <c r="CC89" s="106">
        <v>19180.8</v>
      </c>
      <c r="CD89" s="106">
        <v>10</v>
      </c>
      <c r="CE89" s="106">
        <v>23976</v>
      </c>
      <c r="CF89" s="106">
        <v>4</v>
      </c>
      <c r="CG89" s="106">
        <v>9590.4</v>
      </c>
      <c r="CH89" s="106">
        <v>4</v>
      </c>
      <c r="CI89" s="106">
        <v>9590.4</v>
      </c>
      <c r="CJ89" s="106">
        <v>4</v>
      </c>
      <c r="CK89" s="106">
        <v>9590.4</v>
      </c>
      <c r="CL89" s="106">
        <v>5</v>
      </c>
      <c r="CM89" s="106">
        <v>11988</v>
      </c>
      <c r="CN89" s="106">
        <v>4</v>
      </c>
      <c r="CO89" s="106">
        <v>9590.4</v>
      </c>
      <c r="CP89" s="106">
        <v>4</v>
      </c>
      <c r="CQ89" s="106">
        <v>9590.4</v>
      </c>
      <c r="CR89" s="106">
        <v>4</v>
      </c>
      <c r="CS89" s="106">
        <v>9590.4</v>
      </c>
      <c r="CT89" s="106">
        <v>4</v>
      </c>
      <c r="CU89" s="106">
        <v>9590.4</v>
      </c>
    </row>
    <row r="90" spans="2:99" x14ac:dyDescent="0.2">
      <c r="C90" s="105" t="s">
        <v>256</v>
      </c>
      <c r="D90" s="106">
        <v>4</v>
      </c>
      <c r="E90" s="106">
        <v>8788.7999999999993</v>
      </c>
      <c r="F90" s="106">
        <v>3</v>
      </c>
      <c r="G90" s="106">
        <v>6591.5999999999995</v>
      </c>
      <c r="H90" s="106">
        <v>4</v>
      </c>
      <c r="I90" s="106">
        <v>8788.7999999999993</v>
      </c>
      <c r="J90" s="106">
        <v>3</v>
      </c>
      <c r="K90" s="106">
        <v>6591.5999999999995</v>
      </c>
      <c r="L90" s="106">
        <v>4</v>
      </c>
      <c r="M90" s="106">
        <v>8788.7999999999993</v>
      </c>
      <c r="N90" s="106">
        <v>6</v>
      </c>
      <c r="O90" s="106">
        <v>13183.199999999999</v>
      </c>
      <c r="P90" s="106">
        <v>5</v>
      </c>
      <c r="Q90" s="106">
        <v>10986</v>
      </c>
      <c r="R90" s="106">
        <v>7</v>
      </c>
      <c r="S90" s="106">
        <v>15380.399999999998</v>
      </c>
      <c r="T90" s="106">
        <v>7</v>
      </c>
      <c r="U90" s="106">
        <v>15380.399999999998</v>
      </c>
      <c r="V90" s="106">
        <v>4</v>
      </c>
      <c r="W90" s="106">
        <v>8788.7999999999993</v>
      </c>
      <c r="X90" s="106">
        <v>6</v>
      </c>
      <c r="Y90" s="106">
        <v>13183.199999999999</v>
      </c>
      <c r="Z90" s="106">
        <v>8</v>
      </c>
      <c r="AA90" s="106">
        <v>17577.599999999999</v>
      </c>
      <c r="AB90" s="106">
        <v>11</v>
      </c>
      <c r="AC90" s="106">
        <v>24169.199999999997</v>
      </c>
      <c r="AD90" s="106">
        <v>11</v>
      </c>
      <c r="AE90" s="106">
        <v>24169.199999999997</v>
      </c>
      <c r="AF90" s="106">
        <v>11</v>
      </c>
      <c r="AG90" s="106">
        <v>24169.199999999997</v>
      </c>
      <c r="AH90" s="106">
        <v>14</v>
      </c>
      <c r="AI90" s="106">
        <v>30760.799999999996</v>
      </c>
      <c r="AJ90" s="106">
        <v>7</v>
      </c>
      <c r="AK90" s="106">
        <v>15380.399999999998</v>
      </c>
      <c r="AL90" s="106">
        <v>7</v>
      </c>
      <c r="AM90" s="106">
        <v>15380.399999999998</v>
      </c>
      <c r="AN90" s="106">
        <v>8</v>
      </c>
      <c r="AO90" s="106">
        <v>17577.599999999999</v>
      </c>
      <c r="AP90" s="106">
        <v>11</v>
      </c>
      <c r="AQ90" s="106">
        <v>24169.199999999997</v>
      </c>
      <c r="AR90" s="106">
        <v>22</v>
      </c>
      <c r="AS90" s="106">
        <v>48338.399999999994</v>
      </c>
      <c r="AT90" s="106">
        <v>22</v>
      </c>
      <c r="AU90" s="106">
        <v>48338.399999999994</v>
      </c>
      <c r="AV90" s="106">
        <v>20</v>
      </c>
      <c r="AW90" s="106">
        <v>43944</v>
      </c>
      <c r="AX90" s="106">
        <v>18</v>
      </c>
      <c r="AY90" s="106">
        <v>39549.599999999999</v>
      </c>
      <c r="AZ90" s="106">
        <v>4</v>
      </c>
      <c r="BA90" s="106">
        <v>8788.7999999999993</v>
      </c>
      <c r="BB90" s="106">
        <v>3</v>
      </c>
      <c r="BC90" s="106">
        <v>6591.5999999999995</v>
      </c>
      <c r="BD90" s="106">
        <v>5</v>
      </c>
      <c r="BE90" s="106">
        <v>10986</v>
      </c>
      <c r="BF90" s="106">
        <v>4</v>
      </c>
      <c r="BG90" s="106">
        <v>8788.7999999999993</v>
      </c>
      <c r="BH90" s="106">
        <v>8</v>
      </c>
      <c r="BI90" s="106">
        <v>17577.599999999999</v>
      </c>
      <c r="BJ90" s="106">
        <v>7</v>
      </c>
      <c r="BK90" s="106">
        <v>15380.399999999998</v>
      </c>
      <c r="BL90" s="106">
        <v>9</v>
      </c>
      <c r="BM90" s="106">
        <v>19774.8</v>
      </c>
      <c r="BN90" s="106">
        <v>9</v>
      </c>
      <c r="BO90" s="106">
        <v>19774.8</v>
      </c>
      <c r="BP90" s="106">
        <v>21</v>
      </c>
      <c r="BQ90" s="106">
        <v>46141.2</v>
      </c>
      <c r="BR90" s="106">
        <v>18</v>
      </c>
      <c r="BS90" s="106">
        <v>39549.599999999999</v>
      </c>
      <c r="BT90" s="106">
        <v>11</v>
      </c>
      <c r="BU90" s="106">
        <v>24169.199999999997</v>
      </c>
      <c r="BV90" s="106">
        <v>20</v>
      </c>
      <c r="BW90" s="106">
        <v>43944</v>
      </c>
      <c r="BX90" s="106">
        <v>10</v>
      </c>
      <c r="BY90" s="106">
        <v>21972</v>
      </c>
      <c r="BZ90" s="106">
        <v>11</v>
      </c>
      <c r="CA90" s="106">
        <v>24169.199999999997</v>
      </c>
      <c r="CB90" s="106">
        <v>9</v>
      </c>
      <c r="CC90" s="106">
        <v>19774.8</v>
      </c>
      <c r="CD90" s="106">
        <v>9</v>
      </c>
      <c r="CE90" s="106">
        <v>19774.8</v>
      </c>
      <c r="CF90" s="106">
        <v>4</v>
      </c>
      <c r="CG90" s="106">
        <v>8788.7999999999993</v>
      </c>
      <c r="CH90" s="106">
        <v>5</v>
      </c>
      <c r="CI90" s="106">
        <v>10986</v>
      </c>
      <c r="CJ90" s="106">
        <v>3</v>
      </c>
      <c r="CK90" s="106">
        <v>6591.5999999999995</v>
      </c>
      <c r="CL90" s="106">
        <v>5</v>
      </c>
      <c r="CM90" s="106">
        <v>10986</v>
      </c>
      <c r="CN90" s="106">
        <v>4</v>
      </c>
      <c r="CO90" s="106">
        <v>8788.7999999999993</v>
      </c>
      <c r="CP90" s="106">
        <v>3</v>
      </c>
      <c r="CQ90" s="106">
        <v>6591.5999999999995</v>
      </c>
      <c r="CR90" s="106">
        <v>4</v>
      </c>
      <c r="CS90" s="106">
        <v>8788.7999999999993</v>
      </c>
      <c r="CT90" s="106">
        <v>4</v>
      </c>
      <c r="CU90" s="106">
        <v>8788.7999999999993</v>
      </c>
    </row>
    <row r="91" spans="2:99" x14ac:dyDescent="0.2">
      <c r="C91" s="105" t="s">
        <v>257</v>
      </c>
      <c r="D91" s="106">
        <v>4</v>
      </c>
      <c r="E91" s="106">
        <v>9187.1999999999989</v>
      </c>
      <c r="F91" s="106">
        <v>3</v>
      </c>
      <c r="G91" s="106">
        <v>6890.4</v>
      </c>
      <c r="H91" s="106">
        <v>5</v>
      </c>
      <c r="I91" s="106">
        <v>11483.999999999998</v>
      </c>
      <c r="J91" s="106">
        <v>3</v>
      </c>
      <c r="K91" s="106">
        <v>6890.4</v>
      </c>
      <c r="L91" s="106">
        <v>5</v>
      </c>
      <c r="M91" s="106">
        <v>11483.999999999998</v>
      </c>
      <c r="N91" s="106">
        <v>6</v>
      </c>
      <c r="O91" s="106">
        <v>13780.8</v>
      </c>
      <c r="P91" s="106">
        <v>5</v>
      </c>
      <c r="Q91" s="106">
        <v>11483.999999999998</v>
      </c>
      <c r="R91" s="106">
        <v>7</v>
      </c>
      <c r="S91" s="106">
        <v>16077.599999999999</v>
      </c>
      <c r="T91" s="106">
        <v>7</v>
      </c>
      <c r="U91" s="106">
        <v>16077.599999999999</v>
      </c>
      <c r="V91" s="106">
        <v>5</v>
      </c>
      <c r="W91" s="106">
        <v>11483.999999999998</v>
      </c>
      <c r="X91" s="106">
        <v>6</v>
      </c>
      <c r="Y91" s="106">
        <v>13780.8</v>
      </c>
      <c r="Z91" s="106">
        <v>8</v>
      </c>
      <c r="AA91" s="106">
        <v>18374.399999999998</v>
      </c>
      <c r="AB91" s="106">
        <v>11</v>
      </c>
      <c r="AC91" s="106">
        <v>25264.799999999996</v>
      </c>
      <c r="AD91" s="106">
        <v>12</v>
      </c>
      <c r="AE91" s="106">
        <v>27561.599999999999</v>
      </c>
      <c r="AF91" s="106">
        <v>11</v>
      </c>
      <c r="AG91" s="106">
        <v>25264.799999999996</v>
      </c>
      <c r="AH91" s="106">
        <v>15</v>
      </c>
      <c r="AI91" s="106">
        <v>34451.999999999993</v>
      </c>
      <c r="AJ91" s="106">
        <v>7</v>
      </c>
      <c r="AK91" s="106">
        <v>16077.599999999999</v>
      </c>
      <c r="AL91" s="106">
        <v>7</v>
      </c>
      <c r="AM91" s="106">
        <v>16077.599999999999</v>
      </c>
      <c r="AN91" s="106">
        <v>8</v>
      </c>
      <c r="AO91" s="106">
        <v>18374.399999999998</v>
      </c>
      <c r="AP91" s="106">
        <v>9</v>
      </c>
      <c r="AQ91" s="106">
        <v>20671.199999999997</v>
      </c>
      <c r="AR91" s="106">
        <v>24</v>
      </c>
      <c r="AS91" s="106">
        <v>55123.199999999997</v>
      </c>
      <c r="AT91" s="106">
        <v>25</v>
      </c>
      <c r="AU91" s="106">
        <v>57419.999999999993</v>
      </c>
      <c r="AV91" s="106">
        <v>21</v>
      </c>
      <c r="AW91" s="106">
        <v>48232.799999999996</v>
      </c>
      <c r="AX91" s="106">
        <v>19</v>
      </c>
      <c r="AY91" s="106">
        <v>43639.199999999997</v>
      </c>
      <c r="AZ91" s="106">
        <v>4</v>
      </c>
      <c r="BA91" s="106">
        <v>9187.1999999999989</v>
      </c>
      <c r="BB91" s="106">
        <v>3</v>
      </c>
      <c r="BC91" s="106">
        <v>6890.4</v>
      </c>
      <c r="BD91" s="106">
        <v>5</v>
      </c>
      <c r="BE91" s="106">
        <v>11483.999999999998</v>
      </c>
      <c r="BF91" s="106">
        <v>4</v>
      </c>
      <c r="BG91" s="106">
        <v>9187.1999999999989</v>
      </c>
      <c r="BH91" s="106">
        <v>7</v>
      </c>
      <c r="BI91" s="106">
        <v>16077.599999999999</v>
      </c>
      <c r="BJ91" s="106">
        <v>7</v>
      </c>
      <c r="BK91" s="106">
        <v>16077.599999999999</v>
      </c>
      <c r="BL91" s="106">
        <v>8</v>
      </c>
      <c r="BM91" s="106">
        <v>18374.399999999998</v>
      </c>
      <c r="BN91" s="106">
        <v>9</v>
      </c>
      <c r="BO91" s="106">
        <v>20671.199999999997</v>
      </c>
      <c r="BP91" s="106">
        <v>20</v>
      </c>
      <c r="BQ91" s="106">
        <v>45935.999999999993</v>
      </c>
      <c r="BR91" s="106">
        <v>17</v>
      </c>
      <c r="BS91" s="106">
        <v>39045.599999999999</v>
      </c>
      <c r="BT91" s="106">
        <v>12</v>
      </c>
      <c r="BU91" s="106">
        <v>27561.599999999999</v>
      </c>
      <c r="BV91" s="106">
        <v>17</v>
      </c>
      <c r="BW91" s="106">
        <v>39045.599999999999</v>
      </c>
      <c r="BX91" s="106">
        <v>9</v>
      </c>
      <c r="BY91" s="106">
        <v>20671.199999999997</v>
      </c>
      <c r="BZ91" s="106">
        <v>9</v>
      </c>
      <c r="CA91" s="106">
        <v>20671.199999999997</v>
      </c>
      <c r="CB91" s="106">
        <v>9</v>
      </c>
      <c r="CC91" s="106">
        <v>20671.199999999997</v>
      </c>
      <c r="CD91" s="106">
        <v>9</v>
      </c>
      <c r="CE91" s="106">
        <v>20671.199999999997</v>
      </c>
      <c r="CF91" s="106">
        <v>4</v>
      </c>
      <c r="CG91" s="106">
        <v>9187.1999999999989</v>
      </c>
      <c r="CH91" s="106">
        <v>4</v>
      </c>
      <c r="CI91" s="106">
        <v>9187.1999999999989</v>
      </c>
      <c r="CJ91" s="106">
        <v>3</v>
      </c>
      <c r="CK91" s="106">
        <v>6890.4</v>
      </c>
      <c r="CL91" s="106">
        <v>5</v>
      </c>
      <c r="CM91" s="106">
        <v>11483.999999999998</v>
      </c>
      <c r="CN91" s="106">
        <v>4</v>
      </c>
      <c r="CO91" s="106">
        <v>9187.1999999999989</v>
      </c>
      <c r="CP91" s="106">
        <v>3</v>
      </c>
      <c r="CQ91" s="106">
        <v>6890.4</v>
      </c>
      <c r="CR91" s="106">
        <v>4</v>
      </c>
      <c r="CS91" s="106">
        <v>9187.1999999999989</v>
      </c>
      <c r="CT91" s="106">
        <v>4</v>
      </c>
      <c r="CU91" s="106">
        <v>9187.1999999999989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3</v>
      </c>
      <c r="G92" s="106">
        <v>4262.3999999999996</v>
      </c>
      <c r="H92" s="106">
        <v>5</v>
      </c>
      <c r="I92" s="106">
        <v>7104</v>
      </c>
      <c r="J92" s="106">
        <v>4</v>
      </c>
      <c r="K92" s="106">
        <v>5683.2</v>
      </c>
      <c r="L92" s="106">
        <v>5</v>
      </c>
      <c r="M92" s="106">
        <v>7104</v>
      </c>
      <c r="N92" s="106">
        <v>8</v>
      </c>
      <c r="O92" s="106">
        <v>11366.4</v>
      </c>
      <c r="P92" s="106">
        <v>5</v>
      </c>
      <c r="Q92" s="106">
        <v>7104</v>
      </c>
      <c r="R92" s="106">
        <v>8</v>
      </c>
      <c r="S92" s="106">
        <v>11366.4</v>
      </c>
      <c r="T92" s="106">
        <v>7</v>
      </c>
      <c r="U92" s="106">
        <v>9945.6</v>
      </c>
      <c r="V92" s="106">
        <v>5</v>
      </c>
      <c r="W92" s="106">
        <v>7104</v>
      </c>
      <c r="X92" s="106">
        <v>6</v>
      </c>
      <c r="Y92" s="106">
        <v>8524.7999999999993</v>
      </c>
      <c r="Z92" s="106">
        <v>8</v>
      </c>
      <c r="AA92" s="106">
        <v>11366.4</v>
      </c>
      <c r="AB92" s="106">
        <v>10</v>
      </c>
      <c r="AC92" s="106">
        <v>14208</v>
      </c>
      <c r="AD92" s="106">
        <v>14</v>
      </c>
      <c r="AE92" s="106">
        <v>19891.2</v>
      </c>
      <c r="AF92" s="106">
        <v>12</v>
      </c>
      <c r="AG92" s="106">
        <v>17049.599999999999</v>
      </c>
      <c r="AH92" s="106">
        <v>15</v>
      </c>
      <c r="AI92" s="106">
        <v>21312</v>
      </c>
      <c r="AJ92" s="106">
        <v>7</v>
      </c>
      <c r="AK92" s="106">
        <v>9945.6</v>
      </c>
      <c r="AL92" s="106">
        <v>8</v>
      </c>
      <c r="AM92" s="106">
        <v>11366.4</v>
      </c>
      <c r="AN92" s="106">
        <v>8</v>
      </c>
      <c r="AO92" s="106">
        <v>11366.4</v>
      </c>
      <c r="AP92" s="106">
        <v>10</v>
      </c>
      <c r="AQ92" s="106">
        <v>14208</v>
      </c>
      <c r="AR92" s="106">
        <v>24</v>
      </c>
      <c r="AS92" s="106">
        <v>34099.199999999997</v>
      </c>
      <c r="AT92" s="106">
        <v>23</v>
      </c>
      <c r="AU92" s="106">
        <v>32678.399999999998</v>
      </c>
      <c r="AV92" s="106">
        <v>22</v>
      </c>
      <c r="AW92" s="106">
        <v>31257.599999999999</v>
      </c>
      <c r="AX92" s="106">
        <v>19</v>
      </c>
      <c r="AY92" s="106">
        <v>26995.200000000001</v>
      </c>
      <c r="AZ92" s="106">
        <v>4</v>
      </c>
      <c r="BA92" s="106">
        <v>5683.2</v>
      </c>
      <c r="BB92" s="106">
        <v>3</v>
      </c>
      <c r="BC92" s="106">
        <v>4262.3999999999996</v>
      </c>
      <c r="BD92" s="106">
        <v>5</v>
      </c>
      <c r="BE92" s="106">
        <v>7104</v>
      </c>
      <c r="BF92" s="106">
        <v>5</v>
      </c>
      <c r="BG92" s="106">
        <v>7104</v>
      </c>
      <c r="BH92" s="106">
        <v>8</v>
      </c>
      <c r="BI92" s="106">
        <v>11366.4</v>
      </c>
      <c r="BJ92" s="106">
        <v>8</v>
      </c>
      <c r="BK92" s="106">
        <v>11366.4</v>
      </c>
      <c r="BL92" s="106">
        <v>8</v>
      </c>
      <c r="BM92" s="106">
        <v>11366.4</v>
      </c>
      <c r="BN92" s="106">
        <v>10</v>
      </c>
      <c r="BO92" s="106">
        <v>14208</v>
      </c>
      <c r="BP92" s="106">
        <v>25</v>
      </c>
      <c r="BQ92" s="106">
        <v>35520</v>
      </c>
      <c r="BR92" s="106">
        <v>20</v>
      </c>
      <c r="BS92" s="106">
        <v>28416</v>
      </c>
      <c r="BT92" s="106">
        <v>11</v>
      </c>
      <c r="BU92" s="106">
        <v>15628.8</v>
      </c>
      <c r="BV92" s="106">
        <v>21</v>
      </c>
      <c r="BW92" s="106">
        <v>29836.799999999999</v>
      </c>
      <c r="BX92" s="106">
        <v>10</v>
      </c>
      <c r="BY92" s="106">
        <v>14208</v>
      </c>
      <c r="BZ92" s="106">
        <v>11</v>
      </c>
      <c r="CA92" s="106">
        <v>15628.8</v>
      </c>
      <c r="CB92" s="106">
        <v>10</v>
      </c>
      <c r="CC92" s="106">
        <v>14208</v>
      </c>
      <c r="CD92" s="106">
        <v>10</v>
      </c>
      <c r="CE92" s="106">
        <v>14208</v>
      </c>
      <c r="CF92" s="106">
        <v>4</v>
      </c>
      <c r="CG92" s="106">
        <v>5683.2</v>
      </c>
      <c r="CH92" s="106">
        <v>5</v>
      </c>
      <c r="CI92" s="106">
        <v>7104</v>
      </c>
      <c r="CJ92" s="106">
        <v>3</v>
      </c>
      <c r="CK92" s="106">
        <v>4262.3999999999996</v>
      </c>
      <c r="CL92" s="106">
        <v>5</v>
      </c>
      <c r="CM92" s="106">
        <v>7104</v>
      </c>
      <c r="CN92" s="106">
        <v>4</v>
      </c>
      <c r="CO92" s="106">
        <v>5683.2</v>
      </c>
      <c r="CP92" s="106">
        <v>3</v>
      </c>
      <c r="CQ92" s="106">
        <v>4262.3999999999996</v>
      </c>
      <c r="CR92" s="106">
        <v>4</v>
      </c>
      <c r="CS92" s="106">
        <v>5683.2</v>
      </c>
      <c r="CT92" s="106">
        <v>4</v>
      </c>
      <c r="CU92" s="106">
        <v>5683.2</v>
      </c>
    </row>
    <row r="93" spans="2:99" x14ac:dyDescent="0.2">
      <c r="C93" s="105" t="s">
        <v>259</v>
      </c>
      <c r="D93" s="106">
        <v>4</v>
      </c>
      <c r="E93" s="106">
        <v>7089.5999999999995</v>
      </c>
      <c r="F93" s="106">
        <v>3</v>
      </c>
      <c r="G93" s="106">
        <v>5317.2</v>
      </c>
      <c r="H93" s="106">
        <v>4</v>
      </c>
      <c r="I93" s="106">
        <v>7089.5999999999995</v>
      </c>
      <c r="J93" s="106">
        <v>4</v>
      </c>
      <c r="K93" s="106">
        <v>7089.5999999999995</v>
      </c>
      <c r="L93" s="106">
        <v>5</v>
      </c>
      <c r="M93" s="106">
        <v>8862</v>
      </c>
      <c r="N93" s="106">
        <v>8</v>
      </c>
      <c r="O93" s="106">
        <v>14179.199999999999</v>
      </c>
      <c r="P93" s="106">
        <v>5</v>
      </c>
      <c r="Q93" s="106">
        <v>8862</v>
      </c>
      <c r="R93" s="106">
        <v>7</v>
      </c>
      <c r="S93" s="106">
        <v>12406.8</v>
      </c>
      <c r="T93" s="106">
        <v>8</v>
      </c>
      <c r="U93" s="106">
        <v>14179.199999999999</v>
      </c>
      <c r="V93" s="106">
        <v>4</v>
      </c>
      <c r="W93" s="106">
        <v>7089.5999999999995</v>
      </c>
      <c r="X93" s="106">
        <v>7</v>
      </c>
      <c r="Y93" s="106">
        <v>12406.8</v>
      </c>
      <c r="Z93" s="106">
        <v>8</v>
      </c>
      <c r="AA93" s="106">
        <v>14179.199999999999</v>
      </c>
      <c r="AB93" s="106">
        <v>10</v>
      </c>
      <c r="AC93" s="106">
        <v>17724</v>
      </c>
      <c r="AD93" s="106">
        <v>11</v>
      </c>
      <c r="AE93" s="106">
        <v>19496.399999999998</v>
      </c>
      <c r="AF93" s="106">
        <v>12</v>
      </c>
      <c r="AG93" s="106">
        <v>21268.799999999999</v>
      </c>
      <c r="AH93" s="106">
        <v>15</v>
      </c>
      <c r="AI93" s="106">
        <v>26585.999999999996</v>
      </c>
      <c r="AJ93" s="106">
        <v>7</v>
      </c>
      <c r="AK93" s="106">
        <v>12406.8</v>
      </c>
      <c r="AL93" s="106">
        <v>7</v>
      </c>
      <c r="AM93" s="106">
        <v>12406.8</v>
      </c>
      <c r="AN93" s="106">
        <v>8</v>
      </c>
      <c r="AO93" s="106">
        <v>14179.199999999999</v>
      </c>
      <c r="AP93" s="106">
        <v>10</v>
      </c>
      <c r="AQ93" s="106">
        <v>17724</v>
      </c>
      <c r="AR93" s="106">
        <v>24</v>
      </c>
      <c r="AS93" s="106">
        <v>42537.599999999999</v>
      </c>
      <c r="AT93" s="106">
        <v>27</v>
      </c>
      <c r="AU93" s="106">
        <v>47854.799999999996</v>
      </c>
      <c r="AV93" s="106">
        <v>23</v>
      </c>
      <c r="AW93" s="106">
        <v>40765.199999999997</v>
      </c>
      <c r="AX93" s="106">
        <v>19</v>
      </c>
      <c r="AY93" s="106">
        <v>33675.599999999999</v>
      </c>
      <c r="AZ93" s="106">
        <v>4</v>
      </c>
      <c r="BA93" s="106">
        <v>7089.5999999999995</v>
      </c>
      <c r="BB93" s="106">
        <v>3</v>
      </c>
      <c r="BC93" s="106">
        <v>5317.2</v>
      </c>
      <c r="BD93" s="106">
        <v>5</v>
      </c>
      <c r="BE93" s="106">
        <v>8862</v>
      </c>
      <c r="BF93" s="106">
        <v>4</v>
      </c>
      <c r="BG93" s="106">
        <v>7089.5999999999995</v>
      </c>
      <c r="BH93" s="106">
        <v>8</v>
      </c>
      <c r="BI93" s="106">
        <v>14179.199999999999</v>
      </c>
      <c r="BJ93" s="106">
        <v>8</v>
      </c>
      <c r="BK93" s="106">
        <v>14179.199999999999</v>
      </c>
      <c r="BL93" s="106">
        <v>9</v>
      </c>
      <c r="BM93" s="106">
        <v>15951.599999999999</v>
      </c>
      <c r="BN93" s="106">
        <v>10</v>
      </c>
      <c r="BO93" s="106">
        <v>17724</v>
      </c>
      <c r="BP93" s="106">
        <v>25</v>
      </c>
      <c r="BQ93" s="106">
        <v>44310</v>
      </c>
      <c r="BR93" s="106">
        <v>19</v>
      </c>
      <c r="BS93" s="106">
        <v>33675.599999999999</v>
      </c>
      <c r="BT93" s="106">
        <v>11</v>
      </c>
      <c r="BU93" s="106">
        <v>19496.399999999998</v>
      </c>
      <c r="BV93" s="106">
        <v>17</v>
      </c>
      <c r="BW93" s="106">
        <v>30130.799999999999</v>
      </c>
      <c r="BX93" s="106">
        <v>9</v>
      </c>
      <c r="BY93" s="106">
        <v>15951.599999999999</v>
      </c>
      <c r="BZ93" s="106">
        <v>11</v>
      </c>
      <c r="CA93" s="106">
        <v>19496.399999999998</v>
      </c>
      <c r="CB93" s="106">
        <v>10</v>
      </c>
      <c r="CC93" s="106">
        <v>17724</v>
      </c>
      <c r="CD93" s="106">
        <v>9</v>
      </c>
      <c r="CE93" s="106">
        <v>15951.599999999999</v>
      </c>
      <c r="CF93" s="106">
        <v>5</v>
      </c>
      <c r="CG93" s="106">
        <v>8862</v>
      </c>
      <c r="CH93" s="106">
        <v>5</v>
      </c>
      <c r="CI93" s="106">
        <v>8862</v>
      </c>
      <c r="CJ93" s="106">
        <v>3</v>
      </c>
      <c r="CK93" s="106">
        <v>5317.2</v>
      </c>
      <c r="CL93" s="106">
        <v>6</v>
      </c>
      <c r="CM93" s="106">
        <v>10634.4</v>
      </c>
      <c r="CN93" s="106">
        <v>4</v>
      </c>
      <c r="CO93" s="106">
        <v>7089.5999999999995</v>
      </c>
      <c r="CP93" s="106">
        <v>3</v>
      </c>
      <c r="CQ93" s="106">
        <v>5317.2</v>
      </c>
      <c r="CR93" s="106">
        <v>3</v>
      </c>
      <c r="CS93" s="106">
        <v>5317.2</v>
      </c>
      <c r="CT93" s="106">
        <v>4</v>
      </c>
      <c r="CU93" s="106">
        <v>7089.5999999999995</v>
      </c>
    </row>
    <row r="94" spans="2:99" x14ac:dyDescent="0.2">
      <c r="C94" s="105" t="s">
        <v>260</v>
      </c>
      <c r="D94" s="106">
        <v>5</v>
      </c>
      <c r="E94" s="106">
        <v>11976</v>
      </c>
      <c r="F94" s="106">
        <v>3</v>
      </c>
      <c r="G94" s="106">
        <v>7185.5999999999995</v>
      </c>
      <c r="H94" s="106">
        <v>4</v>
      </c>
      <c r="I94" s="106">
        <v>9580.7999999999993</v>
      </c>
      <c r="J94" s="106">
        <v>4</v>
      </c>
      <c r="K94" s="106">
        <v>9580.7999999999993</v>
      </c>
      <c r="L94" s="106">
        <v>5</v>
      </c>
      <c r="M94" s="106">
        <v>11976</v>
      </c>
      <c r="N94" s="106">
        <v>6</v>
      </c>
      <c r="O94" s="106">
        <v>14371.199999999999</v>
      </c>
      <c r="P94" s="106">
        <v>5</v>
      </c>
      <c r="Q94" s="106">
        <v>11976</v>
      </c>
      <c r="R94" s="106">
        <v>7</v>
      </c>
      <c r="S94" s="106">
        <v>16766.399999999998</v>
      </c>
      <c r="T94" s="106">
        <v>6</v>
      </c>
      <c r="U94" s="106">
        <v>14371.199999999999</v>
      </c>
      <c r="V94" s="106">
        <v>5</v>
      </c>
      <c r="W94" s="106">
        <v>11976</v>
      </c>
      <c r="X94" s="106">
        <v>6</v>
      </c>
      <c r="Y94" s="106">
        <v>14371.199999999999</v>
      </c>
      <c r="Z94" s="106">
        <v>8</v>
      </c>
      <c r="AA94" s="106">
        <v>19161.599999999999</v>
      </c>
      <c r="AB94" s="106">
        <v>10</v>
      </c>
      <c r="AC94" s="106">
        <v>23952</v>
      </c>
      <c r="AD94" s="106">
        <v>10</v>
      </c>
      <c r="AE94" s="106">
        <v>23952</v>
      </c>
      <c r="AF94" s="106">
        <v>11</v>
      </c>
      <c r="AG94" s="106">
        <v>26347.199999999997</v>
      </c>
      <c r="AH94" s="106">
        <v>13</v>
      </c>
      <c r="AI94" s="106">
        <v>31137.599999999999</v>
      </c>
      <c r="AJ94" s="106">
        <v>7</v>
      </c>
      <c r="AK94" s="106">
        <v>16766.399999999998</v>
      </c>
      <c r="AL94" s="106">
        <v>7</v>
      </c>
      <c r="AM94" s="106">
        <v>16766.399999999998</v>
      </c>
      <c r="AN94" s="106">
        <v>8</v>
      </c>
      <c r="AO94" s="106">
        <v>19161.599999999999</v>
      </c>
      <c r="AP94" s="106">
        <v>9</v>
      </c>
      <c r="AQ94" s="106">
        <v>21556.799999999999</v>
      </c>
      <c r="AR94" s="106">
        <v>21</v>
      </c>
      <c r="AS94" s="106">
        <v>50299.199999999997</v>
      </c>
      <c r="AT94" s="106">
        <v>24</v>
      </c>
      <c r="AU94" s="106">
        <v>57484.799999999996</v>
      </c>
      <c r="AV94" s="106">
        <v>23</v>
      </c>
      <c r="AW94" s="106">
        <v>55089.599999999999</v>
      </c>
      <c r="AX94" s="106">
        <v>17</v>
      </c>
      <c r="AY94" s="106">
        <v>40718.399999999994</v>
      </c>
      <c r="AZ94" s="106">
        <v>4</v>
      </c>
      <c r="BA94" s="106">
        <v>9580.7999999999993</v>
      </c>
      <c r="BB94" s="106">
        <v>3</v>
      </c>
      <c r="BC94" s="106">
        <v>7185.5999999999995</v>
      </c>
      <c r="BD94" s="106">
        <v>5</v>
      </c>
      <c r="BE94" s="106">
        <v>11976</v>
      </c>
      <c r="BF94" s="106">
        <v>4</v>
      </c>
      <c r="BG94" s="106">
        <v>9580.7999999999993</v>
      </c>
      <c r="BH94" s="106">
        <v>7</v>
      </c>
      <c r="BI94" s="106">
        <v>16766.399999999998</v>
      </c>
      <c r="BJ94" s="106">
        <v>6</v>
      </c>
      <c r="BK94" s="106">
        <v>14371.199999999999</v>
      </c>
      <c r="BL94" s="106">
        <v>9</v>
      </c>
      <c r="BM94" s="106">
        <v>21556.799999999999</v>
      </c>
      <c r="BN94" s="106">
        <v>9</v>
      </c>
      <c r="BO94" s="106">
        <v>21556.799999999999</v>
      </c>
      <c r="BP94" s="106">
        <v>20</v>
      </c>
      <c r="BQ94" s="106">
        <v>47904</v>
      </c>
      <c r="BR94" s="106">
        <v>16</v>
      </c>
      <c r="BS94" s="106">
        <v>38323.199999999997</v>
      </c>
      <c r="BT94" s="106">
        <v>11</v>
      </c>
      <c r="BU94" s="106">
        <v>26347.199999999997</v>
      </c>
      <c r="BV94" s="106">
        <v>19</v>
      </c>
      <c r="BW94" s="106">
        <v>45508.799999999996</v>
      </c>
      <c r="BX94" s="106">
        <v>9</v>
      </c>
      <c r="BY94" s="106">
        <v>21556.799999999999</v>
      </c>
      <c r="BZ94" s="106">
        <v>10</v>
      </c>
      <c r="CA94" s="106">
        <v>23952</v>
      </c>
      <c r="CB94" s="106">
        <v>9</v>
      </c>
      <c r="CC94" s="106">
        <v>21556.799999999999</v>
      </c>
      <c r="CD94" s="106">
        <v>10</v>
      </c>
      <c r="CE94" s="106">
        <v>23952</v>
      </c>
      <c r="CF94" s="106">
        <v>4</v>
      </c>
      <c r="CG94" s="106">
        <v>9580.7999999999993</v>
      </c>
      <c r="CH94" s="106">
        <v>5</v>
      </c>
      <c r="CI94" s="106">
        <v>11976</v>
      </c>
      <c r="CJ94" s="106">
        <v>3</v>
      </c>
      <c r="CK94" s="106">
        <v>7185.5999999999995</v>
      </c>
      <c r="CL94" s="106">
        <v>5</v>
      </c>
      <c r="CM94" s="106">
        <v>11976</v>
      </c>
      <c r="CN94" s="106">
        <v>4</v>
      </c>
      <c r="CO94" s="106">
        <v>9580.7999999999993</v>
      </c>
      <c r="CP94" s="106">
        <v>3</v>
      </c>
      <c r="CQ94" s="106">
        <v>7185.5999999999995</v>
      </c>
      <c r="CR94" s="106">
        <v>4</v>
      </c>
      <c r="CS94" s="106">
        <v>9580.7999999999993</v>
      </c>
      <c r="CT94" s="106">
        <v>3</v>
      </c>
      <c r="CU94" s="106">
        <v>7185.5999999999995</v>
      </c>
    </row>
    <row r="95" spans="2:99" x14ac:dyDescent="0.2">
      <c r="B95" s="105" t="s">
        <v>132</v>
      </c>
      <c r="C95" s="105" t="s">
        <v>261</v>
      </c>
      <c r="D95" s="106">
        <v>9</v>
      </c>
      <c r="E95" s="106">
        <v>15595.199999999999</v>
      </c>
      <c r="F95" s="106">
        <v>15</v>
      </c>
      <c r="G95" s="106">
        <v>25992</v>
      </c>
      <c r="H95" s="106">
        <v>13</v>
      </c>
      <c r="I95" s="106">
        <v>22526.399999999998</v>
      </c>
      <c r="J95" s="106">
        <v>9</v>
      </c>
      <c r="K95" s="106">
        <v>15595.199999999999</v>
      </c>
      <c r="L95" s="106">
        <v>22</v>
      </c>
      <c r="M95" s="106">
        <v>38121.599999999999</v>
      </c>
      <c r="N95" s="106">
        <v>27</v>
      </c>
      <c r="O95" s="106">
        <v>46785.599999999999</v>
      </c>
      <c r="P95" s="106">
        <v>35</v>
      </c>
      <c r="Q95" s="106">
        <v>60648</v>
      </c>
      <c r="R95" s="106">
        <v>37</v>
      </c>
      <c r="S95" s="106">
        <v>64113.599999999999</v>
      </c>
      <c r="T95" s="106">
        <v>15</v>
      </c>
      <c r="U95" s="106">
        <v>25992</v>
      </c>
      <c r="V95" s="106">
        <v>15</v>
      </c>
      <c r="W95" s="106">
        <v>25992</v>
      </c>
      <c r="X95" s="106">
        <v>17</v>
      </c>
      <c r="Y95" s="106">
        <v>29457.599999999999</v>
      </c>
      <c r="Z95" s="106">
        <v>15</v>
      </c>
      <c r="AA95" s="106">
        <v>25992</v>
      </c>
      <c r="AB95" s="106">
        <v>8</v>
      </c>
      <c r="AC95" s="106">
        <v>13862.4</v>
      </c>
      <c r="AD95" s="106">
        <v>5</v>
      </c>
      <c r="AE95" s="106">
        <v>8664</v>
      </c>
      <c r="AF95" s="106">
        <v>5</v>
      </c>
      <c r="AG95" s="106">
        <v>8664</v>
      </c>
      <c r="AH95" s="106">
        <v>5</v>
      </c>
      <c r="AI95" s="106">
        <v>8664</v>
      </c>
      <c r="AJ95" s="106">
        <v>7</v>
      </c>
      <c r="AK95" s="106">
        <v>12129.6</v>
      </c>
      <c r="AL95" s="106">
        <v>7</v>
      </c>
      <c r="AM95" s="106">
        <v>12129.6</v>
      </c>
      <c r="AN95" s="106">
        <v>9</v>
      </c>
      <c r="AO95" s="106">
        <v>15595.199999999999</v>
      </c>
      <c r="AP95" s="106">
        <v>7</v>
      </c>
      <c r="AQ95" s="106">
        <v>12129.6</v>
      </c>
      <c r="AR95" s="106">
        <v>4</v>
      </c>
      <c r="AS95" s="106">
        <v>6931.2</v>
      </c>
      <c r="AT95" s="106">
        <v>3</v>
      </c>
      <c r="AU95" s="106">
        <v>5198.3999999999996</v>
      </c>
      <c r="AV95" s="106">
        <v>3</v>
      </c>
      <c r="AW95" s="106">
        <v>5198.3999999999996</v>
      </c>
      <c r="AX95" s="106">
        <v>3</v>
      </c>
      <c r="AY95" s="106">
        <v>5198.3999999999996</v>
      </c>
      <c r="AZ95" s="106">
        <v>8</v>
      </c>
      <c r="BA95" s="106">
        <v>13862.4</v>
      </c>
      <c r="BB95" s="106">
        <v>9</v>
      </c>
      <c r="BC95" s="106">
        <v>15595.199999999999</v>
      </c>
      <c r="BD95" s="106">
        <v>6</v>
      </c>
      <c r="BE95" s="106">
        <v>10396.799999999999</v>
      </c>
      <c r="BF95" s="106">
        <v>9</v>
      </c>
      <c r="BG95" s="106">
        <v>15595.199999999999</v>
      </c>
      <c r="BH95" s="106">
        <v>8</v>
      </c>
      <c r="BI95" s="106">
        <v>13862.4</v>
      </c>
      <c r="BJ95" s="106">
        <v>6</v>
      </c>
      <c r="BK95" s="106">
        <v>10396.799999999999</v>
      </c>
      <c r="BL95" s="106">
        <v>8</v>
      </c>
      <c r="BM95" s="106">
        <v>13862.4</v>
      </c>
      <c r="BN95" s="106">
        <v>8</v>
      </c>
      <c r="BO95" s="106">
        <v>13862.4</v>
      </c>
      <c r="BP95" s="106">
        <v>3</v>
      </c>
      <c r="BQ95" s="106">
        <v>5198.3999999999996</v>
      </c>
      <c r="BR95" s="106">
        <v>4</v>
      </c>
      <c r="BS95" s="106">
        <v>6931.2</v>
      </c>
      <c r="BT95" s="106">
        <v>5</v>
      </c>
      <c r="BU95" s="106">
        <v>8664</v>
      </c>
      <c r="BV95" s="106">
        <v>5</v>
      </c>
      <c r="BW95" s="106">
        <v>8664</v>
      </c>
      <c r="BX95" s="106">
        <v>6</v>
      </c>
      <c r="BY95" s="106">
        <v>10396.799999999999</v>
      </c>
      <c r="BZ95" s="106">
        <v>10</v>
      </c>
      <c r="CA95" s="106">
        <v>17328</v>
      </c>
      <c r="CB95" s="106">
        <v>8</v>
      </c>
      <c r="CC95" s="106">
        <v>13862.4</v>
      </c>
      <c r="CD95" s="106">
        <v>6</v>
      </c>
      <c r="CE95" s="106">
        <v>10396.799999999999</v>
      </c>
      <c r="CF95" s="106">
        <v>6</v>
      </c>
      <c r="CG95" s="106">
        <v>10396.799999999999</v>
      </c>
      <c r="CH95" s="106">
        <v>4</v>
      </c>
      <c r="CI95" s="106">
        <v>6931.2</v>
      </c>
      <c r="CJ95" s="106">
        <v>4</v>
      </c>
      <c r="CK95" s="106">
        <v>6931.2</v>
      </c>
      <c r="CL95" s="106">
        <v>6</v>
      </c>
      <c r="CM95" s="106">
        <v>10396.799999999999</v>
      </c>
      <c r="CN95" s="106">
        <v>8</v>
      </c>
      <c r="CO95" s="106">
        <v>13862.4</v>
      </c>
      <c r="CP95" s="106">
        <v>10</v>
      </c>
      <c r="CQ95" s="106">
        <v>17328</v>
      </c>
      <c r="CR95" s="106">
        <v>10</v>
      </c>
      <c r="CS95" s="106">
        <v>17328</v>
      </c>
      <c r="CT95" s="106">
        <v>8</v>
      </c>
      <c r="CU95" s="106">
        <v>13862.4</v>
      </c>
    </row>
    <row r="96" spans="2:99" x14ac:dyDescent="0.2">
      <c r="C96" s="105" t="s">
        <v>262</v>
      </c>
      <c r="D96" s="106">
        <v>9</v>
      </c>
      <c r="E96" s="106">
        <v>7408.7999999999993</v>
      </c>
      <c r="F96" s="106">
        <v>16</v>
      </c>
      <c r="G96" s="106">
        <v>13171.199999999999</v>
      </c>
      <c r="H96" s="106">
        <v>13</v>
      </c>
      <c r="I96" s="106">
        <v>10701.599999999999</v>
      </c>
      <c r="J96" s="106">
        <v>10</v>
      </c>
      <c r="K96" s="106">
        <v>8232</v>
      </c>
      <c r="L96" s="106">
        <v>26</v>
      </c>
      <c r="M96" s="106">
        <v>21403.199999999997</v>
      </c>
      <c r="N96" s="106">
        <v>30</v>
      </c>
      <c r="O96" s="106">
        <v>24695.999999999996</v>
      </c>
      <c r="P96" s="106">
        <v>38</v>
      </c>
      <c r="Q96" s="106">
        <v>31281.599999999999</v>
      </c>
      <c r="R96" s="106">
        <v>44</v>
      </c>
      <c r="S96" s="106">
        <v>36220.799999999996</v>
      </c>
      <c r="T96" s="106">
        <v>20</v>
      </c>
      <c r="U96" s="106">
        <v>16464</v>
      </c>
      <c r="V96" s="106">
        <v>17</v>
      </c>
      <c r="W96" s="106">
        <v>13994.4</v>
      </c>
      <c r="X96" s="106">
        <v>20</v>
      </c>
      <c r="Y96" s="106">
        <v>16464</v>
      </c>
      <c r="Z96" s="106">
        <v>14</v>
      </c>
      <c r="AA96" s="106">
        <v>11524.8</v>
      </c>
      <c r="AB96" s="106">
        <v>8</v>
      </c>
      <c r="AC96" s="106">
        <v>6585.5999999999995</v>
      </c>
      <c r="AD96" s="106">
        <v>5</v>
      </c>
      <c r="AE96" s="106">
        <v>4116</v>
      </c>
      <c r="AF96" s="106">
        <v>6</v>
      </c>
      <c r="AG96" s="106">
        <v>4939.2</v>
      </c>
      <c r="AH96" s="106">
        <v>5</v>
      </c>
      <c r="AI96" s="106">
        <v>4116</v>
      </c>
      <c r="AJ96" s="106">
        <v>9</v>
      </c>
      <c r="AK96" s="106">
        <v>7408.7999999999993</v>
      </c>
      <c r="AL96" s="106">
        <v>6</v>
      </c>
      <c r="AM96" s="106">
        <v>4939.2</v>
      </c>
      <c r="AN96" s="106">
        <v>11</v>
      </c>
      <c r="AO96" s="106">
        <v>9055.1999999999989</v>
      </c>
      <c r="AP96" s="106">
        <v>8</v>
      </c>
      <c r="AQ96" s="106">
        <v>6585.5999999999995</v>
      </c>
      <c r="AR96" s="106">
        <v>5</v>
      </c>
      <c r="AS96" s="106">
        <v>4116</v>
      </c>
      <c r="AT96" s="106">
        <v>3</v>
      </c>
      <c r="AU96" s="106">
        <v>2469.6</v>
      </c>
      <c r="AV96" s="106">
        <v>3</v>
      </c>
      <c r="AW96" s="106">
        <v>2469.6</v>
      </c>
      <c r="AX96" s="106">
        <v>3</v>
      </c>
      <c r="AY96" s="106">
        <v>2469.6</v>
      </c>
      <c r="AZ96" s="106">
        <v>8</v>
      </c>
      <c r="BA96" s="106">
        <v>6585.5999999999995</v>
      </c>
      <c r="BB96" s="106">
        <v>10</v>
      </c>
      <c r="BC96" s="106">
        <v>8232</v>
      </c>
      <c r="BD96" s="106">
        <v>7</v>
      </c>
      <c r="BE96" s="106">
        <v>5762.4</v>
      </c>
      <c r="BF96" s="106">
        <v>10</v>
      </c>
      <c r="BG96" s="106">
        <v>8232</v>
      </c>
      <c r="BH96" s="106">
        <v>7</v>
      </c>
      <c r="BI96" s="106">
        <v>5762.4</v>
      </c>
      <c r="BJ96" s="106">
        <v>7</v>
      </c>
      <c r="BK96" s="106">
        <v>5762.4</v>
      </c>
      <c r="BL96" s="106">
        <v>10</v>
      </c>
      <c r="BM96" s="106">
        <v>8232</v>
      </c>
      <c r="BN96" s="106">
        <v>8</v>
      </c>
      <c r="BO96" s="106">
        <v>6585.5999999999995</v>
      </c>
      <c r="BP96" s="106">
        <v>4</v>
      </c>
      <c r="BQ96" s="106">
        <v>3292.7999999999997</v>
      </c>
      <c r="BR96" s="106">
        <v>4</v>
      </c>
      <c r="BS96" s="106">
        <v>3292.7999999999997</v>
      </c>
      <c r="BT96" s="106">
        <v>5</v>
      </c>
      <c r="BU96" s="106">
        <v>4116</v>
      </c>
      <c r="BV96" s="106">
        <v>5</v>
      </c>
      <c r="BW96" s="106">
        <v>4116</v>
      </c>
      <c r="BX96" s="106">
        <v>6</v>
      </c>
      <c r="BY96" s="106">
        <v>4939.2</v>
      </c>
      <c r="BZ96" s="106">
        <v>12</v>
      </c>
      <c r="CA96" s="106">
        <v>9878.4</v>
      </c>
      <c r="CB96" s="106">
        <v>9</v>
      </c>
      <c r="CC96" s="106">
        <v>7408.7999999999993</v>
      </c>
      <c r="CD96" s="106">
        <v>7</v>
      </c>
      <c r="CE96" s="106">
        <v>5762.4</v>
      </c>
      <c r="CF96" s="106">
        <v>7</v>
      </c>
      <c r="CG96" s="106">
        <v>5762.4</v>
      </c>
      <c r="CH96" s="106">
        <v>4</v>
      </c>
      <c r="CI96" s="106">
        <v>3292.7999999999997</v>
      </c>
      <c r="CJ96" s="106">
        <v>5</v>
      </c>
      <c r="CK96" s="106">
        <v>4116</v>
      </c>
      <c r="CL96" s="106">
        <v>7</v>
      </c>
      <c r="CM96" s="106">
        <v>5762.4</v>
      </c>
      <c r="CN96" s="106">
        <v>9</v>
      </c>
      <c r="CO96" s="106">
        <v>7408.7999999999993</v>
      </c>
      <c r="CP96" s="106">
        <v>11</v>
      </c>
      <c r="CQ96" s="106">
        <v>9055.1999999999989</v>
      </c>
      <c r="CR96" s="106">
        <v>10</v>
      </c>
      <c r="CS96" s="106">
        <v>8232</v>
      </c>
      <c r="CT96" s="106">
        <v>8</v>
      </c>
      <c r="CU96" s="106">
        <v>6585.5999999999995</v>
      </c>
    </row>
    <row r="97" spans="2:99" x14ac:dyDescent="0.2">
      <c r="C97" s="105" t="s">
        <v>263</v>
      </c>
      <c r="D97" s="106">
        <v>9</v>
      </c>
      <c r="E97" s="106">
        <v>16459.2</v>
      </c>
      <c r="F97" s="106">
        <v>14</v>
      </c>
      <c r="G97" s="106">
        <v>25603.200000000001</v>
      </c>
      <c r="H97" s="106">
        <v>13</v>
      </c>
      <c r="I97" s="106">
        <v>23774.399999999998</v>
      </c>
      <c r="J97" s="106">
        <v>8</v>
      </c>
      <c r="K97" s="106">
        <v>14630.4</v>
      </c>
      <c r="L97" s="106">
        <v>20</v>
      </c>
      <c r="M97" s="106">
        <v>36576</v>
      </c>
      <c r="N97" s="106">
        <v>23</v>
      </c>
      <c r="O97" s="106">
        <v>42062.400000000001</v>
      </c>
      <c r="P97" s="106">
        <v>32</v>
      </c>
      <c r="Q97" s="106">
        <v>58521.599999999999</v>
      </c>
      <c r="R97" s="106">
        <v>33</v>
      </c>
      <c r="S97" s="106">
        <v>60350.400000000001</v>
      </c>
      <c r="T97" s="106">
        <v>16</v>
      </c>
      <c r="U97" s="106">
        <v>29260.799999999999</v>
      </c>
      <c r="V97" s="106">
        <v>14</v>
      </c>
      <c r="W97" s="106">
        <v>25603.200000000001</v>
      </c>
      <c r="X97" s="106">
        <v>16</v>
      </c>
      <c r="Y97" s="106">
        <v>29260.799999999999</v>
      </c>
      <c r="Z97" s="106">
        <v>15</v>
      </c>
      <c r="AA97" s="106">
        <v>27432</v>
      </c>
      <c r="AB97" s="106">
        <v>8</v>
      </c>
      <c r="AC97" s="106">
        <v>14630.4</v>
      </c>
      <c r="AD97" s="106">
        <v>5</v>
      </c>
      <c r="AE97" s="106">
        <v>9144</v>
      </c>
      <c r="AF97" s="106">
        <v>5</v>
      </c>
      <c r="AG97" s="106">
        <v>9144</v>
      </c>
      <c r="AH97" s="106">
        <v>4</v>
      </c>
      <c r="AI97" s="106">
        <v>7315.2</v>
      </c>
      <c r="AJ97" s="106">
        <v>8</v>
      </c>
      <c r="AK97" s="106">
        <v>14630.4</v>
      </c>
      <c r="AL97" s="106">
        <v>6</v>
      </c>
      <c r="AM97" s="106">
        <v>10972.8</v>
      </c>
      <c r="AN97" s="106">
        <v>10</v>
      </c>
      <c r="AO97" s="106">
        <v>18288</v>
      </c>
      <c r="AP97" s="106">
        <v>7</v>
      </c>
      <c r="AQ97" s="106">
        <v>12801.6</v>
      </c>
      <c r="AR97" s="106">
        <v>4</v>
      </c>
      <c r="AS97" s="106">
        <v>7315.2</v>
      </c>
      <c r="AT97" s="106">
        <v>4</v>
      </c>
      <c r="AU97" s="106">
        <v>7315.2</v>
      </c>
      <c r="AV97" s="106">
        <v>3</v>
      </c>
      <c r="AW97" s="106">
        <v>5486.4</v>
      </c>
      <c r="AX97" s="106">
        <v>3</v>
      </c>
      <c r="AY97" s="106">
        <v>5486.4</v>
      </c>
      <c r="AZ97" s="106">
        <v>8</v>
      </c>
      <c r="BA97" s="106">
        <v>14630.4</v>
      </c>
      <c r="BB97" s="106">
        <v>9</v>
      </c>
      <c r="BC97" s="106">
        <v>16459.2</v>
      </c>
      <c r="BD97" s="106">
        <v>6</v>
      </c>
      <c r="BE97" s="106">
        <v>10972.8</v>
      </c>
      <c r="BF97" s="106">
        <v>9</v>
      </c>
      <c r="BG97" s="106">
        <v>16459.2</v>
      </c>
      <c r="BH97" s="106">
        <v>7</v>
      </c>
      <c r="BI97" s="106">
        <v>12801.6</v>
      </c>
      <c r="BJ97" s="106">
        <v>6</v>
      </c>
      <c r="BK97" s="106">
        <v>10972.8</v>
      </c>
      <c r="BL97" s="106">
        <v>8</v>
      </c>
      <c r="BM97" s="106">
        <v>14630.4</v>
      </c>
      <c r="BN97" s="106">
        <v>8</v>
      </c>
      <c r="BO97" s="106">
        <v>14630.4</v>
      </c>
      <c r="BP97" s="106">
        <v>4</v>
      </c>
      <c r="BQ97" s="106">
        <v>7315.2</v>
      </c>
      <c r="BR97" s="106">
        <v>3</v>
      </c>
      <c r="BS97" s="106">
        <v>5486.4</v>
      </c>
      <c r="BT97" s="106">
        <v>4</v>
      </c>
      <c r="BU97" s="106">
        <v>7315.2</v>
      </c>
      <c r="BV97" s="106">
        <v>5</v>
      </c>
      <c r="BW97" s="106">
        <v>9144</v>
      </c>
      <c r="BX97" s="106">
        <v>6</v>
      </c>
      <c r="BY97" s="106">
        <v>10972.8</v>
      </c>
      <c r="BZ97" s="106">
        <v>11</v>
      </c>
      <c r="CA97" s="106">
        <v>20116.8</v>
      </c>
      <c r="CB97" s="106">
        <v>7</v>
      </c>
      <c r="CC97" s="106">
        <v>12801.6</v>
      </c>
      <c r="CD97" s="106">
        <v>6</v>
      </c>
      <c r="CE97" s="106">
        <v>10972.8</v>
      </c>
      <c r="CF97" s="106">
        <v>6</v>
      </c>
      <c r="CG97" s="106">
        <v>10972.8</v>
      </c>
      <c r="CH97" s="106">
        <v>4</v>
      </c>
      <c r="CI97" s="106">
        <v>7315.2</v>
      </c>
      <c r="CJ97" s="106">
        <v>4</v>
      </c>
      <c r="CK97" s="106">
        <v>7315.2</v>
      </c>
      <c r="CL97" s="106">
        <v>6</v>
      </c>
      <c r="CM97" s="106">
        <v>10972.8</v>
      </c>
      <c r="CN97" s="106">
        <v>7</v>
      </c>
      <c r="CO97" s="106">
        <v>12801.6</v>
      </c>
      <c r="CP97" s="106">
        <v>10</v>
      </c>
      <c r="CQ97" s="106">
        <v>18288</v>
      </c>
      <c r="CR97" s="106">
        <v>10</v>
      </c>
      <c r="CS97" s="106">
        <v>18288</v>
      </c>
      <c r="CT97" s="106">
        <v>8</v>
      </c>
      <c r="CU97" s="106">
        <v>14630.4</v>
      </c>
    </row>
    <row r="98" spans="2:99" x14ac:dyDescent="0.2">
      <c r="C98" s="105" t="s">
        <v>264</v>
      </c>
      <c r="D98" s="106">
        <v>10</v>
      </c>
      <c r="E98" s="106">
        <v>12636</v>
      </c>
      <c r="F98" s="106">
        <v>16</v>
      </c>
      <c r="G98" s="106">
        <v>20217.599999999999</v>
      </c>
      <c r="H98" s="106">
        <v>12</v>
      </c>
      <c r="I98" s="106">
        <v>15163.199999999999</v>
      </c>
      <c r="J98" s="106">
        <v>10</v>
      </c>
      <c r="K98" s="106">
        <v>12636</v>
      </c>
      <c r="L98" s="106">
        <v>21</v>
      </c>
      <c r="M98" s="106">
        <v>26535.599999999999</v>
      </c>
      <c r="N98" s="106">
        <v>30</v>
      </c>
      <c r="O98" s="106">
        <v>37908</v>
      </c>
      <c r="P98" s="106">
        <v>42</v>
      </c>
      <c r="Q98" s="106">
        <v>53071.199999999997</v>
      </c>
      <c r="R98" s="106">
        <v>40</v>
      </c>
      <c r="S98" s="106">
        <v>50544</v>
      </c>
      <c r="T98" s="106">
        <v>19</v>
      </c>
      <c r="U98" s="106">
        <v>24008.399999999998</v>
      </c>
      <c r="V98" s="106">
        <v>14</v>
      </c>
      <c r="W98" s="106">
        <v>17690.399999999998</v>
      </c>
      <c r="X98" s="106">
        <v>19</v>
      </c>
      <c r="Y98" s="106">
        <v>24008.399999999998</v>
      </c>
      <c r="Z98" s="106">
        <v>15</v>
      </c>
      <c r="AA98" s="106">
        <v>18954</v>
      </c>
      <c r="AB98" s="106">
        <v>9</v>
      </c>
      <c r="AC98" s="106">
        <v>11372.4</v>
      </c>
      <c r="AD98" s="106">
        <v>5</v>
      </c>
      <c r="AE98" s="106">
        <v>6318</v>
      </c>
      <c r="AF98" s="106">
        <v>5</v>
      </c>
      <c r="AG98" s="106">
        <v>6318</v>
      </c>
      <c r="AH98" s="106">
        <v>5</v>
      </c>
      <c r="AI98" s="106">
        <v>6318</v>
      </c>
      <c r="AJ98" s="106">
        <v>7</v>
      </c>
      <c r="AK98" s="106">
        <v>8845.1999999999989</v>
      </c>
      <c r="AL98" s="106">
        <v>7</v>
      </c>
      <c r="AM98" s="106">
        <v>8845.1999999999989</v>
      </c>
      <c r="AN98" s="106">
        <v>10</v>
      </c>
      <c r="AO98" s="106">
        <v>12636</v>
      </c>
      <c r="AP98" s="106">
        <v>7</v>
      </c>
      <c r="AQ98" s="106">
        <v>8845.1999999999989</v>
      </c>
      <c r="AR98" s="106">
        <v>4</v>
      </c>
      <c r="AS98" s="106">
        <v>5054.3999999999996</v>
      </c>
      <c r="AT98" s="106">
        <v>3</v>
      </c>
      <c r="AU98" s="106">
        <v>3790.7999999999997</v>
      </c>
      <c r="AV98" s="106">
        <v>3</v>
      </c>
      <c r="AW98" s="106">
        <v>3790.7999999999997</v>
      </c>
      <c r="AX98" s="106">
        <v>3</v>
      </c>
      <c r="AY98" s="106">
        <v>3790.7999999999997</v>
      </c>
      <c r="AZ98" s="106">
        <v>9</v>
      </c>
      <c r="BA98" s="106">
        <v>11372.4</v>
      </c>
      <c r="BB98" s="106">
        <v>10</v>
      </c>
      <c r="BC98" s="106">
        <v>12636</v>
      </c>
      <c r="BD98" s="106">
        <v>6</v>
      </c>
      <c r="BE98" s="106">
        <v>7581.5999999999995</v>
      </c>
      <c r="BF98" s="106">
        <v>9</v>
      </c>
      <c r="BG98" s="106">
        <v>11372.4</v>
      </c>
      <c r="BH98" s="106">
        <v>7</v>
      </c>
      <c r="BI98" s="106">
        <v>8845.1999999999989</v>
      </c>
      <c r="BJ98" s="106">
        <v>6</v>
      </c>
      <c r="BK98" s="106">
        <v>7581.5999999999995</v>
      </c>
      <c r="BL98" s="106">
        <v>9</v>
      </c>
      <c r="BM98" s="106">
        <v>11372.4</v>
      </c>
      <c r="BN98" s="106">
        <v>8</v>
      </c>
      <c r="BO98" s="106">
        <v>10108.799999999999</v>
      </c>
      <c r="BP98" s="106">
        <v>4</v>
      </c>
      <c r="BQ98" s="106">
        <v>5054.3999999999996</v>
      </c>
      <c r="BR98" s="106">
        <v>4</v>
      </c>
      <c r="BS98" s="106">
        <v>5054.3999999999996</v>
      </c>
      <c r="BT98" s="106">
        <v>4</v>
      </c>
      <c r="BU98" s="106">
        <v>5054.3999999999996</v>
      </c>
      <c r="BV98" s="106">
        <v>6</v>
      </c>
      <c r="BW98" s="106">
        <v>7581.5999999999995</v>
      </c>
      <c r="BX98" s="106">
        <v>7</v>
      </c>
      <c r="BY98" s="106">
        <v>8845.1999999999989</v>
      </c>
      <c r="BZ98" s="106">
        <v>13</v>
      </c>
      <c r="CA98" s="106">
        <v>16426.8</v>
      </c>
      <c r="CB98" s="106">
        <v>7</v>
      </c>
      <c r="CC98" s="106">
        <v>8845.1999999999989</v>
      </c>
      <c r="CD98" s="106">
        <v>7</v>
      </c>
      <c r="CE98" s="106">
        <v>8845.1999999999989</v>
      </c>
      <c r="CF98" s="106">
        <v>6</v>
      </c>
      <c r="CG98" s="106">
        <v>7581.5999999999995</v>
      </c>
      <c r="CH98" s="106">
        <v>3</v>
      </c>
      <c r="CI98" s="106">
        <v>3790.7999999999997</v>
      </c>
      <c r="CJ98" s="106">
        <v>4</v>
      </c>
      <c r="CK98" s="106">
        <v>5054.3999999999996</v>
      </c>
      <c r="CL98" s="106">
        <v>7</v>
      </c>
      <c r="CM98" s="106">
        <v>8845.1999999999989</v>
      </c>
      <c r="CN98" s="106">
        <v>8</v>
      </c>
      <c r="CO98" s="106">
        <v>10108.799999999999</v>
      </c>
      <c r="CP98" s="106">
        <v>9</v>
      </c>
      <c r="CQ98" s="106">
        <v>11372.4</v>
      </c>
      <c r="CR98" s="106">
        <v>11</v>
      </c>
      <c r="CS98" s="106">
        <v>13899.599999999999</v>
      </c>
      <c r="CT98" s="106">
        <v>8</v>
      </c>
      <c r="CU98" s="106">
        <v>10108.799999999999</v>
      </c>
    </row>
    <row r="99" spans="2:99" x14ac:dyDescent="0.2">
      <c r="C99" s="105" t="s">
        <v>265</v>
      </c>
      <c r="D99" s="106">
        <v>6</v>
      </c>
      <c r="E99" s="106">
        <v>32889.599999999999</v>
      </c>
      <c r="F99" s="106">
        <v>9</v>
      </c>
      <c r="G99" s="106">
        <v>49334.399999999994</v>
      </c>
      <c r="H99" s="106">
        <v>9</v>
      </c>
      <c r="I99" s="106">
        <v>49334.399999999994</v>
      </c>
      <c r="J99" s="106">
        <v>6</v>
      </c>
      <c r="K99" s="106">
        <v>32889.599999999999</v>
      </c>
      <c r="L99" s="106">
        <v>13</v>
      </c>
      <c r="M99" s="106">
        <v>71260.799999999988</v>
      </c>
      <c r="N99" s="106">
        <v>16</v>
      </c>
      <c r="O99" s="106">
        <v>87705.599999999991</v>
      </c>
      <c r="P99" s="106">
        <v>20</v>
      </c>
      <c r="Q99" s="106">
        <v>109631.99999999999</v>
      </c>
      <c r="R99" s="106">
        <v>23</v>
      </c>
      <c r="S99" s="106">
        <v>126076.79999999999</v>
      </c>
      <c r="T99" s="106">
        <v>11</v>
      </c>
      <c r="U99" s="106">
        <v>60297.599999999991</v>
      </c>
      <c r="V99" s="106">
        <v>10</v>
      </c>
      <c r="W99" s="106">
        <v>54815.999999999993</v>
      </c>
      <c r="X99" s="106">
        <v>10</v>
      </c>
      <c r="Y99" s="106">
        <v>54815.999999999993</v>
      </c>
      <c r="Z99" s="106">
        <v>9</v>
      </c>
      <c r="AA99" s="106">
        <v>49334.399999999994</v>
      </c>
      <c r="AB99" s="106">
        <v>6</v>
      </c>
      <c r="AC99" s="106">
        <v>32889.599999999999</v>
      </c>
      <c r="AD99" s="106">
        <v>4</v>
      </c>
      <c r="AE99" s="106">
        <v>21926.399999999998</v>
      </c>
      <c r="AF99" s="106">
        <v>4</v>
      </c>
      <c r="AG99" s="106">
        <v>21926.399999999998</v>
      </c>
      <c r="AH99" s="106">
        <v>3</v>
      </c>
      <c r="AI99" s="106">
        <v>16444.8</v>
      </c>
      <c r="AJ99" s="106">
        <v>6</v>
      </c>
      <c r="AK99" s="106">
        <v>32889.599999999999</v>
      </c>
      <c r="AL99" s="106">
        <v>5</v>
      </c>
      <c r="AM99" s="106">
        <v>27407.999999999996</v>
      </c>
      <c r="AN99" s="106">
        <v>7</v>
      </c>
      <c r="AO99" s="106">
        <v>38371.199999999997</v>
      </c>
      <c r="AP99" s="106">
        <v>5</v>
      </c>
      <c r="AQ99" s="106">
        <v>27407.999999999996</v>
      </c>
      <c r="AR99" s="106">
        <v>3</v>
      </c>
      <c r="AS99" s="106">
        <v>16444.8</v>
      </c>
      <c r="AT99" s="106">
        <v>2</v>
      </c>
      <c r="AU99" s="106">
        <v>10963.199999999999</v>
      </c>
      <c r="AV99" s="106">
        <v>2</v>
      </c>
      <c r="AW99" s="106">
        <v>10963.199999999999</v>
      </c>
      <c r="AX99" s="106">
        <v>2</v>
      </c>
      <c r="AY99" s="106">
        <v>10963.199999999999</v>
      </c>
      <c r="AZ99" s="106">
        <v>6</v>
      </c>
      <c r="BA99" s="106">
        <v>32889.599999999999</v>
      </c>
      <c r="BB99" s="106">
        <v>6</v>
      </c>
      <c r="BC99" s="106">
        <v>32889.599999999999</v>
      </c>
      <c r="BD99" s="106">
        <v>4</v>
      </c>
      <c r="BE99" s="106">
        <v>21926.399999999998</v>
      </c>
      <c r="BF99" s="106">
        <v>7</v>
      </c>
      <c r="BG99" s="106">
        <v>38371.199999999997</v>
      </c>
      <c r="BH99" s="106">
        <v>5</v>
      </c>
      <c r="BI99" s="106">
        <v>27407.999999999996</v>
      </c>
      <c r="BJ99" s="106">
        <v>4</v>
      </c>
      <c r="BK99" s="106">
        <v>21926.399999999998</v>
      </c>
      <c r="BL99" s="106">
        <v>6</v>
      </c>
      <c r="BM99" s="106">
        <v>32889.599999999999</v>
      </c>
      <c r="BN99" s="106">
        <v>5</v>
      </c>
      <c r="BO99" s="106">
        <v>27407.999999999996</v>
      </c>
      <c r="BP99" s="106">
        <v>3</v>
      </c>
      <c r="BQ99" s="106">
        <v>16444.8</v>
      </c>
      <c r="BR99" s="106">
        <v>3</v>
      </c>
      <c r="BS99" s="106">
        <v>16444.8</v>
      </c>
      <c r="BT99" s="106">
        <v>3</v>
      </c>
      <c r="BU99" s="106">
        <v>16444.8</v>
      </c>
      <c r="BV99" s="106">
        <v>4</v>
      </c>
      <c r="BW99" s="106">
        <v>21926.399999999998</v>
      </c>
      <c r="BX99" s="106">
        <v>5</v>
      </c>
      <c r="BY99" s="106">
        <v>27407.999999999996</v>
      </c>
      <c r="BZ99" s="106">
        <v>8</v>
      </c>
      <c r="CA99" s="106">
        <v>43852.799999999996</v>
      </c>
      <c r="CB99" s="106">
        <v>5</v>
      </c>
      <c r="CC99" s="106">
        <v>27407.999999999996</v>
      </c>
      <c r="CD99" s="106">
        <v>4</v>
      </c>
      <c r="CE99" s="106">
        <v>21926.399999999998</v>
      </c>
      <c r="CF99" s="106">
        <v>5</v>
      </c>
      <c r="CG99" s="106">
        <v>27407.999999999996</v>
      </c>
      <c r="CH99" s="106">
        <v>3</v>
      </c>
      <c r="CI99" s="106">
        <v>16444.8</v>
      </c>
      <c r="CJ99" s="106">
        <v>3</v>
      </c>
      <c r="CK99" s="106">
        <v>16444.8</v>
      </c>
      <c r="CL99" s="106">
        <v>4</v>
      </c>
      <c r="CM99" s="106">
        <v>21926.399999999998</v>
      </c>
      <c r="CN99" s="106">
        <v>6</v>
      </c>
      <c r="CO99" s="106">
        <v>32889.599999999999</v>
      </c>
      <c r="CP99" s="106">
        <v>7</v>
      </c>
      <c r="CQ99" s="106">
        <v>38371.199999999997</v>
      </c>
      <c r="CR99" s="106">
        <v>7</v>
      </c>
      <c r="CS99" s="106">
        <v>38371.199999999997</v>
      </c>
      <c r="CT99" s="106">
        <v>6</v>
      </c>
      <c r="CU99" s="106">
        <v>32889.599999999999</v>
      </c>
    </row>
    <row r="100" spans="2:99" x14ac:dyDescent="0.2">
      <c r="C100" s="105" t="s">
        <v>266</v>
      </c>
      <c r="D100" s="106">
        <v>9</v>
      </c>
      <c r="E100" s="106">
        <v>14601.599999999999</v>
      </c>
      <c r="F100" s="106">
        <v>15</v>
      </c>
      <c r="G100" s="106">
        <v>24335.999999999996</v>
      </c>
      <c r="H100" s="106">
        <v>12</v>
      </c>
      <c r="I100" s="106">
        <v>19468.8</v>
      </c>
      <c r="J100" s="106">
        <v>10</v>
      </c>
      <c r="K100" s="106">
        <v>16223.999999999998</v>
      </c>
      <c r="L100" s="106">
        <v>22</v>
      </c>
      <c r="M100" s="106">
        <v>35692.799999999996</v>
      </c>
      <c r="N100" s="106">
        <v>27</v>
      </c>
      <c r="O100" s="106">
        <v>43804.799999999996</v>
      </c>
      <c r="P100" s="106">
        <v>37</v>
      </c>
      <c r="Q100" s="106">
        <v>60028.799999999996</v>
      </c>
      <c r="R100" s="106">
        <v>40</v>
      </c>
      <c r="S100" s="106">
        <v>64895.999999999993</v>
      </c>
      <c r="T100" s="106">
        <v>16</v>
      </c>
      <c r="U100" s="106">
        <v>25958.399999999998</v>
      </c>
      <c r="V100" s="106">
        <v>14</v>
      </c>
      <c r="W100" s="106">
        <v>22713.599999999999</v>
      </c>
      <c r="X100" s="106">
        <v>18</v>
      </c>
      <c r="Y100" s="106">
        <v>29203.199999999997</v>
      </c>
      <c r="Z100" s="106">
        <v>14</v>
      </c>
      <c r="AA100" s="106">
        <v>22713.599999999999</v>
      </c>
      <c r="AB100" s="106">
        <v>8</v>
      </c>
      <c r="AC100" s="106">
        <v>12979.199999999999</v>
      </c>
      <c r="AD100" s="106">
        <v>5</v>
      </c>
      <c r="AE100" s="106">
        <v>8111.9999999999991</v>
      </c>
      <c r="AF100" s="106">
        <v>5</v>
      </c>
      <c r="AG100" s="106">
        <v>8111.9999999999991</v>
      </c>
      <c r="AH100" s="106">
        <v>4</v>
      </c>
      <c r="AI100" s="106">
        <v>6489.5999999999995</v>
      </c>
      <c r="AJ100" s="106">
        <v>8</v>
      </c>
      <c r="AK100" s="106">
        <v>12979.199999999999</v>
      </c>
      <c r="AL100" s="106">
        <v>7</v>
      </c>
      <c r="AM100" s="106">
        <v>11356.8</v>
      </c>
      <c r="AN100" s="106">
        <v>10</v>
      </c>
      <c r="AO100" s="106">
        <v>16223.999999999998</v>
      </c>
      <c r="AP100" s="106">
        <v>7</v>
      </c>
      <c r="AQ100" s="106">
        <v>11356.8</v>
      </c>
      <c r="AR100" s="106">
        <v>4</v>
      </c>
      <c r="AS100" s="106">
        <v>6489.5999999999995</v>
      </c>
      <c r="AT100" s="106">
        <v>3</v>
      </c>
      <c r="AU100" s="106">
        <v>4867.2</v>
      </c>
      <c r="AV100" s="106">
        <v>3</v>
      </c>
      <c r="AW100" s="106">
        <v>4867.2</v>
      </c>
      <c r="AX100" s="106">
        <v>3</v>
      </c>
      <c r="AY100" s="106">
        <v>4867.2</v>
      </c>
      <c r="AZ100" s="106">
        <v>9</v>
      </c>
      <c r="BA100" s="106">
        <v>14601.599999999999</v>
      </c>
      <c r="BB100" s="106">
        <v>9</v>
      </c>
      <c r="BC100" s="106">
        <v>14601.599999999999</v>
      </c>
      <c r="BD100" s="106">
        <v>6</v>
      </c>
      <c r="BE100" s="106">
        <v>9734.4</v>
      </c>
      <c r="BF100" s="106">
        <v>10</v>
      </c>
      <c r="BG100" s="106">
        <v>16223.999999999998</v>
      </c>
      <c r="BH100" s="106">
        <v>7</v>
      </c>
      <c r="BI100" s="106">
        <v>11356.8</v>
      </c>
      <c r="BJ100" s="106">
        <v>6</v>
      </c>
      <c r="BK100" s="106">
        <v>9734.4</v>
      </c>
      <c r="BL100" s="106">
        <v>8</v>
      </c>
      <c r="BM100" s="106">
        <v>12979.199999999999</v>
      </c>
      <c r="BN100" s="106">
        <v>8</v>
      </c>
      <c r="BO100" s="106">
        <v>12979.199999999999</v>
      </c>
      <c r="BP100" s="106">
        <v>3</v>
      </c>
      <c r="BQ100" s="106">
        <v>4867.2</v>
      </c>
      <c r="BR100" s="106">
        <v>3</v>
      </c>
      <c r="BS100" s="106">
        <v>4867.2</v>
      </c>
      <c r="BT100" s="106">
        <v>5</v>
      </c>
      <c r="BU100" s="106">
        <v>8111.9999999999991</v>
      </c>
      <c r="BV100" s="106">
        <v>5</v>
      </c>
      <c r="BW100" s="106">
        <v>8111.9999999999991</v>
      </c>
      <c r="BX100" s="106">
        <v>6</v>
      </c>
      <c r="BY100" s="106">
        <v>9734.4</v>
      </c>
      <c r="BZ100" s="106">
        <v>12</v>
      </c>
      <c r="CA100" s="106">
        <v>19468.8</v>
      </c>
      <c r="CB100" s="106">
        <v>8</v>
      </c>
      <c r="CC100" s="106">
        <v>12979.199999999999</v>
      </c>
      <c r="CD100" s="106">
        <v>7</v>
      </c>
      <c r="CE100" s="106">
        <v>11356.8</v>
      </c>
      <c r="CF100" s="106">
        <v>6</v>
      </c>
      <c r="CG100" s="106">
        <v>9734.4</v>
      </c>
      <c r="CH100" s="106">
        <v>4</v>
      </c>
      <c r="CI100" s="106">
        <v>6489.5999999999995</v>
      </c>
      <c r="CJ100" s="106">
        <v>4</v>
      </c>
      <c r="CK100" s="106">
        <v>6489.5999999999995</v>
      </c>
      <c r="CL100" s="106">
        <v>7</v>
      </c>
      <c r="CM100" s="106">
        <v>11356.8</v>
      </c>
      <c r="CN100" s="106">
        <v>8</v>
      </c>
      <c r="CO100" s="106">
        <v>12979.199999999999</v>
      </c>
      <c r="CP100" s="106">
        <v>9</v>
      </c>
      <c r="CQ100" s="106">
        <v>14601.599999999999</v>
      </c>
      <c r="CR100" s="106">
        <v>10</v>
      </c>
      <c r="CS100" s="106">
        <v>16223.999999999998</v>
      </c>
      <c r="CT100" s="106">
        <v>8</v>
      </c>
      <c r="CU100" s="106">
        <v>12979.199999999999</v>
      </c>
    </row>
    <row r="101" spans="2:99" x14ac:dyDescent="0.2">
      <c r="C101" s="105" t="s">
        <v>267</v>
      </c>
      <c r="D101" s="106">
        <v>8</v>
      </c>
      <c r="E101" s="106">
        <v>9523.1999999999989</v>
      </c>
      <c r="F101" s="106">
        <v>16</v>
      </c>
      <c r="G101" s="106">
        <v>19046.399999999998</v>
      </c>
      <c r="H101" s="106">
        <v>13</v>
      </c>
      <c r="I101" s="106">
        <v>15475.199999999999</v>
      </c>
      <c r="J101" s="106">
        <v>10</v>
      </c>
      <c r="K101" s="106">
        <v>11903.999999999998</v>
      </c>
      <c r="L101" s="106">
        <v>23</v>
      </c>
      <c r="M101" s="106">
        <v>27379.199999999997</v>
      </c>
      <c r="N101" s="106">
        <v>30</v>
      </c>
      <c r="O101" s="106">
        <v>35711.999999999993</v>
      </c>
      <c r="P101" s="106">
        <v>40</v>
      </c>
      <c r="Q101" s="106">
        <v>47615.999999999993</v>
      </c>
      <c r="R101" s="106">
        <v>41</v>
      </c>
      <c r="S101" s="106">
        <v>48806.399999999994</v>
      </c>
      <c r="T101" s="106">
        <v>18</v>
      </c>
      <c r="U101" s="106">
        <v>21427.199999999997</v>
      </c>
      <c r="V101" s="106">
        <v>14</v>
      </c>
      <c r="W101" s="106">
        <v>16665.599999999999</v>
      </c>
      <c r="X101" s="106">
        <v>17</v>
      </c>
      <c r="Y101" s="106">
        <v>20236.8</v>
      </c>
      <c r="Z101" s="106">
        <v>16</v>
      </c>
      <c r="AA101" s="106">
        <v>19046.399999999998</v>
      </c>
      <c r="AB101" s="106">
        <v>8</v>
      </c>
      <c r="AC101" s="106">
        <v>9523.1999999999989</v>
      </c>
      <c r="AD101" s="106">
        <v>5</v>
      </c>
      <c r="AE101" s="106">
        <v>5951.9999999999991</v>
      </c>
      <c r="AF101" s="106">
        <v>6</v>
      </c>
      <c r="AG101" s="106">
        <v>7142.4</v>
      </c>
      <c r="AH101" s="106">
        <v>5</v>
      </c>
      <c r="AI101" s="106">
        <v>5951.9999999999991</v>
      </c>
      <c r="AJ101" s="106">
        <v>8</v>
      </c>
      <c r="AK101" s="106">
        <v>9523.1999999999989</v>
      </c>
      <c r="AL101" s="106">
        <v>7</v>
      </c>
      <c r="AM101" s="106">
        <v>8332.7999999999993</v>
      </c>
      <c r="AN101" s="106">
        <v>10</v>
      </c>
      <c r="AO101" s="106">
        <v>11903.999999999998</v>
      </c>
      <c r="AP101" s="106">
        <v>7</v>
      </c>
      <c r="AQ101" s="106">
        <v>8332.7999999999993</v>
      </c>
      <c r="AR101" s="106">
        <v>5</v>
      </c>
      <c r="AS101" s="106">
        <v>5951.9999999999991</v>
      </c>
      <c r="AT101" s="106">
        <v>3</v>
      </c>
      <c r="AU101" s="106">
        <v>3571.2</v>
      </c>
      <c r="AV101" s="106">
        <v>3</v>
      </c>
      <c r="AW101" s="106">
        <v>3571.2</v>
      </c>
      <c r="AX101" s="106">
        <v>3</v>
      </c>
      <c r="AY101" s="106">
        <v>3571.2</v>
      </c>
      <c r="AZ101" s="106">
        <v>8</v>
      </c>
      <c r="BA101" s="106">
        <v>9523.1999999999989</v>
      </c>
      <c r="BB101" s="106">
        <v>10</v>
      </c>
      <c r="BC101" s="106">
        <v>11903.999999999998</v>
      </c>
      <c r="BD101" s="106">
        <v>7</v>
      </c>
      <c r="BE101" s="106">
        <v>8332.7999999999993</v>
      </c>
      <c r="BF101" s="106">
        <v>10</v>
      </c>
      <c r="BG101" s="106">
        <v>11903.999999999998</v>
      </c>
      <c r="BH101" s="106">
        <v>8</v>
      </c>
      <c r="BI101" s="106">
        <v>9523.1999999999989</v>
      </c>
      <c r="BJ101" s="106">
        <v>6</v>
      </c>
      <c r="BK101" s="106">
        <v>7142.4</v>
      </c>
      <c r="BL101" s="106">
        <v>8</v>
      </c>
      <c r="BM101" s="106">
        <v>9523.1999999999989</v>
      </c>
      <c r="BN101" s="106">
        <v>9</v>
      </c>
      <c r="BO101" s="106">
        <v>10713.599999999999</v>
      </c>
      <c r="BP101" s="106">
        <v>4</v>
      </c>
      <c r="BQ101" s="106">
        <v>4761.5999999999995</v>
      </c>
      <c r="BR101" s="106">
        <v>4</v>
      </c>
      <c r="BS101" s="106">
        <v>4761.5999999999995</v>
      </c>
      <c r="BT101" s="106">
        <v>4</v>
      </c>
      <c r="BU101" s="106">
        <v>4761.5999999999995</v>
      </c>
      <c r="BV101" s="106">
        <v>5</v>
      </c>
      <c r="BW101" s="106">
        <v>5951.9999999999991</v>
      </c>
      <c r="BX101" s="106">
        <v>6</v>
      </c>
      <c r="BY101" s="106">
        <v>7142.4</v>
      </c>
      <c r="BZ101" s="106">
        <v>13</v>
      </c>
      <c r="CA101" s="106">
        <v>15475.199999999999</v>
      </c>
      <c r="CB101" s="106">
        <v>9</v>
      </c>
      <c r="CC101" s="106">
        <v>10713.599999999999</v>
      </c>
      <c r="CD101" s="106">
        <v>7</v>
      </c>
      <c r="CE101" s="106">
        <v>8332.7999999999993</v>
      </c>
      <c r="CF101" s="106">
        <v>7</v>
      </c>
      <c r="CG101" s="106">
        <v>8332.7999999999993</v>
      </c>
      <c r="CH101" s="106">
        <v>4</v>
      </c>
      <c r="CI101" s="106">
        <v>4761.5999999999995</v>
      </c>
      <c r="CJ101" s="106">
        <v>4</v>
      </c>
      <c r="CK101" s="106">
        <v>4761.5999999999995</v>
      </c>
      <c r="CL101" s="106">
        <v>6</v>
      </c>
      <c r="CM101" s="106">
        <v>7142.4</v>
      </c>
      <c r="CN101" s="106">
        <v>9</v>
      </c>
      <c r="CO101" s="106">
        <v>10713.599999999999</v>
      </c>
      <c r="CP101" s="106">
        <v>9</v>
      </c>
      <c r="CQ101" s="106">
        <v>10713.599999999999</v>
      </c>
      <c r="CR101" s="106">
        <v>11</v>
      </c>
      <c r="CS101" s="106">
        <v>13094.399999999998</v>
      </c>
      <c r="CT101" s="106">
        <v>8</v>
      </c>
      <c r="CU101" s="106">
        <v>9523.1999999999989</v>
      </c>
    </row>
    <row r="102" spans="2:99" x14ac:dyDescent="0.2">
      <c r="C102" s="105" t="s">
        <v>268</v>
      </c>
      <c r="D102" s="106">
        <v>9</v>
      </c>
      <c r="E102" s="106">
        <v>17452.8</v>
      </c>
      <c r="F102" s="106">
        <v>14</v>
      </c>
      <c r="G102" s="106">
        <v>27148.799999999996</v>
      </c>
      <c r="H102" s="106">
        <v>12</v>
      </c>
      <c r="I102" s="106">
        <v>23270.399999999998</v>
      </c>
      <c r="J102" s="106">
        <v>9</v>
      </c>
      <c r="K102" s="106">
        <v>17452.8</v>
      </c>
      <c r="L102" s="106">
        <v>20</v>
      </c>
      <c r="M102" s="106">
        <v>38784</v>
      </c>
      <c r="N102" s="106">
        <v>24</v>
      </c>
      <c r="O102" s="106">
        <v>46540.799999999996</v>
      </c>
      <c r="P102" s="106">
        <v>35</v>
      </c>
      <c r="Q102" s="106">
        <v>67872</v>
      </c>
      <c r="R102" s="106">
        <v>38</v>
      </c>
      <c r="S102" s="106">
        <v>73689.599999999991</v>
      </c>
      <c r="T102" s="106">
        <v>16</v>
      </c>
      <c r="U102" s="106">
        <v>31027.199999999997</v>
      </c>
      <c r="V102" s="106">
        <v>13</v>
      </c>
      <c r="W102" s="106">
        <v>25209.599999999999</v>
      </c>
      <c r="X102" s="106">
        <v>17</v>
      </c>
      <c r="Y102" s="106">
        <v>32966.399999999994</v>
      </c>
      <c r="Z102" s="106">
        <v>14</v>
      </c>
      <c r="AA102" s="106">
        <v>27148.799999999996</v>
      </c>
      <c r="AB102" s="106">
        <v>7</v>
      </c>
      <c r="AC102" s="106">
        <v>13574.399999999998</v>
      </c>
      <c r="AD102" s="106">
        <v>5</v>
      </c>
      <c r="AE102" s="106">
        <v>9696</v>
      </c>
      <c r="AF102" s="106">
        <v>5</v>
      </c>
      <c r="AG102" s="106">
        <v>9696</v>
      </c>
      <c r="AH102" s="106">
        <v>4</v>
      </c>
      <c r="AI102" s="106">
        <v>7756.7999999999993</v>
      </c>
      <c r="AJ102" s="106">
        <v>8</v>
      </c>
      <c r="AK102" s="106">
        <v>15513.599999999999</v>
      </c>
      <c r="AL102" s="106">
        <v>7</v>
      </c>
      <c r="AM102" s="106">
        <v>13574.399999999998</v>
      </c>
      <c r="AN102" s="106">
        <v>10</v>
      </c>
      <c r="AO102" s="106">
        <v>19392</v>
      </c>
      <c r="AP102" s="106">
        <v>7</v>
      </c>
      <c r="AQ102" s="106">
        <v>13574.399999999998</v>
      </c>
      <c r="AR102" s="106">
        <v>4</v>
      </c>
      <c r="AS102" s="106">
        <v>7756.7999999999993</v>
      </c>
      <c r="AT102" s="106">
        <v>3</v>
      </c>
      <c r="AU102" s="106">
        <v>5817.5999999999995</v>
      </c>
      <c r="AV102" s="106">
        <v>3</v>
      </c>
      <c r="AW102" s="106">
        <v>5817.5999999999995</v>
      </c>
      <c r="AX102" s="106">
        <v>3</v>
      </c>
      <c r="AY102" s="106">
        <v>5817.5999999999995</v>
      </c>
      <c r="AZ102" s="106">
        <v>8</v>
      </c>
      <c r="BA102" s="106">
        <v>15513.599999999999</v>
      </c>
      <c r="BB102" s="106">
        <v>9</v>
      </c>
      <c r="BC102" s="106">
        <v>17452.8</v>
      </c>
      <c r="BD102" s="106">
        <v>6</v>
      </c>
      <c r="BE102" s="106">
        <v>11635.199999999999</v>
      </c>
      <c r="BF102" s="106">
        <v>9</v>
      </c>
      <c r="BG102" s="106">
        <v>17452.8</v>
      </c>
      <c r="BH102" s="106">
        <v>7</v>
      </c>
      <c r="BI102" s="106">
        <v>13574.399999999998</v>
      </c>
      <c r="BJ102" s="106">
        <v>6</v>
      </c>
      <c r="BK102" s="106">
        <v>11635.199999999999</v>
      </c>
      <c r="BL102" s="106">
        <v>8</v>
      </c>
      <c r="BM102" s="106">
        <v>15513.599999999999</v>
      </c>
      <c r="BN102" s="106">
        <v>7</v>
      </c>
      <c r="BO102" s="106">
        <v>13574.399999999998</v>
      </c>
      <c r="BP102" s="106">
        <v>4</v>
      </c>
      <c r="BQ102" s="106">
        <v>7756.7999999999993</v>
      </c>
      <c r="BR102" s="106">
        <v>3</v>
      </c>
      <c r="BS102" s="106">
        <v>5817.5999999999995</v>
      </c>
      <c r="BT102" s="106">
        <v>4</v>
      </c>
      <c r="BU102" s="106">
        <v>7756.7999999999993</v>
      </c>
      <c r="BV102" s="106">
        <v>5</v>
      </c>
      <c r="BW102" s="106">
        <v>9696</v>
      </c>
      <c r="BX102" s="106">
        <v>6</v>
      </c>
      <c r="BY102" s="106">
        <v>11635.199999999999</v>
      </c>
      <c r="BZ102" s="106">
        <v>11</v>
      </c>
      <c r="CA102" s="106">
        <v>21331.199999999997</v>
      </c>
      <c r="CB102" s="106">
        <v>8</v>
      </c>
      <c r="CC102" s="106">
        <v>15513.599999999999</v>
      </c>
      <c r="CD102" s="106">
        <v>6</v>
      </c>
      <c r="CE102" s="106">
        <v>11635.199999999999</v>
      </c>
      <c r="CF102" s="106">
        <v>7</v>
      </c>
      <c r="CG102" s="106">
        <v>13574.399999999998</v>
      </c>
      <c r="CH102" s="106">
        <v>3</v>
      </c>
      <c r="CI102" s="106">
        <v>5817.5999999999995</v>
      </c>
      <c r="CJ102" s="106">
        <v>4</v>
      </c>
      <c r="CK102" s="106">
        <v>7756.7999999999993</v>
      </c>
      <c r="CL102" s="106">
        <v>6</v>
      </c>
      <c r="CM102" s="106">
        <v>11635.199999999999</v>
      </c>
      <c r="CN102" s="106">
        <v>9</v>
      </c>
      <c r="CO102" s="106">
        <v>17452.8</v>
      </c>
      <c r="CP102" s="106">
        <v>9</v>
      </c>
      <c r="CQ102" s="106">
        <v>17452.8</v>
      </c>
      <c r="CR102" s="106">
        <v>10</v>
      </c>
      <c r="CS102" s="106">
        <v>19392</v>
      </c>
      <c r="CT102" s="106">
        <v>8</v>
      </c>
      <c r="CU102" s="106">
        <v>15513.599999999999</v>
      </c>
    </row>
    <row r="103" spans="2:99" x14ac:dyDescent="0.2">
      <c r="C103" s="105" t="s">
        <v>269</v>
      </c>
      <c r="D103" s="106">
        <v>8</v>
      </c>
      <c r="E103" s="106">
        <v>16224</v>
      </c>
      <c r="F103" s="106">
        <v>14</v>
      </c>
      <c r="G103" s="106">
        <v>28392</v>
      </c>
      <c r="H103" s="106">
        <v>12</v>
      </c>
      <c r="I103" s="106">
        <v>24336</v>
      </c>
      <c r="J103" s="106">
        <v>8</v>
      </c>
      <c r="K103" s="106">
        <v>16224</v>
      </c>
      <c r="L103" s="106">
        <v>19</v>
      </c>
      <c r="M103" s="106">
        <v>38532</v>
      </c>
      <c r="N103" s="106">
        <v>23</v>
      </c>
      <c r="O103" s="106">
        <v>46644</v>
      </c>
      <c r="P103" s="106">
        <v>37</v>
      </c>
      <c r="Q103" s="106">
        <v>75036</v>
      </c>
      <c r="R103" s="106">
        <v>33</v>
      </c>
      <c r="S103" s="106">
        <v>66924</v>
      </c>
      <c r="T103" s="106">
        <v>17</v>
      </c>
      <c r="U103" s="106">
        <v>34476</v>
      </c>
      <c r="V103" s="106">
        <v>12</v>
      </c>
      <c r="W103" s="106">
        <v>24336</v>
      </c>
      <c r="X103" s="106">
        <v>18</v>
      </c>
      <c r="Y103" s="106">
        <v>36504</v>
      </c>
      <c r="Z103" s="106">
        <v>13</v>
      </c>
      <c r="AA103" s="106">
        <v>26364</v>
      </c>
      <c r="AB103" s="106">
        <v>8</v>
      </c>
      <c r="AC103" s="106">
        <v>16224</v>
      </c>
      <c r="AD103" s="106">
        <v>5</v>
      </c>
      <c r="AE103" s="106">
        <v>10140</v>
      </c>
      <c r="AF103" s="106">
        <v>5</v>
      </c>
      <c r="AG103" s="106">
        <v>10140</v>
      </c>
      <c r="AH103" s="106">
        <v>5</v>
      </c>
      <c r="AI103" s="106">
        <v>10140</v>
      </c>
      <c r="AJ103" s="106">
        <v>8</v>
      </c>
      <c r="AK103" s="106">
        <v>16224</v>
      </c>
      <c r="AL103" s="106">
        <v>6</v>
      </c>
      <c r="AM103" s="106">
        <v>12168</v>
      </c>
      <c r="AN103" s="106">
        <v>10</v>
      </c>
      <c r="AO103" s="106">
        <v>20280</v>
      </c>
      <c r="AP103" s="106">
        <v>7</v>
      </c>
      <c r="AQ103" s="106">
        <v>14196</v>
      </c>
      <c r="AR103" s="106">
        <v>4</v>
      </c>
      <c r="AS103" s="106">
        <v>8112</v>
      </c>
      <c r="AT103" s="106">
        <v>3</v>
      </c>
      <c r="AU103" s="106">
        <v>6084</v>
      </c>
      <c r="AV103" s="106">
        <v>3</v>
      </c>
      <c r="AW103" s="106">
        <v>6084</v>
      </c>
      <c r="AX103" s="106">
        <v>3</v>
      </c>
      <c r="AY103" s="106">
        <v>6084</v>
      </c>
      <c r="AZ103" s="106">
        <v>8</v>
      </c>
      <c r="BA103" s="106">
        <v>16224</v>
      </c>
      <c r="BB103" s="106">
        <v>9</v>
      </c>
      <c r="BC103" s="106">
        <v>18252</v>
      </c>
      <c r="BD103" s="106">
        <v>6</v>
      </c>
      <c r="BE103" s="106">
        <v>12168</v>
      </c>
      <c r="BF103" s="106">
        <v>8</v>
      </c>
      <c r="BG103" s="106">
        <v>16224</v>
      </c>
      <c r="BH103" s="106">
        <v>8</v>
      </c>
      <c r="BI103" s="106">
        <v>16224</v>
      </c>
      <c r="BJ103" s="106">
        <v>6</v>
      </c>
      <c r="BK103" s="106">
        <v>12168</v>
      </c>
      <c r="BL103" s="106">
        <v>7</v>
      </c>
      <c r="BM103" s="106">
        <v>14196</v>
      </c>
      <c r="BN103" s="106">
        <v>7</v>
      </c>
      <c r="BO103" s="106">
        <v>14196</v>
      </c>
      <c r="BP103" s="106">
        <v>4</v>
      </c>
      <c r="BQ103" s="106">
        <v>8112</v>
      </c>
      <c r="BR103" s="106">
        <v>4</v>
      </c>
      <c r="BS103" s="106">
        <v>8112</v>
      </c>
      <c r="BT103" s="106">
        <v>4</v>
      </c>
      <c r="BU103" s="106">
        <v>8112</v>
      </c>
      <c r="BV103" s="106">
        <v>5</v>
      </c>
      <c r="BW103" s="106">
        <v>10140</v>
      </c>
      <c r="BX103" s="106">
        <v>6</v>
      </c>
      <c r="BY103" s="106">
        <v>12168</v>
      </c>
      <c r="BZ103" s="106">
        <v>12</v>
      </c>
      <c r="CA103" s="106">
        <v>24336</v>
      </c>
      <c r="CB103" s="106">
        <v>7</v>
      </c>
      <c r="CC103" s="106">
        <v>14196</v>
      </c>
      <c r="CD103" s="106">
        <v>6</v>
      </c>
      <c r="CE103" s="106">
        <v>12168</v>
      </c>
      <c r="CF103" s="106">
        <v>6</v>
      </c>
      <c r="CG103" s="106">
        <v>12168</v>
      </c>
      <c r="CH103" s="106">
        <v>3</v>
      </c>
      <c r="CI103" s="106">
        <v>6084</v>
      </c>
      <c r="CJ103" s="106">
        <v>4</v>
      </c>
      <c r="CK103" s="106">
        <v>8112</v>
      </c>
      <c r="CL103" s="106">
        <v>6</v>
      </c>
      <c r="CM103" s="106">
        <v>12168</v>
      </c>
      <c r="CN103" s="106">
        <v>9</v>
      </c>
      <c r="CO103" s="106">
        <v>18252</v>
      </c>
      <c r="CP103" s="106">
        <v>9</v>
      </c>
      <c r="CQ103" s="106">
        <v>18252</v>
      </c>
      <c r="CR103" s="106">
        <v>10</v>
      </c>
      <c r="CS103" s="106">
        <v>20280</v>
      </c>
      <c r="CT103" s="106">
        <v>7</v>
      </c>
      <c r="CU103" s="106">
        <v>14196</v>
      </c>
    </row>
    <row r="104" spans="2:99" x14ac:dyDescent="0.2">
      <c r="C104" s="105" t="s">
        <v>270</v>
      </c>
      <c r="D104" s="106">
        <v>9</v>
      </c>
      <c r="E104" s="106">
        <v>18651.600000000002</v>
      </c>
      <c r="F104" s="106">
        <v>15</v>
      </c>
      <c r="G104" s="106">
        <v>31086</v>
      </c>
      <c r="H104" s="106">
        <v>11</v>
      </c>
      <c r="I104" s="106">
        <v>22796.400000000001</v>
      </c>
      <c r="J104" s="106">
        <v>9</v>
      </c>
      <c r="K104" s="106">
        <v>18651.600000000002</v>
      </c>
      <c r="L104" s="106">
        <v>19</v>
      </c>
      <c r="M104" s="106">
        <v>39375.599999999999</v>
      </c>
      <c r="N104" s="106">
        <v>24</v>
      </c>
      <c r="O104" s="106">
        <v>49737.600000000006</v>
      </c>
      <c r="P104" s="106">
        <v>33</v>
      </c>
      <c r="Q104" s="106">
        <v>68389.2</v>
      </c>
      <c r="R104" s="106">
        <v>37</v>
      </c>
      <c r="S104" s="106">
        <v>76678.8</v>
      </c>
      <c r="T104" s="106">
        <v>17</v>
      </c>
      <c r="U104" s="106">
        <v>35230.800000000003</v>
      </c>
      <c r="V104" s="106">
        <v>13</v>
      </c>
      <c r="W104" s="106">
        <v>26941.200000000001</v>
      </c>
      <c r="X104" s="106">
        <v>18</v>
      </c>
      <c r="Y104" s="106">
        <v>37303.200000000004</v>
      </c>
      <c r="Z104" s="106">
        <v>12</v>
      </c>
      <c r="AA104" s="106">
        <v>24868.800000000003</v>
      </c>
      <c r="AB104" s="106">
        <v>7</v>
      </c>
      <c r="AC104" s="106">
        <v>14506.800000000001</v>
      </c>
      <c r="AD104" s="106">
        <v>5</v>
      </c>
      <c r="AE104" s="106">
        <v>10362</v>
      </c>
      <c r="AF104" s="106">
        <v>4</v>
      </c>
      <c r="AG104" s="106">
        <v>8289.6</v>
      </c>
      <c r="AH104" s="106">
        <v>4</v>
      </c>
      <c r="AI104" s="106">
        <v>8289.6</v>
      </c>
      <c r="AJ104" s="106">
        <v>8</v>
      </c>
      <c r="AK104" s="106">
        <v>16579.2</v>
      </c>
      <c r="AL104" s="106">
        <v>6</v>
      </c>
      <c r="AM104" s="106">
        <v>12434.400000000001</v>
      </c>
      <c r="AN104" s="106">
        <v>10</v>
      </c>
      <c r="AO104" s="106">
        <v>20724</v>
      </c>
      <c r="AP104" s="106">
        <v>7</v>
      </c>
      <c r="AQ104" s="106">
        <v>14506.800000000001</v>
      </c>
      <c r="AR104" s="106">
        <v>4</v>
      </c>
      <c r="AS104" s="106">
        <v>8289.6</v>
      </c>
      <c r="AT104" s="106">
        <v>3</v>
      </c>
      <c r="AU104" s="106">
        <v>6217.2000000000007</v>
      </c>
      <c r="AV104" s="106">
        <v>3</v>
      </c>
      <c r="AW104" s="106">
        <v>6217.2000000000007</v>
      </c>
      <c r="AX104" s="106">
        <v>3</v>
      </c>
      <c r="AY104" s="106">
        <v>6217.2000000000007</v>
      </c>
      <c r="AZ104" s="106">
        <v>8</v>
      </c>
      <c r="BA104" s="106">
        <v>16579.2</v>
      </c>
      <c r="BB104" s="106">
        <v>8</v>
      </c>
      <c r="BC104" s="106">
        <v>16579.2</v>
      </c>
      <c r="BD104" s="106">
        <v>6</v>
      </c>
      <c r="BE104" s="106">
        <v>12434.400000000001</v>
      </c>
      <c r="BF104" s="106">
        <v>8</v>
      </c>
      <c r="BG104" s="106">
        <v>16579.2</v>
      </c>
      <c r="BH104" s="106">
        <v>7</v>
      </c>
      <c r="BI104" s="106">
        <v>14506.800000000001</v>
      </c>
      <c r="BJ104" s="106">
        <v>5</v>
      </c>
      <c r="BK104" s="106">
        <v>10362</v>
      </c>
      <c r="BL104" s="106">
        <v>8</v>
      </c>
      <c r="BM104" s="106">
        <v>16579.2</v>
      </c>
      <c r="BN104" s="106">
        <v>8</v>
      </c>
      <c r="BO104" s="106">
        <v>16579.2</v>
      </c>
      <c r="BP104" s="106">
        <v>3</v>
      </c>
      <c r="BQ104" s="106">
        <v>6217.2000000000007</v>
      </c>
      <c r="BR104" s="106">
        <v>4</v>
      </c>
      <c r="BS104" s="106">
        <v>8289.6</v>
      </c>
      <c r="BT104" s="106">
        <v>5</v>
      </c>
      <c r="BU104" s="106">
        <v>10362</v>
      </c>
      <c r="BV104" s="106">
        <v>5</v>
      </c>
      <c r="BW104" s="106">
        <v>10362</v>
      </c>
      <c r="BX104" s="106">
        <v>6</v>
      </c>
      <c r="BY104" s="106">
        <v>12434.400000000001</v>
      </c>
      <c r="BZ104" s="106">
        <v>10</v>
      </c>
      <c r="CA104" s="106">
        <v>20724</v>
      </c>
      <c r="CB104" s="106">
        <v>7</v>
      </c>
      <c r="CC104" s="106">
        <v>14506.800000000001</v>
      </c>
      <c r="CD104" s="106">
        <v>6</v>
      </c>
      <c r="CE104" s="106">
        <v>12434.400000000001</v>
      </c>
      <c r="CF104" s="106">
        <v>6</v>
      </c>
      <c r="CG104" s="106">
        <v>12434.400000000001</v>
      </c>
      <c r="CH104" s="106">
        <v>4</v>
      </c>
      <c r="CI104" s="106">
        <v>8289.6</v>
      </c>
      <c r="CJ104" s="106">
        <v>4</v>
      </c>
      <c r="CK104" s="106">
        <v>8289.6</v>
      </c>
      <c r="CL104" s="106">
        <v>6</v>
      </c>
      <c r="CM104" s="106">
        <v>12434.400000000001</v>
      </c>
      <c r="CN104" s="106">
        <v>8</v>
      </c>
      <c r="CO104" s="106">
        <v>16579.2</v>
      </c>
      <c r="CP104" s="106">
        <v>9</v>
      </c>
      <c r="CQ104" s="106">
        <v>18651.600000000002</v>
      </c>
      <c r="CR104" s="106">
        <v>10</v>
      </c>
      <c r="CS104" s="106">
        <v>20724</v>
      </c>
      <c r="CT104" s="106">
        <v>8</v>
      </c>
      <c r="CU104" s="106">
        <v>16579.2</v>
      </c>
    </row>
    <row r="105" spans="2:99" x14ac:dyDescent="0.2">
      <c r="C105" s="105" t="s">
        <v>271</v>
      </c>
      <c r="D105" s="106">
        <v>8</v>
      </c>
      <c r="E105" s="106">
        <v>15984</v>
      </c>
      <c r="F105" s="106">
        <v>15</v>
      </c>
      <c r="G105" s="106">
        <v>29970</v>
      </c>
      <c r="H105" s="106">
        <v>12</v>
      </c>
      <c r="I105" s="106">
        <v>23976</v>
      </c>
      <c r="J105" s="106">
        <v>9</v>
      </c>
      <c r="K105" s="106">
        <v>17982</v>
      </c>
      <c r="L105" s="106">
        <v>20</v>
      </c>
      <c r="M105" s="106">
        <v>39960</v>
      </c>
      <c r="N105" s="106">
        <v>22</v>
      </c>
      <c r="O105" s="106">
        <v>43956</v>
      </c>
      <c r="P105" s="106">
        <v>31</v>
      </c>
      <c r="Q105" s="106">
        <v>61938</v>
      </c>
      <c r="R105" s="106">
        <v>37</v>
      </c>
      <c r="S105" s="106">
        <v>73926</v>
      </c>
      <c r="T105" s="106">
        <v>17</v>
      </c>
      <c r="U105" s="106">
        <v>33966</v>
      </c>
      <c r="V105" s="106">
        <v>13</v>
      </c>
      <c r="W105" s="106">
        <v>25974</v>
      </c>
      <c r="X105" s="106">
        <v>18</v>
      </c>
      <c r="Y105" s="106">
        <v>35964</v>
      </c>
      <c r="Z105" s="106">
        <v>14</v>
      </c>
      <c r="AA105" s="106">
        <v>27972</v>
      </c>
      <c r="AB105" s="106">
        <v>8</v>
      </c>
      <c r="AC105" s="106">
        <v>15984</v>
      </c>
      <c r="AD105" s="106">
        <v>5</v>
      </c>
      <c r="AE105" s="106">
        <v>9990</v>
      </c>
      <c r="AF105" s="106">
        <v>5</v>
      </c>
      <c r="AG105" s="106">
        <v>9990</v>
      </c>
      <c r="AH105" s="106">
        <v>4</v>
      </c>
      <c r="AI105" s="106">
        <v>7992</v>
      </c>
      <c r="AJ105" s="106">
        <v>8</v>
      </c>
      <c r="AK105" s="106">
        <v>15984</v>
      </c>
      <c r="AL105" s="106">
        <v>6</v>
      </c>
      <c r="AM105" s="106">
        <v>11988</v>
      </c>
      <c r="AN105" s="106">
        <v>9</v>
      </c>
      <c r="AO105" s="106">
        <v>17982</v>
      </c>
      <c r="AP105" s="106">
        <v>7</v>
      </c>
      <c r="AQ105" s="106">
        <v>13986</v>
      </c>
      <c r="AR105" s="106">
        <v>4</v>
      </c>
      <c r="AS105" s="106">
        <v>7992</v>
      </c>
      <c r="AT105" s="106">
        <v>3</v>
      </c>
      <c r="AU105" s="106">
        <v>5994</v>
      </c>
      <c r="AV105" s="106">
        <v>3</v>
      </c>
      <c r="AW105" s="106">
        <v>5994</v>
      </c>
      <c r="AX105" s="106">
        <v>3</v>
      </c>
      <c r="AY105" s="106">
        <v>5994</v>
      </c>
      <c r="AZ105" s="106">
        <v>8</v>
      </c>
      <c r="BA105" s="106">
        <v>15984</v>
      </c>
      <c r="BB105" s="106">
        <v>8</v>
      </c>
      <c r="BC105" s="106">
        <v>15984</v>
      </c>
      <c r="BD105" s="106">
        <v>5</v>
      </c>
      <c r="BE105" s="106">
        <v>9990</v>
      </c>
      <c r="BF105" s="106">
        <v>8</v>
      </c>
      <c r="BG105" s="106">
        <v>15984</v>
      </c>
      <c r="BH105" s="106">
        <v>6</v>
      </c>
      <c r="BI105" s="106">
        <v>11988</v>
      </c>
      <c r="BJ105" s="106">
        <v>6</v>
      </c>
      <c r="BK105" s="106">
        <v>11988</v>
      </c>
      <c r="BL105" s="106">
        <v>8</v>
      </c>
      <c r="BM105" s="106">
        <v>15984</v>
      </c>
      <c r="BN105" s="106">
        <v>8</v>
      </c>
      <c r="BO105" s="106">
        <v>15984</v>
      </c>
      <c r="BP105" s="106">
        <v>4</v>
      </c>
      <c r="BQ105" s="106">
        <v>7992</v>
      </c>
      <c r="BR105" s="106">
        <v>4</v>
      </c>
      <c r="BS105" s="106">
        <v>7992</v>
      </c>
      <c r="BT105" s="106">
        <v>4</v>
      </c>
      <c r="BU105" s="106">
        <v>7992</v>
      </c>
      <c r="BV105" s="106">
        <v>5</v>
      </c>
      <c r="BW105" s="106">
        <v>9990</v>
      </c>
      <c r="BX105" s="106">
        <v>6</v>
      </c>
      <c r="BY105" s="106">
        <v>11988</v>
      </c>
      <c r="BZ105" s="106">
        <v>12</v>
      </c>
      <c r="CA105" s="106">
        <v>23976</v>
      </c>
      <c r="CB105" s="106">
        <v>8</v>
      </c>
      <c r="CC105" s="106">
        <v>15984</v>
      </c>
      <c r="CD105" s="106">
        <v>6</v>
      </c>
      <c r="CE105" s="106">
        <v>11988</v>
      </c>
      <c r="CF105" s="106">
        <v>6</v>
      </c>
      <c r="CG105" s="106">
        <v>11988</v>
      </c>
      <c r="CH105" s="106">
        <v>4</v>
      </c>
      <c r="CI105" s="106">
        <v>7992</v>
      </c>
      <c r="CJ105" s="106">
        <v>4</v>
      </c>
      <c r="CK105" s="106">
        <v>7992</v>
      </c>
      <c r="CL105" s="106">
        <v>6</v>
      </c>
      <c r="CM105" s="106">
        <v>11988</v>
      </c>
      <c r="CN105" s="106">
        <v>8</v>
      </c>
      <c r="CO105" s="106">
        <v>15984</v>
      </c>
      <c r="CP105" s="106">
        <v>10</v>
      </c>
      <c r="CQ105" s="106">
        <v>19980</v>
      </c>
      <c r="CR105" s="106">
        <v>9</v>
      </c>
      <c r="CS105" s="106">
        <v>17982</v>
      </c>
      <c r="CT105" s="106">
        <v>8</v>
      </c>
      <c r="CU105" s="106">
        <v>15984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45</v>
      </c>
      <c r="E112" s="106">
        <f>SUM(L$49:L$70)+SUM(N$49:N$70)+SUM(P$49:P$70)+SUM(R$49:R$70)</f>
        <v>50</v>
      </c>
      <c r="F112" s="106">
        <f>SUM(T$49:T$70)+SUM(V$49:V$70)+SUM(X$49:X$70)+SUM(Z$49:Z$70)</f>
        <v>505</v>
      </c>
      <c r="G112" s="106">
        <f>SUM(AB$49:AB$70)+SUM(AD$49:AD$70)+SUM(AF$49:AF$70)+SUM(AH$49:AH$70)</f>
        <v>110</v>
      </c>
      <c r="H112" s="106">
        <f>SUM(AJ$49:AJ$70)+SUM(AL$49:AL$70)+SUM(AN$49:AN$70)+SUM(AP$49:AP$70)</f>
        <v>160</v>
      </c>
      <c r="I112" s="106">
        <f>SUM(AR$49:AR$70)+SUM(AT$49:AT$70)+SUM(AV$49:AV$70)+SUM(AX$49:AX$70)</f>
        <v>32</v>
      </c>
      <c r="J112" s="106">
        <f>SUM(AZ$49:AZ$70)+SUM(BB$49:BB$70)+SUM(BD$49:BD$70)+SUM(BF$49:BF$70)</f>
        <v>49</v>
      </c>
      <c r="K112" s="106">
        <f>SUM(BH$49:BH$70)+SUM(BJ$49:BJ$70)+SUM(BL$49:BL$70)+SUM(BN$49:BN$70)</f>
        <v>58</v>
      </c>
      <c r="L112" s="106">
        <f>SUM(BP$49:BP$70)+SUM(BR$49:BR$70)+SUM(BT$49:BT$70)+SUM(BV$49:BV$70)</f>
        <v>101</v>
      </c>
      <c r="M112" s="106">
        <f>SUM(BX$49:BX$70)+SUM(BZ$49:BZ$70)+SUM(CB$49:CB$70)+SUM(CD$49:CD$70)</f>
        <v>37</v>
      </c>
      <c r="N112" s="106">
        <f>SUM(CF$49:CF$70)+SUM(CH$49:CH$70)+SUM(CJ$49:CJ$70)+SUM(CL$49:CL$70)</f>
        <v>525</v>
      </c>
      <c r="O112" s="106">
        <f>SUM(CN$49:CN$70)+SUM(CP$49:CP$70)+SUM(CR$49:CR$70)+SUM(CT$49:CT$70)</f>
        <v>82</v>
      </c>
    </row>
    <row r="113" spans="2:15" x14ac:dyDescent="0.2">
      <c r="C113" s="105" t="s">
        <v>130</v>
      </c>
      <c r="D113" s="106">
        <f>SUM(D$71:D$86)+SUM(F$71:F$86)+SUM(H$71:H$86)+SUM(J$71:J$86)</f>
        <v>1480</v>
      </c>
      <c r="E113" s="106">
        <f>SUM(L$71:L$86)+SUM(N$71:N$86)+SUM(P$71:P$86)+SUM(R$71:R$86)</f>
        <v>1456</v>
      </c>
      <c r="F113" s="106">
        <f>SUM(T$71:T$86)+SUM(V$71:V$86)+SUM(X$71:X$86)+SUM(Z$71:Z$86)</f>
        <v>901</v>
      </c>
      <c r="G113" s="106">
        <f>SUM(AB$71:AB$86)+SUM(AD$71:AD$86)+SUM(AF$71:AF$86)+SUM(AH$71:AH$86)</f>
        <v>745</v>
      </c>
      <c r="H113" s="106">
        <f>SUM(AJ$71:AJ$86)+SUM(AL$71:AL$86)+SUM(AN$71:AN$86)+SUM(AP$71:AP$86)</f>
        <v>1350</v>
      </c>
      <c r="I113" s="106">
        <f>SUM(AR$71:AR$86)+SUM(AT$71:AT$86)+SUM(AV$71:AV$86)+SUM(AX$71:AX$86)</f>
        <v>2090</v>
      </c>
      <c r="J113" s="106">
        <f>SUM(AZ$71:AZ$86)+SUM(BB$71:BB$86)+SUM(BD$71:BD$86)+SUM(BF$71:BF$86)</f>
        <v>177</v>
      </c>
      <c r="K113" s="106">
        <f>SUM(BH$71:BH$86)+SUM(BJ$71:BJ$86)+SUM(BL$71:BL$86)+SUM(BN$71:BN$86)</f>
        <v>155</v>
      </c>
      <c r="L113" s="106">
        <f>SUM(BP$71:BP$86)+SUM(BR$71:BR$86)+SUM(BT$71:BT$86)+SUM(BV$71:BV$86)</f>
        <v>246</v>
      </c>
      <c r="M113" s="106">
        <f>SUM(BX$71:BX$86)+SUM(BZ$71:BZ$86)+SUM(CB$71:CB$86)+SUM(CD$71:CD$86)</f>
        <v>1339</v>
      </c>
      <c r="N113" s="106">
        <f>SUM(CF$71:CF$86)+SUM(CH$71:CH$86)+SUM(CJ$71:CJ$86)+SUM(CL$71:CL$86)</f>
        <v>177</v>
      </c>
      <c r="O113" s="106">
        <f>SUM(CN$71:CN$86)+SUM(CP$71:CP$86)+SUM(CR$71:CR$86)+SUM(CT$71:CT$86)</f>
        <v>261</v>
      </c>
    </row>
    <row r="114" spans="2:15" x14ac:dyDescent="0.2">
      <c r="C114" s="105" t="s">
        <v>131</v>
      </c>
      <c r="D114" s="106">
        <f>SUM(D$87:D$94)+SUM(F$87:F$94)+SUM(H$87:H$94)+SUM(J$87:J$94)</f>
        <v>125</v>
      </c>
      <c r="E114" s="106">
        <f>SUM(L$87:L$94)+SUM(N$87:N$94)+SUM(P$87:P$94)+SUM(R$87:R$94)</f>
        <v>193</v>
      </c>
      <c r="F114" s="106">
        <f>SUM(T$87:T$94)+SUM(V$87:V$94)+SUM(X$87:X$94)+SUM(Z$87:Z$94)</f>
        <v>206</v>
      </c>
      <c r="G114" s="106">
        <f>SUM(AB$87:AB$94)+SUM(AD$87:AD$94)+SUM(AF$87:AF$94)+SUM(AH$87:AH$94)</f>
        <v>380</v>
      </c>
      <c r="H114" s="106">
        <f>SUM(AJ$87:AJ$94)+SUM(AL$87:AL$94)+SUM(AN$87:AN$94)+SUM(AP$87:AP$94)</f>
        <v>259</v>
      </c>
      <c r="I114" s="106">
        <f>SUM(AR$87:AR$94)+SUM(AT$87:AT$94)+SUM(AV$87:AV$94)+SUM(AX$87:AX$94)</f>
        <v>704</v>
      </c>
      <c r="J114" s="106">
        <f>SUM(AZ$87:AZ$94)+SUM(BB$87:BB$94)+SUM(BD$87:BD$94)+SUM(BF$87:BF$94)</f>
        <v>126</v>
      </c>
      <c r="K114" s="106">
        <f>SUM(BH$87:BH$94)+SUM(BJ$87:BJ$94)+SUM(BL$87:BL$94)+SUM(BN$87:BN$94)</f>
        <v>262</v>
      </c>
      <c r="L114" s="106">
        <f>SUM(BP$87:BP$94)+SUM(BR$87:BR$94)+SUM(BT$87:BT$94)+SUM(BV$87:BV$94)</f>
        <v>559</v>
      </c>
      <c r="M114" s="106">
        <f>SUM(BX$87:BX$94)+SUM(BZ$87:BZ$94)+SUM(CB$87:CB$94)+SUM(CD$87:CD$94)</f>
        <v>309</v>
      </c>
      <c r="N114" s="106">
        <f>SUM(CF$87:CF$94)+SUM(CH$87:CH$94)+SUM(CJ$87:CJ$94)+SUM(CL$87:CL$94)</f>
        <v>141</v>
      </c>
      <c r="O114" s="106">
        <f>SUM(CN$87:CN$94)+SUM(CP$87:CP$94)+SUM(CR$87:CR$94)+SUM(CT$87:CT$94)</f>
        <v>119</v>
      </c>
    </row>
    <row r="115" spans="2:15" x14ac:dyDescent="0.2">
      <c r="C115" s="105" t="s">
        <v>132</v>
      </c>
      <c r="D115" s="106">
        <f>SUM(D$95:D$105)+SUM(F$95:F$105)+SUM(H$95:H$105)+SUM(J$95:J$105)</f>
        <v>483</v>
      </c>
      <c r="E115" s="106">
        <f>SUM(L$95:L$105)+SUM(N$95:N$105)+SUM(P$95:P$105)+SUM(R$95:R$105)</f>
        <v>1284</v>
      </c>
      <c r="F115" s="106">
        <f>SUM(T$95:T$105)+SUM(V$95:V$105)+SUM(X$95:X$105)+SUM(Z$95:Z$105)</f>
        <v>670</v>
      </c>
      <c r="G115" s="106">
        <f>SUM(AB$95:AB$105)+SUM(AD$95:AD$105)+SUM(AF$95:AF$105)+SUM(AH$95:AH$105)</f>
        <v>242</v>
      </c>
      <c r="H115" s="106">
        <f>SUM(AJ$95:AJ$105)+SUM(AL$95:AL$105)+SUM(AN$95:AN$105)+SUM(AP$95:AP$105)</f>
        <v>337</v>
      </c>
      <c r="I115" s="106">
        <f>SUM(AR$95:AR$105)+SUM(AT$95:AT$105)+SUM(AV$95:AV$105)+SUM(AX$95:AX$105)</f>
        <v>142</v>
      </c>
      <c r="J115" s="106">
        <f>SUM(AZ$95:AZ$105)+SUM(BB$95:BB$105)+SUM(BD$95:BD$105)+SUM(BF$95:BF$105)</f>
        <v>347</v>
      </c>
      <c r="K115" s="106">
        <f>SUM(BH$95:BH$105)+SUM(BJ$95:BJ$105)+SUM(BL$95:BL$105)+SUM(BN$95:BN$105)</f>
        <v>313</v>
      </c>
      <c r="L115" s="106">
        <f>SUM(BP$95:BP$105)+SUM(BR$95:BR$105)+SUM(BT$95:BT$105)+SUM(BV$95:BV$105)</f>
        <v>182</v>
      </c>
      <c r="M115" s="106">
        <f>SUM(BX$95:BX$105)+SUM(BZ$95:BZ$105)+SUM(CB$95:CB$105)+SUM(CD$95:CD$105)</f>
        <v>341</v>
      </c>
      <c r="N115" s="106">
        <f>SUM(CF$95:CF$105)+SUM(CH$95:CH$105)+SUM(CJ$95:CJ$105)+SUM(CL$95:CL$105)</f>
        <v>219</v>
      </c>
      <c r="O115" s="106">
        <f>SUM(CN$95:CN$105)+SUM(CP$95:CP$105)+SUM(CR$95:CR$105)+SUM(CT$95:CT$105)</f>
        <v>384</v>
      </c>
    </row>
    <row r="116" spans="2:15" x14ac:dyDescent="0.2">
      <c r="C116" s="105" t="s">
        <v>278</v>
      </c>
      <c r="D116" s="106">
        <f t="shared" ref="D116:O116" si="0">SUM(D$109:D$115)</f>
        <v>2133</v>
      </c>
      <c r="E116" s="106">
        <f t="shared" si="0"/>
        <v>2983</v>
      </c>
      <c r="F116" s="106">
        <f t="shared" si="0"/>
        <v>2282</v>
      </c>
      <c r="G116" s="106">
        <f t="shared" si="0"/>
        <v>1477</v>
      </c>
      <c r="H116" s="106">
        <f t="shared" si="0"/>
        <v>2106</v>
      </c>
      <c r="I116" s="106">
        <f t="shared" si="0"/>
        <v>2968</v>
      </c>
      <c r="J116" s="106">
        <f t="shared" si="0"/>
        <v>699</v>
      </c>
      <c r="K116" s="106">
        <f t="shared" si="0"/>
        <v>788</v>
      </c>
      <c r="L116" s="106">
        <f t="shared" si="0"/>
        <v>1088</v>
      </c>
      <c r="M116" s="106">
        <f t="shared" si="0"/>
        <v>2026</v>
      </c>
      <c r="N116" s="106">
        <f t="shared" si="0"/>
        <v>1062</v>
      </c>
      <c r="O116" s="106">
        <f t="shared" si="0"/>
        <v>846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301336.33358761109</v>
      </c>
      <c r="E123" s="106">
        <f>E112*pricing!E9*2000</f>
        <v>336169.93082083843</v>
      </c>
      <c r="F123" s="106">
        <f>F112*pricing!F9*2000</f>
        <v>1172780.7913300509</v>
      </c>
      <c r="G123" s="106">
        <f>G112*pricing!G9*2000</f>
        <v>518884.83604046487</v>
      </c>
      <c r="H123" s="106">
        <f>H112*pricing!H9*2000</f>
        <v>622641.84246957349</v>
      </c>
      <c r="I123" s="106">
        <f>I112*pricing!I9*2000</f>
        <v>230076.42940362613</v>
      </c>
      <c r="J123" s="106">
        <f>J112*pricing!J9*2000</f>
        <v>323743.93103209388</v>
      </c>
      <c r="K123" s="106">
        <f>K112*pricing!K9*2000</f>
        <v>351213.46865097102</v>
      </c>
      <c r="L123" s="106">
        <f>L112*pricing!L9*2000</f>
        <v>460093.47746003687</v>
      </c>
      <c r="M123" s="106">
        <f>M112*pricing!M9*2000</f>
        <v>265870.47712635557</v>
      </c>
      <c r="N123" s="106">
        <f>N112*pricing!N9*2000</f>
        <v>1167722.7087400206</v>
      </c>
      <c r="O123" s="106">
        <f>O112*pricing!O9*2000</f>
        <v>428389.15333126124</v>
      </c>
    </row>
    <row r="124" spans="2:15" x14ac:dyDescent="0.2">
      <c r="C124" s="105" t="s">
        <v>130</v>
      </c>
      <c r="D124" s="106">
        <f>D113*pricing!D10*2000</f>
        <v>3971430.0531339934</v>
      </c>
      <c r="E124" s="106">
        <f>E113*pricing!E10*2000</f>
        <v>3888249.8076896495</v>
      </c>
      <c r="F124" s="106">
        <f>F113*pricing!F10*2000</f>
        <v>3160529.3720882125</v>
      </c>
      <c r="G124" s="106">
        <f>G113*pricing!G10*2000</f>
        <v>2879707.9062958509</v>
      </c>
      <c r="H124" s="106">
        <f>H113*pricing!H10*2000</f>
        <v>3803367.389923892</v>
      </c>
      <c r="I124" s="106">
        <f>I113*pricing!I10*2000</f>
        <v>5090928.9803679008</v>
      </c>
      <c r="J124" s="106">
        <f>J113*pricing!J10*2000</f>
        <v>1163746.3240305472</v>
      </c>
      <c r="K124" s="106">
        <f>K113*pricing!K10*2000</f>
        <v>1083794.8744690544</v>
      </c>
      <c r="L124" s="106">
        <f>L113*pricing!L10*2000</f>
        <v>1517310.9047193408</v>
      </c>
      <c r="M124" s="106">
        <f>M113*pricing!M10*2000</f>
        <v>3939107.1409275718</v>
      </c>
      <c r="N124" s="106">
        <f>N113*pricing!N10*2000</f>
        <v>1258568.2412185867</v>
      </c>
      <c r="O124" s="106">
        <f>O113*pricing!O10*2000</f>
        <v>1482042.3529787348</v>
      </c>
    </row>
    <row r="125" spans="2:15" x14ac:dyDescent="0.2">
      <c r="C125" s="105" t="s">
        <v>131</v>
      </c>
      <c r="D125" s="106">
        <f>D114*pricing!D11*2000</f>
        <v>805885.3060471724</v>
      </c>
      <c r="E125" s="106">
        <f>E114*pricing!E11*2000</f>
        <v>968421.50071329018</v>
      </c>
      <c r="F125" s="106">
        <f>F114*pricing!F11*2000</f>
        <v>1027252.5394732968</v>
      </c>
      <c r="G125" s="106">
        <f>G114*pricing!G11*2000</f>
        <v>1493634.7358785337</v>
      </c>
      <c r="H125" s="106">
        <f>H114*pricing!H11*2000</f>
        <v>1115551.2877203801</v>
      </c>
      <c r="I125" s="106">
        <f>I114*pricing!I11*2000</f>
        <v>2264638.9393798565</v>
      </c>
      <c r="J125" s="106">
        <f>J114*pricing!J11*2000</f>
        <v>836923.09960122174</v>
      </c>
      <c r="K125" s="106">
        <f>K114*pricing!K11*2000</f>
        <v>1181112.7177371553</v>
      </c>
      <c r="L125" s="106">
        <f>L114*pricing!L11*2000</f>
        <v>1905619.2176037282</v>
      </c>
      <c r="M125" s="106">
        <f>M114*pricing!M11*2000</f>
        <v>1485449.8520250779</v>
      </c>
      <c r="N125" s="106">
        <f>N114*pricing!N11*2000</f>
        <v>893970.38316690549</v>
      </c>
      <c r="O125" s="106">
        <f>O114*pricing!O11*2000</f>
        <v>856081.10206872574</v>
      </c>
    </row>
    <row r="126" spans="2:15" x14ac:dyDescent="0.2">
      <c r="C126" s="105" t="s">
        <v>132</v>
      </c>
      <c r="D126" s="106">
        <f>D115*pricing!D12*2000</f>
        <v>1865011.4877568285</v>
      </c>
      <c r="E126" s="106">
        <f>E115*pricing!E12*2000</f>
        <v>3444068.8536353493</v>
      </c>
      <c r="F126" s="106">
        <f>F115*pricing!F12*2000</f>
        <v>2469352.0158701325</v>
      </c>
      <c r="G126" s="106">
        <f>G115*pricing!G12*2000</f>
        <v>1305870.0431464107</v>
      </c>
      <c r="H126" s="106">
        <f>H115*pricing!H12*2000</f>
        <v>1637982.9597582149</v>
      </c>
      <c r="I126" s="106">
        <f>I115*pricing!I12*2000</f>
        <v>976261.74806474708</v>
      </c>
      <c r="J126" s="106">
        <f>J115*pricing!J12*2000</f>
        <v>1691057.0138909016</v>
      </c>
      <c r="K126" s="106">
        <f>K115*pricing!K12*2000</f>
        <v>1487027.91471579</v>
      </c>
      <c r="L126" s="106">
        <f>L115*pricing!L12*2000</f>
        <v>1217539.1381138579</v>
      </c>
      <c r="M126" s="106">
        <f>M115*pricing!M12*2000</f>
        <v>1571621.0380105602</v>
      </c>
      <c r="N126" s="106">
        <f>N115*pricing!N12*2000</f>
        <v>1304951.4616699961</v>
      </c>
      <c r="O126" s="106">
        <f>O115*pricing!O12*2000</f>
        <v>1821521.4025409201</v>
      </c>
    </row>
    <row r="127" spans="2:15" x14ac:dyDescent="0.2">
      <c r="C127" s="105" t="s">
        <v>278</v>
      </c>
      <c r="D127" s="106">
        <f t="shared" ref="D127:O127" si="1">SUM(D$120:D$126)</f>
        <v>6943663.1805256056</v>
      </c>
      <c r="E127" s="106">
        <f t="shared" si="1"/>
        <v>8636910.0928591266</v>
      </c>
      <c r="F127" s="106">
        <f t="shared" si="1"/>
        <v>7829914.7187616928</v>
      </c>
      <c r="G127" s="106">
        <f t="shared" si="1"/>
        <v>6198097.5213612597</v>
      </c>
      <c r="H127" s="106">
        <f t="shared" si="1"/>
        <v>7179543.4798720609</v>
      </c>
      <c r="I127" s="106">
        <f t="shared" si="1"/>
        <v>8561906.0972161312</v>
      </c>
      <c r="J127" s="106">
        <f t="shared" si="1"/>
        <v>4015470.3685547644</v>
      </c>
      <c r="K127" s="106">
        <f t="shared" si="1"/>
        <v>4103148.9755729707</v>
      </c>
      <c r="L127" s="106">
        <f t="shared" si="1"/>
        <v>5100562.737896964</v>
      </c>
      <c r="M127" s="106">
        <f t="shared" si="1"/>
        <v>7262048.5080895647</v>
      </c>
      <c r="N127" s="106">
        <f t="shared" si="1"/>
        <v>4625212.7947955094</v>
      </c>
      <c r="O127" s="106">
        <f t="shared" si="1"/>
        <v>4588034.0109196417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49698</v>
      </c>
      <c r="E134" s="112">
        <f>SUM(M$49:M$70)+SUM(O$49:O$70)+SUM(Q$49:Q$70)+SUM(S$49:S$70)</f>
        <v>55147.199999999997</v>
      </c>
      <c r="F134" s="112">
        <f>SUM(U$49:U$70)+SUM(W$49:W$70)+SUM(Y$49:Y$70)+SUM(AA$49:AA$70)</f>
        <v>556729.19999999995</v>
      </c>
      <c r="G134" s="112">
        <f>SUM(AC$49:AC$70)+SUM(AE$49:AE$70)+SUM(AG$49:AG$70)+SUM(AI$49:AI$70)</f>
        <v>121027.2</v>
      </c>
      <c r="H134" s="112">
        <f>SUM(AK$49:AK$70)+SUM(AM$49:AM$70)+SUM(AO$49:AO$70)+SUM(AQ$49:AQ$70)</f>
        <v>176253.59999999998</v>
      </c>
      <c r="I134" s="112">
        <f>SUM(AS$49:AS$70)+SUM(AU$49:AU$70)+SUM(AW$49:AW$70)+SUM(AY$49:AY$70)</f>
        <v>35460</v>
      </c>
      <c r="J134" s="112">
        <f>SUM(BA$49:BA$70)+SUM(BC$49:BC$70)+SUM(BE$49:BE$70)+SUM(BG$49:BG$70)</f>
        <v>53996.399999999994</v>
      </c>
      <c r="K134" s="112">
        <f>SUM(BI$49:BI$70)+SUM(BK$49:BK$70)+SUM(BM$49:BM$70)+SUM(BO$49:BO$70)</f>
        <v>63962.399999999994</v>
      </c>
      <c r="L134" s="112">
        <f>SUM(BQ$49:BQ$70)+SUM(BS$49:BS$70)+SUM(BU$49:BU$70)+SUM(BW$49:BW$70)</f>
        <v>111332.4</v>
      </c>
      <c r="M134" s="112">
        <f>SUM(BY$49:BY$70)+SUM(CA$49:CA$70)+SUM(CC$49:CC$70)+SUM(CE$49:CE$70)</f>
        <v>40909.199999999997</v>
      </c>
      <c r="N134" s="112">
        <f>SUM(CG$49:CG$70)+SUM(CI$49:CI$70)+SUM(CK$49:CK$70)+SUM(CM$49:CM$70)</f>
        <v>579068.4</v>
      </c>
      <c r="O134" s="112">
        <f>SUM(CO$49:CO$70)+SUM(CQ$49:CQ$70)+SUM(CS$49:CS$70)+SUM(CU$49:CU$70)</f>
        <v>90772.799999999988</v>
      </c>
    </row>
    <row r="135" spans="2:15" x14ac:dyDescent="0.2">
      <c r="C135" s="111" t="s">
        <v>130</v>
      </c>
      <c r="D135" s="112">
        <f>SUM(E$71:E$86)+SUM(G$71:G$86)+SUM(I$71:I$86)+SUM(K$71:K$86)</f>
        <v>822990</v>
      </c>
      <c r="E135" s="112">
        <f>SUM(M$71:M$86)+SUM(O$71:O$86)+SUM(Q$71:Q$86)+SUM(S$71:S$86)</f>
        <v>803502</v>
      </c>
      <c r="F135" s="112">
        <f>SUM(U$71:U$86)+SUM(W$71:W$86)+SUM(Y$71:Y$86)+SUM(AA$71:AA$86)</f>
        <v>502560.00000000006</v>
      </c>
      <c r="G135" s="112">
        <f>SUM(AC$71:AC$86)+SUM(AE$71:AE$86)+SUM(AG$71:AG$86)+SUM(AI$71:AI$86)</f>
        <v>414434.4</v>
      </c>
      <c r="H135" s="112">
        <f>SUM(AK$71:AK$86)+SUM(AM$71:AM$86)+SUM(AO$71:AO$86)+SUM(AQ$71:AQ$86)</f>
        <v>744741.59999999986</v>
      </c>
      <c r="I135" s="112">
        <f>SUM(AS$71:AS$86)+SUM(AU$71:AU$86)+SUM(AW$71:AW$86)+SUM(AY$71:AY$86)</f>
        <v>1154848.7999999998</v>
      </c>
      <c r="J135" s="112">
        <f>SUM(BA$71:BA$86)+SUM(BC$71:BC$86)+SUM(BE$71:BE$86)+SUM(BG$71:BG$86)</f>
        <v>99657.600000000006</v>
      </c>
      <c r="K135" s="112">
        <f>SUM(BI$71:BI$86)+SUM(BK$71:BK$86)+SUM(BM$71:BM$86)+SUM(BO$71:BO$86)</f>
        <v>86094</v>
      </c>
      <c r="L135" s="112">
        <f>SUM(BQ$71:BQ$86)+SUM(BS$71:BS$86)+SUM(BU$71:BU$86)+SUM(BW$71:BW$86)</f>
        <v>137354.4</v>
      </c>
      <c r="M135" s="112">
        <f>SUM(BY$71:BY$86)+SUM(CA$71:CA$86)+SUM(CC$71:CC$86)+SUM(CE$71:CE$86)</f>
        <v>742924.79999999993</v>
      </c>
      <c r="N135" s="112">
        <f>SUM(CG$71:CG$86)+SUM(CI$71:CI$86)+SUM(CK$71:CK$86)+SUM(CM$71:CM$86)</f>
        <v>99384</v>
      </c>
      <c r="O135" s="112">
        <f>SUM(CO$71:CO$86)+SUM(CQ$71:CQ$86)+SUM(CS$71:CS$86)+SUM(CU$71:CU$86)</f>
        <v>146295.6</v>
      </c>
    </row>
    <row r="136" spans="2:15" x14ac:dyDescent="0.2">
      <c r="C136" s="111" t="s">
        <v>131</v>
      </c>
      <c r="D136" s="112">
        <f>SUM(E$87:E$94)+SUM(G$87:G$94)+SUM(I$87:I$94)+SUM(K$87:K$94)</f>
        <v>253687.19999999998</v>
      </c>
      <c r="E136" s="112">
        <f>SUM(M$87:M$94)+SUM(O$87:O$94)+SUM(Q$87:Q$94)+SUM(S$87:S$94)</f>
        <v>391670.39999999997</v>
      </c>
      <c r="F136" s="112">
        <f>SUM(U$87:U$94)+SUM(W$87:W$94)+SUM(Y$87:Y$94)+SUM(AA$87:AA$94)</f>
        <v>419227.19999999995</v>
      </c>
      <c r="G136" s="112">
        <f>SUM(AC$87:AC$94)+SUM(AE$87:AE$94)+SUM(AG$87:AG$94)+SUM(AI$87:AI$94)</f>
        <v>771294</v>
      </c>
      <c r="H136" s="112">
        <f>SUM(AK$87:AK$94)+SUM(AM$87:AM$94)+SUM(AO$87:AO$94)+SUM(AQ$87:AQ$94)</f>
        <v>526693.19999999995</v>
      </c>
      <c r="I136" s="112">
        <f>SUM(AS$87:AS$94)+SUM(AU$87:AU$94)+SUM(AW$87:AW$94)+SUM(AY$87:AY$94)</f>
        <v>1432693.1999999997</v>
      </c>
      <c r="J136" s="112">
        <f>SUM(BA$87:BA$94)+SUM(BC$87:BC$94)+SUM(BE$87:BE$94)+SUM(BG$87:BG$94)</f>
        <v>256411.19999999995</v>
      </c>
      <c r="K136" s="112">
        <f>SUM(BI$87:BI$94)+SUM(BK$87:BK$94)+SUM(BM$87:BM$94)+SUM(BO$87:BO$94)</f>
        <v>531476.39999999991</v>
      </c>
      <c r="L136" s="112">
        <f>SUM(BQ$87:BQ$94)+SUM(BS$87:BS$94)+SUM(BU$87:BU$94)+SUM(BW$87:BW$94)</f>
        <v>1132263.5999999999</v>
      </c>
      <c r="M136" s="112">
        <f>SUM(BY$87:BY$94)+SUM(CA$87:CA$94)+SUM(CC$87:CC$94)+SUM(CE$87:CE$94)</f>
        <v>627919.19999999995</v>
      </c>
      <c r="N136" s="112">
        <f>SUM(CG$87:CG$94)+SUM(CI$87:CI$94)+SUM(CK$87:CK$94)+SUM(CM$87:CM$94)</f>
        <v>286504.8</v>
      </c>
      <c r="O136" s="112">
        <f>SUM(CO$87:CO$94)+SUM(CQ$87:CQ$94)+SUM(CS$87:CS$94)+SUM(CU$87:CU$94)</f>
        <v>243137.99999999994</v>
      </c>
    </row>
    <row r="137" spans="2:15" x14ac:dyDescent="0.2">
      <c r="C137" s="111" t="s">
        <v>132</v>
      </c>
      <c r="D137" s="112">
        <f>SUM(E$95:E$105)+SUM(G$95:G$105)+SUM(I$95:I$105)+SUM(K$95:K$105)</f>
        <v>904967.99999999988</v>
      </c>
      <c r="E137" s="112">
        <f>SUM(M$95:M$105)+SUM(O$95:O$105)+SUM(Q$95:Q$105)+SUM(S$95:S$105)</f>
        <v>2355434.4</v>
      </c>
      <c r="F137" s="112">
        <f>SUM(U$95:U$105)+SUM(W$95:W$105)+SUM(Y$95:Y$105)+SUM(AA$95:AA$105)</f>
        <v>1245579.5999999999</v>
      </c>
      <c r="G137" s="112">
        <f>SUM(AC$95:AC$105)+SUM(AE$95:AE$105)+SUM(AG$95:AG$105)+SUM(AI$95:AI$105)</f>
        <v>460392</v>
      </c>
      <c r="H137" s="112">
        <f>SUM(AK$95:AK$105)+SUM(AM$95:AM$105)+SUM(AO$95:AO$105)+SUM(AQ$95:AQ$105)</f>
        <v>641030.39999999991</v>
      </c>
      <c r="I137" s="112">
        <f>SUM(AS$95:AS$105)+SUM(AU$95:AU$105)+SUM(AW$95:AW$105)+SUM(AY$95:AY$105)</f>
        <v>267661.19999999995</v>
      </c>
      <c r="J137" s="112">
        <f>SUM(BA$95:BA$105)+SUM(BC$95:BC$105)+SUM(BE$95:BE$105)+SUM(BG$95:BG$105)</f>
        <v>653684.4</v>
      </c>
      <c r="K137" s="112">
        <f>SUM(BI$95:BI$105)+SUM(BK$95:BK$105)+SUM(BM$95:BM$105)+SUM(BO$95:BO$105)</f>
        <v>587906.4</v>
      </c>
      <c r="L137" s="112">
        <f>SUM(BQ$95:BQ$105)+SUM(BS$95:BS$105)+SUM(BU$95:BU$105)+SUM(BW$95:BW$105)</f>
        <v>348436.79999999993</v>
      </c>
      <c r="M137" s="112">
        <f>SUM(BY$95:BY$105)+SUM(CA$95:CA$105)+SUM(CC$95:CC$105)+SUM(CE$95:CE$105)</f>
        <v>640616.39999999991</v>
      </c>
      <c r="N137" s="112">
        <f>SUM(CG$95:CG$105)+SUM(CI$95:CI$105)+SUM(CK$95:CK$105)+SUM(CM$95:CM$105)</f>
        <v>415454.4</v>
      </c>
      <c r="O137" s="112">
        <f>SUM(CO$95:CO$105)+SUM(CQ$95:CQ$105)+SUM(CS$95:CS$105)+SUM(CU$95:CU$105)</f>
        <v>729765.6</v>
      </c>
    </row>
    <row r="138" spans="2:15" x14ac:dyDescent="0.2">
      <c r="C138" s="111" t="s">
        <v>278</v>
      </c>
      <c r="D138" s="106">
        <f t="shared" ref="D138:O138" si="2">SUM(D$131:D$137)</f>
        <v>2031343.1999999997</v>
      </c>
      <c r="E138" s="106">
        <f t="shared" si="2"/>
        <v>3605754</v>
      </c>
      <c r="F138" s="106">
        <f t="shared" si="2"/>
        <v>2724096</v>
      </c>
      <c r="G138" s="106">
        <f t="shared" si="2"/>
        <v>1767147.6</v>
      </c>
      <c r="H138" s="106">
        <f t="shared" si="2"/>
        <v>2088718.7999999998</v>
      </c>
      <c r="I138" s="106">
        <f t="shared" si="2"/>
        <v>2890663.1999999993</v>
      </c>
      <c r="J138" s="106">
        <f t="shared" si="2"/>
        <v>1063749.6000000001</v>
      </c>
      <c r="K138" s="106">
        <f t="shared" si="2"/>
        <v>1269439.2</v>
      </c>
      <c r="L138" s="106">
        <f t="shared" si="2"/>
        <v>1729387.1999999997</v>
      </c>
      <c r="M138" s="106">
        <f t="shared" si="2"/>
        <v>2052369.5999999996</v>
      </c>
      <c r="N138" s="106">
        <f t="shared" si="2"/>
        <v>1380411.6</v>
      </c>
      <c r="O138" s="106">
        <f t="shared" si="2"/>
        <v>1209972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23.615316117542296</v>
      </c>
      <c r="E49" s="106">
        <v>23265.809439002667</v>
      </c>
      <c r="F49" s="106">
        <v>0</v>
      </c>
      <c r="G49" s="106">
        <v>0</v>
      </c>
      <c r="H49" s="106">
        <v>6.0488758553274682</v>
      </c>
      <c r="I49" s="106">
        <v>5959.3524926686214</v>
      </c>
      <c r="J49" s="106">
        <v>0</v>
      </c>
      <c r="K49" s="106">
        <v>0</v>
      </c>
      <c r="L49" s="106">
        <v>3.0019083969465647</v>
      </c>
      <c r="M49" s="106">
        <v>2957.4801526717556</v>
      </c>
      <c r="N49" s="106">
        <v>0</v>
      </c>
      <c r="O49" s="106">
        <v>0</v>
      </c>
      <c r="P49" s="106">
        <v>1.3854961832061068</v>
      </c>
      <c r="Q49" s="106">
        <v>1364.9908396946564</v>
      </c>
      <c r="R49" s="106">
        <v>2.3825597749648386</v>
      </c>
      <c r="S49" s="106">
        <v>2347.2978902953587</v>
      </c>
      <c r="T49" s="106">
        <v>0</v>
      </c>
      <c r="U49" s="106">
        <v>0</v>
      </c>
      <c r="V49" s="106">
        <v>1.3379405666897028</v>
      </c>
      <c r="W49" s="106">
        <v>1318.1390463026951</v>
      </c>
      <c r="X49" s="106">
        <v>0.68275862068965509</v>
      </c>
      <c r="Y49" s="106">
        <v>672.65379310344815</v>
      </c>
      <c r="Z49" s="106">
        <v>0.84287925696594423</v>
      </c>
      <c r="AA49" s="106">
        <v>830.40464396284824</v>
      </c>
      <c r="AB49" s="106">
        <v>1.2736842105263158</v>
      </c>
      <c r="AC49" s="106">
        <v>1254.8336842105261</v>
      </c>
      <c r="AD49" s="106">
        <v>0</v>
      </c>
      <c r="AE49" s="106">
        <v>0</v>
      </c>
      <c r="AF49" s="106">
        <v>3.8336633663366335</v>
      </c>
      <c r="AG49" s="106">
        <v>3776.9251485148511</v>
      </c>
      <c r="AH49" s="106">
        <v>1.8137044967880087</v>
      </c>
      <c r="AI49" s="106">
        <v>1786.8616702355462</v>
      </c>
      <c r="AJ49" s="106">
        <v>0</v>
      </c>
      <c r="AK49" s="106">
        <v>0</v>
      </c>
      <c r="AL49" s="106">
        <v>3.4703632887189291</v>
      </c>
      <c r="AM49" s="106">
        <v>3419.0019120458887</v>
      </c>
      <c r="AN49" s="106">
        <v>5.7440660474716205</v>
      </c>
      <c r="AO49" s="106">
        <v>5659.0538699690405</v>
      </c>
      <c r="AP49" s="106">
        <v>0</v>
      </c>
      <c r="AQ49" s="106">
        <v>0</v>
      </c>
      <c r="AR49" s="106">
        <v>0</v>
      </c>
      <c r="AS49" s="106">
        <v>0</v>
      </c>
      <c r="AT49" s="106">
        <v>2.4108159392789372</v>
      </c>
      <c r="AU49" s="106">
        <v>2375.135863377609</v>
      </c>
      <c r="AV49" s="106">
        <v>1.3841059602649008</v>
      </c>
      <c r="AW49" s="106">
        <v>1363.6211920529802</v>
      </c>
      <c r="AX49" s="106">
        <v>0.97777777777777775</v>
      </c>
      <c r="AY49" s="106">
        <v>963.30666666666662</v>
      </c>
      <c r="AZ49" s="106">
        <v>2.8189964157706093</v>
      </c>
      <c r="BA49" s="106">
        <v>2777.2752688172041</v>
      </c>
      <c r="BB49" s="106">
        <v>3.6986899563318776</v>
      </c>
      <c r="BC49" s="106">
        <v>3643.9493449781658</v>
      </c>
      <c r="BD49" s="106">
        <v>3.5530179445350734</v>
      </c>
      <c r="BE49" s="106">
        <v>3500.4332789559539</v>
      </c>
      <c r="BF49" s="106">
        <v>9.5526315789473681</v>
      </c>
      <c r="BG49" s="106">
        <v>9411.2526315789473</v>
      </c>
      <c r="BH49" s="106">
        <v>2.5765765765765765</v>
      </c>
      <c r="BI49" s="106">
        <v>2538.4432432432432</v>
      </c>
      <c r="BJ49" s="106">
        <v>2.6382556987115957</v>
      </c>
      <c r="BK49" s="106">
        <v>2599.2095143706638</v>
      </c>
      <c r="BL49" s="106">
        <v>2.0922190201729109</v>
      </c>
      <c r="BM49" s="106">
        <v>2061.2541786743518</v>
      </c>
      <c r="BN49" s="106">
        <v>2.4830307813733228</v>
      </c>
      <c r="BO49" s="106">
        <v>2446.2819258089976</v>
      </c>
      <c r="BP49" s="106">
        <v>2.4288321167883211</v>
      </c>
      <c r="BQ49" s="106">
        <v>2392.8854014598537</v>
      </c>
      <c r="BR49" s="106">
        <v>2.3411405295315681</v>
      </c>
      <c r="BS49" s="106">
        <v>2306.4916496945007</v>
      </c>
      <c r="BT49" s="106">
        <v>0</v>
      </c>
      <c r="BU49" s="106">
        <v>0</v>
      </c>
      <c r="BV49" s="106">
        <v>1.5921052631578947</v>
      </c>
      <c r="BW49" s="106">
        <v>1568.5421052631577</v>
      </c>
      <c r="BX49" s="106">
        <v>0</v>
      </c>
      <c r="BY49" s="106">
        <v>0</v>
      </c>
      <c r="BZ49" s="106">
        <v>8.3852459016393439</v>
      </c>
      <c r="CA49" s="106">
        <v>8261.1442622950817</v>
      </c>
      <c r="CB49" s="106">
        <v>3.0665258711721228</v>
      </c>
      <c r="CC49" s="106">
        <v>3021.1412882787754</v>
      </c>
      <c r="CD49" s="106">
        <v>2.1769115442278859</v>
      </c>
      <c r="CE49" s="106">
        <v>2144.6932533733129</v>
      </c>
      <c r="CF49" s="106">
        <v>4.95</v>
      </c>
      <c r="CG49" s="106">
        <v>4876.74</v>
      </c>
      <c r="CH49" s="106">
        <v>0</v>
      </c>
      <c r="CI49" s="106">
        <v>0</v>
      </c>
      <c r="CJ49" s="106">
        <v>3.4265486725663719</v>
      </c>
      <c r="CK49" s="106">
        <v>3375.8357522123893</v>
      </c>
      <c r="CL49" s="106">
        <v>4.9137055837563448</v>
      </c>
      <c r="CM49" s="106">
        <v>4840.9827411167507</v>
      </c>
      <c r="CN49" s="106">
        <v>4.9262086513994916</v>
      </c>
      <c r="CO49" s="106">
        <v>4853.3007633587786</v>
      </c>
      <c r="CP49" s="106">
        <v>0</v>
      </c>
      <c r="CQ49" s="106">
        <v>0</v>
      </c>
      <c r="CR49" s="106">
        <v>0</v>
      </c>
      <c r="CS49" s="106">
        <v>0</v>
      </c>
      <c r="CT49" s="106">
        <v>6.3553038105046351</v>
      </c>
      <c r="CU49" s="106">
        <v>6261.2453141091664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21.647373107747107</v>
      </c>
      <c r="E56" s="106">
        <v>24911.796972395368</v>
      </c>
      <c r="F56" s="106">
        <v>0</v>
      </c>
      <c r="G56" s="106">
        <v>0</v>
      </c>
      <c r="H56" s="106">
        <v>5.6168132942326494</v>
      </c>
      <c r="I56" s="106">
        <v>6463.8287390029327</v>
      </c>
      <c r="J56" s="106">
        <v>0</v>
      </c>
      <c r="K56" s="106">
        <v>0</v>
      </c>
      <c r="L56" s="106">
        <v>3.0019083969465647</v>
      </c>
      <c r="M56" s="106">
        <v>3454.5961832061066</v>
      </c>
      <c r="N56" s="106">
        <v>0</v>
      </c>
      <c r="O56" s="106">
        <v>0</v>
      </c>
      <c r="P56" s="106">
        <v>1.2700381679389312</v>
      </c>
      <c r="Q56" s="106">
        <v>1461.5599236641219</v>
      </c>
      <c r="R56" s="106">
        <v>2.552742616033755</v>
      </c>
      <c r="S56" s="106">
        <v>2937.6962025316452</v>
      </c>
      <c r="T56" s="106">
        <v>0</v>
      </c>
      <c r="U56" s="106">
        <v>0</v>
      </c>
      <c r="V56" s="106">
        <v>1.17069799585349</v>
      </c>
      <c r="W56" s="106">
        <v>1347.2392536281961</v>
      </c>
      <c r="X56" s="106">
        <v>0.60689655172413792</v>
      </c>
      <c r="Y56" s="106">
        <v>698.41655172413789</v>
      </c>
      <c r="Z56" s="106">
        <v>0.84287925696594423</v>
      </c>
      <c r="AA56" s="106">
        <v>969.98544891640859</v>
      </c>
      <c r="AB56" s="106">
        <v>1.2736842105263158</v>
      </c>
      <c r="AC56" s="106">
        <v>1465.7557894736842</v>
      </c>
      <c r="AD56" s="106">
        <v>0</v>
      </c>
      <c r="AE56" s="106">
        <v>0</v>
      </c>
      <c r="AF56" s="106">
        <v>4.3128712871287123</v>
      </c>
      <c r="AG56" s="106">
        <v>4963.2522772277216</v>
      </c>
      <c r="AH56" s="106">
        <v>2.0728051391862956</v>
      </c>
      <c r="AI56" s="106">
        <v>2385.3841541755887</v>
      </c>
      <c r="AJ56" s="106">
        <v>0</v>
      </c>
      <c r="AK56" s="106">
        <v>0</v>
      </c>
      <c r="AL56" s="106">
        <v>3.4703632887189291</v>
      </c>
      <c r="AM56" s="106">
        <v>3993.6940726577436</v>
      </c>
      <c r="AN56" s="106">
        <v>5.7440660474716205</v>
      </c>
      <c r="AO56" s="106">
        <v>6610.2712074303408</v>
      </c>
      <c r="AP56" s="106">
        <v>0</v>
      </c>
      <c r="AQ56" s="106">
        <v>0</v>
      </c>
      <c r="AR56" s="106">
        <v>0</v>
      </c>
      <c r="AS56" s="106">
        <v>0</v>
      </c>
      <c r="AT56" s="106">
        <v>2.1812144212523723</v>
      </c>
      <c r="AU56" s="106">
        <v>2510.1415559772299</v>
      </c>
      <c r="AV56" s="106">
        <v>1.3112582781456954</v>
      </c>
      <c r="AW56" s="106">
        <v>1508.9960264900662</v>
      </c>
      <c r="AX56" s="106">
        <v>0.97777777777777775</v>
      </c>
      <c r="AY56" s="106">
        <v>1125.2266666666667</v>
      </c>
      <c r="AZ56" s="106">
        <v>2.8189964157706093</v>
      </c>
      <c r="BA56" s="106">
        <v>3244.1010752688171</v>
      </c>
      <c r="BB56" s="106">
        <v>3.1703056768558948</v>
      </c>
      <c r="BC56" s="106">
        <v>3648.3877729257638</v>
      </c>
      <c r="BD56" s="106">
        <v>3.7504078303425774</v>
      </c>
      <c r="BE56" s="106">
        <v>4315.9693311582378</v>
      </c>
      <c r="BF56" s="106">
        <v>9.0219298245614024</v>
      </c>
      <c r="BG56" s="106">
        <v>10382.436842105262</v>
      </c>
      <c r="BH56" s="106">
        <v>2.8738738738738738</v>
      </c>
      <c r="BI56" s="106">
        <v>3307.254054054054</v>
      </c>
      <c r="BJ56" s="106">
        <v>2.6382556987115957</v>
      </c>
      <c r="BK56" s="106">
        <v>3036.1046580773041</v>
      </c>
      <c r="BL56" s="106">
        <v>1.9759846301633044</v>
      </c>
      <c r="BM56" s="106">
        <v>2273.9631123919307</v>
      </c>
      <c r="BN56" s="106">
        <v>2.7695343330702449</v>
      </c>
      <c r="BO56" s="106">
        <v>3187.1801104972378</v>
      </c>
      <c r="BP56" s="106">
        <v>2.0976277372262775</v>
      </c>
      <c r="BQ56" s="106">
        <v>2413.9499999999998</v>
      </c>
      <c r="BR56" s="106">
        <v>2.2179226069246436</v>
      </c>
      <c r="BS56" s="106">
        <v>2552.3853360488797</v>
      </c>
      <c r="BT56" s="106">
        <v>0</v>
      </c>
      <c r="BU56" s="106">
        <v>0</v>
      </c>
      <c r="BV56" s="106">
        <v>1.5921052631578947</v>
      </c>
      <c r="BW56" s="106">
        <v>1832.1947368421052</v>
      </c>
      <c r="BX56" s="106">
        <v>0</v>
      </c>
      <c r="BY56" s="106">
        <v>0</v>
      </c>
      <c r="BZ56" s="106">
        <v>7.5737704918032795</v>
      </c>
      <c r="CA56" s="106">
        <v>8715.8950819672136</v>
      </c>
      <c r="CB56" s="106">
        <v>2.4276663146779303</v>
      </c>
      <c r="CC56" s="106">
        <v>2793.7583949313621</v>
      </c>
      <c r="CD56" s="106">
        <v>2.2676161919040481</v>
      </c>
      <c r="CE56" s="106">
        <v>2609.5727136431783</v>
      </c>
      <c r="CF56" s="106">
        <v>4.7666666666666666</v>
      </c>
      <c r="CG56" s="106">
        <v>5485.48</v>
      </c>
      <c r="CH56" s="106">
        <v>0</v>
      </c>
      <c r="CI56" s="106">
        <v>0</v>
      </c>
      <c r="CJ56" s="106">
        <v>3.6407079646017699</v>
      </c>
      <c r="CK56" s="106">
        <v>4189.7267256637169</v>
      </c>
      <c r="CL56" s="106">
        <v>4.708967851099831</v>
      </c>
      <c r="CM56" s="106">
        <v>5419.0802030456853</v>
      </c>
      <c r="CN56" s="106">
        <v>4.3104325699745543</v>
      </c>
      <c r="CO56" s="106">
        <v>4960.4458015267164</v>
      </c>
      <c r="CP56" s="106">
        <v>0</v>
      </c>
      <c r="CQ56" s="106">
        <v>0</v>
      </c>
      <c r="CR56" s="106">
        <v>0</v>
      </c>
      <c r="CS56" s="106">
        <v>0</v>
      </c>
      <c r="CT56" s="106">
        <v>6.729145211122554</v>
      </c>
      <c r="CU56" s="106">
        <v>7743.9003089598345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22.828138913624223</v>
      </c>
      <c r="E58" s="106">
        <v>26873.285129118434</v>
      </c>
      <c r="F58" s="106">
        <v>0</v>
      </c>
      <c r="G58" s="106">
        <v>0</v>
      </c>
      <c r="H58" s="106">
        <v>6.6969696969696972</v>
      </c>
      <c r="I58" s="106">
        <v>7883.6727272727276</v>
      </c>
      <c r="J58" s="106">
        <v>0</v>
      </c>
      <c r="K58" s="106">
        <v>0</v>
      </c>
      <c r="L58" s="106">
        <v>3.0019083969465647</v>
      </c>
      <c r="M58" s="106">
        <v>3533.8465648854963</v>
      </c>
      <c r="N58" s="106">
        <v>0</v>
      </c>
      <c r="O58" s="106">
        <v>0</v>
      </c>
      <c r="P58" s="106">
        <v>1.2700381679389312</v>
      </c>
      <c r="Q58" s="106">
        <v>1495.0889312977099</v>
      </c>
      <c r="R58" s="106">
        <v>2.2123769338959214</v>
      </c>
      <c r="S58" s="106">
        <v>2604.4101265822787</v>
      </c>
      <c r="T58" s="106">
        <v>0</v>
      </c>
      <c r="U58" s="106">
        <v>0</v>
      </c>
      <c r="V58" s="106">
        <v>1.3379405666897028</v>
      </c>
      <c r="W58" s="106">
        <v>1575.0236351071183</v>
      </c>
      <c r="X58" s="106">
        <v>0.60689655172413792</v>
      </c>
      <c r="Y58" s="106">
        <v>714.43862068965518</v>
      </c>
      <c r="Z58" s="106">
        <v>0.74922600619195046</v>
      </c>
      <c r="AA58" s="106">
        <v>881.98885448916405</v>
      </c>
      <c r="AB58" s="106">
        <v>1.2736842105263158</v>
      </c>
      <c r="AC58" s="106">
        <v>1499.381052631579</v>
      </c>
      <c r="AD58" s="106">
        <v>0</v>
      </c>
      <c r="AE58" s="106">
        <v>0</v>
      </c>
      <c r="AF58" s="106">
        <v>3.8336633663366335</v>
      </c>
      <c r="AG58" s="106">
        <v>4512.988514851485</v>
      </c>
      <c r="AH58" s="106">
        <v>2.0728051391862956</v>
      </c>
      <c r="AI58" s="106">
        <v>2440.1062098501075</v>
      </c>
      <c r="AJ58" s="106">
        <v>0</v>
      </c>
      <c r="AK58" s="106">
        <v>0</v>
      </c>
      <c r="AL58" s="106">
        <v>3.5860420650095604</v>
      </c>
      <c r="AM58" s="106">
        <v>4221.4887189292549</v>
      </c>
      <c r="AN58" s="106">
        <v>5.7440660474716205</v>
      </c>
      <c r="AO58" s="106">
        <v>6761.9145510835915</v>
      </c>
      <c r="AP58" s="106">
        <v>0</v>
      </c>
      <c r="AQ58" s="106">
        <v>0</v>
      </c>
      <c r="AR58" s="106">
        <v>0</v>
      </c>
      <c r="AS58" s="106">
        <v>0</v>
      </c>
      <c r="AT58" s="106">
        <v>2.4108159392789372</v>
      </c>
      <c r="AU58" s="106">
        <v>2838.0125237191651</v>
      </c>
      <c r="AV58" s="106">
        <v>1.3112582781456954</v>
      </c>
      <c r="AW58" s="106">
        <v>1543.6132450331127</v>
      </c>
      <c r="AX58" s="106">
        <v>1.0388888888888888</v>
      </c>
      <c r="AY58" s="106">
        <v>1222.9799999999998</v>
      </c>
      <c r="AZ58" s="106">
        <v>2.3853046594982077</v>
      </c>
      <c r="BA58" s="106">
        <v>2807.9806451612903</v>
      </c>
      <c r="BB58" s="106">
        <v>2.9061135371179039</v>
      </c>
      <c r="BC58" s="106">
        <v>3421.0768558951968</v>
      </c>
      <c r="BD58" s="106">
        <v>3.7504078303425774</v>
      </c>
      <c r="BE58" s="106">
        <v>4414.9800978792819</v>
      </c>
      <c r="BF58" s="106">
        <v>10.083333333333332</v>
      </c>
      <c r="BG58" s="106">
        <v>11870.099999999999</v>
      </c>
      <c r="BH58" s="106">
        <v>2.7747747747747749</v>
      </c>
      <c r="BI58" s="106">
        <v>3266.4648648648649</v>
      </c>
      <c r="BJ58" s="106">
        <v>2.9980178394449948</v>
      </c>
      <c r="BK58" s="106">
        <v>3529.266600594648</v>
      </c>
      <c r="BL58" s="106">
        <v>1.9759846301633044</v>
      </c>
      <c r="BM58" s="106">
        <v>2326.129106628242</v>
      </c>
      <c r="BN58" s="106">
        <v>2.3875295974743489</v>
      </c>
      <c r="BO58" s="106">
        <v>2810.5998421468034</v>
      </c>
      <c r="BP58" s="106">
        <v>1.9872262773722629</v>
      </c>
      <c r="BQ58" s="106">
        <v>2339.3627737226279</v>
      </c>
      <c r="BR58" s="106">
        <v>2.0947046843177191</v>
      </c>
      <c r="BS58" s="106">
        <v>2465.8863543788189</v>
      </c>
      <c r="BT58" s="106">
        <v>0</v>
      </c>
      <c r="BU58" s="106">
        <v>0</v>
      </c>
      <c r="BV58" s="106">
        <v>1.3646616541353382</v>
      </c>
      <c r="BW58" s="106">
        <v>1606.4796992481201</v>
      </c>
      <c r="BX58" s="106">
        <v>0</v>
      </c>
      <c r="BY58" s="106">
        <v>0</v>
      </c>
      <c r="BZ58" s="106">
        <v>8.1147540983606561</v>
      </c>
      <c r="CA58" s="106">
        <v>9552.6885245901649</v>
      </c>
      <c r="CB58" s="106">
        <v>2.6832101372756072</v>
      </c>
      <c r="CC58" s="106">
        <v>3158.6749736008451</v>
      </c>
      <c r="CD58" s="106">
        <v>2.3583208395802098</v>
      </c>
      <c r="CE58" s="106">
        <v>2776.2152923538229</v>
      </c>
      <c r="CF58" s="106">
        <v>4.2166666666666668</v>
      </c>
      <c r="CG58" s="106">
        <v>4963.8600000000006</v>
      </c>
      <c r="CH58" s="106">
        <v>0</v>
      </c>
      <c r="CI58" s="106">
        <v>0</v>
      </c>
      <c r="CJ58" s="106">
        <v>3.854867256637168</v>
      </c>
      <c r="CK58" s="106">
        <v>4537.9497345132741</v>
      </c>
      <c r="CL58" s="106">
        <v>5.5279187817258881</v>
      </c>
      <c r="CM58" s="106">
        <v>6507.4659898477157</v>
      </c>
      <c r="CN58" s="106">
        <v>4.9262086513994916</v>
      </c>
      <c r="CO58" s="106">
        <v>5799.1328244274819</v>
      </c>
      <c r="CP58" s="106">
        <v>0</v>
      </c>
      <c r="CQ58" s="106">
        <v>0</v>
      </c>
      <c r="CR58" s="106">
        <v>0</v>
      </c>
      <c r="CS58" s="106">
        <v>0</v>
      </c>
      <c r="CT58" s="106">
        <v>6.729145211122554</v>
      </c>
      <c r="CU58" s="106">
        <v>7921.5497425334706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8.6589492430988422</v>
      </c>
      <c r="E71" s="106">
        <v>4883.6473731077467</v>
      </c>
      <c r="F71" s="106">
        <v>0</v>
      </c>
      <c r="G71" s="106">
        <v>0</v>
      </c>
      <c r="H71" s="106">
        <v>4.5366568914956007</v>
      </c>
      <c r="I71" s="106">
        <v>2558.6744868035189</v>
      </c>
      <c r="J71" s="106">
        <v>0</v>
      </c>
      <c r="K71" s="106">
        <v>0</v>
      </c>
      <c r="L71" s="106">
        <v>5.3110687022900755</v>
      </c>
      <c r="M71" s="106">
        <v>2995.4427480916024</v>
      </c>
      <c r="N71" s="106">
        <v>0</v>
      </c>
      <c r="O71" s="106">
        <v>0</v>
      </c>
      <c r="P71" s="106">
        <v>3.0019083969465647</v>
      </c>
      <c r="Q71" s="106">
        <v>1693.0763358778624</v>
      </c>
      <c r="R71" s="106">
        <v>5.2756680731364272</v>
      </c>
      <c r="S71" s="106">
        <v>2975.4767932489449</v>
      </c>
      <c r="T71" s="106">
        <v>0</v>
      </c>
      <c r="U71" s="106">
        <v>0</v>
      </c>
      <c r="V71" s="106">
        <v>3.6793365583966828</v>
      </c>
      <c r="W71" s="106">
        <v>2075.145818935729</v>
      </c>
      <c r="X71" s="106">
        <v>0.91034482758620694</v>
      </c>
      <c r="Y71" s="106">
        <v>513.43448275862067</v>
      </c>
      <c r="Z71" s="106">
        <v>1.2174922600619196</v>
      </c>
      <c r="AA71" s="106">
        <v>686.66563467492267</v>
      </c>
      <c r="AB71" s="106">
        <v>3.5663157894736841</v>
      </c>
      <c r="AC71" s="106">
        <v>2011.4021052631579</v>
      </c>
      <c r="AD71" s="106">
        <v>0</v>
      </c>
      <c r="AE71" s="106">
        <v>0</v>
      </c>
      <c r="AF71" s="106">
        <v>5.7504950495049503</v>
      </c>
      <c r="AG71" s="106">
        <v>3243.279207920792</v>
      </c>
      <c r="AH71" s="106">
        <v>2.3319057815845823</v>
      </c>
      <c r="AI71" s="106">
        <v>1315.1948608137045</v>
      </c>
      <c r="AJ71" s="106">
        <v>0</v>
      </c>
      <c r="AK71" s="106">
        <v>0</v>
      </c>
      <c r="AL71" s="106">
        <v>1.7351816443594645</v>
      </c>
      <c r="AM71" s="106">
        <v>978.64244741873802</v>
      </c>
      <c r="AN71" s="106">
        <v>3.2466460268317854</v>
      </c>
      <c r="AO71" s="106">
        <v>1831.1083591331269</v>
      </c>
      <c r="AP71" s="106">
        <v>0</v>
      </c>
      <c r="AQ71" s="106">
        <v>0</v>
      </c>
      <c r="AR71" s="106">
        <v>0</v>
      </c>
      <c r="AS71" s="106">
        <v>0</v>
      </c>
      <c r="AT71" s="106">
        <v>11.250474383301707</v>
      </c>
      <c r="AU71" s="106">
        <v>6345.2675521821629</v>
      </c>
      <c r="AV71" s="106">
        <v>4.0794701986754971</v>
      </c>
      <c r="AW71" s="106">
        <v>2300.8211920529802</v>
      </c>
      <c r="AX71" s="106">
        <v>5.072222222222222</v>
      </c>
      <c r="AY71" s="106">
        <v>2860.7333333333331</v>
      </c>
      <c r="AZ71" s="106">
        <v>1.9516129032258065</v>
      </c>
      <c r="BA71" s="106">
        <v>1100.7096774193549</v>
      </c>
      <c r="BB71" s="106">
        <v>1.8493449781659388</v>
      </c>
      <c r="BC71" s="106">
        <v>1043.0305676855894</v>
      </c>
      <c r="BD71" s="106">
        <v>2.1712887438825446</v>
      </c>
      <c r="BE71" s="106">
        <v>1224.6068515497552</v>
      </c>
      <c r="BF71" s="106">
        <v>3.7149122807017543</v>
      </c>
      <c r="BG71" s="106">
        <v>2095.2105263157896</v>
      </c>
      <c r="BH71" s="106">
        <v>3.8648648648648649</v>
      </c>
      <c r="BI71" s="106">
        <v>2179.7837837837837</v>
      </c>
      <c r="BJ71" s="106">
        <v>3.5976214073339938</v>
      </c>
      <c r="BK71" s="106">
        <v>2029.0584737363724</v>
      </c>
      <c r="BL71" s="106">
        <v>3.6032660902977907</v>
      </c>
      <c r="BM71" s="106">
        <v>2032.242074927954</v>
      </c>
      <c r="BN71" s="106">
        <v>4.3930544593528023</v>
      </c>
      <c r="BO71" s="106">
        <v>2477.6827150749805</v>
      </c>
      <c r="BP71" s="106">
        <v>1.4352189781021898</v>
      </c>
      <c r="BQ71" s="106">
        <v>809.46350364963507</v>
      </c>
      <c r="BR71" s="106">
        <v>0.98574338085539703</v>
      </c>
      <c r="BS71" s="106">
        <v>555.95926680244395</v>
      </c>
      <c r="BT71" s="106">
        <v>0</v>
      </c>
      <c r="BU71" s="106">
        <v>0</v>
      </c>
      <c r="BV71" s="106">
        <v>1.25093984962406</v>
      </c>
      <c r="BW71" s="106">
        <v>705.53007518796983</v>
      </c>
      <c r="BX71" s="106">
        <v>0</v>
      </c>
      <c r="BY71" s="106">
        <v>0</v>
      </c>
      <c r="BZ71" s="106">
        <v>5.4098360655737707</v>
      </c>
      <c r="CA71" s="106">
        <v>3051.1475409836066</v>
      </c>
      <c r="CB71" s="106">
        <v>1.6610348468848997</v>
      </c>
      <c r="CC71" s="106">
        <v>936.82365364308339</v>
      </c>
      <c r="CD71" s="106">
        <v>1.7233883058470765</v>
      </c>
      <c r="CE71" s="106">
        <v>971.99100449775108</v>
      </c>
      <c r="CF71" s="106">
        <v>2.1999999999999997</v>
      </c>
      <c r="CG71" s="106">
        <v>1240.8</v>
      </c>
      <c r="CH71" s="106">
        <v>0</v>
      </c>
      <c r="CI71" s="106">
        <v>0</v>
      </c>
      <c r="CJ71" s="106">
        <v>2.9982300884955753</v>
      </c>
      <c r="CK71" s="106">
        <v>1691.0017699115044</v>
      </c>
      <c r="CL71" s="106">
        <v>1.637901861252115</v>
      </c>
      <c r="CM71" s="106">
        <v>923.7766497461929</v>
      </c>
      <c r="CN71" s="106">
        <v>4.9262086513994916</v>
      </c>
      <c r="CO71" s="106">
        <v>2778.3816793893134</v>
      </c>
      <c r="CP71" s="106">
        <v>0</v>
      </c>
      <c r="CQ71" s="106">
        <v>0</v>
      </c>
      <c r="CR71" s="106">
        <v>0</v>
      </c>
      <c r="CS71" s="106">
        <v>0</v>
      </c>
      <c r="CT71" s="106">
        <v>7.4768280123583937</v>
      </c>
      <c r="CU71" s="106">
        <v>4216.9309989701342</v>
      </c>
    </row>
    <row r="72" spans="2:99" x14ac:dyDescent="0.2">
      <c r="C72" s="105" t="s">
        <v>238</v>
      </c>
      <c r="D72" s="106">
        <v>8.6589492430988422</v>
      </c>
      <c r="E72" s="106">
        <v>644.22582368655378</v>
      </c>
      <c r="F72" s="106">
        <v>0</v>
      </c>
      <c r="G72" s="106">
        <v>0</v>
      </c>
      <c r="H72" s="106">
        <v>4.752688172043011</v>
      </c>
      <c r="I72" s="106">
        <v>353.59999999999997</v>
      </c>
      <c r="J72" s="106">
        <v>0</v>
      </c>
      <c r="K72" s="106">
        <v>0</v>
      </c>
      <c r="L72" s="106">
        <v>5.3110687022900755</v>
      </c>
      <c r="M72" s="106">
        <v>395.1435114503816</v>
      </c>
      <c r="N72" s="106">
        <v>0</v>
      </c>
      <c r="O72" s="106">
        <v>0</v>
      </c>
      <c r="P72" s="106">
        <v>3.5791984732824429</v>
      </c>
      <c r="Q72" s="106">
        <v>266.29236641221371</v>
      </c>
      <c r="R72" s="106">
        <v>5.6160337552742616</v>
      </c>
      <c r="S72" s="106">
        <v>417.83291139240504</v>
      </c>
      <c r="T72" s="106">
        <v>0</v>
      </c>
      <c r="U72" s="106">
        <v>0</v>
      </c>
      <c r="V72" s="106">
        <v>4.0138217000691085</v>
      </c>
      <c r="W72" s="106">
        <v>298.62833448514164</v>
      </c>
      <c r="X72" s="106">
        <v>0.98620689655172411</v>
      </c>
      <c r="Y72" s="106">
        <v>73.373793103448264</v>
      </c>
      <c r="Z72" s="106">
        <v>1.3111455108359134</v>
      </c>
      <c r="AA72" s="106">
        <v>97.549226006191944</v>
      </c>
      <c r="AB72" s="106">
        <v>3.0568421052631578</v>
      </c>
      <c r="AC72" s="106">
        <v>227.42905263157891</v>
      </c>
      <c r="AD72" s="106">
        <v>0</v>
      </c>
      <c r="AE72" s="106">
        <v>0</v>
      </c>
      <c r="AF72" s="106">
        <v>6.7089108910891087</v>
      </c>
      <c r="AG72" s="106">
        <v>499.14297029702965</v>
      </c>
      <c r="AH72" s="106">
        <v>2.8501070663811565</v>
      </c>
      <c r="AI72" s="106">
        <v>212.04796573875802</v>
      </c>
      <c r="AJ72" s="106">
        <v>0</v>
      </c>
      <c r="AK72" s="106">
        <v>0</v>
      </c>
      <c r="AL72" s="106">
        <v>1.7351816443594645</v>
      </c>
      <c r="AM72" s="106">
        <v>129.09751434034413</v>
      </c>
      <c r="AN72" s="106">
        <v>3.4963880288957689</v>
      </c>
      <c r="AO72" s="106">
        <v>260.13126934984518</v>
      </c>
      <c r="AP72" s="106">
        <v>0</v>
      </c>
      <c r="AQ72" s="106">
        <v>0</v>
      </c>
      <c r="AR72" s="106">
        <v>0</v>
      </c>
      <c r="AS72" s="106">
        <v>0</v>
      </c>
      <c r="AT72" s="106">
        <v>13.546489563567363</v>
      </c>
      <c r="AU72" s="106">
        <v>1007.8588235294117</v>
      </c>
      <c r="AV72" s="106">
        <v>5.0264900662251657</v>
      </c>
      <c r="AW72" s="106">
        <v>373.97086092715227</v>
      </c>
      <c r="AX72" s="106">
        <v>6.2944444444444443</v>
      </c>
      <c r="AY72" s="106">
        <v>468.30666666666662</v>
      </c>
      <c r="AZ72" s="106">
        <v>1.7347670250896057</v>
      </c>
      <c r="BA72" s="106">
        <v>129.06666666666663</v>
      </c>
      <c r="BB72" s="106">
        <v>1.5851528384279474</v>
      </c>
      <c r="BC72" s="106">
        <v>117.93537117903928</v>
      </c>
      <c r="BD72" s="106">
        <v>1.9738988580750405</v>
      </c>
      <c r="BE72" s="106">
        <v>146.85807504078301</v>
      </c>
      <c r="BF72" s="106">
        <v>3.1842105263157894</v>
      </c>
      <c r="BG72" s="106">
        <v>236.90526315789469</v>
      </c>
      <c r="BH72" s="106">
        <v>4.0630630630630629</v>
      </c>
      <c r="BI72" s="106">
        <v>302.29189189189185</v>
      </c>
      <c r="BJ72" s="106">
        <v>3.9573835480673933</v>
      </c>
      <c r="BK72" s="106">
        <v>294.42933597621402</v>
      </c>
      <c r="BL72" s="106">
        <v>4.4169068203650337</v>
      </c>
      <c r="BM72" s="106">
        <v>328.61786743515847</v>
      </c>
      <c r="BN72" s="106">
        <v>5.1570639305445933</v>
      </c>
      <c r="BO72" s="106">
        <v>383.68555643251773</v>
      </c>
      <c r="BP72" s="106">
        <v>1.4352189781021898</v>
      </c>
      <c r="BQ72" s="106">
        <v>106.78029197080291</v>
      </c>
      <c r="BR72" s="106">
        <v>0.98574338085539703</v>
      </c>
      <c r="BS72" s="106">
        <v>73.339307535641524</v>
      </c>
      <c r="BT72" s="106">
        <v>0</v>
      </c>
      <c r="BU72" s="106">
        <v>0</v>
      </c>
      <c r="BV72" s="106">
        <v>1.4783834586466165</v>
      </c>
      <c r="BW72" s="106">
        <v>109.99172932330825</v>
      </c>
      <c r="BX72" s="106">
        <v>0</v>
      </c>
      <c r="BY72" s="106">
        <v>0</v>
      </c>
      <c r="BZ72" s="106">
        <v>5.6803278688524594</v>
      </c>
      <c r="CA72" s="106">
        <v>422.61639344262295</v>
      </c>
      <c r="CB72" s="106">
        <v>1.6610348468848997</v>
      </c>
      <c r="CC72" s="106">
        <v>123.58099260823651</v>
      </c>
      <c r="CD72" s="106">
        <v>1.8140929535232384</v>
      </c>
      <c r="CE72" s="106">
        <v>134.96851574212891</v>
      </c>
      <c r="CF72" s="106">
        <v>2.1999999999999997</v>
      </c>
      <c r="CG72" s="106">
        <v>163.67999999999995</v>
      </c>
      <c r="CH72" s="106">
        <v>0</v>
      </c>
      <c r="CI72" s="106">
        <v>0</v>
      </c>
      <c r="CJ72" s="106">
        <v>3.2123893805309733</v>
      </c>
      <c r="CK72" s="106">
        <v>239.0017699115044</v>
      </c>
      <c r="CL72" s="106">
        <v>1.637901861252115</v>
      </c>
      <c r="CM72" s="106">
        <v>121.85989847715734</v>
      </c>
      <c r="CN72" s="106">
        <v>5.5419847328244272</v>
      </c>
      <c r="CO72" s="106">
        <v>412.32366412213736</v>
      </c>
      <c r="CP72" s="106">
        <v>0</v>
      </c>
      <c r="CQ72" s="106">
        <v>0</v>
      </c>
      <c r="CR72" s="106">
        <v>0</v>
      </c>
      <c r="CS72" s="106">
        <v>0</v>
      </c>
      <c r="CT72" s="106">
        <v>7.8506694129763126</v>
      </c>
      <c r="CU72" s="106">
        <v>584.08980432543763</v>
      </c>
    </row>
    <row r="73" spans="2:99" x14ac:dyDescent="0.2">
      <c r="C73" s="105" t="s">
        <v>239</v>
      </c>
      <c r="D73" s="106">
        <v>9.4461264470169191</v>
      </c>
      <c r="E73" s="106">
        <v>5282.2739091718604</v>
      </c>
      <c r="F73" s="106">
        <v>0</v>
      </c>
      <c r="G73" s="106">
        <v>0</v>
      </c>
      <c r="H73" s="106">
        <v>3.888563049853373</v>
      </c>
      <c r="I73" s="106">
        <v>2174.4844574780059</v>
      </c>
      <c r="J73" s="106">
        <v>0</v>
      </c>
      <c r="K73" s="106">
        <v>0</v>
      </c>
      <c r="L73" s="106">
        <v>5.3110687022900755</v>
      </c>
      <c r="M73" s="106">
        <v>2969.9496183206097</v>
      </c>
      <c r="N73" s="106">
        <v>0</v>
      </c>
      <c r="O73" s="106">
        <v>0</v>
      </c>
      <c r="P73" s="106">
        <v>3.1173664122137406</v>
      </c>
      <c r="Q73" s="106">
        <v>1743.2312977099234</v>
      </c>
      <c r="R73" s="106">
        <v>5.4458509142053444</v>
      </c>
      <c r="S73" s="106">
        <v>3045.3198312236282</v>
      </c>
      <c r="T73" s="106">
        <v>0</v>
      </c>
      <c r="U73" s="106">
        <v>0</v>
      </c>
      <c r="V73" s="106">
        <v>3.6793365583966828</v>
      </c>
      <c r="W73" s="106">
        <v>2057.4850034554247</v>
      </c>
      <c r="X73" s="106">
        <v>1.0620689655172415</v>
      </c>
      <c r="Y73" s="106">
        <v>593.90896551724143</v>
      </c>
      <c r="Z73" s="106">
        <v>1.4047987616099071</v>
      </c>
      <c r="AA73" s="106">
        <v>785.56346749225997</v>
      </c>
      <c r="AB73" s="106">
        <v>3.3115789473684214</v>
      </c>
      <c r="AC73" s="106">
        <v>1851.8349473684211</v>
      </c>
      <c r="AD73" s="106">
        <v>0</v>
      </c>
      <c r="AE73" s="106">
        <v>0</v>
      </c>
      <c r="AF73" s="106">
        <v>5.7504950495049503</v>
      </c>
      <c r="AG73" s="106">
        <v>3215.6768316831676</v>
      </c>
      <c r="AH73" s="106">
        <v>2.5910064239828694</v>
      </c>
      <c r="AI73" s="106">
        <v>1448.8907922912204</v>
      </c>
      <c r="AJ73" s="106">
        <v>0</v>
      </c>
      <c r="AK73" s="106">
        <v>0</v>
      </c>
      <c r="AL73" s="106">
        <v>1.6195028680688337</v>
      </c>
      <c r="AM73" s="106">
        <v>905.62600382409164</v>
      </c>
      <c r="AN73" s="106">
        <v>3.2466460268317854</v>
      </c>
      <c r="AO73" s="106">
        <v>1815.5244582043342</v>
      </c>
      <c r="AP73" s="106">
        <v>0</v>
      </c>
      <c r="AQ73" s="106">
        <v>0</v>
      </c>
      <c r="AR73" s="106">
        <v>0</v>
      </c>
      <c r="AS73" s="106">
        <v>0</v>
      </c>
      <c r="AT73" s="106">
        <v>11.709677419354838</v>
      </c>
      <c r="AU73" s="106">
        <v>6548.0516129032249</v>
      </c>
      <c r="AV73" s="106">
        <v>4.2251655629139071</v>
      </c>
      <c r="AW73" s="106">
        <v>2362.7125827814566</v>
      </c>
      <c r="AX73" s="106">
        <v>5.3166666666666664</v>
      </c>
      <c r="AY73" s="106">
        <v>2973.0799999999995</v>
      </c>
      <c r="AZ73" s="106">
        <v>1.7347670250896057</v>
      </c>
      <c r="BA73" s="106">
        <v>970.08172043010734</v>
      </c>
      <c r="BB73" s="106">
        <v>1.8493449781659388</v>
      </c>
      <c r="BC73" s="106">
        <v>1034.1537117903929</v>
      </c>
      <c r="BD73" s="106">
        <v>1.9738988580750405</v>
      </c>
      <c r="BE73" s="106">
        <v>1103.8042414355625</v>
      </c>
      <c r="BF73" s="106">
        <v>3.7149122807017543</v>
      </c>
      <c r="BG73" s="106">
        <v>2077.3789473684205</v>
      </c>
      <c r="BH73" s="106">
        <v>3.8648648648648649</v>
      </c>
      <c r="BI73" s="106">
        <v>2161.2324324324322</v>
      </c>
      <c r="BJ73" s="106">
        <v>3.5976214073339938</v>
      </c>
      <c r="BK73" s="106">
        <v>2011.789890981169</v>
      </c>
      <c r="BL73" s="106">
        <v>3.7195004803073966</v>
      </c>
      <c r="BM73" s="106">
        <v>2079.9446685878961</v>
      </c>
      <c r="BN73" s="106">
        <v>4.6795580110497239</v>
      </c>
      <c r="BO73" s="106">
        <v>2616.8088397790052</v>
      </c>
      <c r="BP73" s="106">
        <v>1.3248175182481752</v>
      </c>
      <c r="BQ73" s="106">
        <v>740.83795620437945</v>
      </c>
      <c r="BR73" s="106">
        <v>1.1089613034623218</v>
      </c>
      <c r="BS73" s="106">
        <v>620.13116089613027</v>
      </c>
      <c r="BT73" s="106">
        <v>0</v>
      </c>
      <c r="BU73" s="106">
        <v>0</v>
      </c>
      <c r="BV73" s="106">
        <v>1.3646616541353382</v>
      </c>
      <c r="BW73" s="106">
        <v>763.11879699248107</v>
      </c>
      <c r="BX73" s="106">
        <v>0</v>
      </c>
      <c r="BY73" s="106">
        <v>0</v>
      </c>
      <c r="BZ73" s="106">
        <v>5.6803278688524594</v>
      </c>
      <c r="CA73" s="106">
        <v>3176.439344262295</v>
      </c>
      <c r="CB73" s="106">
        <v>1.9165786694825764</v>
      </c>
      <c r="CC73" s="106">
        <v>1071.7507919746565</v>
      </c>
      <c r="CD73" s="106">
        <v>1.8140929535232384</v>
      </c>
      <c r="CE73" s="106">
        <v>1014.4407796101948</v>
      </c>
      <c r="CF73" s="106">
        <v>1.8333333333333335</v>
      </c>
      <c r="CG73" s="106">
        <v>1025.2</v>
      </c>
      <c r="CH73" s="106">
        <v>0</v>
      </c>
      <c r="CI73" s="106">
        <v>0</v>
      </c>
      <c r="CJ73" s="106">
        <v>3.2123893805309733</v>
      </c>
      <c r="CK73" s="106">
        <v>1796.36814159292</v>
      </c>
      <c r="CL73" s="106">
        <v>1.637901861252115</v>
      </c>
      <c r="CM73" s="106">
        <v>915.91472081218262</v>
      </c>
      <c r="CN73" s="106">
        <v>5.8498727735368963</v>
      </c>
      <c r="CO73" s="106">
        <v>3271.248854961832</v>
      </c>
      <c r="CP73" s="106">
        <v>0</v>
      </c>
      <c r="CQ73" s="106">
        <v>0</v>
      </c>
      <c r="CR73" s="106">
        <v>0</v>
      </c>
      <c r="CS73" s="106">
        <v>0</v>
      </c>
      <c r="CT73" s="106">
        <v>7.8506694129763126</v>
      </c>
      <c r="CU73" s="106">
        <v>4390.0943357363531</v>
      </c>
    </row>
    <row r="74" spans="2:99" x14ac:dyDescent="0.2">
      <c r="C74" s="105" t="s">
        <v>240</v>
      </c>
      <c r="D74" s="106">
        <v>9.4461264470169191</v>
      </c>
      <c r="E74" s="106">
        <v>3808.6781834372218</v>
      </c>
      <c r="F74" s="106">
        <v>0</v>
      </c>
      <c r="G74" s="106">
        <v>0</v>
      </c>
      <c r="H74" s="106">
        <v>3.888563049853373</v>
      </c>
      <c r="I74" s="106">
        <v>1567.8686217008799</v>
      </c>
      <c r="J74" s="106">
        <v>0</v>
      </c>
      <c r="K74" s="106">
        <v>0</v>
      </c>
      <c r="L74" s="106">
        <v>5.0801526717557248</v>
      </c>
      <c r="M74" s="106">
        <v>2048.3175572519081</v>
      </c>
      <c r="N74" s="106">
        <v>0</v>
      </c>
      <c r="O74" s="106">
        <v>0</v>
      </c>
      <c r="P74" s="106">
        <v>2.8864503816793894</v>
      </c>
      <c r="Q74" s="106">
        <v>1163.8167938931297</v>
      </c>
      <c r="R74" s="106">
        <v>5.2756680731364272</v>
      </c>
      <c r="S74" s="106">
        <v>2127.1493670886075</v>
      </c>
      <c r="T74" s="106">
        <v>0</v>
      </c>
      <c r="U74" s="106">
        <v>0</v>
      </c>
      <c r="V74" s="106">
        <v>3.51209398756047</v>
      </c>
      <c r="W74" s="106">
        <v>1416.0762957843815</v>
      </c>
      <c r="X74" s="106">
        <v>1.0620689655172415</v>
      </c>
      <c r="Y74" s="106">
        <v>428.22620689655179</v>
      </c>
      <c r="Z74" s="106">
        <v>1.3111455108359134</v>
      </c>
      <c r="AA74" s="106">
        <v>528.65386996904022</v>
      </c>
      <c r="AB74" s="106">
        <v>3.0568421052631578</v>
      </c>
      <c r="AC74" s="106">
        <v>1232.5187368421052</v>
      </c>
      <c r="AD74" s="106">
        <v>0</v>
      </c>
      <c r="AE74" s="106">
        <v>0</v>
      </c>
      <c r="AF74" s="106">
        <v>6.7089108910891087</v>
      </c>
      <c r="AG74" s="106">
        <v>2705.0328712871287</v>
      </c>
      <c r="AH74" s="106">
        <v>2.8501070663811565</v>
      </c>
      <c r="AI74" s="106">
        <v>1149.1631691648822</v>
      </c>
      <c r="AJ74" s="106">
        <v>0</v>
      </c>
      <c r="AK74" s="106">
        <v>0</v>
      </c>
      <c r="AL74" s="106">
        <v>1.7351816443594645</v>
      </c>
      <c r="AM74" s="106">
        <v>699.62523900573603</v>
      </c>
      <c r="AN74" s="106">
        <v>3.2466460268317854</v>
      </c>
      <c r="AO74" s="106">
        <v>1309.0476780185759</v>
      </c>
      <c r="AP74" s="106">
        <v>0</v>
      </c>
      <c r="AQ74" s="106">
        <v>0</v>
      </c>
      <c r="AR74" s="106">
        <v>0</v>
      </c>
      <c r="AS74" s="106">
        <v>0</v>
      </c>
      <c r="AT74" s="106">
        <v>12.283681214421252</v>
      </c>
      <c r="AU74" s="106">
        <v>4952.7802656546482</v>
      </c>
      <c r="AV74" s="106">
        <v>4.7350993377483439</v>
      </c>
      <c r="AW74" s="106">
        <v>1909.1920529801323</v>
      </c>
      <c r="AX74" s="106">
        <v>5.5</v>
      </c>
      <c r="AY74" s="106">
        <v>2217.6</v>
      </c>
      <c r="AZ74" s="106">
        <v>1.9516129032258065</v>
      </c>
      <c r="BA74" s="106">
        <v>786.89032258064515</v>
      </c>
      <c r="BB74" s="106">
        <v>1.5851528384279474</v>
      </c>
      <c r="BC74" s="106">
        <v>639.13362445414839</v>
      </c>
      <c r="BD74" s="106">
        <v>1.9738988580750405</v>
      </c>
      <c r="BE74" s="106">
        <v>795.87601957585628</v>
      </c>
      <c r="BF74" s="106">
        <v>3.1842105263157894</v>
      </c>
      <c r="BG74" s="106">
        <v>1283.8736842105263</v>
      </c>
      <c r="BH74" s="106">
        <v>4.5585585585585582</v>
      </c>
      <c r="BI74" s="106">
        <v>1838.0108108108107</v>
      </c>
      <c r="BJ74" s="106">
        <v>3.7175421209117938</v>
      </c>
      <c r="BK74" s="106">
        <v>1498.9129831516352</v>
      </c>
      <c r="BL74" s="106">
        <v>3.9519692603266088</v>
      </c>
      <c r="BM74" s="106">
        <v>1593.4340057636887</v>
      </c>
      <c r="BN74" s="106">
        <v>4.7750591949486978</v>
      </c>
      <c r="BO74" s="106">
        <v>1925.3038674033148</v>
      </c>
      <c r="BP74" s="106">
        <v>1.4352189781021898</v>
      </c>
      <c r="BQ74" s="106">
        <v>578.68029197080295</v>
      </c>
      <c r="BR74" s="106">
        <v>0.98574338085539703</v>
      </c>
      <c r="BS74" s="106">
        <v>397.45173116089609</v>
      </c>
      <c r="BT74" s="106">
        <v>0</v>
      </c>
      <c r="BU74" s="106">
        <v>0</v>
      </c>
      <c r="BV74" s="106">
        <v>1.3646616541353382</v>
      </c>
      <c r="BW74" s="106">
        <v>550.23157894736835</v>
      </c>
      <c r="BX74" s="106">
        <v>0</v>
      </c>
      <c r="BY74" s="106">
        <v>0</v>
      </c>
      <c r="BZ74" s="106">
        <v>5.139344262295082</v>
      </c>
      <c r="CA74" s="106">
        <v>2072.1836065573771</v>
      </c>
      <c r="CB74" s="106">
        <v>2.0443505807814146</v>
      </c>
      <c r="CC74" s="106">
        <v>824.2821541710664</v>
      </c>
      <c r="CD74" s="106">
        <v>1.8140929535232384</v>
      </c>
      <c r="CE74" s="106">
        <v>731.44227886056967</v>
      </c>
      <c r="CF74" s="106">
        <v>2.0166666666666666</v>
      </c>
      <c r="CG74" s="106">
        <v>813.12</v>
      </c>
      <c r="CH74" s="106">
        <v>0</v>
      </c>
      <c r="CI74" s="106">
        <v>0</v>
      </c>
      <c r="CJ74" s="106">
        <v>2.9982300884955753</v>
      </c>
      <c r="CK74" s="106">
        <v>1208.886371681416</v>
      </c>
      <c r="CL74" s="106">
        <v>1.637901861252115</v>
      </c>
      <c r="CM74" s="106">
        <v>660.4020304568528</v>
      </c>
      <c r="CN74" s="106">
        <v>5.5419847328244272</v>
      </c>
      <c r="CO74" s="106">
        <v>2234.5282442748089</v>
      </c>
      <c r="CP74" s="106">
        <v>0</v>
      </c>
      <c r="CQ74" s="106">
        <v>0</v>
      </c>
      <c r="CR74" s="106">
        <v>0</v>
      </c>
      <c r="CS74" s="106">
        <v>0</v>
      </c>
      <c r="CT74" s="106">
        <v>7.8506694129763126</v>
      </c>
      <c r="CU74" s="106">
        <v>3165.3899073120492</v>
      </c>
    </row>
    <row r="75" spans="2:99" x14ac:dyDescent="0.2">
      <c r="C75" s="105" t="s">
        <v>241</v>
      </c>
      <c r="D75" s="106">
        <v>9.0525378450578806</v>
      </c>
      <c r="E75" s="106">
        <v>5822.5923419412284</v>
      </c>
      <c r="F75" s="106">
        <v>0</v>
      </c>
      <c r="G75" s="106">
        <v>0</v>
      </c>
      <c r="H75" s="106">
        <v>4.1045943304007819</v>
      </c>
      <c r="I75" s="106">
        <v>2640.0750733137825</v>
      </c>
      <c r="J75" s="106">
        <v>0</v>
      </c>
      <c r="K75" s="106">
        <v>0</v>
      </c>
      <c r="L75" s="106">
        <v>4.8492366412213741</v>
      </c>
      <c r="M75" s="106">
        <v>3119.0290076335873</v>
      </c>
      <c r="N75" s="106">
        <v>0</v>
      </c>
      <c r="O75" s="106">
        <v>0</v>
      </c>
      <c r="P75" s="106">
        <v>3.3482824427480917</v>
      </c>
      <c r="Q75" s="106">
        <v>2153.6152671755722</v>
      </c>
      <c r="R75" s="106">
        <v>5.1054852320675099</v>
      </c>
      <c r="S75" s="106">
        <v>3283.8481012658222</v>
      </c>
      <c r="T75" s="106">
        <v>0</v>
      </c>
      <c r="U75" s="106">
        <v>0</v>
      </c>
      <c r="V75" s="106">
        <v>3.3448514167242571</v>
      </c>
      <c r="W75" s="106">
        <v>2151.4084312370419</v>
      </c>
      <c r="X75" s="106">
        <v>1.0620689655172415</v>
      </c>
      <c r="Y75" s="106">
        <v>683.12275862068964</v>
      </c>
      <c r="Z75" s="106">
        <v>1.3111455108359134</v>
      </c>
      <c r="AA75" s="106">
        <v>843.32879256965941</v>
      </c>
      <c r="AB75" s="106">
        <v>3.0568421052631578</v>
      </c>
      <c r="AC75" s="106">
        <v>1966.1608421052629</v>
      </c>
      <c r="AD75" s="106">
        <v>0</v>
      </c>
      <c r="AE75" s="106">
        <v>0</v>
      </c>
      <c r="AF75" s="106">
        <v>6.229702970297029</v>
      </c>
      <c r="AG75" s="106">
        <v>4006.9449504950485</v>
      </c>
      <c r="AH75" s="106">
        <v>2.8501070663811565</v>
      </c>
      <c r="AI75" s="106">
        <v>1833.1888650963597</v>
      </c>
      <c r="AJ75" s="106">
        <v>0</v>
      </c>
      <c r="AK75" s="106">
        <v>0</v>
      </c>
      <c r="AL75" s="106">
        <v>1.7351816443594645</v>
      </c>
      <c r="AM75" s="106">
        <v>1116.0688336520075</v>
      </c>
      <c r="AN75" s="106">
        <v>3.4963880288957689</v>
      </c>
      <c r="AO75" s="106">
        <v>2248.8767801857584</v>
      </c>
      <c r="AP75" s="106">
        <v>0</v>
      </c>
      <c r="AQ75" s="106">
        <v>0</v>
      </c>
      <c r="AR75" s="106">
        <v>0</v>
      </c>
      <c r="AS75" s="106">
        <v>0</v>
      </c>
      <c r="AT75" s="106">
        <v>12.168880455407971</v>
      </c>
      <c r="AU75" s="106">
        <v>7827.0239089184061</v>
      </c>
      <c r="AV75" s="106">
        <v>4.7350993377483439</v>
      </c>
      <c r="AW75" s="106">
        <v>3045.6158940397345</v>
      </c>
      <c r="AX75" s="106">
        <v>5.2555555555555555</v>
      </c>
      <c r="AY75" s="106">
        <v>3380.373333333333</v>
      </c>
      <c r="AZ75" s="106">
        <v>1.9516129032258065</v>
      </c>
      <c r="BA75" s="106">
        <v>1255.2774193548387</v>
      </c>
      <c r="BB75" s="106">
        <v>1.8493449781659388</v>
      </c>
      <c r="BC75" s="106">
        <v>1189.4986899563316</v>
      </c>
      <c r="BD75" s="106">
        <v>2.1712887438825446</v>
      </c>
      <c r="BE75" s="106">
        <v>1396.5729200652524</v>
      </c>
      <c r="BF75" s="106">
        <v>3.7149122807017543</v>
      </c>
      <c r="BG75" s="106">
        <v>2389.4315789473681</v>
      </c>
      <c r="BH75" s="106">
        <v>3.8648648648648649</v>
      </c>
      <c r="BI75" s="106">
        <v>2485.881081081081</v>
      </c>
      <c r="BJ75" s="106">
        <v>3.4777006937561943</v>
      </c>
      <c r="BK75" s="106">
        <v>2236.857086223984</v>
      </c>
      <c r="BL75" s="106">
        <v>3.6032660902977907</v>
      </c>
      <c r="BM75" s="106">
        <v>2317.6207492795388</v>
      </c>
      <c r="BN75" s="106">
        <v>4.7750591949486978</v>
      </c>
      <c r="BO75" s="106">
        <v>3071.3180741910019</v>
      </c>
      <c r="BP75" s="106">
        <v>1.3248175182481752</v>
      </c>
      <c r="BQ75" s="106">
        <v>852.12262773722614</v>
      </c>
      <c r="BR75" s="106">
        <v>0.98574338085539703</v>
      </c>
      <c r="BS75" s="106">
        <v>634.03014256619133</v>
      </c>
      <c r="BT75" s="106">
        <v>0</v>
      </c>
      <c r="BU75" s="106">
        <v>0</v>
      </c>
      <c r="BV75" s="106">
        <v>1.25093984962406</v>
      </c>
      <c r="BW75" s="106">
        <v>804.60451127819533</v>
      </c>
      <c r="BX75" s="106">
        <v>0</v>
      </c>
      <c r="BY75" s="106">
        <v>0</v>
      </c>
      <c r="BZ75" s="106">
        <v>5.9508196721311482</v>
      </c>
      <c r="CA75" s="106">
        <v>3827.5672131147539</v>
      </c>
      <c r="CB75" s="106">
        <v>1.9165786694825764</v>
      </c>
      <c r="CC75" s="106">
        <v>1232.7434002111929</v>
      </c>
      <c r="CD75" s="106">
        <v>1.8140929535232384</v>
      </c>
      <c r="CE75" s="106">
        <v>1166.8245877061468</v>
      </c>
      <c r="CF75" s="106">
        <v>1.8333333333333335</v>
      </c>
      <c r="CG75" s="106">
        <v>1179.2</v>
      </c>
      <c r="CH75" s="106">
        <v>0</v>
      </c>
      <c r="CI75" s="106">
        <v>0</v>
      </c>
      <c r="CJ75" s="106">
        <v>2.9982300884955753</v>
      </c>
      <c r="CK75" s="106">
        <v>1928.4615929203537</v>
      </c>
      <c r="CL75" s="106">
        <v>1.637901861252115</v>
      </c>
      <c r="CM75" s="106">
        <v>1053.4984771573602</v>
      </c>
      <c r="CN75" s="106">
        <v>5.5419847328244272</v>
      </c>
      <c r="CO75" s="106">
        <v>3564.6045801526711</v>
      </c>
      <c r="CP75" s="106">
        <v>0</v>
      </c>
      <c r="CQ75" s="106">
        <v>0</v>
      </c>
      <c r="CR75" s="106">
        <v>0</v>
      </c>
      <c r="CS75" s="106">
        <v>0</v>
      </c>
      <c r="CT75" s="106">
        <v>6.3553038105046351</v>
      </c>
      <c r="CU75" s="106">
        <v>4087.7314109165809</v>
      </c>
    </row>
    <row r="76" spans="2:99" x14ac:dyDescent="0.2">
      <c r="C76" s="105" t="s">
        <v>242</v>
      </c>
      <c r="D76" s="106">
        <v>8.6589492430988422</v>
      </c>
      <c r="E76" s="106">
        <v>6743.5896705253781</v>
      </c>
      <c r="F76" s="106">
        <v>0</v>
      </c>
      <c r="G76" s="106">
        <v>0</v>
      </c>
      <c r="H76" s="106">
        <v>3.888563049853373</v>
      </c>
      <c r="I76" s="106">
        <v>3028.4129032258065</v>
      </c>
      <c r="J76" s="106">
        <v>0</v>
      </c>
      <c r="K76" s="106">
        <v>0</v>
      </c>
      <c r="L76" s="106">
        <v>4.6183206106870234</v>
      </c>
      <c r="M76" s="106">
        <v>3596.7480916030536</v>
      </c>
      <c r="N76" s="106">
        <v>0</v>
      </c>
      <c r="O76" s="106">
        <v>0</v>
      </c>
      <c r="P76" s="106">
        <v>3.0019083969465647</v>
      </c>
      <c r="Q76" s="106">
        <v>2337.8862595419846</v>
      </c>
      <c r="R76" s="106">
        <v>4.9353023909985936</v>
      </c>
      <c r="S76" s="106">
        <v>3843.6135021097043</v>
      </c>
      <c r="T76" s="106">
        <v>0</v>
      </c>
      <c r="U76" s="106">
        <v>0</v>
      </c>
      <c r="V76" s="106">
        <v>3.51209398756047</v>
      </c>
      <c r="W76" s="106">
        <v>2735.2187975120937</v>
      </c>
      <c r="X76" s="106">
        <v>1.0620689655172415</v>
      </c>
      <c r="Y76" s="106">
        <v>827.13931034482766</v>
      </c>
      <c r="Z76" s="106">
        <v>1.4047987616099071</v>
      </c>
      <c r="AA76" s="106">
        <v>1094.0572755417957</v>
      </c>
      <c r="AB76" s="106">
        <v>3.5663157894736841</v>
      </c>
      <c r="AC76" s="106">
        <v>2777.4467368421051</v>
      </c>
      <c r="AD76" s="106">
        <v>0</v>
      </c>
      <c r="AE76" s="106">
        <v>0</v>
      </c>
      <c r="AF76" s="106">
        <v>6.229702970297029</v>
      </c>
      <c r="AG76" s="106">
        <v>4851.6926732673255</v>
      </c>
      <c r="AH76" s="106">
        <v>2.3319057815845823</v>
      </c>
      <c r="AI76" s="106">
        <v>1816.0882226980725</v>
      </c>
      <c r="AJ76" s="106">
        <v>0</v>
      </c>
      <c r="AK76" s="106">
        <v>0</v>
      </c>
      <c r="AL76" s="106">
        <v>1.8508604206500956</v>
      </c>
      <c r="AM76" s="106">
        <v>1441.4500956022944</v>
      </c>
      <c r="AN76" s="106">
        <v>3.7461300309597525</v>
      </c>
      <c r="AO76" s="106">
        <v>2917.4860681114551</v>
      </c>
      <c r="AP76" s="106">
        <v>0</v>
      </c>
      <c r="AQ76" s="106">
        <v>0</v>
      </c>
      <c r="AR76" s="106">
        <v>0</v>
      </c>
      <c r="AS76" s="106">
        <v>0</v>
      </c>
      <c r="AT76" s="106">
        <v>11.135673624288424</v>
      </c>
      <c r="AU76" s="106">
        <v>8672.4626185958241</v>
      </c>
      <c r="AV76" s="106">
        <v>4.516556291390728</v>
      </c>
      <c r="AW76" s="106">
        <v>3517.4940397350988</v>
      </c>
      <c r="AX76" s="106">
        <v>5.6222222222222227</v>
      </c>
      <c r="AY76" s="106">
        <v>4378.586666666667</v>
      </c>
      <c r="AZ76" s="106">
        <v>1.9516129032258065</v>
      </c>
      <c r="BA76" s="106">
        <v>1519.9161290322579</v>
      </c>
      <c r="BB76" s="106">
        <v>1.8493449781659388</v>
      </c>
      <c r="BC76" s="106">
        <v>1440.269868995633</v>
      </c>
      <c r="BD76" s="106">
        <v>1.9738988580750405</v>
      </c>
      <c r="BE76" s="106">
        <v>1537.2724306688415</v>
      </c>
      <c r="BF76" s="106">
        <v>3.1842105263157894</v>
      </c>
      <c r="BG76" s="106">
        <v>2479.8631578947366</v>
      </c>
      <c r="BH76" s="106">
        <v>4.1621621621621623</v>
      </c>
      <c r="BI76" s="106">
        <v>3241.491891891892</v>
      </c>
      <c r="BJ76" s="106">
        <v>3.9573835480673933</v>
      </c>
      <c r="BK76" s="106">
        <v>3082.0103072348857</v>
      </c>
      <c r="BL76" s="106">
        <v>3.9519692603266088</v>
      </c>
      <c r="BM76" s="106">
        <v>3077.7936599423629</v>
      </c>
      <c r="BN76" s="106">
        <v>4.8705603788476717</v>
      </c>
      <c r="BO76" s="106">
        <v>3793.1924230465665</v>
      </c>
      <c r="BP76" s="106">
        <v>1.2144160583941606</v>
      </c>
      <c r="BQ76" s="106">
        <v>945.78722627737216</v>
      </c>
      <c r="BR76" s="106">
        <v>0.98574338085539703</v>
      </c>
      <c r="BS76" s="106">
        <v>767.69694501018319</v>
      </c>
      <c r="BT76" s="106">
        <v>0</v>
      </c>
      <c r="BU76" s="106">
        <v>0</v>
      </c>
      <c r="BV76" s="106">
        <v>1.3646616541353382</v>
      </c>
      <c r="BW76" s="106">
        <v>1062.7984962406013</v>
      </c>
      <c r="BX76" s="106">
        <v>0</v>
      </c>
      <c r="BY76" s="106">
        <v>0</v>
      </c>
      <c r="BZ76" s="106">
        <v>5.9508196721311482</v>
      </c>
      <c r="CA76" s="106">
        <v>4634.498360655738</v>
      </c>
      <c r="CB76" s="106">
        <v>1.9165786694825764</v>
      </c>
      <c r="CC76" s="106">
        <v>1492.6314677930304</v>
      </c>
      <c r="CD76" s="106">
        <v>1.8140929535232384</v>
      </c>
      <c r="CE76" s="106">
        <v>1412.8155922038979</v>
      </c>
      <c r="CF76" s="106">
        <v>2.0166666666666666</v>
      </c>
      <c r="CG76" s="106">
        <v>1570.58</v>
      </c>
      <c r="CH76" s="106">
        <v>0</v>
      </c>
      <c r="CI76" s="106">
        <v>0</v>
      </c>
      <c r="CJ76" s="106">
        <v>2.7840707964601767</v>
      </c>
      <c r="CK76" s="106">
        <v>2168.2343362831857</v>
      </c>
      <c r="CL76" s="106">
        <v>1.8426395939086295</v>
      </c>
      <c r="CM76" s="106">
        <v>1435.0477157360406</v>
      </c>
      <c r="CN76" s="106">
        <v>5.8498727735368963</v>
      </c>
      <c r="CO76" s="106">
        <v>4555.8809160305345</v>
      </c>
      <c r="CP76" s="106">
        <v>0</v>
      </c>
      <c r="CQ76" s="106">
        <v>0</v>
      </c>
      <c r="CR76" s="106">
        <v>0</v>
      </c>
      <c r="CS76" s="106">
        <v>0</v>
      </c>
      <c r="CT76" s="106">
        <v>6.3553038105046351</v>
      </c>
      <c r="CU76" s="106">
        <v>4949.5106076210095</v>
      </c>
    </row>
    <row r="77" spans="2:99" x14ac:dyDescent="0.2">
      <c r="C77" s="105" t="s">
        <v>243</v>
      </c>
      <c r="D77" s="106">
        <v>9.0525378450578806</v>
      </c>
      <c r="E77" s="106">
        <v>2520.2265360641136</v>
      </c>
      <c r="F77" s="106">
        <v>0</v>
      </c>
      <c r="G77" s="106">
        <v>0</v>
      </c>
      <c r="H77" s="106">
        <v>4.5366568914956007</v>
      </c>
      <c r="I77" s="106">
        <v>1263.0052785923751</v>
      </c>
      <c r="J77" s="106">
        <v>0</v>
      </c>
      <c r="K77" s="106">
        <v>0</v>
      </c>
      <c r="L77" s="106">
        <v>5.5419847328244272</v>
      </c>
      <c r="M77" s="106">
        <v>1542.8885496183204</v>
      </c>
      <c r="N77" s="106">
        <v>0</v>
      </c>
      <c r="O77" s="106">
        <v>0</v>
      </c>
      <c r="P77" s="106">
        <v>3.0019083969465647</v>
      </c>
      <c r="Q77" s="106">
        <v>835.73129770992352</v>
      </c>
      <c r="R77" s="106">
        <v>5.4458509142053444</v>
      </c>
      <c r="S77" s="106">
        <v>1516.1248945147677</v>
      </c>
      <c r="T77" s="106">
        <v>0</v>
      </c>
      <c r="U77" s="106">
        <v>0</v>
      </c>
      <c r="V77" s="106">
        <v>4.1810642709053214</v>
      </c>
      <c r="W77" s="106">
        <v>1164.0082930200415</v>
      </c>
      <c r="X77" s="106">
        <v>1.0620689655172415</v>
      </c>
      <c r="Y77" s="106">
        <v>295.68</v>
      </c>
      <c r="Z77" s="106">
        <v>1.3111455108359134</v>
      </c>
      <c r="AA77" s="106">
        <v>365.02291021671823</v>
      </c>
      <c r="AB77" s="106">
        <v>3.5663157894736841</v>
      </c>
      <c r="AC77" s="106">
        <v>992.86231578947354</v>
      </c>
      <c r="AD77" s="106">
        <v>0</v>
      </c>
      <c r="AE77" s="106">
        <v>0</v>
      </c>
      <c r="AF77" s="106">
        <v>5.7504950495049503</v>
      </c>
      <c r="AG77" s="106">
        <v>1600.9378217821779</v>
      </c>
      <c r="AH77" s="106">
        <v>2.5910064239828694</v>
      </c>
      <c r="AI77" s="106">
        <v>721.33618843683075</v>
      </c>
      <c r="AJ77" s="106">
        <v>0</v>
      </c>
      <c r="AK77" s="106">
        <v>0</v>
      </c>
      <c r="AL77" s="106">
        <v>1.6195028680688337</v>
      </c>
      <c r="AM77" s="106">
        <v>450.86959847036326</v>
      </c>
      <c r="AN77" s="106">
        <v>3.7461300309597525</v>
      </c>
      <c r="AO77" s="106">
        <v>1042.922600619195</v>
      </c>
      <c r="AP77" s="106">
        <v>0</v>
      </c>
      <c r="AQ77" s="106">
        <v>0</v>
      </c>
      <c r="AR77" s="106">
        <v>0</v>
      </c>
      <c r="AS77" s="106">
        <v>0</v>
      </c>
      <c r="AT77" s="106">
        <v>12.398481973434535</v>
      </c>
      <c r="AU77" s="106">
        <v>3451.7373814041744</v>
      </c>
      <c r="AV77" s="106">
        <v>4.443708609271523</v>
      </c>
      <c r="AW77" s="106">
        <v>1237.128476821192</v>
      </c>
      <c r="AX77" s="106">
        <v>5.6222222222222227</v>
      </c>
      <c r="AY77" s="106">
        <v>1565.2266666666667</v>
      </c>
      <c r="AZ77" s="106">
        <v>1.9516129032258065</v>
      </c>
      <c r="BA77" s="106">
        <v>543.32903225806444</v>
      </c>
      <c r="BB77" s="106">
        <v>1.8493449781659388</v>
      </c>
      <c r="BC77" s="106">
        <v>514.85764192139732</v>
      </c>
      <c r="BD77" s="106">
        <v>2.1712887438825446</v>
      </c>
      <c r="BE77" s="106">
        <v>604.48678629690039</v>
      </c>
      <c r="BF77" s="106">
        <v>3.7149122807017543</v>
      </c>
      <c r="BG77" s="106">
        <v>1034.2315789473682</v>
      </c>
      <c r="BH77" s="106">
        <v>4.3603603603603602</v>
      </c>
      <c r="BI77" s="106">
        <v>1213.9243243243243</v>
      </c>
      <c r="BJ77" s="106">
        <v>3.9573835480673933</v>
      </c>
      <c r="BK77" s="106">
        <v>1101.7355797819623</v>
      </c>
      <c r="BL77" s="106">
        <v>4.3006724303554273</v>
      </c>
      <c r="BM77" s="106">
        <v>1197.307204610951</v>
      </c>
      <c r="BN77" s="106">
        <v>5.3480662983425411</v>
      </c>
      <c r="BO77" s="106">
        <v>1488.9016574585632</v>
      </c>
      <c r="BP77" s="106">
        <v>1.2144160583941606</v>
      </c>
      <c r="BQ77" s="106">
        <v>338.09343065693429</v>
      </c>
      <c r="BR77" s="106">
        <v>0.98574338085539703</v>
      </c>
      <c r="BS77" s="106">
        <v>274.4309572301425</v>
      </c>
      <c r="BT77" s="106">
        <v>0</v>
      </c>
      <c r="BU77" s="106">
        <v>0</v>
      </c>
      <c r="BV77" s="106">
        <v>1.3646616541353382</v>
      </c>
      <c r="BW77" s="106">
        <v>379.92180451127814</v>
      </c>
      <c r="BX77" s="106">
        <v>0</v>
      </c>
      <c r="BY77" s="106">
        <v>0</v>
      </c>
      <c r="BZ77" s="106">
        <v>5.139344262295082</v>
      </c>
      <c r="CA77" s="106">
        <v>1430.7934426229508</v>
      </c>
      <c r="CB77" s="106">
        <v>1.7888067581837381</v>
      </c>
      <c r="CC77" s="106">
        <v>498.00380147835267</v>
      </c>
      <c r="CD77" s="106">
        <v>1.9047976011994001</v>
      </c>
      <c r="CE77" s="106">
        <v>530.29565217391291</v>
      </c>
      <c r="CF77" s="106">
        <v>2.0166666666666666</v>
      </c>
      <c r="CG77" s="106">
        <v>561.43999999999994</v>
      </c>
      <c r="CH77" s="106">
        <v>0</v>
      </c>
      <c r="CI77" s="106">
        <v>0</v>
      </c>
      <c r="CJ77" s="106">
        <v>3.2123893805309733</v>
      </c>
      <c r="CK77" s="106">
        <v>894.32920353982286</v>
      </c>
      <c r="CL77" s="106">
        <v>1.8426395939086295</v>
      </c>
      <c r="CM77" s="106">
        <v>512.99086294416247</v>
      </c>
      <c r="CN77" s="106">
        <v>5.5419847328244272</v>
      </c>
      <c r="CO77" s="106">
        <v>1542.8885496183204</v>
      </c>
      <c r="CP77" s="106">
        <v>0</v>
      </c>
      <c r="CQ77" s="106">
        <v>0</v>
      </c>
      <c r="CR77" s="106">
        <v>0</v>
      </c>
      <c r="CS77" s="106">
        <v>0</v>
      </c>
      <c r="CT77" s="106">
        <v>6.3553038105046351</v>
      </c>
      <c r="CU77" s="106">
        <v>1769.3165808444903</v>
      </c>
    </row>
    <row r="78" spans="2:99" x14ac:dyDescent="0.2">
      <c r="C78" s="105" t="s">
        <v>244</v>
      </c>
      <c r="D78" s="106">
        <v>9.0525378450578806</v>
      </c>
      <c r="E78" s="106">
        <v>4997.0008904719498</v>
      </c>
      <c r="F78" s="106">
        <v>0</v>
      </c>
      <c r="G78" s="106">
        <v>0</v>
      </c>
      <c r="H78" s="106">
        <v>3.6725317693059627</v>
      </c>
      <c r="I78" s="106">
        <v>2027.2375366568915</v>
      </c>
      <c r="J78" s="106">
        <v>0</v>
      </c>
      <c r="K78" s="106">
        <v>0</v>
      </c>
      <c r="L78" s="106">
        <v>5.7729007633587788</v>
      </c>
      <c r="M78" s="106">
        <v>3186.6412213740459</v>
      </c>
      <c r="N78" s="106">
        <v>0</v>
      </c>
      <c r="O78" s="106">
        <v>0</v>
      </c>
      <c r="P78" s="106">
        <v>3.3482824427480917</v>
      </c>
      <c r="Q78" s="106">
        <v>1848.2519083969466</v>
      </c>
      <c r="R78" s="106">
        <v>5.4458509142053444</v>
      </c>
      <c r="S78" s="106">
        <v>3006.1097046413502</v>
      </c>
      <c r="T78" s="106">
        <v>0</v>
      </c>
      <c r="U78" s="106">
        <v>0</v>
      </c>
      <c r="V78" s="106">
        <v>3.51209398756047</v>
      </c>
      <c r="W78" s="106">
        <v>1938.6758811333793</v>
      </c>
      <c r="X78" s="106">
        <v>0.91034482758620694</v>
      </c>
      <c r="Y78" s="106">
        <v>502.51034482758621</v>
      </c>
      <c r="Z78" s="106">
        <v>1.2174922600619196</v>
      </c>
      <c r="AA78" s="106">
        <v>672.05572755417961</v>
      </c>
      <c r="AB78" s="106">
        <v>3.0568421052631578</v>
      </c>
      <c r="AC78" s="106">
        <v>1687.3768421052632</v>
      </c>
      <c r="AD78" s="106">
        <v>0</v>
      </c>
      <c r="AE78" s="106">
        <v>0</v>
      </c>
      <c r="AF78" s="106">
        <v>5.7504950495049503</v>
      </c>
      <c r="AG78" s="106">
        <v>3174.2732673267324</v>
      </c>
      <c r="AH78" s="106">
        <v>2.5910064239828694</v>
      </c>
      <c r="AI78" s="106">
        <v>1430.2355460385438</v>
      </c>
      <c r="AJ78" s="106">
        <v>0</v>
      </c>
      <c r="AK78" s="106">
        <v>0</v>
      </c>
      <c r="AL78" s="106">
        <v>1.9665391969407267</v>
      </c>
      <c r="AM78" s="106">
        <v>1085.529636711281</v>
      </c>
      <c r="AN78" s="106">
        <v>3.7461300309597525</v>
      </c>
      <c r="AO78" s="106">
        <v>2067.8637770897835</v>
      </c>
      <c r="AP78" s="106">
        <v>0</v>
      </c>
      <c r="AQ78" s="106">
        <v>0</v>
      </c>
      <c r="AR78" s="106">
        <v>0</v>
      </c>
      <c r="AS78" s="106">
        <v>0</v>
      </c>
      <c r="AT78" s="106">
        <v>11.135673624288424</v>
      </c>
      <c r="AU78" s="106">
        <v>6146.8918406072098</v>
      </c>
      <c r="AV78" s="106">
        <v>4.6622516556291389</v>
      </c>
      <c r="AW78" s="106">
        <v>2573.5629139072848</v>
      </c>
      <c r="AX78" s="106">
        <v>5.072222222222222</v>
      </c>
      <c r="AY78" s="106">
        <v>2799.8666666666663</v>
      </c>
      <c r="AZ78" s="106">
        <v>1.7347670250896057</v>
      </c>
      <c r="BA78" s="106">
        <v>957.59139784946228</v>
      </c>
      <c r="BB78" s="106">
        <v>1.8493449781659388</v>
      </c>
      <c r="BC78" s="106">
        <v>1020.8384279475982</v>
      </c>
      <c r="BD78" s="106">
        <v>1.9738988580750405</v>
      </c>
      <c r="BE78" s="106">
        <v>1089.5921696574223</v>
      </c>
      <c r="BF78" s="106">
        <v>3.1842105263157894</v>
      </c>
      <c r="BG78" s="106">
        <v>1757.6842105263158</v>
      </c>
      <c r="BH78" s="106">
        <v>4.0630630630630629</v>
      </c>
      <c r="BI78" s="106">
        <v>2242.8108108108108</v>
      </c>
      <c r="BJ78" s="106">
        <v>4.0773042616451933</v>
      </c>
      <c r="BK78" s="106">
        <v>2250.6719524281466</v>
      </c>
      <c r="BL78" s="106">
        <v>4.1844380403458219</v>
      </c>
      <c r="BM78" s="106">
        <v>2309.8097982708937</v>
      </c>
      <c r="BN78" s="106">
        <v>4.6795580110497239</v>
      </c>
      <c r="BO78" s="106">
        <v>2583.1160220994475</v>
      </c>
      <c r="BP78" s="106">
        <v>1.2144160583941606</v>
      </c>
      <c r="BQ78" s="106">
        <v>670.35766423357666</v>
      </c>
      <c r="BR78" s="106">
        <v>1.1089613034623218</v>
      </c>
      <c r="BS78" s="106">
        <v>612.14663951120167</v>
      </c>
      <c r="BT78" s="106">
        <v>0</v>
      </c>
      <c r="BU78" s="106">
        <v>0</v>
      </c>
      <c r="BV78" s="106">
        <v>1.3646616541353382</v>
      </c>
      <c r="BW78" s="106">
        <v>753.29323308270671</v>
      </c>
      <c r="BX78" s="106">
        <v>0</v>
      </c>
      <c r="BY78" s="106">
        <v>0</v>
      </c>
      <c r="BZ78" s="106">
        <v>5.4098360655737707</v>
      </c>
      <c r="CA78" s="106">
        <v>2986.2295081967213</v>
      </c>
      <c r="CB78" s="106">
        <v>1.9165786694825764</v>
      </c>
      <c r="CC78" s="106">
        <v>1057.9514255543822</v>
      </c>
      <c r="CD78" s="106">
        <v>1.7233883058470765</v>
      </c>
      <c r="CE78" s="106">
        <v>951.31034482758616</v>
      </c>
      <c r="CF78" s="106">
        <v>1.8333333333333335</v>
      </c>
      <c r="CG78" s="106">
        <v>1012.0000000000001</v>
      </c>
      <c r="CH78" s="106">
        <v>0</v>
      </c>
      <c r="CI78" s="106">
        <v>0</v>
      </c>
      <c r="CJ78" s="106">
        <v>2.7840707964601767</v>
      </c>
      <c r="CK78" s="106">
        <v>1536.8070796460177</v>
      </c>
      <c r="CL78" s="106">
        <v>1.637901861252115</v>
      </c>
      <c r="CM78" s="106">
        <v>904.12182741116749</v>
      </c>
      <c r="CN78" s="106">
        <v>5.2340966921119589</v>
      </c>
      <c r="CO78" s="106">
        <v>2889.2213740458014</v>
      </c>
      <c r="CP78" s="106">
        <v>0</v>
      </c>
      <c r="CQ78" s="106">
        <v>0</v>
      </c>
      <c r="CR78" s="106">
        <v>0</v>
      </c>
      <c r="CS78" s="106">
        <v>0</v>
      </c>
      <c r="CT78" s="106">
        <v>7.102986611740473</v>
      </c>
      <c r="CU78" s="106">
        <v>3920.848609680741</v>
      </c>
    </row>
    <row r="79" spans="2:99" x14ac:dyDescent="0.2">
      <c r="C79" s="105" t="s">
        <v>245</v>
      </c>
      <c r="D79" s="106">
        <v>7.8717720391807653</v>
      </c>
      <c r="E79" s="106">
        <v>5960.505788067675</v>
      </c>
      <c r="F79" s="106">
        <v>0</v>
      </c>
      <c r="G79" s="106">
        <v>0</v>
      </c>
      <c r="H79" s="106">
        <v>3.6725317693059627</v>
      </c>
      <c r="I79" s="106">
        <v>2780.8410557184748</v>
      </c>
      <c r="J79" s="106">
        <v>0</v>
      </c>
      <c r="K79" s="106">
        <v>0</v>
      </c>
      <c r="L79" s="106">
        <v>5.3110687022900755</v>
      </c>
      <c r="M79" s="106">
        <v>4021.5412213740447</v>
      </c>
      <c r="N79" s="106">
        <v>0</v>
      </c>
      <c r="O79" s="106">
        <v>0</v>
      </c>
      <c r="P79" s="106">
        <v>3.3482824427480917</v>
      </c>
      <c r="Q79" s="106">
        <v>2535.3194656488549</v>
      </c>
      <c r="R79" s="106">
        <v>5.4458509142053444</v>
      </c>
      <c r="S79" s="106">
        <v>4123.5983122362868</v>
      </c>
      <c r="T79" s="106">
        <v>0</v>
      </c>
      <c r="U79" s="106">
        <v>0</v>
      </c>
      <c r="V79" s="106">
        <v>4.0138217000691085</v>
      </c>
      <c r="W79" s="106">
        <v>3039.2657912923287</v>
      </c>
      <c r="X79" s="106">
        <v>1.0620689655172415</v>
      </c>
      <c r="Y79" s="106">
        <v>804.19862068965517</v>
      </c>
      <c r="Z79" s="106">
        <v>1.3111455108359134</v>
      </c>
      <c r="AA79" s="106">
        <v>992.79938080495356</v>
      </c>
      <c r="AB79" s="106">
        <v>3.3115789473684214</v>
      </c>
      <c r="AC79" s="106">
        <v>2507.5275789473685</v>
      </c>
      <c r="AD79" s="106">
        <v>0</v>
      </c>
      <c r="AE79" s="106">
        <v>0</v>
      </c>
      <c r="AF79" s="106">
        <v>6.229702970297029</v>
      </c>
      <c r="AG79" s="106">
        <v>4717.1310891089097</v>
      </c>
      <c r="AH79" s="106">
        <v>2.3319057815845823</v>
      </c>
      <c r="AI79" s="106">
        <v>1765.7190578158456</v>
      </c>
      <c r="AJ79" s="106">
        <v>0</v>
      </c>
      <c r="AK79" s="106">
        <v>0</v>
      </c>
      <c r="AL79" s="106">
        <v>1.6195028680688337</v>
      </c>
      <c r="AM79" s="106">
        <v>1226.2875717017207</v>
      </c>
      <c r="AN79" s="106">
        <v>3.7461300309597525</v>
      </c>
      <c r="AO79" s="106">
        <v>2836.5696594427245</v>
      </c>
      <c r="AP79" s="106">
        <v>0</v>
      </c>
      <c r="AQ79" s="106">
        <v>0</v>
      </c>
      <c r="AR79" s="106">
        <v>0</v>
      </c>
      <c r="AS79" s="106">
        <v>0</v>
      </c>
      <c r="AT79" s="106">
        <v>11.594876660341557</v>
      </c>
      <c r="AU79" s="106">
        <v>8779.6406072106256</v>
      </c>
      <c r="AV79" s="106">
        <v>4.6622516556291389</v>
      </c>
      <c r="AW79" s="106">
        <v>3530.2569536423835</v>
      </c>
      <c r="AX79" s="106">
        <v>5.7444444444444445</v>
      </c>
      <c r="AY79" s="106">
        <v>4349.6933333333327</v>
      </c>
      <c r="AZ79" s="106">
        <v>1.7347670250896057</v>
      </c>
      <c r="BA79" s="106">
        <v>1313.5655913978494</v>
      </c>
      <c r="BB79" s="106">
        <v>1.8493449781659388</v>
      </c>
      <c r="BC79" s="106">
        <v>1400.3240174672487</v>
      </c>
      <c r="BD79" s="106">
        <v>1.9738988580750405</v>
      </c>
      <c r="BE79" s="106">
        <v>1494.6362153344205</v>
      </c>
      <c r="BF79" s="106">
        <v>3.1842105263157894</v>
      </c>
      <c r="BG79" s="106">
        <v>2411.0842105263155</v>
      </c>
      <c r="BH79" s="106">
        <v>3.7657657657657659</v>
      </c>
      <c r="BI79" s="106">
        <v>2851.4378378378378</v>
      </c>
      <c r="BJ79" s="106">
        <v>3.7175421209117938</v>
      </c>
      <c r="BK79" s="106">
        <v>2814.92289395441</v>
      </c>
      <c r="BL79" s="106">
        <v>3.9519692603266088</v>
      </c>
      <c r="BM79" s="106">
        <v>2992.431123919308</v>
      </c>
      <c r="BN79" s="106">
        <v>5.1570639305445933</v>
      </c>
      <c r="BO79" s="106">
        <v>3904.9288082083658</v>
      </c>
      <c r="BP79" s="106">
        <v>1.3248175182481752</v>
      </c>
      <c r="BQ79" s="106">
        <v>1003.1518248175181</v>
      </c>
      <c r="BR79" s="106">
        <v>0.98574338085539703</v>
      </c>
      <c r="BS79" s="106">
        <v>746.40488798370654</v>
      </c>
      <c r="BT79" s="106">
        <v>0</v>
      </c>
      <c r="BU79" s="106">
        <v>0</v>
      </c>
      <c r="BV79" s="106">
        <v>1.1372180451127818</v>
      </c>
      <c r="BW79" s="106">
        <v>861.10150375939827</v>
      </c>
      <c r="BX79" s="106">
        <v>0</v>
      </c>
      <c r="BY79" s="106">
        <v>0</v>
      </c>
      <c r="BZ79" s="106">
        <v>5.139344262295082</v>
      </c>
      <c r="CA79" s="106">
        <v>3891.5114754098358</v>
      </c>
      <c r="CB79" s="106">
        <v>1.6610348468848997</v>
      </c>
      <c r="CC79" s="106">
        <v>1257.7355860612458</v>
      </c>
      <c r="CD79" s="106">
        <v>1.6326836581709145</v>
      </c>
      <c r="CE79" s="106">
        <v>1236.2680659670164</v>
      </c>
      <c r="CF79" s="106">
        <v>2.0166666666666666</v>
      </c>
      <c r="CG79" s="106">
        <v>1527.0199999999998</v>
      </c>
      <c r="CH79" s="106">
        <v>0</v>
      </c>
      <c r="CI79" s="106">
        <v>0</v>
      </c>
      <c r="CJ79" s="106">
        <v>3.2123893805309733</v>
      </c>
      <c r="CK79" s="106">
        <v>2432.4212389380527</v>
      </c>
      <c r="CL79" s="106">
        <v>1.637901861252115</v>
      </c>
      <c r="CM79" s="106">
        <v>1240.2192893401013</v>
      </c>
      <c r="CN79" s="106">
        <v>5.8498727735368963</v>
      </c>
      <c r="CO79" s="106">
        <v>4429.5236641221372</v>
      </c>
      <c r="CP79" s="106">
        <v>0</v>
      </c>
      <c r="CQ79" s="106">
        <v>0</v>
      </c>
      <c r="CR79" s="106">
        <v>0</v>
      </c>
      <c r="CS79" s="106">
        <v>0</v>
      </c>
      <c r="CT79" s="106">
        <v>7.102986611740473</v>
      </c>
      <c r="CU79" s="106">
        <v>5378.3814624098859</v>
      </c>
    </row>
    <row r="80" spans="2:99" x14ac:dyDescent="0.2">
      <c r="C80" s="105" t="s">
        <v>246</v>
      </c>
      <c r="D80" s="106">
        <v>8.2653606411398037</v>
      </c>
      <c r="E80" s="106">
        <v>6655.2683882457695</v>
      </c>
      <c r="F80" s="106">
        <v>0</v>
      </c>
      <c r="G80" s="106">
        <v>0</v>
      </c>
      <c r="H80" s="106">
        <v>4.1045943304007819</v>
      </c>
      <c r="I80" s="106">
        <v>3305.0193548387092</v>
      </c>
      <c r="J80" s="106">
        <v>0</v>
      </c>
      <c r="K80" s="106">
        <v>0</v>
      </c>
      <c r="L80" s="106">
        <v>5.5419847328244272</v>
      </c>
      <c r="M80" s="106">
        <v>4462.4061068702285</v>
      </c>
      <c r="N80" s="106">
        <v>0</v>
      </c>
      <c r="O80" s="106">
        <v>0</v>
      </c>
      <c r="P80" s="106">
        <v>3.2328244274809159</v>
      </c>
      <c r="Q80" s="106">
        <v>2603.0702290076333</v>
      </c>
      <c r="R80" s="106">
        <v>5.4458509142053444</v>
      </c>
      <c r="S80" s="106">
        <v>4384.9991561181432</v>
      </c>
      <c r="T80" s="106">
        <v>0</v>
      </c>
      <c r="U80" s="106">
        <v>0</v>
      </c>
      <c r="V80" s="106">
        <v>3.8465791292328957</v>
      </c>
      <c r="W80" s="106">
        <v>3097.2655148583272</v>
      </c>
      <c r="X80" s="106">
        <v>1.0620689655172415</v>
      </c>
      <c r="Y80" s="106">
        <v>855.17793103448275</v>
      </c>
      <c r="Z80" s="106">
        <v>1.4047987616099071</v>
      </c>
      <c r="AA80" s="106">
        <v>1131.1439628482972</v>
      </c>
      <c r="AB80" s="106">
        <v>2.8021052631578951</v>
      </c>
      <c r="AC80" s="106">
        <v>2256.2551578947368</v>
      </c>
      <c r="AD80" s="106">
        <v>0</v>
      </c>
      <c r="AE80" s="106">
        <v>0</v>
      </c>
      <c r="AF80" s="106">
        <v>5.7504950495049503</v>
      </c>
      <c r="AG80" s="106">
        <v>4630.298613861386</v>
      </c>
      <c r="AH80" s="106">
        <v>2.3319057815845823</v>
      </c>
      <c r="AI80" s="106">
        <v>1877.6505353319055</v>
      </c>
      <c r="AJ80" s="106">
        <v>0</v>
      </c>
      <c r="AK80" s="106">
        <v>0</v>
      </c>
      <c r="AL80" s="106">
        <v>1.6195028680688337</v>
      </c>
      <c r="AM80" s="106">
        <v>1304.0237093690248</v>
      </c>
      <c r="AN80" s="106">
        <v>3.2466460268317854</v>
      </c>
      <c r="AO80" s="106">
        <v>2614.1993808049533</v>
      </c>
      <c r="AP80" s="106">
        <v>0</v>
      </c>
      <c r="AQ80" s="106">
        <v>0</v>
      </c>
      <c r="AR80" s="106">
        <v>0</v>
      </c>
      <c r="AS80" s="106">
        <v>0</v>
      </c>
      <c r="AT80" s="106">
        <v>11.135673624288424</v>
      </c>
      <c r="AU80" s="106">
        <v>8966.4444022770385</v>
      </c>
      <c r="AV80" s="106">
        <v>4.6622516556291389</v>
      </c>
      <c r="AW80" s="106">
        <v>3754.0450331125821</v>
      </c>
      <c r="AX80" s="106">
        <v>5.3166666666666664</v>
      </c>
      <c r="AY80" s="106">
        <v>4280.9799999999996</v>
      </c>
      <c r="AZ80" s="106">
        <v>1.7347670250896057</v>
      </c>
      <c r="BA80" s="106">
        <v>1396.8344086021505</v>
      </c>
      <c r="BB80" s="106">
        <v>1.8493449781659388</v>
      </c>
      <c r="BC80" s="106">
        <v>1489.0925764192139</v>
      </c>
      <c r="BD80" s="106">
        <v>2.1712887438825446</v>
      </c>
      <c r="BE80" s="106">
        <v>1748.3216965742247</v>
      </c>
      <c r="BF80" s="106">
        <v>3.7149122807017543</v>
      </c>
      <c r="BG80" s="106">
        <v>2991.2473684210522</v>
      </c>
      <c r="BH80" s="106">
        <v>4.1621621621621623</v>
      </c>
      <c r="BI80" s="106">
        <v>3351.372972972973</v>
      </c>
      <c r="BJ80" s="106">
        <v>3.9573835480673933</v>
      </c>
      <c r="BK80" s="106">
        <v>3186.4852329038649</v>
      </c>
      <c r="BL80" s="106">
        <v>3.4870317002881843</v>
      </c>
      <c r="BM80" s="106">
        <v>2807.757925072046</v>
      </c>
      <c r="BN80" s="106">
        <v>4.58405682715075</v>
      </c>
      <c r="BO80" s="106">
        <v>3691.0825572217836</v>
      </c>
      <c r="BP80" s="106">
        <v>1.2144160583941606</v>
      </c>
      <c r="BQ80" s="106">
        <v>977.847810218978</v>
      </c>
      <c r="BR80" s="106">
        <v>0.98574338085539703</v>
      </c>
      <c r="BS80" s="106">
        <v>793.72057026476557</v>
      </c>
      <c r="BT80" s="106">
        <v>0</v>
      </c>
      <c r="BU80" s="106">
        <v>0</v>
      </c>
      <c r="BV80" s="106">
        <v>1.3646616541353382</v>
      </c>
      <c r="BW80" s="106">
        <v>1098.8255639097742</v>
      </c>
      <c r="BX80" s="106">
        <v>0</v>
      </c>
      <c r="BY80" s="106">
        <v>0</v>
      </c>
      <c r="BZ80" s="106">
        <v>4.8688524590163942</v>
      </c>
      <c r="CA80" s="106">
        <v>3920.4</v>
      </c>
      <c r="CB80" s="106">
        <v>1.6610348468848997</v>
      </c>
      <c r="CC80" s="106">
        <v>1337.4652587117212</v>
      </c>
      <c r="CD80" s="106">
        <v>1.9955022488755623</v>
      </c>
      <c r="CE80" s="106">
        <v>1606.7784107946027</v>
      </c>
      <c r="CF80" s="106">
        <v>2.0166666666666666</v>
      </c>
      <c r="CG80" s="106">
        <v>1623.8199999999997</v>
      </c>
      <c r="CH80" s="106">
        <v>0</v>
      </c>
      <c r="CI80" s="106">
        <v>0</v>
      </c>
      <c r="CJ80" s="106">
        <v>2.9982300884955753</v>
      </c>
      <c r="CK80" s="106">
        <v>2414.1748672566368</v>
      </c>
      <c r="CL80" s="106">
        <v>1.637901861252115</v>
      </c>
      <c r="CM80" s="106">
        <v>1318.838578680203</v>
      </c>
      <c r="CN80" s="106">
        <v>4.9262086513994916</v>
      </c>
      <c r="CO80" s="106">
        <v>3966.5832061068704</v>
      </c>
      <c r="CP80" s="106">
        <v>0</v>
      </c>
      <c r="CQ80" s="106">
        <v>0</v>
      </c>
      <c r="CR80" s="106">
        <v>0</v>
      </c>
      <c r="CS80" s="106">
        <v>0</v>
      </c>
      <c r="CT80" s="106">
        <v>6.3553038105046351</v>
      </c>
      <c r="CU80" s="106">
        <v>5117.2906282183321</v>
      </c>
    </row>
    <row r="81" spans="2:99" x14ac:dyDescent="0.2">
      <c r="C81" s="105" t="s">
        <v>247</v>
      </c>
      <c r="D81" s="106">
        <v>9.4461264470169191</v>
      </c>
      <c r="E81" s="106">
        <v>7118.6008904719502</v>
      </c>
      <c r="F81" s="106">
        <v>0</v>
      </c>
      <c r="G81" s="106">
        <v>0</v>
      </c>
      <c r="H81" s="106">
        <v>4.1045943304007819</v>
      </c>
      <c r="I81" s="106">
        <v>3093.2222873900291</v>
      </c>
      <c r="J81" s="106">
        <v>0</v>
      </c>
      <c r="K81" s="106">
        <v>0</v>
      </c>
      <c r="L81" s="106">
        <v>4.8492366412213741</v>
      </c>
      <c r="M81" s="106">
        <v>3654.3847328244278</v>
      </c>
      <c r="N81" s="106">
        <v>0</v>
      </c>
      <c r="O81" s="106">
        <v>0</v>
      </c>
      <c r="P81" s="106">
        <v>3.3482824427480917</v>
      </c>
      <c r="Q81" s="106">
        <v>2523.2656488549619</v>
      </c>
      <c r="R81" s="106">
        <v>5.4458509142053444</v>
      </c>
      <c r="S81" s="106">
        <v>4103.9932489451476</v>
      </c>
      <c r="T81" s="106">
        <v>0</v>
      </c>
      <c r="U81" s="106">
        <v>0</v>
      </c>
      <c r="V81" s="106">
        <v>3.6793365583966828</v>
      </c>
      <c r="W81" s="106">
        <v>2772.7480304077403</v>
      </c>
      <c r="X81" s="106">
        <v>0.98620689655172411</v>
      </c>
      <c r="Y81" s="106">
        <v>743.20551724137931</v>
      </c>
      <c r="Z81" s="106">
        <v>1.3111455108359134</v>
      </c>
      <c r="AA81" s="106">
        <v>988.0792569659443</v>
      </c>
      <c r="AB81" s="106">
        <v>3.3115789473684214</v>
      </c>
      <c r="AC81" s="106">
        <v>2495.6058947368424</v>
      </c>
      <c r="AD81" s="106">
        <v>0</v>
      </c>
      <c r="AE81" s="106">
        <v>0</v>
      </c>
      <c r="AF81" s="106">
        <v>5.7504950495049503</v>
      </c>
      <c r="AG81" s="106">
        <v>4333.5730693069308</v>
      </c>
      <c r="AH81" s="106">
        <v>2.5910064239828694</v>
      </c>
      <c r="AI81" s="106">
        <v>1952.5824411134904</v>
      </c>
      <c r="AJ81" s="106">
        <v>0</v>
      </c>
      <c r="AK81" s="106">
        <v>0</v>
      </c>
      <c r="AL81" s="106">
        <v>1.8508604206500956</v>
      </c>
      <c r="AM81" s="106">
        <v>1394.8084130019122</v>
      </c>
      <c r="AN81" s="106">
        <v>3.7461300309597525</v>
      </c>
      <c r="AO81" s="106">
        <v>2823.0835913312694</v>
      </c>
      <c r="AP81" s="106">
        <v>0</v>
      </c>
      <c r="AQ81" s="106">
        <v>0</v>
      </c>
      <c r="AR81" s="106">
        <v>0</v>
      </c>
      <c r="AS81" s="106">
        <v>0</v>
      </c>
      <c r="AT81" s="106">
        <v>11.939278937381404</v>
      </c>
      <c r="AU81" s="106">
        <v>8997.4406072106267</v>
      </c>
      <c r="AV81" s="106">
        <v>4.0066225165562921</v>
      </c>
      <c r="AW81" s="106">
        <v>3019.390728476822</v>
      </c>
      <c r="AX81" s="106">
        <v>5.5</v>
      </c>
      <c r="AY81" s="106">
        <v>4144.8</v>
      </c>
      <c r="AZ81" s="106">
        <v>1.7347670250896057</v>
      </c>
      <c r="BA81" s="106">
        <v>1307.3204301075268</v>
      </c>
      <c r="BB81" s="106">
        <v>1.8493449781659388</v>
      </c>
      <c r="BC81" s="106">
        <v>1393.6663755458515</v>
      </c>
      <c r="BD81" s="106">
        <v>1.7765089722675367</v>
      </c>
      <c r="BE81" s="106">
        <v>1338.7771615008157</v>
      </c>
      <c r="BF81" s="106">
        <v>3.1842105263157894</v>
      </c>
      <c r="BG81" s="106">
        <v>2399.621052631579</v>
      </c>
      <c r="BH81" s="106">
        <v>4.2612612612612608</v>
      </c>
      <c r="BI81" s="106">
        <v>3211.2864864864864</v>
      </c>
      <c r="BJ81" s="106">
        <v>3.9573835480673933</v>
      </c>
      <c r="BK81" s="106">
        <v>2982.2842418235878</v>
      </c>
      <c r="BL81" s="106">
        <v>3.4870317002881843</v>
      </c>
      <c r="BM81" s="106">
        <v>2627.8270893371759</v>
      </c>
      <c r="BN81" s="106">
        <v>4.6795580110497239</v>
      </c>
      <c r="BO81" s="106">
        <v>3526.5149171270718</v>
      </c>
      <c r="BP81" s="106">
        <v>1.3248175182481752</v>
      </c>
      <c r="BQ81" s="106">
        <v>998.3824817518248</v>
      </c>
      <c r="BR81" s="106">
        <v>0.98574338085539703</v>
      </c>
      <c r="BS81" s="106">
        <v>742.85621181262718</v>
      </c>
      <c r="BT81" s="106">
        <v>0</v>
      </c>
      <c r="BU81" s="106">
        <v>0</v>
      </c>
      <c r="BV81" s="106">
        <v>1.25093984962406</v>
      </c>
      <c r="BW81" s="106">
        <v>942.70827067669165</v>
      </c>
      <c r="BX81" s="106">
        <v>0</v>
      </c>
      <c r="BY81" s="106">
        <v>0</v>
      </c>
      <c r="BZ81" s="106">
        <v>5.9508196721311482</v>
      </c>
      <c r="CA81" s="106">
        <v>4484.5377049180333</v>
      </c>
      <c r="CB81" s="106">
        <v>1.9165786694825764</v>
      </c>
      <c r="CC81" s="106">
        <v>1444.3336853220696</v>
      </c>
      <c r="CD81" s="106">
        <v>1.7233883058470765</v>
      </c>
      <c r="CE81" s="106">
        <v>1298.745427286357</v>
      </c>
      <c r="CF81" s="106">
        <v>2.0166666666666666</v>
      </c>
      <c r="CG81" s="106">
        <v>1519.76</v>
      </c>
      <c r="CH81" s="106">
        <v>0</v>
      </c>
      <c r="CI81" s="106">
        <v>0</v>
      </c>
      <c r="CJ81" s="106">
        <v>3.2123893805309733</v>
      </c>
      <c r="CK81" s="106">
        <v>2420.8566371681418</v>
      </c>
      <c r="CL81" s="106">
        <v>1.8426395939086295</v>
      </c>
      <c r="CM81" s="106">
        <v>1388.6131979695433</v>
      </c>
      <c r="CN81" s="106">
        <v>5.2340966921119589</v>
      </c>
      <c r="CO81" s="106">
        <v>3944.4152671755724</v>
      </c>
      <c r="CP81" s="106">
        <v>0</v>
      </c>
      <c r="CQ81" s="106">
        <v>0</v>
      </c>
      <c r="CR81" s="106">
        <v>0</v>
      </c>
      <c r="CS81" s="106">
        <v>0</v>
      </c>
      <c r="CT81" s="106">
        <v>6.729145211122554</v>
      </c>
      <c r="CU81" s="106">
        <v>5071.083831101957</v>
      </c>
    </row>
    <row r="82" spans="2:99" x14ac:dyDescent="0.2">
      <c r="C82" s="105" t="s">
        <v>248</v>
      </c>
      <c r="D82" s="106">
        <v>9.4461264470169191</v>
      </c>
      <c r="E82" s="106">
        <v>4806.1891362422075</v>
      </c>
      <c r="F82" s="106">
        <v>0</v>
      </c>
      <c r="G82" s="106">
        <v>0</v>
      </c>
      <c r="H82" s="106">
        <v>3.6725317693059627</v>
      </c>
      <c r="I82" s="106">
        <v>1868.5841642228734</v>
      </c>
      <c r="J82" s="106">
        <v>0</v>
      </c>
      <c r="K82" s="106">
        <v>0</v>
      </c>
      <c r="L82" s="106">
        <v>4.8492366412213741</v>
      </c>
      <c r="M82" s="106">
        <v>2467.2916030534348</v>
      </c>
      <c r="N82" s="106">
        <v>0</v>
      </c>
      <c r="O82" s="106">
        <v>0</v>
      </c>
      <c r="P82" s="106">
        <v>3.3482824427480917</v>
      </c>
      <c r="Q82" s="106">
        <v>1703.6061068702288</v>
      </c>
      <c r="R82" s="106">
        <v>5.1054852320675099</v>
      </c>
      <c r="S82" s="106">
        <v>2597.6708860759486</v>
      </c>
      <c r="T82" s="106">
        <v>0</v>
      </c>
      <c r="U82" s="106">
        <v>0</v>
      </c>
      <c r="V82" s="106">
        <v>3.6793365583966828</v>
      </c>
      <c r="W82" s="106">
        <v>1872.0464409122319</v>
      </c>
      <c r="X82" s="106">
        <v>0.98620689655172411</v>
      </c>
      <c r="Y82" s="106">
        <v>501.78206896551711</v>
      </c>
      <c r="Z82" s="106">
        <v>1.3111455108359134</v>
      </c>
      <c r="AA82" s="106">
        <v>667.1108359133126</v>
      </c>
      <c r="AB82" s="106">
        <v>3.3115789473684214</v>
      </c>
      <c r="AC82" s="106">
        <v>1684.9313684210524</v>
      </c>
      <c r="AD82" s="106">
        <v>0</v>
      </c>
      <c r="AE82" s="106">
        <v>0</v>
      </c>
      <c r="AF82" s="106">
        <v>6.229702970297029</v>
      </c>
      <c r="AG82" s="106">
        <v>3169.6728712871277</v>
      </c>
      <c r="AH82" s="106">
        <v>2.5910064239828694</v>
      </c>
      <c r="AI82" s="106">
        <v>1318.3040685224837</v>
      </c>
      <c r="AJ82" s="106">
        <v>0</v>
      </c>
      <c r="AK82" s="106">
        <v>0</v>
      </c>
      <c r="AL82" s="106">
        <v>1.8508604206500956</v>
      </c>
      <c r="AM82" s="106">
        <v>941.71778202676842</v>
      </c>
      <c r="AN82" s="106">
        <v>3.2466460268317854</v>
      </c>
      <c r="AO82" s="106">
        <v>1651.8934984520122</v>
      </c>
      <c r="AP82" s="106">
        <v>0</v>
      </c>
      <c r="AQ82" s="106">
        <v>0</v>
      </c>
      <c r="AR82" s="106">
        <v>0</v>
      </c>
      <c r="AS82" s="106">
        <v>0</v>
      </c>
      <c r="AT82" s="106">
        <v>11.250474383301707</v>
      </c>
      <c r="AU82" s="106">
        <v>5724.2413662239078</v>
      </c>
      <c r="AV82" s="106">
        <v>4.443708609271523</v>
      </c>
      <c r="AW82" s="106">
        <v>2260.9589403973505</v>
      </c>
      <c r="AX82" s="106">
        <v>5.5</v>
      </c>
      <c r="AY82" s="106">
        <v>2798.3999999999996</v>
      </c>
      <c r="AZ82" s="106">
        <v>1.9516129032258065</v>
      </c>
      <c r="BA82" s="106">
        <v>992.98064516129011</v>
      </c>
      <c r="BB82" s="106">
        <v>1.8493449781659388</v>
      </c>
      <c r="BC82" s="106">
        <v>940.9467248908295</v>
      </c>
      <c r="BD82" s="106">
        <v>2.1712887438825446</v>
      </c>
      <c r="BE82" s="106">
        <v>1104.7517128874385</v>
      </c>
      <c r="BF82" s="106">
        <v>3.7149122807017543</v>
      </c>
      <c r="BG82" s="106">
        <v>1890.1473684210523</v>
      </c>
      <c r="BH82" s="106">
        <v>4.4594594594594597</v>
      </c>
      <c r="BI82" s="106">
        <v>2268.9729729729725</v>
      </c>
      <c r="BJ82" s="106">
        <v>3.7175421209117938</v>
      </c>
      <c r="BK82" s="106">
        <v>1891.4854311199203</v>
      </c>
      <c r="BL82" s="106">
        <v>4.0682036503362147</v>
      </c>
      <c r="BM82" s="106">
        <v>2069.9020172910655</v>
      </c>
      <c r="BN82" s="106">
        <v>4.6795580110497239</v>
      </c>
      <c r="BO82" s="106">
        <v>2380.9591160220989</v>
      </c>
      <c r="BP82" s="106">
        <v>1.3248175182481752</v>
      </c>
      <c r="BQ82" s="106">
        <v>674.06715328467135</v>
      </c>
      <c r="BR82" s="106">
        <v>0.8625254582484726</v>
      </c>
      <c r="BS82" s="106">
        <v>438.85295315682276</v>
      </c>
      <c r="BT82" s="106">
        <v>0</v>
      </c>
      <c r="BU82" s="106">
        <v>0</v>
      </c>
      <c r="BV82" s="106">
        <v>1.3646616541353382</v>
      </c>
      <c r="BW82" s="106">
        <v>694.33984962405998</v>
      </c>
      <c r="BX82" s="106">
        <v>0</v>
      </c>
      <c r="BY82" s="106">
        <v>0</v>
      </c>
      <c r="BZ82" s="106">
        <v>5.9508196721311482</v>
      </c>
      <c r="CA82" s="106">
        <v>3027.7770491803276</v>
      </c>
      <c r="CB82" s="106">
        <v>1.6610348468848997</v>
      </c>
      <c r="CC82" s="106">
        <v>845.13453009503678</v>
      </c>
      <c r="CD82" s="106">
        <v>1.9955022488755623</v>
      </c>
      <c r="CE82" s="106">
        <v>1015.3115442278859</v>
      </c>
      <c r="CF82" s="106">
        <v>1.8333333333333335</v>
      </c>
      <c r="CG82" s="106">
        <v>932.79999999999984</v>
      </c>
      <c r="CH82" s="106">
        <v>0</v>
      </c>
      <c r="CI82" s="106">
        <v>0</v>
      </c>
      <c r="CJ82" s="106">
        <v>2.9982300884955753</v>
      </c>
      <c r="CK82" s="106">
        <v>1525.4994690265485</v>
      </c>
      <c r="CL82" s="106">
        <v>1.8426395939086295</v>
      </c>
      <c r="CM82" s="106">
        <v>937.53502538071052</v>
      </c>
      <c r="CN82" s="106">
        <v>5.5419847328244272</v>
      </c>
      <c r="CO82" s="106">
        <v>2819.7618320610682</v>
      </c>
      <c r="CP82" s="106">
        <v>0</v>
      </c>
      <c r="CQ82" s="106">
        <v>0</v>
      </c>
      <c r="CR82" s="106">
        <v>0</v>
      </c>
      <c r="CS82" s="106">
        <v>0</v>
      </c>
      <c r="CT82" s="106">
        <v>7.8506694129763126</v>
      </c>
      <c r="CU82" s="106">
        <v>3994.420597322347</v>
      </c>
    </row>
    <row r="83" spans="2:99" x14ac:dyDescent="0.2">
      <c r="C83" s="105" t="s">
        <v>249</v>
      </c>
      <c r="D83" s="106">
        <v>8.2653606411398037</v>
      </c>
      <c r="E83" s="106">
        <v>7111.5162956366867</v>
      </c>
      <c r="F83" s="106">
        <v>0</v>
      </c>
      <c r="G83" s="106">
        <v>0</v>
      </c>
      <c r="H83" s="106">
        <v>4.1045943304007819</v>
      </c>
      <c r="I83" s="106">
        <v>3531.5929618768328</v>
      </c>
      <c r="J83" s="106">
        <v>0</v>
      </c>
      <c r="K83" s="106">
        <v>0</v>
      </c>
      <c r="L83" s="106">
        <v>5.0801526717557248</v>
      </c>
      <c r="M83" s="106">
        <v>4370.9633587786257</v>
      </c>
      <c r="N83" s="106">
        <v>0</v>
      </c>
      <c r="O83" s="106">
        <v>0</v>
      </c>
      <c r="P83" s="106">
        <v>3.1173664122137406</v>
      </c>
      <c r="Q83" s="106">
        <v>2682.1820610687023</v>
      </c>
      <c r="R83" s="106">
        <v>4.7651195499296772</v>
      </c>
      <c r="S83" s="106">
        <v>4099.908860759494</v>
      </c>
      <c r="T83" s="106">
        <v>0</v>
      </c>
      <c r="U83" s="106">
        <v>0</v>
      </c>
      <c r="V83" s="106">
        <v>3.8465791292328957</v>
      </c>
      <c r="W83" s="106">
        <v>3309.5966827919833</v>
      </c>
      <c r="X83" s="106">
        <v>0.98620689655172411</v>
      </c>
      <c r="Y83" s="106">
        <v>848.53241379310339</v>
      </c>
      <c r="Z83" s="106">
        <v>1.3111455108359134</v>
      </c>
      <c r="AA83" s="106">
        <v>1128.1095975232199</v>
      </c>
      <c r="AB83" s="106">
        <v>3.3115789473684214</v>
      </c>
      <c r="AC83" s="106">
        <v>2849.2825263157897</v>
      </c>
      <c r="AD83" s="106">
        <v>0</v>
      </c>
      <c r="AE83" s="106">
        <v>0</v>
      </c>
      <c r="AF83" s="106">
        <v>6.229702970297029</v>
      </c>
      <c r="AG83" s="106">
        <v>5360.0364356435639</v>
      </c>
      <c r="AH83" s="106">
        <v>2.5910064239828694</v>
      </c>
      <c r="AI83" s="106">
        <v>2229.3019271948606</v>
      </c>
      <c r="AJ83" s="106">
        <v>0</v>
      </c>
      <c r="AK83" s="106">
        <v>0</v>
      </c>
      <c r="AL83" s="106">
        <v>1.8508604206500956</v>
      </c>
      <c r="AM83" s="106">
        <v>1592.4803059273422</v>
      </c>
      <c r="AN83" s="106">
        <v>2.9969040247678018</v>
      </c>
      <c r="AO83" s="106">
        <v>2578.5362229102166</v>
      </c>
      <c r="AP83" s="106">
        <v>0</v>
      </c>
      <c r="AQ83" s="106">
        <v>0</v>
      </c>
      <c r="AR83" s="106">
        <v>0</v>
      </c>
      <c r="AS83" s="106">
        <v>0</v>
      </c>
      <c r="AT83" s="106">
        <v>12.628083491461101</v>
      </c>
      <c r="AU83" s="106">
        <v>10865.203036053132</v>
      </c>
      <c r="AV83" s="106">
        <v>4.370860927152318</v>
      </c>
      <c r="AW83" s="106">
        <v>3760.6887417218545</v>
      </c>
      <c r="AX83" s="106">
        <v>5.4388888888888882</v>
      </c>
      <c r="AY83" s="106">
        <v>4679.619999999999</v>
      </c>
      <c r="AZ83" s="106">
        <v>1.7347670250896057</v>
      </c>
      <c r="BA83" s="106">
        <v>1492.5935483870967</v>
      </c>
      <c r="BB83" s="106">
        <v>1.5851528384279474</v>
      </c>
      <c r="BC83" s="106">
        <v>1363.8655021834059</v>
      </c>
      <c r="BD83" s="106">
        <v>2.1712887438825446</v>
      </c>
      <c r="BE83" s="106">
        <v>1868.1768352365414</v>
      </c>
      <c r="BF83" s="106">
        <v>3.7149122807017543</v>
      </c>
      <c r="BG83" s="106">
        <v>3196.3105263157895</v>
      </c>
      <c r="BH83" s="106">
        <v>3.9639639639639639</v>
      </c>
      <c r="BI83" s="106">
        <v>3410.5945945945946</v>
      </c>
      <c r="BJ83" s="106">
        <v>3.4777006937561943</v>
      </c>
      <c r="BK83" s="106">
        <v>2992.2136769078293</v>
      </c>
      <c r="BL83" s="106">
        <v>3.7195004803073966</v>
      </c>
      <c r="BM83" s="106">
        <v>3200.2582132564839</v>
      </c>
      <c r="BN83" s="106">
        <v>4.6795580110497239</v>
      </c>
      <c r="BO83" s="106">
        <v>4026.2917127071823</v>
      </c>
      <c r="BP83" s="106">
        <v>1.2144160583941606</v>
      </c>
      <c r="BQ83" s="106">
        <v>1044.8835766423358</v>
      </c>
      <c r="BR83" s="106">
        <v>0.98574338085539703</v>
      </c>
      <c r="BS83" s="106">
        <v>848.13360488798355</v>
      </c>
      <c r="BT83" s="106">
        <v>0</v>
      </c>
      <c r="BU83" s="106">
        <v>0</v>
      </c>
      <c r="BV83" s="106">
        <v>1.25093984962406</v>
      </c>
      <c r="BW83" s="106">
        <v>1076.3086466165412</v>
      </c>
      <c r="BX83" s="106">
        <v>0</v>
      </c>
      <c r="BY83" s="106">
        <v>0</v>
      </c>
      <c r="BZ83" s="106">
        <v>4.8688524590163942</v>
      </c>
      <c r="CA83" s="106">
        <v>4189.1606557377054</v>
      </c>
      <c r="CB83" s="106">
        <v>1.6610348468848997</v>
      </c>
      <c r="CC83" s="106">
        <v>1429.1543822597675</v>
      </c>
      <c r="CD83" s="106">
        <v>1.8140929535232384</v>
      </c>
      <c r="CE83" s="106">
        <v>1560.8455772113944</v>
      </c>
      <c r="CF83" s="106">
        <v>2.0166666666666666</v>
      </c>
      <c r="CG83" s="106">
        <v>1735.1399999999999</v>
      </c>
      <c r="CH83" s="106">
        <v>0</v>
      </c>
      <c r="CI83" s="106">
        <v>0</v>
      </c>
      <c r="CJ83" s="106">
        <v>3.2123893805309733</v>
      </c>
      <c r="CK83" s="106">
        <v>2763.9398230088495</v>
      </c>
      <c r="CL83" s="106">
        <v>1.637901861252115</v>
      </c>
      <c r="CM83" s="106">
        <v>1409.2507614213198</v>
      </c>
      <c r="CN83" s="106">
        <v>5.5419847328244272</v>
      </c>
      <c r="CO83" s="106">
        <v>4768.3236641221374</v>
      </c>
      <c r="CP83" s="106">
        <v>0</v>
      </c>
      <c r="CQ83" s="106">
        <v>0</v>
      </c>
      <c r="CR83" s="106">
        <v>0</v>
      </c>
      <c r="CS83" s="106">
        <v>0</v>
      </c>
      <c r="CT83" s="106">
        <v>6.3553038105046351</v>
      </c>
      <c r="CU83" s="106">
        <v>5468.103398558188</v>
      </c>
    </row>
    <row r="84" spans="2:99" x14ac:dyDescent="0.2">
      <c r="C84" s="105" t="s">
        <v>250</v>
      </c>
      <c r="D84" s="106">
        <v>7.8717720391807653</v>
      </c>
      <c r="E84" s="106">
        <v>6149.4283170080134</v>
      </c>
      <c r="F84" s="106">
        <v>0</v>
      </c>
      <c r="G84" s="106">
        <v>0</v>
      </c>
      <c r="H84" s="106">
        <v>3.6725317693059627</v>
      </c>
      <c r="I84" s="106">
        <v>2868.9818181818177</v>
      </c>
      <c r="J84" s="106">
        <v>0</v>
      </c>
      <c r="K84" s="106">
        <v>0</v>
      </c>
      <c r="L84" s="106">
        <v>5.3110687022900755</v>
      </c>
      <c r="M84" s="106">
        <v>4149.0068702290064</v>
      </c>
      <c r="N84" s="106">
        <v>0</v>
      </c>
      <c r="O84" s="106">
        <v>0</v>
      </c>
      <c r="P84" s="106">
        <v>3.2328244274809159</v>
      </c>
      <c r="Q84" s="106">
        <v>2525.4824427480912</v>
      </c>
      <c r="R84" s="106">
        <v>4.9353023909985936</v>
      </c>
      <c r="S84" s="106">
        <v>3855.4582278481012</v>
      </c>
      <c r="T84" s="106">
        <v>0</v>
      </c>
      <c r="U84" s="106">
        <v>0</v>
      </c>
      <c r="V84" s="106">
        <v>3.51209398756047</v>
      </c>
      <c r="W84" s="106">
        <v>2743.647823082239</v>
      </c>
      <c r="X84" s="106">
        <v>0.91034482758620694</v>
      </c>
      <c r="Y84" s="106">
        <v>711.16137931034484</v>
      </c>
      <c r="Z84" s="106">
        <v>1.2174922600619196</v>
      </c>
      <c r="AA84" s="106">
        <v>951.10495356037154</v>
      </c>
      <c r="AB84" s="106">
        <v>3.3115789473684214</v>
      </c>
      <c r="AC84" s="106">
        <v>2587.0054736842108</v>
      </c>
      <c r="AD84" s="106">
        <v>0</v>
      </c>
      <c r="AE84" s="106">
        <v>0</v>
      </c>
      <c r="AF84" s="106">
        <v>6.229702970297029</v>
      </c>
      <c r="AG84" s="106">
        <v>4866.6439603960389</v>
      </c>
      <c r="AH84" s="106">
        <v>2.8501070663811565</v>
      </c>
      <c r="AI84" s="106">
        <v>2226.5036402569594</v>
      </c>
      <c r="AJ84" s="106">
        <v>0</v>
      </c>
      <c r="AK84" s="106">
        <v>0</v>
      </c>
      <c r="AL84" s="106">
        <v>1.6195028680688337</v>
      </c>
      <c r="AM84" s="106">
        <v>1265.1556405353729</v>
      </c>
      <c r="AN84" s="106">
        <v>3.4963880288957689</v>
      </c>
      <c r="AO84" s="106">
        <v>2731.3783281733745</v>
      </c>
      <c r="AP84" s="106">
        <v>0</v>
      </c>
      <c r="AQ84" s="106">
        <v>0</v>
      </c>
      <c r="AR84" s="106">
        <v>0</v>
      </c>
      <c r="AS84" s="106">
        <v>0</v>
      </c>
      <c r="AT84" s="106">
        <v>11.594876660341557</v>
      </c>
      <c r="AU84" s="106">
        <v>9057.9176470588227</v>
      </c>
      <c r="AV84" s="106">
        <v>3.9337748344370858</v>
      </c>
      <c r="AW84" s="106">
        <v>3073.0649006622511</v>
      </c>
      <c r="AX84" s="106">
        <v>5.3777777777777782</v>
      </c>
      <c r="AY84" s="106">
        <v>4201.12</v>
      </c>
      <c r="AZ84" s="106">
        <v>1.9516129032258065</v>
      </c>
      <c r="BA84" s="106">
        <v>1524.6</v>
      </c>
      <c r="BB84" s="106">
        <v>1.8493449781659388</v>
      </c>
      <c r="BC84" s="106">
        <v>1444.7082969432313</v>
      </c>
      <c r="BD84" s="106">
        <v>1.7765089722675367</v>
      </c>
      <c r="BE84" s="106">
        <v>1387.8088091353995</v>
      </c>
      <c r="BF84" s="106">
        <v>3.1842105263157894</v>
      </c>
      <c r="BG84" s="106">
        <v>2487.5052631578947</v>
      </c>
      <c r="BH84" s="106">
        <v>3.8648648648648649</v>
      </c>
      <c r="BI84" s="106">
        <v>3019.2324324324322</v>
      </c>
      <c r="BJ84" s="106">
        <v>3.3577799801783943</v>
      </c>
      <c r="BK84" s="106">
        <v>2623.0977205153613</v>
      </c>
      <c r="BL84" s="106">
        <v>3.4870317002881843</v>
      </c>
      <c r="BM84" s="106">
        <v>2724.0691642651295</v>
      </c>
      <c r="BN84" s="106">
        <v>4.58405682715075</v>
      </c>
      <c r="BO84" s="106">
        <v>3581.0651933701656</v>
      </c>
      <c r="BP84" s="106">
        <v>1.2144160583941606</v>
      </c>
      <c r="BQ84" s="106">
        <v>948.70182481751817</v>
      </c>
      <c r="BR84" s="106">
        <v>1.1089613034623218</v>
      </c>
      <c r="BS84" s="106">
        <v>866.32057026476571</v>
      </c>
      <c r="BT84" s="106">
        <v>0</v>
      </c>
      <c r="BU84" s="106">
        <v>0</v>
      </c>
      <c r="BV84" s="106">
        <v>1.1372180451127818</v>
      </c>
      <c r="BW84" s="106">
        <v>888.39473684210509</v>
      </c>
      <c r="BX84" s="106">
        <v>0</v>
      </c>
      <c r="BY84" s="106">
        <v>0</v>
      </c>
      <c r="BZ84" s="106">
        <v>5.4098360655737707</v>
      </c>
      <c r="CA84" s="106">
        <v>4226.1639344262294</v>
      </c>
      <c r="CB84" s="106">
        <v>1.7888067581837381</v>
      </c>
      <c r="CC84" s="106">
        <v>1397.4158394931362</v>
      </c>
      <c r="CD84" s="106">
        <v>1.6326836581709145</v>
      </c>
      <c r="CE84" s="106">
        <v>1275.4524737631184</v>
      </c>
      <c r="CF84" s="106">
        <v>2.0166666666666666</v>
      </c>
      <c r="CG84" s="106">
        <v>1575.4199999999998</v>
      </c>
      <c r="CH84" s="106">
        <v>0</v>
      </c>
      <c r="CI84" s="106">
        <v>0</v>
      </c>
      <c r="CJ84" s="106">
        <v>2.9982300884955753</v>
      </c>
      <c r="CK84" s="106">
        <v>2342.217345132743</v>
      </c>
      <c r="CL84" s="106">
        <v>1.637901861252115</v>
      </c>
      <c r="CM84" s="106">
        <v>1279.5289340101522</v>
      </c>
      <c r="CN84" s="106">
        <v>5.2340966921119589</v>
      </c>
      <c r="CO84" s="106">
        <v>4088.8763358778619</v>
      </c>
      <c r="CP84" s="106">
        <v>0</v>
      </c>
      <c r="CQ84" s="106">
        <v>0</v>
      </c>
      <c r="CR84" s="106">
        <v>0</v>
      </c>
      <c r="CS84" s="106">
        <v>0</v>
      </c>
      <c r="CT84" s="106">
        <v>7.102986611740473</v>
      </c>
      <c r="CU84" s="106">
        <v>5548.8531410916567</v>
      </c>
    </row>
    <row r="85" spans="2:99" x14ac:dyDescent="0.2">
      <c r="C85" s="105" t="s">
        <v>251</v>
      </c>
      <c r="D85" s="106">
        <v>10.233303650934996</v>
      </c>
      <c r="E85" s="106">
        <v>1534.9955476402495</v>
      </c>
      <c r="F85" s="106">
        <v>0</v>
      </c>
      <c r="G85" s="106">
        <v>0</v>
      </c>
      <c r="H85" s="106">
        <v>4.3206256109481913</v>
      </c>
      <c r="I85" s="106">
        <v>648.09384164222865</v>
      </c>
      <c r="J85" s="106">
        <v>0</v>
      </c>
      <c r="K85" s="106">
        <v>0</v>
      </c>
      <c r="L85" s="106">
        <v>5.7729007633587788</v>
      </c>
      <c r="M85" s="106">
        <v>865.93511450381686</v>
      </c>
      <c r="N85" s="106">
        <v>0</v>
      </c>
      <c r="O85" s="106">
        <v>0</v>
      </c>
      <c r="P85" s="106">
        <v>3.4637404580152671</v>
      </c>
      <c r="Q85" s="106">
        <v>519.56106870229007</v>
      </c>
      <c r="R85" s="106">
        <v>4.9353023909985936</v>
      </c>
      <c r="S85" s="106">
        <v>740.29535864978902</v>
      </c>
      <c r="T85" s="106">
        <v>0</v>
      </c>
      <c r="U85" s="106">
        <v>0</v>
      </c>
      <c r="V85" s="106">
        <v>4.1810642709053214</v>
      </c>
      <c r="W85" s="106">
        <v>627.15964063579816</v>
      </c>
      <c r="X85" s="106">
        <v>0.91034482758620694</v>
      </c>
      <c r="Y85" s="106">
        <v>136.55172413793105</v>
      </c>
      <c r="Z85" s="106">
        <v>1.3111455108359134</v>
      </c>
      <c r="AA85" s="106">
        <v>196.67182662538701</v>
      </c>
      <c r="AB85" s="106">
        <v>3.3115789473684214</v>
      </c>
      <c r="AC85" s="106">
        <v>496.73684210526324</v>
      </c>
      <c r="AD85" s="106">
        <v>0</v>
      </c>
      <c r="AE85" s="106">
        <v>0</v>
      </c>
      <c r="AF85" s="106">
        <v>5.7504950495049503</v>
      </c>
      <c r="AG85" s="106">
        <v>862.57425742574253</v>
      </c>
      <c r="AH85" s="106">
        <v>2.8501070663811565</v>
      </c>
      <c r="AI85" s="106">
        <v>427.51605995717347</v>
      </c>
      <c r="AJ85" s="106">
        <v>0</v>
      </c>
      <c r="AK85" s="106">
        <v>0</v>
      </c>
      <c r="AL85" s="106">
        <v>1.7351816443594645</v>
      </c>
      <c r="AM85" s="106">
        <v>260.27724665391969</v>
      </c>
      <c r="AN85" s="106">
        <v>3.4963880288957689</v>
      </c>
      <c r="AO85" s="106">
        <v>524.45820433436529</v>
      </c>
      <c r="AP85" s="106">
        <v>0</v>
      </c>
      <c r="AQ85" s="106">
        <v>0</v>
      </c>
      <c r="AR85" s="106">
        <v>0</v>
      </c>
      <c r="AS85" s="106">
        <v>0</v>
      </c>
      <c r="AT85" s="106">
        <v>12.972485768500949</v>
      </c>
      <c r="AU85" s="106">
        <v>1945.8728652751424</v>
      </c>
      <c r="AV85" s="106">
        <v>4.443708609271523</v>
      </c>
      <c r="AW85" s="106">
        <v>666.55629139072846</v>
      </c>
      <c r="AX85" s="106">
        <v>5.8055555555555554</v>
      </c>
      <c r="AY85" s="106">
        <v>870.83333333333326</v>
      </c>
      <c r="AZ85" s="106">
        <v>1.9516129032258065</v>
      </c>
      <c r="BA85" s="106">
        <v>292.74193548387098</v>
      </c>
      <c r="BB85" s="106">
        <v>1.8493449781659388</v>
      </c>
      <c r="BC85" s="106">
        <v>277.40174672489081</v>
      </c>
      <c r="BD85" s="106">
        <v>1.9738988580750405</v>
      </c>
      <c r="BE85" s="106">
        <v>296.08482871125608</v>
      </c>
      <c r="BF85" s="106">
        <v>3.1842105263157894</v>
      </c>
      <c r="BG85" s="106">
        <v>477.63157894736838</v>
      </c>
      <c r="BH85" s="106">
        <v>4.2612612612612608</v>
      </c>
      <c r="BI85" s="106">
        <v>639.18918918918916</v>
      </c>
      <c r="BJ85" s="106">
        <v>4.1972249752229933</v>
      </c>
      <c r="BK85" s="106">
        <v>629.58374628344905</v>
      </c>
      <c r="BL85" s="106">
        <v>4.0682036503362147</v>
      </c>
      <c r="BM85" s="106">
        <v>610.23054755043222</v>
      </c>
      <c r="BN85" s="106">
        <v>5.0615627466456194</v>
      </c>
      <c r="BO85" s="106">
        <v>759.23441199684294</v>
      </c>
      <c r="BP85" s="106">
        <v>1.2144160583941606</v>
      </c>
      <c r="BQ85" s="106">
        <v>182.16240875912408</v>
      </c>
      <c r="BR85" s="106">
        <v>1.1089613034623218</v>
      </c>
      <c r="BS85" s="106">
        <v>166.34419551934826</v>
      </c>
      <c r="BT85" s="106">
        <v>0</v>
      </c>
      <c r="BU85" s="106">
        <v>0</v>
      </c>
      <c r="BV85" s="106">
        <v>1.4783834586466165</v>
      </c>
      <c r="BW85" s="106">
        <v>221.75751879699246</v>
      </c>
      <c r="BX85" s="106">
        <v>0</v>
      </c>
      <c r="BY85" s="106">
        <v>0</v>
      </c>
      <c r="BZ85" s="106">
        <v>5.4098360655737707</v>
      </c>
      <c r="CA85" s="106">
        <v>811.47540983606564</v>
      </c>
      <c r="CB85" s="106">
        <v>1.9165786694825764</v>
      </c>
      <c r="CC85" s="106">
        <v>287.48680042238647</v>
      </c>
      <c r="CD85" s="106">
        <v>2.0862068965517242</v>
      </c>
      <c r="CE85" s="106">
        <v>312.93103448275861</v>
      </c>
      <c r="CF85" s="106">
        <v>2.1999999999999997</v>
      </c>
      <c r="CG85" s="106">
        <v>329.99999999999994</v>
      </c>
      <c r="CH85" s="106">
        <v>0</v>
      </c>
      <c r="CI85" s="106">
        <v>0</v>
      </c>
      <c r="CJ85" s="106">
        <v>2.7840707964601767</v>
      </c>
      <c r="CK85" s="106">
        <v>417.61061946902652</v>
      </c>
      <c r="CL85" s="106">
        <v>1.8426395939086295</v>
      </c>
      <c r="CM85" s="106">
        <v>276.39593908629445</v>
      </c>
      <c r="CN85" s="106">
        <v>5.8498727735368963</v>
      </c>
      <c r="CO85" s="106">
        <v>877.48091603053444</v>
      </c>
      <c r="CP85" s="106">
        <v>0</v>
      </c>
      <c r="CQ85" s="106">
        <v>0</v>
      </c>
      <c r="CR85" s="106">
        <v>0</v>
      </c>
      <c r="CS85" s="106">
        <v>0</v>
      </c>
      <c r="CT85" s="106">
        <v>7.8506694129763126</v>
      </c>
      <c r="CU85" s="106">
        <v>1177.6004119464469</v>
      </c>
    </row>
    <row r="86" spans="2:99" x14ac:dyDescent="0.2">
      <c r="C86" s="105" t="s">
        <v>252</v>
      </c>
      <c r="D86" s="106">
        <v>9.8397150489759575</v>
      </c>
      <c r="E86" s="106">
        <v>5313.4461264470174</v>
      </c>
      <c r="F86" s="106">
        <v>0</v>
      </c>
      <c r="G86" s="106">
        <v>0</v>
      </c>
      <c r="H86" s="106">
        <v>4.1045943304007819</v>
      </c>
      <c r="I86" s="106">
        <v>2216.4809384164223</v>
      </c>
      <c r="J86" s="106">
        <v>0</v>
      </c>
      <c r="K86" s="106">
        <v>0</v>
      </c>
      <c r="L86" s="106">
        <v>5.5419847328244272</v>
      </c>
      <c r="M86" s="106">
        <v>2992.6717557251905</v>
      </c>
      <c r="N86" s="106">
        <v>0</v>
      </c>
      <c r="O86" s="106">
        <v>0</v>
      </c>
      <c r="P86" s="106">
        <v>3.2328244274809159</v>
      </c>
      <c r="Q86" s="106">
        <v>1745.7251908396945</v>
      </c>
      <c r="R86" s="106">
        <v>4.7651195499296772</v>
      </c>
      <c r="S86" s="106">
        <v>2573.1645569620259</v>
      </c>
      <c r="T86" s="106">
        <v>0</v>
      </c>
      <c r="U86" s="106">
        <v>0</v>
      </c>
      <c r="V86" s="106">
        <v>3.6793365583966828</v>
      </c>
      <c r="W86" s="106">
        <v>1986.8417415342087</v>
      </c>
      <c r="X86" s="106">
        <v>1.0620689655172415</v>
      </c>
      <c r="Y86" s="106">
        <v>573.51724137931046</v>
      </c>
      <c r="Z86" s="106">
        <v>1.3111455108359134</v>
      </c>
      <c r="AA86" s="106">
        <v>708.01857585139317</v>
      </c>
      <c r="AB86" s="106">
        <v>3.5663157894736841</v>
      </c>
      <c r="AC86" s="106">
        <v>1925.8105263157895</v>
      </c>
      <c r="AD86" s="106">
        <v>0</v>
      </c>
      <c r="AE86" s="106">
        <v>0</v>
      </c>
      <c r="AF86" s="106">
        <v>5.7504950495049503</v>
      </c>
      <c r="AG86" s="106">
        <v>3105.2673267326732</v>
      </c>
      <c r="AH86" s="106">
        <v>2.5910064239828694</v>
      </c>
      <c r="AI86" s="106">
        <v>1399.1434689507494</v>
      </c>
      <c r="AJ86" s="106">
        <v>0</v>
      </c>
      <c r="AK86" s="106">
        <v>0</v>
      </c>
      <c r="AL86" s="106">
        <v>1.9665391969407267</v>
      </c>
      <c r="AM86" s="106">
        <v>1061.9311663479923</v>
      </c>
      <c r="AN86" s="106">
        <v>3.4963880288957689</v>
      </c>
      <c r="AO86" s="106">
        <v>1888.0495356037152</v>
      </c>
      <c r="AP86" s="106">
        <v>0</v>
      </c>
      <c r="AQ86" s="106">
        <v>0</v>
      </c>
      <c r="AR86" s="106">
        <v>0</v>
      </c>
      <c r="AS86" s="106">
        <v>0</v>
      </c>
      <c r="AT86" s="106">
        <v>11.480075901328274</v>
      </c>
      <c r="AU86" s="106">
        <v>6199.2409867172673</v>
      </c>
      <c r="AV86" s="106">
        <v>4.8807947019867548</v>
      </c>
      <c r="AW86" s="106">
        <v>2635.6291390728475</v>
      </c>
      <c r="AX86" s="106">
        <v>5.5611111111111109</v>
      </c>
      <c r="AY86" s="106">
        <v>3003</v>
      </c>
      <c r="AZ86" s="106">
        <v>1.7347670250896057</v>
      </c>
      <c r="BA86" s="106">
        <v>936.77419354838707</v>
      </c>
      <c r="BB86" s="106">
        <v>1.8493449781659388</v>
      </c>
      <c r="BC86" s="106">
        <v>998.64628820960695</v>
      </c>
      <c r="BD86" s="106">
        <v>1.9738988580750405</v>
      </c>
      <c r="BE86" s="106">
        <v>1065.9053833605219</v>
      </c>
      <c r="BF86" s="106">
        <v>3.1842105263157894</v>
      </c>
      <c r="BG86" s="106">
        <v>1719.4736842105262</v>
      </c>
      <c r="BH86" s="106">
        <v>4.1621621621621623</v>
      </c>
      <c r="BI86" s="106">
        <v>2247.5675675675675</v>
      </c>
      <c r="BJ86" s="106">
        <v>3.9573835480673933</v>
      </c>
      <c r="BK86" s="106">
        <v>2136.9871159563922</v>
      </c>
      <c r="BL86" s="106">
        <v>4.3006724303554273</v>
      </c>
      <c r="BM86" s="106">
        <v>2322.3631123919308</v>
      </c>
      <c r="BN86" s="106">
        <v>5.1570639305445933</v>
      </c>
      <c r="BO86" s="106">
        <v>2784.8145224940804</v>
      </c>
      <c r="BP86" s="106">
        <v>1.2144160583941606</v>
      </c>
      <c r="BQ86" s="106">
        <v>655.78467153284669</v>
      </c>
      <c r="BR86" s="106">
        <v>0.98574338085539703</v>
      </c>
      <c r="BS86" s="106">
        <v>532.30142566191444</v>
      </c>
      <c r="BT86" s="106">
        <v>0</v>
      </c>
      <c r="BU86" s="106">
        <v>0</v>
      </c>
      <c r="BV86" s="106">
        <v>1.25093984962406</v>
      </c>
      <c r="BW86" s="106">
        <v>675.50751879699237</v>
      </c>
      <c r="BX86" s="106">
        <v>0</v>
      </c>
      <c r="BY86" s="106">
        <v>0</v>
      </c>
      <c r="BZ86" s="106">
        <v>5.139344262295082</v>
      </c>
      <c r="CA86" s="106">
        <v>2775.2459016393441</v>
      </c>
      <c r="CB86" s="106">
        <v>1.7888067581837381</v>
      </c>
      <c r="CC86" s="106">
        <v>965.95564941921862</v>
      </c>
      <c r="CD86" s="106">
        <v>1.7233883058470765</v>
      </c>
      <c r="CE86" s="106">
        <v>930.62968515742125</v>
      </c>
      <c r="CF86" s="106">
        <v>2.1999999999999997</v>
      </c>
      <c r="CG86" s="106">
        <v>1187.9999999999998</v>
      </c>
      <c r="CH86" s="106">
        <v>0</v>
      </c>
      <c r="CI86" s="106">
        <v>0</v>
      </c>
      <c r="CJ86" s="106">
        <v>3.2123893805309733</v>
      </c>
      <c r="CK86" s="106">
        <v>1734.6902654867256</v>
      </c>
      <c r="CL86" s="106">
        <v>1.8426395939086295</v>
      </c>
      <c r="CM86" s="106">
        <v>995.02538071065999</v>
      </c>
      <c r="CN86" s="106">
        <v>5.8498727735368963</v>
      </c>
      <c r="CO86" s="106">
        <v>3158.9312977099239</v>
      </c>
      <c r="CP86" s="106">
        <v>0</v>
      </c>
      <c r="CQ86" s="106">
        <v>0</v>
      </c>
      <c r="CR86" s="106">
        <v>0</v>
      </c>
      <c r="CS86" s="106">
        <v>0</v>
      </c>
      <c r="CT86" s="106">
        <v>7.4768280123583937</v>
      </c>
      <c r="CU86" s="106">
        <v>4037.4871266735327</v>
      </c>
    </row>
    <row r="87" spans="2:99" x14ac:dyDescent="0.2">
      <c r="B87" s="105" t="s">
        <v>131</v>
      </c>
      <c r="C87" s="105" t="s">
        <v>253</v>
      </c>
      <c r="D87" s="106">
        <v>4.7230632235084595</v>
      </c>
      <c r="E87" s="106">
        <v>9232.6439893143361</v>
      </c>
      <c r="F87" s="106">
        <v>0</v>
      </c>
      <c r="G87" s="106">
        <v>0</v>
      </c>
      <c r="H87" s="106">
        <v>1.7282502443792767</v>
      </c>
      <c r="I87" s="106">
        <v>3378.3835777126101</v>
      </c>
      <c r="J87" s="106">
        <v>0</v>
      </c>
      <c r="K87" s="106">
        <v>0</v>
      </c>
      <c r="L87" s="106">
        <v>9.6984732824427482</v>
      </c>
      <c r="M87" s="106">
        <v>18958.575572519083</v>
      </c>
      <c r="N87" s="106">
        <v>0</v>
      </c>
      <c r="O87" s="106">
        <v>0</v>
      </c>
      <c r="P87" s="106">
        <v>4.3874045801526718</v>
      </c>
      <c r="Q87" s="106">
        <v>8576.4984732824432</v>
      </c>
      <c r="R87" s="106">
        <v>8.5091420534458511</v>
      </c>
      <c r="S87" s="106">
        <v>16633.67088607595</v>
      </c>
      <c r="T87" s="106">
        <v>0</v>
      </c>
      <c r="U87" s="106">
        <v>0</v>
      </c>
      <c r="V87" s="106">
        <v>6.5224602626123014</v>
      </c>
      <c r="W87" s="106">
        <v>12750.105321354526</v>
      </c>
      <c r="X87" s="106">
        <v>4.7793103448275867</v>
      </c>
      <c r="Y87" s="106">
        <v>9342.5958620689653</v>
      </c>
      <c r="Z87" s="106">
        <v>5.7128482972136219</v>
      </c>
      <c r="AA87" s="106">
        <v>11167.475851393188</v>
      </c>
      <c r="AB87" s="106">
        <v>5.3494736842105262</v>
      </c>
      <c r="AC87" s="106">
        <v>10457.151157894736</v>
      </c>
      <c r="AD87" s="106">
        <v>0</v>
      </c>
      <c r="AE87" s="106">
        <v>0</v>
      </c>
      <c r="AF87" s="106">
        <v>7.1881188118811874</v>
      </c>
      <c r="AG87" s="106">
        <v>14051.334653465345</v>
      </c>
      <c r="AH87" s="106">
        <v>5.4411134903640255</v>
      </c>
      <c r="AI87" s="106">
        <v>10636.288650963597</v>
      </c>
      <c r="AJ87" s="106">
        <v>0</v>
      </c>
      <c r="AK87" s="106">
        <v>0</v>
      </c>
      <c r="AL87" s="106">
        <v>4.9741873804971322</v>
      </c>
      <c r="AM87" s="106">
        <v>9723.5414913957939</v>
      </c>
      <c r="AN87" s="106">
        <v>13.236326109391124</v>
      </c>
      <c r="AO87" s="106">
        <v>25874.370278637769</v>
      </c>
      <c r="AP87" s="106">
        <v>0</v>
      </c>
      <c r="AQ87" s="106">
        <v>0</v>
      </c>
      <c r="AR87" s="106">
        <v>0</v>
      </c>
      <c r="AS87" s="106">
        <v>0</v>
      </c>
      <c r="AT87" s="106">
        <v>1.0332068311195446</v>
      </c>
      <c r="AU87" s="106">
        <v>2019.7127134724858</v>
      </c>
      <c r="AV87" s="106">
        <v>1.0927152317880795</v>
      </c>
      <c r="AW87" s="106">
        <v>2136.0397350993376</v>
      </c>
      <c r="AX87" s="106">
        <v>0.85555555555555562</v>
      </c>
      <c r="AY87" s="106">
        <v>1672.44</v>
      </c>
      <c r="AZ87" s="106">
        <v>5.854838709677419</v>
      </c>
      <c r="BA87" s="106">
        <v>11445.038709677419</v>
      </c>
      <c r="BB87" s="106">
        <v>4.2270742358078603</v>
      </c>
      <c r="BC87" s="106">
        <v>8263.0847161572055</v>
      </c>
      <c r="BD87" s="106">
        <v>4.145187601957586</v>
      </c>
      <c r="BE87" s="106">
        <v>8103.0127243066891</v>
      </c>
      <c r="BF87" s="106">
        <v>9.0219298245614024</v>
      </c>
      <c r="BG87" s="106">
        <v>17636.068421052631</v>
      </c>
      <c r="BH87" s="106">
        <v>1.9819819819819819</v>
      </c>
      <c r="BI87" s="106">
        <v>3874.3783783783783</v>
      </c>
      <c r="BJ87" s="106">
        <v>3.2378592666005948</v>
      </c>
      <c r="BK87" s="106">
        <v>6329.3672943508427</v>
      </c>
      <c r="BL87" s="106">
        <v>2.9058597502401535</v>
      </c>
      <c r="BM87" s="106">
        <v>5680.3746397694522</v>
      </c>
      <c r="BN87" s="106">
        <v>1.8145224940805051</v>
      </c>
      <c r="BO87" s="106">
        <v>3547.0285714285715</v>
      </c>
      <c r="BP87" s="106">
        <v>4.5264598540145986</v>
      </c>
      <c r="BQ87" s="106">
        <v>8848.3237226277379</v>
      </c>
      <c r="BR87" s="106">
        <v>7.3930753564154781</v>
      </c>
      <c r="BS87" s="106">
        <v>14451.983706720976</v>
      </c>
      <c r="BT87" s="106">
        <v>0</v>
      </c>
      <c r="BU87" s="106">
        <v>0</v>
      </c>
      <c r="BV87" s="106">
        <v>5.344924812030075</v>
      </c>
      <c r="BW87" s="106">
        <v>10448.259022556391</v>
      </c>
      <c r="BX87" s="106">
        <v>0</v>
      </c>
      <c r="BY87" s="106">
        <v>0</v>
      </c>
      <c r="BZ87" s="106">
        <v>4.5983606557377046</v>
      </c>
      <c r="CA87" s="106">
        <v>8988.8754098360641</v>
      </c>
      <c r="CB87" s="106">
        <v>2.1721224920802533</v>
      </c>
      <c r="CC87" s="106">
        <v>4246.0650475184793</v>
      </c>
      <c r="CD87" s="106">
        <v>1.2698650674662668</v>
      </c>
      <c r="CE87" s="106">
        <v>2482.3322338830585</v>
      </c>
      <c r="CF87" s="106">
        <v>5.5</v>
      </c>
      <c r="CG87" s="106">
        <v>10751.4</v>
      </c>
      <c r="CH87" s="106">
        <v>0</v>
      </c>
      <c r="CI87" s="106">
        <v>0</v>
      </c>
      <c r="CJ87" s="106">
        <v>5.3539823008849554</v>
      </c>
      <c r="CK87" s="106">
        <v>10465.964601769911</v>
      </c>
      <c r="CL87" s="106">
        <v>6.3468697123519462</v>
      </c>
      <c r="CM87" s="106">
        <v>12406.860913705585</v>
      </c>
      <c r="CN87" s="106">
        <v>4.002544529262086</v>
      </c>
      <c r="CO87" s="106">
        <v>7824.1740458015256</v>
      </c>
      <c r="CP87" s="106">
        <v>0</v>
      </c>
      <c r="CQ87" s="106">
        <v>0</v>
      </c>
      <c r="CR87" s="106">
        <v>0</v>
      </c>
      <c r="CS87" s="106">
        <v>0</v>
      </c>
      <c r="CT87" s="106">
        <v>4.486096807415036</v>
      </c>
      <c r="CU87" s="106">
        <v>8769.4220391349118</v>
      </c>
    </row>
    <row r="88" spans="2:99" x14ac:dyDescent="0.2">
      <c r="C88" s="105" t="s">
        <v>254</v>
      </c>
      <c r="D88" s="106">
        <v>4.7230632235084595</v>
      </c>
      <c r="E88" s="106">
        <v>8937.9248441674081</v>
      </c>
      <c r="F88" s="106">
        <v>0</v>
      </c>
      <c r="G88" s="106">
        <v>0</v>
      </c>
      <c r="H88" s="106">
        <v>1.9442815249266865</v>
      </c>
      <c r="I88" s="106">
        <v>3679.3583577712611</v>
      </c>
      <c r="J88" s="106">
        <v>0</v>
      </c>
      <c r="K88" s="106">
        <v>0</v>
      </c>
      <c r="L88" s="106">
        <v>9.6984732824427482</v>
      </c>
      <c r="M88" s="106">
        <v>18353.390839694657</v>
      </c>
      <c r="N88" s="106">
        <v>0</v>
      </c>
      <c r="O88" s="106">
        <v>0</v>
      </c>
      <c r="P88" s="106">
        <v>4.0410305343511448</v>
      </c>
      <c r="Q88" s="106">
        <v>7647.2461832061063</v>
      </c>
      <c r="R88" s="106">
        <v>8.8495077355836855</v>
      </c>
      <c r="S88" s="106">
        <v>16746.808438818567</v>
      </c>
      <c r="T88" s="106">
        <v>0</v>
      </c>
      <c r="U88" s="106">
        <v>0</v>
      </c>
      <c r="V88" s="106">
        <v>6.0207325501036628</v>
      </c>
      <c r="W88" s="106">
        <v>11393.634277816171</v>
      </c>
      <c r="X88" s="106">
        <v>5.2344827586206897</v>
      </c>
      <c r="Y88" s="106">
        <v>9905.7351724137916</v>
      </c>
      <c r="Z88" s="106">
        <v>5.7128482972136219</v>
      </c>
      <c r="AA88" s="106">
        <v>10810.994117647057</v>
      </c>
      <c r="AB88" s="106">
        <v>5.094736842105263</v>
      </c>
      <c r="AC88" s="106">
        <v>9641.2799999999988</v>
      </c>
      <c r="AD88" s="106">
        <v>0</v>
      </c>
      <c r="AE88" s="106">
        <v>0</v>
      </c>
      <c r="AF88" s="106">
        <v>8.6257425742574245</v>
      </c>
      <c r="AG88" s="106">
        <v>16323.355247524749</v>
      </c>
      <c r="AH88" s="106">
        <v>6.2184154175588864</v>
      </c>
      <c r="AI88" s="106">
        <v>11767.729336188435</v>
      </c>
      <c r="AJ88" s="106">
        <v>0</v>
      </c>
      <c r="AK88" s="106">
        <v>0</v>
      </c>
      <c r="AL88" s="106">
        <v>4.6271510516252388</v>
      </c>
      <c r="AM88" s="106">
        <v>8756.4206500956006</v>
      </c>
      <c r="AN88" s="106">
        <v>13.735810113519092</v>
      </c>
      <c r="AO88" s="106">
        <v>25993.647058823528</v>
      </c>
      <c r="AP88" s="106">
        <v>0</v>
      </c>
      <c r="AQ88" s="106">
        <v>0</v>
      </c>
      <c r="AR88" s="106">
        <v>0</v>
      </c>
      <c r="AS88" s="106">
        <v>0</v>
      </c>
      <c r="AT88" s="106">
        <v>1.0332068311195446</v>
      </c>
      <c r="AU88" s="106">
        <v>1955.240607210626</v>
      </c>
      <c r="AV88" s="106">
        <v>1.0927152317880795</v>
      </c>
      <c r="AW88" s="106">
        <v>2067.8543046357613</v>
      </c>
      <c r="AX88" s="106">
        <v>0.85555555555555562</v>
      </c>
      <c r="AY88" s="106">
        <v>1619.0533333333333</v>
      </c>
      <c r="AZ88" s="106">
        <v>6.7222222222222214</v>
      </c>
      <c r="BA88" s="106">
        <v>12721.133333333331</v>
      </c>
      <c r="BB88" s="106">
        <v>4.4912663755458517</v>
      </c>
      <c r="BC88" s="106">
        <v>8499.2724890829686</v>
      </c>
      <c r="BD88" s="106">
        <v>3.947797716150081</v>
      </c>
      <c r="BE88" s="106">
        <v>7470.8123980424125</v>
      </c>
      <c r="BF88" s="106">
        <v>9.0219298245614024</v>
      </c>
      <c r="BG88" s="106">
        <v>17073.099999999995</v>
      </c>
      <c r="BH88" s="106">
        <v>1.9819819819819819</v>
      </c>
      <c r="BI88" s="106">
        <v>3750.7027027027025</v>
      </c>
      <c r="BJ88" s="106">
        <v>2.8780971258671952</v>
      </c>
      <c r="BK88" s="106">
        <v>5446.5110009910795</v>
      </c>
      <c r="BL88" s="106">
        <v>2.4409221902017291</v>
      </c>
      <c r="BM88" s="106">
        <v>4619.2011527377517</v>
      </c>
      <c r="BN88" s="106">
        <v>1.9100236779794793</v>
      </c>
      <c r="BO88" s="106">
        <v>3614.5288082083662</v>
      </c>
      <c r="BP88" s="106">
        <v>4.5264598540145986</v>
      </c>
      <c r="BQ88" s="106">
        <v>8565.8726277372261</v>
      </c>
      <c r="BR88" s="106">
        <v>7.1466395112016299</v>
      </c>
      <c r="BS88" s="106">
        <v>13524.300610997963</v>
      </c>
      <c r="BT88" s="106">
        <v>0</v>
      </c>
      <c r="BU88" s="106">
        <v>0</v>
      </c>
      <c r="BV88" s="106">
        <v>4.8900375939849621</v>
      </c>
      <c r="BW88" s="106">
        <v>9253.9071428571424</v>
      </c>
      <c r="BX88" s="106">
        <v>0</v>
      </c>
      <c r="BY88" s="106">
        <v>0</v>
      </c>
      <c r="BZ88" s="106">
        <v>4.3278688524590168</v>
      </c>
      <c r="CA88" s="106">
        <v>8190.059016393443</v>
      </c>
      <c r="CB88" s="106">
        <v>2.299894403379092</v>
      </c>
      <c r="CC88" s="106">
        <v>4352.3201689545931</v>
      </c>
      <c r="CD88" s="106">
        <v>1.1791604197901049</v>
      </c>
      <c r="CE88" s="106">
        <v>2231.4431784107942</v>
      </c>
      <c r="CF88" s="106">
        <v>5.6833333333333327</v>
      </c>
      <c r="CG88" s="106">
        <v>10755.139999999998</v>
      </c>
      <c r="CH88" s="106">
        <v>0</v>
      </c>
      <c r="CI88" s="106">
        <v>0</v>
      </c>
      <c r="CJ88" s="106">
        <v>5.3539823008849554</v>
      </c>
      <c r="CK88" s="106">
        <v>10131.87610619469</v>
      </c>
      <c r="CL88" s="106">
        <v>6.1421319796954315</v>
      </c>
      <c r="CM88" s="106">
        <v>11623.370558375633</v>
      </c>
      <c r="CN88" s="106">
        <v>4.002544529262086</v>
      </c>
      <c r="CO88" s="106">
        <v>7574.415267175571</v>
      </c>
      <c r="CP88" s="106">
        <v>0</v>
      </c>
      <c r="CQ88" s="106">
        <v>0</v>
      </c>
      <c r="CR88" s="106">
        <v>0</v>
      </c>
      <c r="CS88" s="106">
        <v>0</v>
      </c>
      <c r="CT88" s="106">
        <v>4.486096807415036</v>
      </c>
      <c r="CU88" s="106">
        <v>8489.4895983522129</v>
      </c>
    </row>
    <row r="89" spans="2:99" x14ac:dyDescent="0.2">
      <c r="C89" s="105" t="s">
        <v>255</v>
      </c>
      <c r="D89" s="106">
        <v>5.5102404274265364</v>
      </c>
      <c r="E89" s="106">
        <v>13211.352448797863</v>
      </c>
      <c r="F89" s="106">
        <v>0</v>
      </c>
      <c r="G89" s="106">
        <v>0</v>
      </c>
      <c r="H89" s="106">
        <v>1.7282502443792767</v>
      </c>
      <c r="I89" s="106">
        <v>4143.652785923754</v>
      </c>
      <c r="J89" s="106">
        <v>0</v>
      </c>
      <c r="K89" s="106">
        <v>0</v>
      </c>
      <c r="L89" s="106">
        <v>9.4675572519083975</v>
      </c>
      <c r="M89" s="106">
        <v>22699.415267175573</v>
      </c>
      <c r="N89" s="106">
        <v>0</v>
      </c>
      <c r="O89" s="106">
        <v>0</v>
      </c>
      <c r="P89" s="106">
        <v>3.9255725190839694</v>
      </c>
      <c r="Q89" s="106">
        <v>9411.9526717557255</v>
      </c>
      <c r="R89" s="106">
        <v>8.3389592123769329</v>
      </c>
      <c r="S89" s="106">
        <v>19993.488607594933</v>
      </c>
      <c r="T89" s="106">
        <v>0</v>
      </c>
      <c r="U89" s="106">
        <v>0</v>
      </c>
      <c r="V89" s="106">
        <v>6.0207325501036628</v>
      </c>
      <c r="W89" s="106">
        <v>14435.308362128542</v>
      </c>
      <c r="X89" s="106">
        <v>4.248275862068966</v>
      </c>
      <c r="Y89" s="106">
        <v>10185.666206896552</v>
      </c>
      <c r="Z89" s="106">
        <v>4.6826625386996907</v>
      </c>
      <c r="AA89" s="106">
        <v>11227.151702786377</v>
      </c>
      <c r="AB89" s="106">
        <v>4.84</v>
      </c>
      <c r="AC89" s="106">
        <v>11604.384</v>
      </c>
      <c r="AD89" s="106">
        <v>0</v>
      </c>
      <c r="AE89" s="106">
        <v>0</v>
      </c>
      <c r="AF89" s="106">
        <v>8.1465346534653467</v>
      </c>
      <c r="AG89" s="106">
        <v>19532.131485148515</v>
      </c>
      <c r="AH89" s="106">
        <v>5.700214132762313</v>
      </c>
      <c r="AI89" s="106">
        <v>13666.833404710922</v>
      </c>
      <c r="AJ89" s="106">
        <v>0</v>
      </c>
      <c r="AK89" s="106">
        <v>0</v>
      </c>
      <c r="AL89" s="106">
        <v>4.3957934990439771</v>
      </c>
      <c r="AM89" s="106">
        <v>10539.354493307839</v>
      </c>
      <c r="AN89" s="106">
        <v>13.486068111455108</v>
      </c>
      <c r="AO89" s="106">
        <v>32334.196904024764</v>
      </c>
      <c r="AP89" s="106">
        <v>0</v>
      </c>
      <c r="AQ89" s="106">
        <v>0</v>
      </c>
      <c r="AR89" s="106">
        <v>0</v>
      </c>
      <c r="AS89" s="106">
        <v>0</v>
      </c>
      <c r="AT89" s="106">
        <v>1.0332068311195446</v>
      </c>
      <c r="AU89" s="106">
        <v>2477.2166982922199</v>
      </c>
      <c r="AV89" s="106">
        <v>1.0927152317880795</v>
      </c>
      <c r="AW89" s="106">
        <v>2619.8940397350993</v>
      </c>
      <c r="AX89" s="106">
        <v>0.7944444444444444</v>
      </c>
      <c r="AY89" s="106">
        <v>1904.7599999999998</v>
      </c>
      <c r="AZ89" s="106">
        <v>6.7222222222222214</v>
      </c>
      <c r="BA89" s="106">
        <v>16117.199999999997</v>
      </c>
      <c r="BB89" s="106">
        <v>3.6986899563318776</v>
      </c>
      <c r="BC89" s="106">
        <v>8867.97903930131</v>
      </c>
      <c r="BD89" s="106">
        <v>3.5530179445350734</v>
      </c>
      <c r="BE89" s="106">
        <v>8518.7158238172924</v>
      </c>
      <c r="BF89" s="106">
        <v>7.9605263157894735</v>
      </c>
      <c r="BG89" s="106">
        <v>19086.15789473684</v>
      </c>
      <c r="BH89" s="106">
        <v>2.0810810810810811</v>
      </c>
      <c r="BI89" s="106">
        <v>4989.6000000000004</v>
      </c>
      <c r="BJ89" s="106">
        <v>2.7581764122893953</v>
      </c>
      <c r="BK89" s="106">
        <v>6613.0037661050537</v>
      </c>
      <c r="BL89" s="106">
        <v>2.3246878001921232</v>
      </c>
      <c r="BM89" s="106">
        <v>5573.6714697406342</v>
      </c>
      <c r="BN89" s="106">
        <v>2.0055248618784529</v>
      </c>
      <c r="BO89" s="106">
        <v>4808.4464088397781</v>
      </c>
      <c r="BP89" s="106">
        <v>4.5264598540145986</v>
      </c>
      <c r="BQ89" s="106">
        <v>10852.640145985401</v>
      </c>
      <c r="BR89" s="106">
        <v>6.4073319755600817</v>
      </c>
      <c r="BS89" s="106">
        <v>15362.219144602852</v>
      </c>
      <c r="BT89" s="106">
        <v>0</v>
      </c>
      <c r="BU89" s="106">
        <v>0</v>
      </c>
      <c r="BV89" s="106">
        <v>5.1174812030075181</v>
      </c>
      <c r="BW89" s="106">
        <v>12269.672932330825</v>
      </c>
      <c r="BX89" s="106">
        <v>0</v>
      </c>
      <c r="BY89" s="106">
        <v>0</v>
      </c>
      <c r="BZ89" s="106">
        <v>4.8688524590163942</v>
      </c>
      <c r="CA89" s="106">
        <v>11673.560655737707</v>
      </c>
      <c r="CB89" s="106">
        <v>2.1721224920802533</v>
      </c>
      <c r="CC89" s="106">
        <v>5207.8808870116154</v>
      </c>
      <c r="CD89" s="106">
        <v>1.360569715142429</v>
      </c>
      <c r="CE89" s="106">
        <v>3262.1019490254876</v>
      </c>
      <c r="CF89" s="106">
        <v>4.583333333333333</v>
      </c>
      <c r="CG89" s="106">
        <v>10988.999999999998</v>
      </c>
      <c r="CH89" s="106">
        <v>0</v>
      </c>
      <c r="CI89" s="106">
        <v>0</v>
      </c>
      <c r="CJ89" s="106">
        <v>4.9256637168141593</v>
      </c>
      <c r="CK89" s="106">
        <v>11809.771327433627</v>
      </c>
      <c r="CL89" s="106">
        <v>6.3468697123519462</v>
      </c>
      <c r="CM89" s="106">
        <v>15217.254822335026</v>
      </c>
      <c r="CN89" s="106">
        <v>3.38676844783715</v>
      </c>
      <c r="CO89" s="106">
        <v>8120.116030534351</v>
      </c>
      <c r="CP89" s="106">
        <v>0</v>
      </c>
      <c r="CQ89" s="106">
        <v>0</v>
      </c>
      <c r="CR89" s="106">
        <v>0</v>
      </c>
      <c r="CS89" s="106">
        <v>0</v>
      </c>
      <c r="CT89" s="106">
        <v>4.1122554067971162</v>
      </c>
      <c r="CU89" s="106">
        <v>9859.5435633367651</v>
      </c>
    </row>
    <row r="90" spans="2:99" x14ac:dyDescent="0.2">
      <c r="C90" s="105" t="s">
        <v>256</v>
      </c>
      <c r="D90" s="106">
        <v>5.5102404274265364</v>
      </c>
      <c r="E90" s="106">
        <v>12107.100267141584</v>
      </c>
      <c r="F90" s="106">
        <v>0</v>
      </c>
      <c r="G90" s="106">
        <v>0</v>
      </c>
      <c r="H90" s="106">
        <v>1.7282502443792767</v>
      </c>
      <c r="I90" s="106">
        <v>3797.3114369501463</v>
      </c>
      <c r="J90" s="106">
        <v>0</v>
      </c>
      <c r="K90" s="106">
        <v>0</v>
      </c>
      <c r="L90" s="106">
        <v>9.9293893129770989</v>
      </c>
      <c r="M90" s="106">
        <v>21816.85419847328</v>
      </c>
      <c r="N90" s="106">
        <v>0</v>
      </c>
      <c r="O90" s="106">
        <v>0</v>
      </c>
      <c r="P90" s="106">
        <v>4.2719465648854964</v>
      </c>
      <c r="Q90" s="106">
        <v>9386.3209923664126</v>
      </c>
      <c r="R90" s="106">
        <v>7.3178621659634322</v>
      </c>
      <c r="S90" s="106">
        <v>16078.806751054852</v>
      </c>
      <c r="T90" s="106">
        <v>0</v>
      </c>
      <c r="U90" s="106">
        <v>0</v>
      </c>
      <c r="V90" s="106">
        <v>6.0207325501036628</v>
      </c>
      <c r="W90" s="106">
        <v>13228.753559087767</v>
      </c>
      <c r="X90" s="106">
        <v>4.3241379310344827</v>
      </c>
      <c r="Y90" s="106">
        <v>9500.9958620689649</v>
      </c>
      <c r="Z90" s="106">
        <v>5.3382352941176476</v>
      </c>
      <c r="AA90" s="106">
        <v>11729.170588235294</v>
      </c>
      <c r="AB90" s="106">
        <v>4.5852631578947376</v>
      </c>
      <c r="AC90" s="106">
        <v>10074.740210526317</v>
      </c>
      <c r="AD90" s="106">
        <v>0</v>
      </c>
      <c r="AE90" s="106">
        <v>0</v>
      </c>
      <c r="AF90" s="106">
        <v>7.667326732673267</v>
      </c>
      <c r="AG90" s="106">
        <v>16846.650297029701</v>
      </c>
      <c r="AH90" s="106">
        <v>5.1820128479657388</v>
      </c>
      <c r="AI90" s="106">
        <v>11385.91862955032</v>
      </c>
      <c r="AJ90" s="106">
        <v>0</v>
      </c>
      <c r="AK90" s="106">
        <v>0</v>
      </c>
      <c r="AL90" s="106">
        <v>4.7428298279158696</v>
      </c>
      <c r="AM90" s="106">
        <v>10420.945697896748</v>
      </c>
      <c r="AN90" s="106">
        <v>11.987616099071207</v>
      </c>
      <c r="AO90" s="106">
        <v>26339.190092879253</v>
      </c>
      <c r="AP90" s="106">
        <v>0</v>
      </c>
      <c r="AQ90" s="106">
        <v>0</v>
      </c>
      <c r="AR90" s="106">
        <v>0</v>
      </c>
      <c r="AS90" s="106">
        <v>0</v>
      </c>
      <c r="AT90" s="106">
        <v>0.91840607210626191</v>
      </c>
      <c r="AU90" s="106">
        <v>2017.9218216318784</v>
      </c>
      <c r="AV90" s="106">
        <v>0.94701986754966894</v>
      </c>
      <c r="AW90" s="106">
        <v>2080.7920529801322</v>
      </c>
      <c r="AX90" s="106">
        <v>0.73333333333333328</v>
      </c>
      <c r="AY90" s="106">
        <v>1611.2799999999997</v>
      </c>
      <c r="AZ90" s="106">
        <v>6.7222222222222214</v>
      </c>
      <c r="BA90" s="106">
        <v>14770.066666666664</v>
      </c>
      <c r="BB90" s="106">
        <v>4.2270742358078603</v>
      </c>
      <c r="BC90" s="106">
        <v>9287.7275109170296</v>
      </c>
      <c r="BD90" s="106">
        <v>3.5530179445350734</v>
      </c>
      <c r="BE90" s="106">
        <v>7806.6910277324623</v>
      </c>
      <c r="BF90" s="106">
        <v>9.5526315789473681</v>
      </c>
      <c r="BG90" s="106">
        <v>20989.042105263157</v>
      </c>
      <c r="BH90" s="106">
        <v>1.9819819819819819</v>
      </c>
      <c r="BI90" s="106">
        <v>4354.8108108108099</v>
      </c>
      <c r="BJ90" s="106">
        <v>2.7581764122893953</v>
      </c>
      <c r="BK90" s="106">
        <v>6060.2652130822589</v>
      </c>
      <c r="BL90" s="106">
        <v>2.6733909702209413</v>
      </c>
      <c r="BM90" s="106">
        <v>5873.9746397694516</v>
      </c>
      <c r="BN90" s="106">
        <v>1.8145224940805051</v>
      </c>
      <c r="BO90" s="106">
        <v>3986.8688239936855</v>
      </c>
      <c r="BP90" s="106">
        <v>4.6368613138686134</v>
      </c>
      <c r="BQ90" s="106">
        <v>10188.111678832116</v>
      </c>
      <c r="BR90" s="106">
        <v>6.9002036659877808</v>
      </c>
      <c r="BS90" s="106">
        <v>15161.127494908351</v>
      </c>
      <c r="BT90" s="106">
        <v>0</v>
      </c>
      <c r="BU90" s="106">
        <v>0</v>
      </c>
      <c r="BV90" s="106">
        <v>5.231203007518797</v>
      </c>
      <c r="BW90" s="106">
        <v>11493.999248120299</v>
      </c>
      <c r="BX90" s="106">
        <v>0</v>
      </c>
      <c r="BY90" s="106">
        <v>0</v>
      </c>
      <c r="BZ90" s="106">
        <v>4.5983606557377046</v>
      </c>
      <c r="CA90" s="106">
        <v>10103.518032786884</v>
      </c>
      <c r="CB90" s="106">
        <v>2.1721224920802533</v>
      </c>
      <c r="CC90" s="106">
        <v>4772.5875395987323</v>
      </c>
      <c r="CD90" s="106">
        <v>1.360569715142429</v>
      </c>
      <c r="CE90" s="106">
        <v>2989.4437781109445</v>
      </c>
      <c r="CF90" s="106">
        <v>4.7666666666666666</v>
      </c>
      <c r="CG90" s="106">
        <v>10473.32</v>
      </c>
      <c r="CH90" s="106">
        <v>0</v>
      </c>
      <c r="CI90" s="106">
        <v>0</v>
      </c>
      <c r="CJ90" s="106">
        <v>4.7115044247787612</v>
      </c>
      <c r="CK90" s="106">
        <v>10352.117522123894</v>
      </c>
      <c r="CL90" s="106">
        <v>6.1421319796954315</v>
      </c>
      <c r="CM90" s="106">
        <v>13495.492385786802</v>
      </c>
      <c r="CN90" s="106">
        <v>4.002544529262086</v>
      </c>
      <c r="CO90" s="106">
        <v>8794.3908396946554</v>
      </c>
      <c r="CP90" s="106">
        <v>0</v>
      </c>
      <c r="CQ90" s="106">
        <v>0</v>
      </c>
      <c r="CR90" s="106">
        <v>0</v>
      </c>
      <c r="CS90" s="106">
        <v>0</v>
      </c>
      <c r="CT90" s="106">
        <v>4.1122554067971162</v>
      </c>
      <c r="CU90" s="106">
        <v>9035.4475798146232</v>
      </c>
    </row>
    <row r="91" spans="2:99" x14ac:dyDescent="0.2">
      <c r="C91" s="105" t="s">
        <v>257</v>
      </c>
      <c r="D91" s="106">
        <v>5.5102404274265364</v>
      </c>
      <c r="E91" s="106">
        <v>12655.920213713267</v>
      </c>
      <c r="F91" s="106">
        <v>0</v>
      </c>
      <c r="G91" s="106">
        <v>0</v>
      </c>
      <c r="H91" s="106">
        <v>1.512218963831867</v>
      </c>
      <c r="I91" s="106">
        <v>3473.264516129032</v>
      </c>
      <c r="J91" s="106">
        <v>0</v>
      </c>
      <c r="K91" s="106">
        <v>0</v>
      </c>
      <c r="L91" s="106">
        <v>9.9293893129770989</v>
      </c>
      <c r="M91" s="106">
        <v>22805.821374045798</v>
      </c>
      <c r="N91" s="106">
        <v>0</v>
      </c>
      <c r="O91" s="106">
        <v>0</v>
      </c>
      <c r="P91" s="106">
        <v>3.9255725190839694</v>
      </c>
      <c r="Q91" s="106">
        <v>9016.2549618320591</v>
      </c>
      <c r="R91" s="106">
        <v>8.1687763713080166</v>
      </c>
      <c r="S91" s="106">
        <v>18762.045569620252</v>
      </c>
      <c r="T91" s="106">
        <v>0</v>
      </c>
      <c r="U91" s="106">
        <v>0</v>
      </c>
      <c r="V91" s="106">
        <v>5.6862474084312371</v>
      </c>
      <c r="W91" s="106">
        <v>13060.173047684864</v>
      </c>
      <c r="X91" s="106">
        <v>4.3241379310344827</v>
      </c>
      <c r="Y91" s="106">
        <v>9931.6799999999985</v>
      </c>
      <c r="Z91" s="106">
        <v>5.431888544891641</v>
      </c>
      <c r="AA91" s="106">
        <v>12475.961609907119</v>
      </c>
      <c r="AB91" s="106">
        <v>4.5852631578947376</v>
      </c>
      <c r="AC91" s="106">
        <v>10531.432421052632</v>
      </c>
      <c r="AD91" s="106">
        <v>0</v>
      </c>
      <c r="AE91" s="106">
        <v>0</v>
      </c>
      <c r="AF91" s="106">
        <v>7.667326732673267</v>
      </c>
      <c r="AG91" s="106">
        <v>17610.316039603957</v>
      </c>
      <c r="AH91" s="106">
        <v>5.700214132762313</v>
      </c>
      <c r="AI91" s="106">
        <v>13092.251820128478</v>
      </c>
      <c r="AJ91" s="106">
        <v>0</v>
      </c>
      <c r="AK91" s="106">
        <v>0</v>
      </c>
      <c r="AL91" s="106">
        <v>4.6271510516252388</v>
      </c>
      <c r="AM91" s="106">
        <v>10627.640535372848</v>
      </c>
      <c r="AN91" s="106">
        <v>12.986584107327142</v>
      </c>
      <c r="AO91" s="106">
        <v>29827.586377708976</v>
      </c>
      <c r="AP91" s="106">
        <v>0</v>
      </c>
      <c r="AQ91" s="106">
        <v>0</v>
      </c>
      <c r="AR91" s="106">
        <v>0</v>
      </c>
      <c r="AS91" s="106">
        <v>0</v>
      </c>
      <c r="AT91" s="106">
        <v>1.0332068311195446</v>
      </c>
      <c r="AU91" s="106">
        <v>2373.06944971537</v>
      </c>
      <c r="AV91" s="106">
        <v>1.0198675496688743</v>
      </c>
      <c r="AW91" s="106">
        <v>2342.4317880794702</v>
      </c>
      <c r="AX91" s="106">
        <v>0.85555555555555562</v>
      </c>
      <c r="AY91" s="106">
        <v>1965.04</v>
      </c>
      <c r="AZ91" s="106">
        <v>6.7222222222222214</v>
      </c>
      <c r="BA91" s="106">
        <v>15439.599999999997</v>
      </c>
      <c r="BB91" s="106">
        <v>4.4912663755458517</v>
      </c>
      <c r="BC91" s="106">
        <v>10315.54061135371</v>
      </c>
      <c r="BD91" s="106">
        <v>4.145187601957586</v>
      </c>
      <c r="BE91" s="106">
        <v>9520.6668841761821</v>
      </c>
      <c r="BF91" s="106">
        <v>8.4912280701754383</v>
      </c>
      <c r="BG91" s="106">
        <v>19502.652631578945</v>
      </c>
      <c r="BH91" s="106">
        <v>1.9819819819819819</v>
      </c>
      <c r="BI91" s="106">
        <v>4552.2162162162158</v>
      </c>
      <c r="BJ91" s="106">
        <v>3.1179385530227948</v>
      </c>
      <c r="BK91" s="106">
        <v>7161.2812685827539</v>
      </c>
      <c r="BL91" s="106">
        <v>2.6733909702209413</v>
      </c>
      <c r="BM91" s="106">
        <v>6140.2443804034574</v>
      </c>
      <c r="BN91" s="106">
        <v>1.9100236779794793</v>
      </c>
      <c r="BO91" s="106">
        <v>4386.9423835832677</v>
      </c>
      <c r="BP91" s="106">
        <v>4.4160583941605838</v>
      </c>
      <c r="BQ91" s="106">
        <v>10142.802919708027</v>
      </c>
      <c r="BR91" s="106">
        <v>6.1608961303462326</v>
      </c>
      <c r="BS91" s="106">
        <v>14150.346232179225</v>
      </c>
      <c r="BT91" s="106">
        <v>0</v>
      </c>
      <c r="BU91" s="106">
        <v>0</v>
      </c>
      <c r="BV91" s="106">
        <v>4.7763157894736841</v>
      </c>
      <c r="BW91" s="106">
        <v>10970.242105263156</v>
      </c>
      <c r="BX91" s="106">
        <v>0</v>
      </c>
      <c r="BY91" s="106">
        <v>0</v>
      </c>
      <c r="BZ91" s="106">
        <v>4.8688524590163942</v>
      </c>
      <c r="CA91" s="106">
        <v>11182.780327868853</v>
      </c>
      <c r="CB91" s="106">
        <v>2.4276663146779303</v>
      </c>
      <c r="CC91" s="106">
        <v>5575.8639915522699</v>
      </c>
      <c r="CD91" s="106">
        <v>1.2698650674662668</v>
      </c>
      <c r="CE91" s="106">
        <v>2916.6260869565212</v>
      </c>
      <c r="CF91" s="106">
        <v>5.3166666666666664</v>
      </c>
      <c r="CG91" s="106">
        <v>12211.319999999998</v>
      </c>
      <c r="CH91" s="106">
        <v>0</v>
      </c>
      <c r="CI91" s="106">
        <v>0</v>
      </c>
      <c r="CJ91" s="106">
        <v>4.9256637168141593</v>
      </c>
      <c r="CK91" s="106">
        <v>11313.264424778759</v>
      </c>
      <c r="CL91" s="106">
        <v>6.1421319796954315</v>
      </c>
      <c r="CM91" s="106">
        <v>14107.248730964466</v>
      </c>
      <c r="CN91" s="106">
        <v>3.6946564885496183</v>
      </c>
      <c r="CO91" s="106">
        <v>8485.8870229007625</v>
      </c>
      <c r="CP91" s="106">
        <v>0</v>
      </c>
      <c r="CQ91" s="106">
        <v>0</v>
      </c>
      <c r="CR91" s="106">
        <v>0</v>
      </c>
      <c r="CS91" s="106">
        <v>0</v>
      </c>
      <c r="CT91" s="106">
        <v>3.7384140061791968</v>
      </c>
      <c r="CU91" s="106">
        <v>8586.3892893923785</v>
      </c>
    </row>
    <row r="92" spans="2:99" x14ac:dyDescent="0.2">
      <c r="C92" s="105" t="s">
        <v>258</v>
      </c>
      <c r="D92" s="106">
        <v>5.5102404274265364</v>
      </c>
      <c r="E92" s="106">
        <v>7828.9495992876227</v>
      </c>
      <c r="F92" s="106">
        <v>0</v>
      </c>
      <c r="G92" s="106">
        <v>0</v>
      </c>
      <c r="H92" s="106">
        <v>1.9442815249266865</v>
      </c>
      <c r="I92" s="106">
        <v>2762.4351906158363</v>
      </c>
      <c r="J92" s="106">
        <v>0</v>
      </c>
      <c r="K92" s="106">
        <v>0</v>
      </c>
      <c r="L92" s="106">
        <v>10.391221374045802</v>
      </c>
      <c r="M92" s="106">
        <v>14763.847328244276</v>
      </c>
      <c r="N92" s="106">
        <v>0</v>
      </c>
      <c r="O92" s="106">
        <v>0</v>
      </c>
      <c r="P92" s="106">
        <v>4.0410305343511448</v>
      </c>
      <c r="Q92" s="106">
        <v>5741.4961832061063</v>
      </c>
      <c r="R92" s="106">
        <v>9.18987341772152</v>
      </c>
      <c r="S92" s="106">
        <v>13056.972151898735</v>
      </c>
      <c r="T92" s="106">
        <v>0</v>
      </c>
      <c r="U92" s="106">
        <v>0</v>
      </c>
      <c r="V92" s="106">
        <v>7.3586731167933657</v>
      </c>
      <c r="W92" s="106">
        <v>10455.202764340014</v>
      </c>
      <c r="X92" s="106">
        <v>4.8551724137931034</v>
      </c>
      <c r="Y92" s="106">
        <v>6898.2289655172408</v>
      </c>
      <c r="Z92" s="106">
        <v>5.5255417956656343</v>
      </c>
      <c r="AA92" s="106">
        <v>7850.6897832817331</v>
      </c>
      <c r="AB92" s="106">
        <v>5.3494736842105262</v>
      </c>
      <c r="AC92" s="106">
        <v>7600.5322105263149</v>
      </c>
      <c r="AD92" s="106">
        <v>0</v>
      </c>
      <c r="AE92" s="106">
        <v>0</v>
      </c>
      <c r="AF92" s="106">
        <v>8.1465346534653467</v>
      </c>
      <c r="AG92" s="106">
        <v>11574.596435643563</v>
      </c>
      <c r="AH92" s="106">
        <v>6.4775160599571739</v>
      </c>
      <c r="AI92" s="106">
        <v>9203.2548179871519</v>
      </c>
      <c r="AJ92" s="106">
        <v>0</v>
      </c>
      <c r="AK92" s="106">
        <v>0</v>
      </c>
      <c r="AL92" s="106">
        <v>5.7839388145315489</v>
      </c>
      <c r="AM92" s="106">
        <v>8217.8202676864239</v>
      </c>
      <c r="AN92" s="106">
        <v>16.482972136222909</v>
      </c>
      <c r="AO92" s="106">
        <v>23419.006811145508</v>
      </c>
      <c r="AP92" s="106">
        <v>0</v>
      </c>
      <c r="AQ92" s="106">
        <v>0</v>
      </c>
      <c r="AR92" s="106">
        <v>0</v>
      </c>
      <c r="AS92" s="106">
        <v>0</v>
      </c>
      <c r="AT92" s="106">
        <v>1.0332068311195446</v>
      </c>
      <c r="AU92" s="106">
        <v>1467.980265654649</v>
      </c>
      <c r="AV92" s="106">
        <v>1.1655629139072847</v>
      </c>
      <c r="AW92" s="106">
        <v>1656.0317880794701</v>
      </c>
      <c r="AX92" s="106">
        <v>0.7944444444444444</v>
      </c>
      <c r="AY92" s="106">
        <v>1128.7466666666667</v>
      </c>
      <c r="AZ92" s="106">
        <v>7.155913978494624</v>
      </c>
      <c r="BA92" s="106">
        <v>10167.122580645162</v>
      </c>
      <c r="BB92" s="106">
        <v>4.4912663755458517</v>
      </c>
      <c r="BC92" s="106">
        <v>6381.1912663755456</v>
      </c>
      <c r="BD92" s="106">
        <v>3.7504078303425774</v>
      </c>
      <c r="BE92" s="106">
        <v>5328.5794453507342</v>
      </c>
      <c r="BF92" s="106">
        <v>9.5526315789473681</v>
      </c>
      <c r="BG92" s="106">
        <v>13572.378947368421</v>
      </c>
      <c r="BH92" s="106">
        <v>2.0810810810810811</v>
      </c>
      <c r="BI92" s="106">
        <v>2956.8</v>
      </c>
      <c r="BJ92" s="106">
        <v>2.8780971258671952</v>
      </c>
      <c r="BK92" s="106">
        <v>4089.2003964321107</v>
      </c>
      <c r="BL92" s="106">
        <v>3.0220941402497599</v>
      </c>
      <c r="BM92" s="106">
        <v>4293.791354466859</v>
      </c>
      <c r="BN92" s="106">
        <v>2.1965272296764011</v>
      </c>
      <c r="BO92" s="106">
        <v>3120.8258879242308</v>
      </c>
      <c r="BP92" s="106">
        <v>4.9680656934306571</v>
      </c>
      <c r="BQ92" s="106">
        <v>7058.6277372262775</v>
      </c>
      <c r="BR92" s="106">
        <v>6.5305498981670063</v>
      </c>
      <c r="BS92" s="106">
        <v>9278.6052953156814</v>
      </c>
      <c r="BT92" s="106">
        <v>0</v>
      </c>
      <c r="BU92" s="106">
        <v>0</v>
      </c>
      <c r="BV92" s="106">
        <v>5.9135338345864659</v>
      </c>
      <c r="BW92" s="106">
        <v>8401.9488721804501</v>
      </c>
      <c r="BX92" s="106">
        <v>0</v>
      </c>
      <c r="BY92" s="106">
        <v>0</v>
      </c>
      <c r="BZ92" s="106">
        <v>5.4098360655737707</v>
      </c>
      <c r="CA92" s="106">
        <v>7686.2950819672133</v>
      </c>
      <c r="CB92" s="106">
        <v>2.1721224920802533</v>
      </c>
      <c r="CC92" s="106">
        <v>3086.1516367476238</v>
      </c>
      <c r="CD92" s="106">
        <v>1.4512743628185907</v>
      </c>
      <c r="CE92" s="106">
        <v>2061.9706146926537</v>
      </c>
      <c r="CF92" s="106">
        <v>5.8666666666666663</v>
      </c>
      <c r="CG92" s="106">
        <v>8335.3599999999988</v>
      </c>
      <c r="CH92" s="106">
        <v>0</v>
      </c>
      <c r="CI92" s="106">
        <v>0</v>
      </c>
      <c r="CJ92" s="106">
        <v>5.7823008849557525</v>
      </c>
      <c r="CK92" s="106">
        <v>8215.4930973451337</v>
      </c>
      <c r="CL92" s="106">
        <v>6.3468697123519462</v>
      </c>
      <c r="CM92" s="106">
        <v>9017.6324873096455</v>
      </c>
      <c r="CN92" s="106">
        <v>4.3104325699745543</v>
      </c>
      <c r="CO92" s="106">
        <v>6124.2625954198465</v>
      </c>
      <c r="CP92" s="106">
        <v>0</v>
      </c>
      <c r="CQ92" s="106">
        <v>0</v>
      </c>
      <c r="CR92" s="106">
        <v>0</v>
      </c>
      <c r="CS92" s="106">
        <v>0</v>
      </c>
      <c r="CT92" s="106">
        <v>4.1122554067971162</v>
      </c>
      <c r="CU92" s="106">
        <v>5842.6924819773421</v>
      </c>
    </row>
    <row r="93" spans="2:99" x14ac:dyDescent="0.2">
      <c r="C93" s="105" t="s">
        <v>259</v>
      </c>
      <c r="D93" s="106">
        <v>5.116651825467498</v>
      </c>
      <c r="E93" s="106">
        <v>9068.7536954585921</v>
      </c>
      <c r="F93" s="106">
        <v>0</v>
      </c>
      <c r="G93" s="106">
        <v>0</v>
      </c>
      <c r="H93" s="106">
        <v>1.9442815249266865</v>
      </c>
      <c r="I93" s="106">
        <v>3446.0445747800591</v>
      </c>
      <c r="J93" s="106">
        <v>0</v>
      </c>
      <c r="K93" s="106">
        <v>0</v>
      </c>
      <c r="L93" s="106">
        <v>11.545801526717558</v>
      </c>
      <c r="M93" s="106">
        <v>20463.778625954197</v>
      </c>
      <c r="N93" s="106">
        <v>0</v>
      </c>
      <c r="O93" s="106">
        <v>0</v>
      </c>
      <c r="P93" s="106">
        <v>4.0410305343511448</v>
      </c>
      <c r="Q93" s="106">
        <v>7162.3225190839685</v>
      </c>
      <c r="R93" s="106">
        <v>7.9985935302391002</v>
      </c>
      <c r="S93" s="106">
        <v>14176.707172995781</v>
      </c>
      <c r="T93" s="106">
        <v>0</v>
      </c>
      <c r="U93" s="106">
        <v>0</v>
      </c>
      <c r="V93" s="106">
        <v>6.1879751209398757</v>
      </c>
      <c r="W93" s="106">
        <v>10967.567104353835</v>
      </c>
      <c r="X93" s="106">
        <v>5.0068965517241377</v>
      </c>
      <c r="Y93" s="106">
        <v>8874.2234482758613</v>
      </c>
      <c r="Z93" s="106">
        <v>6.1811145510835912</v>
      </c>
      <c r="AA93" s="106">
        <v>10955.407430340556</v>
      </c>
      <c r="AB93" s="106">
        <v>5.3494736842105262</v>
      </c>
      <c r="AC93" s="106">
        <v>9481.4071578947351</v>
      </c>
      <c r="AD93" s="106">
        <v>0</v>
      </c>
      <c r="AE93" s="106">
        <v>0</v>
      </c>
      <c r="AF93" s="106">
        <v>7.667326732673267</v>
      </c>
      <c r="AG93" s="106">
        <v>13589.569900990098</v>
      </c>
      <c r="AH93" s="106">
        <v>6.4775160599571739</v>
      </c>
      <c r="AI93" s="106">
        <v>11480.749464668093</v>
      </c>
      <c r="AJ93" s="106">
        <v>0</v>
      </c>
      <c r="AK93" s="106">
        <v>0</v>
      </c>
      <c r="AL93" s="106">
        <v>5.2055449330783938</v>
      </c>
      <c r="AM93" s="106">
        <v>9226.3078393881442</v>
      </c>
      <c r="AN93" s="106">
        <v>13.236326109391124</v>
      </c>
      <c r="AO93" s="106">
        <v>23460.064396284826</v>
      </c>
      <c r="AP93" s="106">
        <v>0</v>
      </c>
      <c r="AQ93" s="106">
        <v>0</v>
      </c>
      <c r="AR93" s="106">
        <v>0</v>
      </c>
      <c r="AS93" s="106">
        <v>0</v>
      </c>
      <c r="AT93" s="106">
        <v>1.0332068311195446</v>
      </c>
      <c r="AU93" s="106">
        <v>1831.2557874762806</v>
      </c>
      <c r="AV93" s="106">
        <v>1.0198675496688743</v>
      </c>
      <c r="AW93" s="106">
        <v>1807.6132450331127</v>
      </c>
      <c r="AX93" s="106">
        <v>0.73333333333333328</v>
      </c>
      <c r="AY93" s="106">
        <v>1299.7599999999998</v>
      </c>
      <c r="AZ93" s="106">
        <v>7.155913978494624</v>
      </c>
      <c r="BA93" s="106">
        <v>12683.141935483871</v>
      </c>
      <c r="BB93" s="106">
        <v>4.2270742358078603</v>
      </c>
      <c r="BC93" s="106">
        <v>7492.0663755458509</v>
      </c>
      <c r="BD93" s="106">
        <v>3.947797716150081</v>
      </c>
      <c r="BE93" s="106">
        <v>6997.0766721044029</v>
      </c>
      <c r="BF93" s="106">
        <v>9.0219298245614024</v>
      </c>
      <c r="BG93" s="106">
        <v>15990.468421052628</v>
      </c>
      <c r="BH93" s="106">
        <v>1.9819819819819819</v>
      </c>
      <c r="BI93" s="106">
        <v>3512.8648648648646</v>
      </c>
      <c r="BJ93" s="106">
        <v>3.1179385530227948</v>
      </c>
      <c r="BK93" s="106">
        <v>5526.234291377601</v>
      </c>
      <c r="BL93" s="106">
        <v>2.6733909702209413</v>
      </c>
      <c r="BM93" s="106">
        <v>4738.3181556195959</v>
      </c>
      <c r="BN93" s="106">
        <v>1.8145224940805051</v>
      </c>
      <c r="BO93" s="106">
        <v>3216.0596685082869</v>
      </c>
      <c r="BP93" s="106">
        <v>4.5264598540145986</v>
      </c>
      <c r="BQ93" s="106">
        <v>8022.6974452554741</v>
      </c>
      <c r="BR93" s="106">
        <v>6.4073319755600817</v>
      </c>
      <c r="BS93" s="106">
        <v>11356.355193482688</v>
      </c>
      <c r="BT93" s="106">
        <v>0</v>
      </c>
      <c r="BU93" s="106">
        <v>0</v>
      </c>
      <c r="BV93" s="106">
        <v>5.458646616541353</v>
      </c>
      <c r="BW93" s="106">
        <v>9674.9052631578925</v>
      </c>
      <c r="BX93" s="106">
        <v>0</v>
      </c>
      <c r="BY93" s="106">
        <v>0</v>
      </c>
      <c r="BZ93" s="106">
        <v>4.8688524590163942</v>
      </c>
      <c r="CA93" s="106">
        <v>8629.554098360657</v>
      </c>
      <c r="CB93" s="106">
        <v>2.299894403379092</v>
      </c>
      <c r="CC93" s="106">
        <v>4076.3328405491025</v>
      </c>
      <c r="CD93" s="106">
        <v>1.2698650674662668</v>
      </c>
      <c r="CE93" s="106">
        <v>2250.7088455772109</v>
      </c>
      <c r="CF93" s="106">
        <v>5.5</v>
      </c>
      <c r="CG93" s="106">
        <v>9748.1999999999989</v>
      </c>
      <c r="CH93" s="106">
        <v>0</v>
      </c>
      <c r="CI93" s="106">
        <v>0</v>
      </c>
      <c r="CJ93" s="106">
        <v>4.9256637168141593</v>
      </c>
      <c r="CK93" s="106">
        <v>8730.2463716814145</v>
      </c>
      <c r="CL93" s="106">
        <v>5.7326565143824029</v>
      </c>
      <c r="CM93" s="106">
        <v>10160.56040609137</v>
      </c>
      <c r="CN93" s="106">
        <v>3.6946564885496183</v>
      </c>
      <c r="CO93" s="106">
        <v>6548.409160305343</v>
      </c>
      <c r="CP93" s="106">
        <v>0</v>
      </c>
      <c r="CQ93" s="106">
        <v>0</v>
      </c>
      <c r="CR93" s="106">
        <v>0</v>
      </c>
      <c r="CS93" s="106">
        <v>0</v>
      </c>
      <c r="CT93" s="106">
        <v>4.1122554067971162</v>
      </c>
      <c r="CU93" s="106">
        <v>7288.5614830072082</v>
      </c>
    </row>
    <row r="94" spans="2:99" x14ac:dyDescent="0.2">
      <c r="C94" s="105" t="s">
        <v>260</v>
      </c>
      <c r="D94" s="106">
        <v>5.5102404274265364</v>
      </c>
      <c r="E94" s="106">
        <v>13198.12787177204</v>
      </c>
      <c r="F94" s="106">
        <v>0</v>
      </c>
      <c r="G94" s="106">
        <v>0</v>
      </c>
      <c r="H94" s="106">
        <v>1.7282502443792767</v>
      </c>
      <c r="I94" s="106">
        <v>4139.5049853372429</v>
      </c>
      <c r="J94" s="106">
        <v>0</v>
      </c>
      <c r="K94" s="106">
        <v>0</v>
      </c>
      <c r="L94" s="106">
        <v>10.853053435114504</v>
      </c>
      <c r="M94" s="106">
        <v>25995.233587786257</v>
      </c>
      <c r="N94" s="106">
        <v>0</v>
      </c>
      <c r="O94" s="106">
        <v>0</v>
      </c>
      <c r="P94" s="106">
        <v>3.6946564885496183</v>
      </c>
      <c r="Q94" s="106">
        <v>8849.4412213740452</v>
      </c>
      <c r="R94" s="106">
        <v>8.1687763713080166</v>
      </c>
      <c r="S94" s="106">
        <v>19565.85316455696</v>
      </c>
      <c r="T94" s="106">
        <v>0</v>
      </c>
      <c r="U94" s="106">
        <v>0</v>
      </c>
      <c r="V94" s="106">
        <v>6.3552176917760885</v>
      </c>
      <c r="W94" s="106">
        <v>15222.017415342087</v>
      </c>
      <c r="X94" s="106">
        <v>4.3999999999999995</v>
      </c>
      <c r="Y94" s="106">
        <v>10538.879999999997</v>
      </c>
      <c r="Z94" s="106">
        <v>5.057275541795665</v>
      </c>
      <c r="AA94" s="106">
        <v>12113.186377708977</v>
      </c>
      <c r="AB94" s="106">
        <v>5.094736842105263</v>
      </c>
      <c r="AC94" s="106">
        <v>12202.913684210525</v>
      </c>
      <c r="AD94" s="106">
        <v>0</v>
      </c>
      <c r="AE94" s="106">
        <v>0</v>
      </c>
      <c r="AF94" s="106">
        <v>8.6257425742574245</v>
      </c>
      <c r="AG94" s="106">
        <v>20660.378613861383</v>
      </c>
      <c r="AH94" s="106">
        <v>5.1820128479657388</v>
      </c>
      <c r="AI94" s="106">
        <v>12411.957173447536</v>
      </c>
      <c r="AJ94" s="106">
        <v>0</v>
      </c>
      <c r="AK94" s="106">
        <v>0</v>
      </c>
      <c r="AL94" s="106">
        <v>5.089866156787763</v>
      </c>
      <c r="AM94" s="106">
        <v>12191.247418738049</v>
      </c>
      <c r="AN94" s="106">
        <v>11.488132094943241</v>
      </c>
      <c r="AO94" s="106">
        <v>27516.373993808047</v>
      </c>
      <c r="AP94" s="106">
        <v>0</v>
      </c>
      <c r="AQ94" s="106">
        <v>0</v>
      </c>
      <c r="AR94" s="106">
        <v>0</v>
      </c>
      <c r="AS94" s="106">
        <v>0</v>
      </c>
      <c r="AT94" s="106">
        <v>1.0332068311195446</v>
      </c>
      <c r="AU94" s="106">
        <v>2474.737001897533</v>
      </c>
      <c r="AV94" s="106">
        <v>1.0198675496688743</v>
      </c>
      <c r="AW94" s="106">
        <v>2442.7867549668877</v>
      </c>
      <c r="AX94" s="106">
        <v>0.73333333333333328</v>
      </c>
      <c r="AY94" s="106">
        <v>1756.4799999999998</v>
      </c>
      <c r="AZ94" s="106">
        <v>5.854838709677419</v>
      </c>
      <c r="BA94" s="106">
        <v>14023.509677419353</v>
      </c>
      <c r="BB94" s="106">
        <v>3.962882096069869</v>
      </c>
      <c r="BC94" s="106">
        <v>9491.8951965065498</v>
      </c>
      <c r="BD94" s="106">
        <v>3.5530179445350734</v>
      </c>
      <c r="BE94" s="106">
        <v>8510.1885807504077</v>
      </c>
      <c r="BF94" s="106">
        <v>7.9605263157894735</v>
      </c>
      <c r="BG94" s="106">
        <v>19067.052631578947</v>
      </c>
      <c r="BH94" s="106">
        <v>1.7837837837837838</v>
      </c>
      <c r="BI94" s="106">
        <v>4272.5189189189186</v>
      </c>
      <c r="BJ94" s="106">
        <v>2.9980178394449948</v>
      </c>
      <c r="BK94" s="106">
        <v>7180.8523290386511</v>
      </c>
      <c r="BL94" s="106">
        <v>2.557156580211335</v>
      </c>
      <c r="BM94" s="106">
        <v>6124.9014409221891</v>
      </c>
      <c r="BN94" s="106">
        <v>2.0055248618784529</v>
      </c>
      <c r="BO94" s="106">
        <v>4803.6331491712699</v>
      </c>
      <c r="BP94" s="106">
        <v>4.0848540145985401</v>
      </c>
      <c r="BQ94" s="106">
        <v>9784.0423357664222</v>
      </c>
      <c r="BR94" s="106">
        <v>6.4073319755600817</v>
      </c>
      <c r="BS94" s="106">
        <v>15346.841547861506</v>
      </c>
      <c r="BT94" s="106">
        <v>0</v>
      </c>
      <c r="BU94" s="106">
        <v>0</v>
      </c>
      <c r="BV94" s="106">
        <v>5.0037593984962401</v>
      </c>
      <c r="BW94" s="106">
        <v>11985.004511278194</v>
      </c>
      <c r="BX94" s="106">
        <v>0</v>
      </c>
      <c r="BY94" s="106">
        <v>0</v>
      </c>
      <c r="BZ94" s="106">
        <v>5.139344262295082</v>
      </c>
      <c r="CA94" s="106">
        <v>12309.75737704918</v>
      </c>
      <c r="CB94" s="106">
        <v>2.0443505807814146</v>
      </c>
      <c r="CC94" s="106">
        <v>4896.6285110876443</v>
      </c>
      <c r="CD94" s="106">
        <v>1.1791604197901049</v>
      </c>
      <c r="CE94" s="106">
        <v>2824.3250374812592</v>
      </c>
      <c r="CF94" s="106">
        <v>4.583333333333333</v>
      </c>
      <c r="CG94" s="106">
        <v>10977.999999999998</v>
      </c>
      <c r="CH94" s="106">
        <v>0</v>
      </c>
      <c r="CI94" s="106">
        <v>0</v>
      </c>
      <c r="CJ94" s="106">
        <v>4.9256637168141593</v>
      </c>
      <c r="CK94" s="106">
        <v>11797.949734513273</v>
      </c>
      <c r="CL94" s="106">
        <v>5.9373942470389167</v>
      </c>
      <c r="CM94" s="106">
        <v>14221.246700507612</v>
      </c>
      <c r="CN94" s="106">
        <v>4.002544529262086</v>
      </c>
      <c r="CO94" s="106">
        <v>9586.8946564885482</v>
      </c>
      <c r="CP94" s="106">
        <v>0</v>
      </c>
      <c r="CQ94" s="106">
        <v>0</v>
      </c>
      <c r="CR94" s="106">
        <v>0</v>
      </c>
      <c r="CS94" s="106">
        <v>0</v>
      </c>
      <c r="CT94" s="106">
        <v>3.7384140061791968</v>
      </c>
      <c r="CU94" s="106">
        <v>8954.2492276004123</v>
      </c>
    </row>
    <row r="95" spans="2:99" x14ac:dyDescent="0.2">
      <c r="B95" s="105" t="s">
        <v>132</v>
      </c>
      <c r="C95" s="105" t="s">
        <v>261</v>
      </c>
      <c r="D95" s="106">
        <v>18.892252894033838</v>
      </c>
      <c r="E95" s="106">
        <v>32736.495814781832</v>
      </c>
      <c r="F95" s="106">
        <v>0</v>
      </c>
      <c r="G95" s="106">
        <v>0</v>
      </c>
      <c r="H95" s="106">
        <v>10.369501466275659</v>
      </c>
      <c r="I95" s="106">
        <v>17968.272140762463</v>
      </c>
      <c r="J95" s="106">
        <v>0</v>
      </c>
      <c r="K95" s="106">
        <v>0</v>
      </c>
      <c r="L95" s="106">
        <v>6.0038167938931295</v>
      </c>
      <c r="M95" s="106">
        <v>10403.413740458014</v>
      </c>
      <c r="N95" s="106">
        <v>0</v>
      </c>
      <c r="O95" s="106">
        <v>0</v>
      </c>
      <c r="P95" s="106">
        <v>3.1173664122137406</v>
      </c>
      <c r="Q95" s="106">
        <v>5401.7725190839692</v>
      </c>
      <c r="R95" s="106">
        <v>7.147679324894515</v>
      </c>
      <c r="S95" s="106">
        <v>12385.498734177216</v>
      </c>
      <c r="T95" s="106">
        <v>0</v>
      </c>
      <c r="U95" s="106">
        <v>0</v>
      </c>
      <c r="V95" s="106">
        <v>11.372494816862474</v>
      </c>
      <c r="W95" s="106">
        <v>19706.259018659293</v>
      </c>
      <c r="X95" s="106">
        <v>5.7655172413793103</v>
      </c>
      <c r="Y95" s="106">
        <v>9990.4882758620679</v>
      </c>
      <c r="Z95" s="106">
        <v>4.9636222910216716</v>
      </c>
      <c r="AA95" s="106">
        <v>8600.9647058823521</v>
      </c>
      <c r="AB95" s="106">
        <v>2.0378947368421052</v>
      </c>
      <c r="AC95" s="106">
        <v>3531.2639999999997</v>
      </c>
      <c r="AD95" s="106">
        <v>0</v>
      </c>
      <c r="AE95" s="106">
        <v>0</v>
      </c>
      <c r="AF95" s="106">
        <v>6.7089108910891087</v>
      </c>
      <c r="AG95" s="106">
        <v>11625.200792079208</v>
      </c>
      <c r="AH95" s="106">
        <v>2.5910064239828694</v>
      </c>
      <c r="AI95" s="106">
        <v>4489.6959314775158</v>
      </c>
      <c r="AJ95" s="106">
        <v>0</v>
      </c>
      <c r="AK95" s="106">
        <v>0</v>
      </c>
      <c r="AL95" s="106">
        <v>3.9330783938814533</v>
      </c>
      <c r="AM95" s="106">
        <v>6815.2382409177817</v>
      </c>
      <c r="AN95" s="106">
        <v>5.4943240454076365</v>
      </c>
      <c r="AO95" s="106">
        <v>9520.5647058823524</v>
      </c>
      <c r="AP95" s="106">
        <v>0</v>
      </c>
      <c r="AQ95" s="106">
        <v>0</v>
      </c>
      <c r="AR95" s="106">
        <v>0</v>
      </c>
      <c r="AS95" s="106">
        <v>0</v>
      </c>
      <c r="AT95" s="106">
        <v>3.5588235294117645</v>
      </c>
      <c r="AU95" s="106">
        <v>6166.7294117647052</v>
      </c>
      <c r="AV95" s="106">
        <v>3.5695364238410598</v>
      </c>
      <c r="AW95" s="106">
        <v>6185.292715231788</v>
      </c>
      <c r="AX95" s="106">
        <v>2.3833333333333333</v>
      </c>
      <c r="AY95" s="106">
        <v>4129.84</v>
      </c>
      <c r="AZ95" s="106">
        <v>2.602150537634409</v>
      </c>
      <c r="BA95" s="106">
        <v>4509.0064516129041</v>
      </c>
      <c r="BB95" s="106">
        <v>4.7554585152838431</v>
      </c>
      <c r="BC95" s="106">
        <v>8240.2585152838437</v>
      </c>
      <c r="BD95" s="106">
        <v>4.5399673735725941</v>
      </c>
      <c r="BE95" s="106">
        <v>7866.8554649265907</v>
      </c>
      <c r="BF95" s="106">
        <v>9.0219298245614024</v>
      </c>
      <c r="BG95" s="106">
        <v>15633.199999999997</v>
      </c>
      <c r="BH95" s="106">
        <v>2.8738738738738738</v>
      </c>
      <c r="BI95" s="106">
        <v>4979.8486486486481</v>
      </c>
      <c r="BJ95" s="106">
        <v>2.5183349851337957</v>
      </c>
      <c r="BK95" s="106">
        <v>4363.7708622398413</v>
      </c>
      <c r="BL95" s="106">
        <v>2.9058597502401535</v>
      </c>
      <c r="BM95" s="106">
        <v>5035.2737752161383</v>
      </c>
      <c r="BN95" s="106">
        <v>1.8145224940805051</v>
      </c>
      <c r="BO95" s="106">
        <v>3144.2045777426993</v>
      </c>
      <c r="BP95" s="106">
        <v>5.4096715328467155</v>
      </c>
      <c r="BQ95" s="106">
        <v>9373.8788321167885</v>
      </c>
      <c r="BR95" s="106">
        <v>4.0661914460285136</v>
      </c>
      <c r="BS95" s="106">
        <v>7045.896537678208</v>
      </c>
      <c r="BT95" s="106">
        <v>0</v>
      </c>
      <c r="BU95" s="106">
        <v>0</v>
      </c>
      <c r="BV95" s="106">
        <v>4.7763157894736841</v>
      </c>
      <c r="BW95" s="106">
        <v>8276.4</v>
      </c>
      <c r="BX95" s="106">
        <v>0</v>
      </c>
      <c r="BY95" s="106">
        <v>0</v>
      </c>
      <c r="BZ95" s="106">
        <v>21.368852459016395</v>
      </c>
      <c r="CA95" s="106">
        <v>37027.947540983609</v>
      </c>
      <c r="CB95" s="106">
        <v>5.7497360084477291</v>
      </c>
      <c r="CC95" s="106">
        <v>9963.142555438224</v>
      </c>
      <c r="CD95" s="106">
        <v>6.984257871064468</v>
      </c>
      <c r="CE95" s="106">
        <v>12102.32203898051</v>
      </c>
      <c r="CF95" s="106">
        <v>3.3</v>
      </c>
      <c r="CG95" s="106">
        <v>5718.24</v>
      </c>
      <c r="CH95" s="106">
        <v>0</v>
      </c>
      <c r="CI95" s="106">
        <v>0</v>
      </c>
      <c r="CJ95" s="106">
        <v>1.7132743362831859</v>
      </c>
      <c r="CK95" s="106">
        <v>2968.7617699115044</v>
      </c>
      <c r="CL95" s="106">
        <v>2.4568527918781724</v>
      </c>
      <c r="CM95" s="106">
        <v>4257.2345177664974</v>
      </c>
      <c r="CN95" s="106">
        <v>10.16030534351145</v>
      </c>
      <c r="CO95" s="106">
        <v>17605.777099236639</v>
      </c>
      <c r="CP95" s="106">
        <v>0</v>
      </c>
      <c r="CQ95" s="106">
        <v>0</v>
      </c>
      <c r="CR95" s="106">
        <v>0</v>
      </c>
      <c r="CS95" s="106">
        <v>0</v>
      </c>
      <c r="CT95" s="106">
        <v>16.449021627188465</v>
      </c>
      <c r="CU95" s="106">
        <v>28502.864675592173</v>
      </c>
    </row>
    <row r="96" spans="2:99" x14ac:dyDescent="0.2">
      <c r="C96" s="105" t="s">
        <v>262</v>
      </c>
      <c r="D96" s="106">
        <v>18.105075690115761</v>
      </c>
      <c r="E96" s="106">
        <v>14904.098308103294</v>
      </c>
      <c r="F96" s="106">
        <v>0</v>
      </c>
      <c r="G96" s="106">
        <v>0</v>
      </c>
      <c r="H96" s="106">
        <v>11.449657869012709</v>
      </c>
      <c r="I96" s="106">
        <v>9425.3583577712616</v>
      </c>
      <c r="J96" s="106">
        <v>0</v>
      </c>
      <c r="K96" s="106">
        <v>0</v>
      </c>
      <c r="L96" s="106">
        <v>7.3893129770992365</v>
      </c>
      <c r="M96" s="106">
        <v>6082.8824427480913</v>
      </c>
      <c r="N96" s="106">
        <v>0</v>
      </c>
      <c r="O96" s="106">
        <v>0</v>
      </c>
      <c r="P96" s="106">
        <v>3.1173664122137406</v>
      </c>
      <c r="Q96" s="106">
        <v>2566.2160305343509</v>
      </c>
      <c r="R96" s="106">
        <v>9.18987341772152</v>
      </c>
      <c r="S96" s="106">
        <v>7565.103797468355</v>
      </c>
      <c r="T96" s="106">
        <v>0</v>
      </c>
      <c r="U96" s="106">
        <v>0</v>
      </c>
      <c r="V96" s="106">
        <v>12.877677954388389</v>
      </c>
      <c r="W96" s="106">
        <v>10600.904492052521</v>
      </c>
      <c r="X96" s="106">
        <v>7.813793103448277</v>
      </c>
      <c r="Y96" s="106">
        <v>6432.3144827586211</v>
      </c>
      <c r="Z96" s="106">
        <v>5.8065015479876161</v>
      </c>
      <c r="AA96" s="106">
        <v>4779.9120743034055</v>
      </c>
      <c r="AB96" s="106">
        <v>2.2926315789473688</v>
      </c>
      <c r="AC96" s="106">
        <v>1887.2943157894738</v>
      </c>
      <c r="AD96" s="106">
        <v>0</v>
      </c>
      <c r="AE96" s="106">
        <v>0</v>
      </c>
      <c r="AF96" s="106">
        <v>6.7089108910891087</v>
      </c>
      <c r="AG96" s="106">
        <v>5522.7754455445538</v>
      </c>
      <c r="AH96" s="106">
        <v>2.5910064239828694</v>
      </c>
      <c r="AI96" s="106">
        <v>2132.9164882226978</v>
      </c>
      <c r="AJ96" s="106">
        <v>0</v>
      </c>
      <c r="AK96" s="106">
        <v>0</v>
      </c>
      <c r="AL96" s="106">
        <v>4.1644359464627154</v>
      </c>
      <c r="AM96" s="106">
        <v>3428.1636711281071</v>
      </c>
      <c r="AN96" s="106">
        <v>6.4932920536635708</v>
      </c>
      <c r="AO96" s="106">
        <v>5345.2780185758511</v>
      </c>
      <c r="AP96" s="106">
        <v>0</v>
      </c>
      <c r="AQ96" s="106">
        <v>0</v>
      </c>
      <c r="AR96" s="106">
        <v>0</v>
      </c>
      <c r="AS96" s="106">
        <v>0</v>
      </c>
      <c r="AT96" s="106">
        <v>3.6736242884250476</v>
      </c>
      <c r="AU96" s="106">
        <v>3024.1275142314989</v>
      </c>
      <c r="AV96" s="106">
        <v>4.0066225165562921</v>
      </c>
      <c r="AW96" s="106">
        <v>3298.2516556291393</v>
      </c>
      <c r="AX96" s="106">
        <v>2.4444444444444446</v>
      </c>
      <c r="AY96" s="106">
        <v>2012.2666666666667</v>
      </c>
      <c r="AZ96" s="106">
        <v>3.0358422939068102</v>
      </c>
      <c r="BA96" s="106">
        <v>2499.1053763440859</v>
      </c>
      <c r="BB96" s="106">
        <v>4.7554585152838431</v>
      </c>
      <c r="BC96" s="106">
        <v>3914.6934497816592</v>
      </c>
      <c r="BD96" s="106">
        <v>4.7373572593800972</v>
      </c>
      <c r="BE96" s="106">
        <v>3899.7924959216957</v>
      </c>
      <c r="BF96" s="106">
        <v>9.0219298245614024</v>
      </c>
      <c r="BG96" s="106">
        <v>7426.8526315789459</v>
      </c>
      <c r="BH96" s="106">
        <v>3.4684684684684686</v>
      </c>
      <c r="BI96" s="106">
        <v>2855.2432432432429</v>
      </c>
      <c r="BJ96" s="106">
        <v>2.6382556987115957</v>
      </c>
      <c r="BK96" s="106">
        <v>2171.8120911793853</v>
      </c>
      <c r="BL96" s="106">
        <v>3.3707973102785784</v>
      </c>
      <c r="BM96" s="106">
        <v>2774.8403458213256</v>
      </c>
      <c r="BN96" s="106">
        <v>2.0055248618784529</v>
      </c>
      <c r="BO96" s="106">
        <v>1650.9480662983424</v>
      </c>
      <c r="BP96" s="106">
        <v>6.2928832116788316</v>
      </c>
      <c r="BQ96" s="106">
        <v>5180.301459854014</v>
      </c>
      <c r="BR96" s="106">
        <v>4.6822810590631363</v>
      </c>
      <c r="BS96" s="106">
        <v>3854.4537678207735</v>
      </c>
      <c r="BT96" s="106">
        <v>0</v>
      </c>
      <c r="BU96" s="106">
        <v>0</v>
      </c>
      <c r="BV96" s="106">
        <v>5.6860902255639099</v>
      </c>
      <c r="BW96" s="106">
        <v>4680.78947368421</v>
      </c>
      <c r="BX96" s="106">
        <v>0</v>
      </c>
      <c r="BY96" s="106">
        <v>0</v>
      </c>
      <c r="BZ96" s="106">
        <v>21.098360655737704</v>
      </c>
      <c r="CA96" s="106">
        <v>17368.170491803277</v>
      </c>
      <c r="CB96" s="106">
        <v>7.7940865892291447</v>
      </c>
      <c r="CC96" s="106">
        <v>6416.092080253431</v>
      </c>
      <c r="CD96" s="106">
        <v>7.437781109445277</v>
      </c>
      <c r="CE96" s="106">
        <v>6122.7814092953513</v>
      </c>
      <c r="CF96" s="106">
        <v>3.1166666666666667</v>
      </c>
      <c r="CG96" s="106">
        <v>2565.64</v>
      </c>
      <c r="CH96" s="106">
        <v>0</v>
      </c>
      <c r="CI96" s="106">
        <v>0</v>
      </c>
      <c r="CJ96" s="106">
        <v>1.927433628318584</v>
      </c>
      <c r="CK96" s="106">
        <v>1586.6633628318582</v>
      </c>
      <c r="CL96" s="106">
        <v>2.8663282571912014</v>
      </c>
      <c r="CM96" s="106">
        <v>2359.5614213197969</v>
      </c>
      <c r="CN96" s="106">
        <v>11.699745547073793</v>
      </c>
      <c r="CO96" s="106">
        <v>9631.2305343511453</v>
      </c>
      <c r="CP96" s="106">
        <v>0</v>
      </c>
      <c r="CQ96" s="106">
        <v>0</v>
      </c>
      <c r="CR96" s="106">
        <v>0</v>
      </c>
      <c r="CS96" s="106">
        <v>0</v>
      </c>
      <c r="CT96" s="106">
        <v>20.935118434603503</v>
      </c>
      <c r="CU96" s="106">
        <v>17233.789495365603</v>
      </c>
    </row>
    <row r="97" spans="2:99" x14ac:dyDescent="0.2">
      <c r="C97" s="105" t="s">
        <v>263</v>
      </c>
      <c r="D97" s="106">
        <v>16.137132680320569</v>
      </c>
      <c r="E97" s="106">
        <v>29511.588245770257</v>
      </c>
      <c r="F97" s="106">
        <v>0</v>
      </c>
      <c r="G97" s="106">
        <v>0</v>
      </c>
      <c r="H97" s="106">
        <v>11.881720430107528</v>
      </c>
      <c r="I97" s="106">
        <v>21729.290322580648</v>
      </c>
      <c r="J97" s="106">
        <v>0</v>
      </c>
      <c r="K97" s="106">
        <v>0</v>
      </c>
      <c r="L97" s="106">
        <v>5.5419847328244272</v>
      </c>
      <c r="M97" s="106">
        <v>10135.181679389312</v>
      </c>
      <c r="N97" s="106">
        <v>0</v>
      </c>
      <c r="O97" s="106">
        <v>0</v>
      </c>
      <c r="P97" s="106">
        <v>3.0019083969465647</v>
      </c>
      <c r="Q97" s="106">
        <v>5489.8900763358779</v>
      </c>
      <c r="R97" s="106">
        <v>8.5091420534458511</v>
      </c>
      <c r="S97" s="106">
        <v>15561.518987341771</v>
      </c>
      <c r="T97" s="106">
        <v>0</v>
      </c>
      <c r="U97" s="106">
        <v>0</v>
      </c>
      <c r="V97" s="106">
        <v>11.874222529371114</v>
      </c>
      <c r="W97" s="106">
        <v>21715.578161713893</v>
      </c>
      <c r="X97" s="106">
        <v>5.9172413793103447</v>
      </c>
      <c r="Y97" s="106">
        <v>10821.451034482758</v>
      </c>
      <c r="Z97" s="106">
        <v>5.1509287925696592</v>
      </c>
      <c r="AA97" s="106">
        <v>9420.0185758513926</v>
      </c>
      <c r="AB97" s="106">
        <v>2.2926315789473688</v>
      </c>
      <c r="AC97" s="106">
        <v>4192.764631578948</v>
      </c>
      <c r="AD97" s="106">
        <v>0</v>
      </c>
      <c r="AE97" s="106">
        <v>0</v>
      </c>
      <c r="AF97" s="106">
        <v>6.229702970297029</v>
      </c>
      <c r="AG97" s="106">
        <v>11392.880792079206</v>
      </c>
      <c r="AH97" s="106">
        <v>2.3319057815845823</v>
      </c>
      <c r="AI97" s="106">
        <v>4264.5892933618843</v>
      </c>
      <c r="AJ97" s="106">
        <v>0</v>
      </c>
      <c r="AK97" s="106">
        <v>0</v>
      </c>
      <c r="AL97" s="106">
        <v>3.9330783938814533</v>
      </c>
      <c r="AM97" s="106">
        <v>7192.8137667304018</v>
      </c>
      <c r="AN97" s="106">
        <v>5.4943240454076365</v>
      </c>
      <c r="AO97" s="106">
        <v>10048.019814241485</v>
      </c>
      <c r="AP97" s="106">
        <v>0</v>
      </c>
      <c r="AQ97" s="106">
        <v>0</v>
      </c>
      <c r="AR97" s="106">
        <v>0</v>
      </c>
      <c r="AS97" s="106">
        <v>0</v>
      </c>
      <c r="AT97" s="106">
        <v>3.5588235294117645</v>
      </c>
      <c r="AU97" s="106">
        <v>6508.376470588235</v>
      </c>
      <c r="AV97" s="106">
        <v>2.9867549668874172</v>
      </c>
      <c r="AW97" s="106">
        <v>5462.1774834437083</v>
      </c>
      <c r="AX97" s="106">
        <v>2.0777777777777775</v>
      </c>
      <c r="AY97" s="106">
        <v>3799.8399999999992</v>
      </c>
      <c r="AZ97" s="106">
        <v>2.602150537634409</v>
      </c>
      <c r="BA97" s="106">
        <v>4758.8129032258066</v>
      </c>
      <c r="BB97" s="106">
        <v>4.2270742358078603</v>
      </c>
      <c r="BC97" s="106">
        <v>7730.4733624454148</v>
      </c>
      <c r="BD97" s="106">
        <v>4.145187601957586</v>
      </c>
      <c r="BE97" s="106">
        <v>7580.7190864600334</v>
      </c>
      <c r="BF97" s="106">
        <v>7.4298245614035086</v>
      </c>
      <c r="BG97" s="106">
        <v>13587.663157894736</v>
      </c>
      <c r="BH97" s="106">
        <v>2.9729729729729728</v>
      </c>
      <c r="BI97" s="106">
        <v>5436.9729729729725</v>
      </c>
      <c r="BJ97" s="106">
        <v>2.6382556987115957</v>
      </c>
      <c r="BK97" s="106">
        <v>4824.8420218037663</v>
      </c>
      <c r="BL97" s="106">
        <v>2.9058597502401535</v>
      </c>
      <c r="BM97" s="106">
        <v>5314.2363112391922</v>
      </c>
      <c r="BN97" s="106">
        <v>2.0055248618784529</v>
      </c>
      <c r="BO97" s="106">
        <v>3667.7038674033147</v>
      </c>
      <c r="BP97" s="106">
        <v>5.1888686131386867</v>
      </c>
      <c r="BQ97" s="106">
        <v>9489.4029197080308</v>
      </c>
      <c r="BR97" s="106">
        <v>4.1894093686354381</v>
      </c>
      <c r="BS97" s="106">
        <v>7661.591853360489</v>
      </c>
      <c r="BT97" s="106">
        <v>0</v>
      </c>
      <c r="BU97" s="106">
        <v>0</v>
      </c>
      <c r="BV97" s="106">
        <v>4.6625939849624061</v>
      </c>
      <c r="BW97" s="106">
        <v>8526.9518796992488</v>
      </c>
      <c r="BX97" s="106">
        <v>0</v>
      </c>
      <c r="BY97" s="106">
        <v>0</v>
      </c>
      <c r="BZ97" s="106">
        <v>20.557377049180328</v>
      </c>
      <c r="CA97" s="106">
        <v>37595.331147540986</v>
      </c>
      <c r="CB97" s="106">
        <v>5.7497360084477291</v>
      </c>
      <c r="CC97" s="106">
        <v>10515.117212249206</v>
      </c>
      <c r="CD97" s="106">
        <v>7.2563718140929536</v>
      </c>
      <c r="CE97" s="106">
        <v>13270.452773613193</v>
      </c>
      <c r="CF97" s="106">
        <v>3.1166666666666667</v>
      </c>
      <c r="CG97" s="106">
        <v>5699.76</v>
      </c>
      <c r="CH97" s="106">
        <v>0</v>
      </c>
      <c r="CI97" s="106">
        <v>0</v>
      </c>
      <c r="CJ97" s="106">
        <v>1.7132743362831859</v>
      </c>
      <c r="CK97" s="106">
        <v>3133.2361061946904</v>
      </c>
      <c r="CL97" s="106">
        <v>2.4568527918781724</v>
      </c>
      <c r="CM97" s="106">
        <v>4493.092385786802</v>
      </c>
      <c r="CN97" s="106">
        <v>10.16030534351145</v>
      </c>
      <c r="CO97" s="106">
        <v>18581.166412213737</v>
      </c>
      <c r="CP97" s="106">
        <v>0</v>
      </c>
      <c r="CQ97" s="106">
        <v>0</v>
      </c>
      <c r="CR97" s="106">
        <v>0</v>
      </c>
      <c r="CS97" s="106">
        <v>0</v>
      </c>
      <c r="CT97" s="106">
        <v>19.065911431513904</v>
      </c>
      <c r="CU97" s="106">
        <v>34867.738825952627</v>
      </c>
    </row>
    <row r="98" spans="2:99" x14ac:dyDescent="0.2">
      <c r="C98" s="105" t="s">
        <v>264</v>
      </c>
      <c r="D98" s="106">
        <v>18.4986642920748</v>
      </c>
      <c r="E98" s="106">
        <v>23374.912199465714</v>
      </c>
      <c r="F98" s="106">
        <v>0</v>
      </c>
      <c r="G98" s="106">
        <v>0</v>
      </c>
      <c r="H98" s="106">
        <v>12.097751710654936</v>
      </c>
      <c r="I98" s="106">
        <v>15286.719061583577</v>
      </c>
      <c r="J98" s="106">
        <v>0</v>
      </c>
      <c r="K98" s="106">
        <v>0</v>
      </c>
      <c r="L98" s="106">
        <v>6.9274809160305342</v>
      </c>
      <c r="M98" s="106">
        <v>8753.5648854961819</v>
      </c>
      <c r="N98" s="106">
        <v>0</v>
      </c>
      <c r="O98" s="106">
        <v>0</v>
      </c>
      <c r="P98" s="106">
        <v>3.4637404580152671</v>
      </c>
      <c r="Q98" s="106">
        <v>4376.7824427480909</v>
      </c>
      <c r="R98" s="106">
        <v>7.8284106891701839</v>
      </c>
      <c r="S98" s="106">
        <v>9891.9797468354445</v>
      </c>
      <c r="T98" s="106">
        <v>0</v>
      </c>
      <c r="U98" s="106">
        <v>0</v>
      </c>
      <c r="V98" s="106">
        <v>11.539737387698688</v>
      </c>
      <c r="W98" s="106">
        <v>14581.612163096061</v>
      </c>
      <c r="X98" s="106">
        <v>6.7517241379310349</v>
      </c>
      <c r="Y98" s="106">
        <v>8531.4786206896551</v>
      </c>
      <c r="Z98" s="106">
        <v>5.6191950464396285</v>
      </c>
      <c r="AA98" s="106">
        <v>7100.4148606811141</v>
      </c>
      <c r="AB98" s="106">
        <v>2.2926315789473688</v>
      </c>
      <c r="AC98" s="106">
        <v>2896.9692631578951</v>
      </c>
      <c r="AD98" s="106">
        <v>0</v>
      </c>
      <c r="AE98" s="106">
        <v>0</v>
      </c>
      <c r="AF98" s="106">
        <v>6.7089108910891087</v>
      </c>
      <c r="AG98" s="106">
        <v>8477.379801980198</v>
      </c>
      <c r="AH98" s="106">
        <v>2.3319057815845823</v>
      </c>
      <c r="AI98" s="106">
        <v>2946.5961456102777</v>
      </c>
      <c r="AJ98" s="106">
        <v>0</v>
      </c>
      <c r="AK98" s="106">
        <v>0</v>
      </c>
      <c r="AL98" s="106">
        <v>4.0487571701720846</v>
      </c>
      <c r="AM98" s="106">
        <v>5116.0095602294459</v>
      </c>
      <c r="AN98" s="106">
        <v>5.7440660474716205</v>
      </c>
      <c r="AO98" s="106">
        <v>7258.2018575851389</v>
      </c>
      <c r="AP98" s="106">
        <v>0</v>
      </c>
      <c r="AQ98" s="106">
        <v>0</v>
      </c>
      <c r="AR98" s="106">
        <v>0</v>
      </c>
      <c r="AS98" s="106">
        <v>0</v>
      </c>
      <c r="AT98" s="106">
        <v>3.903225806451613</v>
      </c>
      <c r="AU98" s="106">
        <v>4932.116129032258</v>
      </c>
      <c r="AV98" s="106">
        <v>3.7880794701986757</v>
      </c>
      <c r="AW98" s="106">
        <v>4786.617218543046</v>
      </c>
      <c r="AX98" s="106">
        <v>2.1388888888888888</v>
      </c>
      <c r="AY98" s="106">
        <v>2702.7</v>
      </c>
      <c r="AZ98" s="106">
        <v>3.252688172043011</v>
      </c>
      <c r="BA98" s="106">
        <v>4110.0967741935483</v>
      </c>
      <c r="BB98" s="106">
        <v>4.7554585152838431</v>
      </c>
      <c r="BC98" s="106">
        <v>6008.9973799126637</v>
      </c>
      <c r="BD98" s="106">
        <v>4.5399673735725941</v>
      </c>
      <c r="BE98" s="106">
        <v>5736.7027732463293</v>
      </c>
      <c r="BF98" s="106">
        <v>9.0219298245614024</v>
      </c>
      <c r="BG98" s="106">
        <v>11400.110526315788</v>
      </c>
      <c r="BH98" s="106">
        <v>2.8738738738738738</v>
      </c>
      <c r="BI98" s="106">
        <v>3631.4270270270267</v>
      </c>
      <c r="BJ98" s="106">
        <v>2.7581764122893953</v>
      </c>
      <c r="BK98" s="106">
        <v>3485.2317145688794</v>
      </c>
      <c r="BL98" s="106">
        <v>2.9058597502401535</v>
      </c>
      <c r="BM98" s="106">
        <v>3671.8443804034578</v>
      </c>
      <c r="BN98" s="106">
        <v>1.9100236779794793</v>
      </c>
      <c r="BO98" s="106">
        <v>2413.5059194948699</v>
      </c>
      <c r="BP98" s="106">
        <v>5.851277372262774</v>
      </c>
      <c r="BQ98" s="106">
        <v>7393.674087591241</v>
      </c>
      <c r="BR98" s="106">
        <v>4.5590631364562118</v>
      </c>
      <c r="BS98" s="106">
        <v>5760.8321792260685</v>
      </c>
      <c r="BT98" s="106">
        <v>0</v>
      </c>
      <c r="BU98" s="106">
        <v>0</v>
      </c>
      <c r="BV98" s="106">
        <v>5.344924812030075</v>
      </c>
      <c r="BW98" s="106">
        <v>6753.8469924812025</v>
      </c>
      <c r="BX98" s="106">
        <v>0</v>
      </c>
      <c r="BY98" s="106">
        <v>0</v>
      </c>
      <c r="BZ98" s="106">
        <v>22.450819672131146</v>
      </c>
      <c r="CA98" s="106">
        <v>28368.855737704915</v>
      </c>
      <c r="CB98" s="106">
        <v>6.1330517423442457</v>
      </c>
      <c r="CC98" s="106">
        <v>7749.7241816261885</v>
      </c>
      <c r="CD98" s="106">
        <v>7.7098950524737635</v>
      </c>
      <c r="CE98" s="106">
        <v>9742.223388305847</v>
      </c>
      <c r="CF98" s="106">
        <v>3.1166666666666667</v>
      </c>
      <c r="CG98" s="106">
        <v>3938.22</v>
      </c>
      <c r="CH98" s="106">
        <v>0</v>
      </c>
      <c r="CI98" s="106">
        <v>0</v>
      </c>
      <c r="CJ98" s="106">
        <v>1.927433628318584</v>
      </c>
      <c r="CK98" s="106">
        <v>2435.5051327433625</v>
      </c>
      <c r="CL98" s="106">
        <v>2.6615905245346871</v>
      </c>
      <c r="CM98" s="106">
        <v>3363.1857868020306</v>
      </c>
      <c r="CN98" s="106">
        <v>11.699745547073793</v>
      </c>
      <c r="CO98" s="106">
        <v>14783.798473282443</v>
      </c>
      <c r="CP98" s="106">
        <v>0</v>
      </c>
      <c r="CQ98" s="106">
        <v>0</v>
      </c>
      <c r="CR98" s="106">
        <v>0</v>
      </c>
      <c r="CS98" s="106">
        <v>0</v>
      </c>
      <c r="CT98" s="106">
        <v>20.561277033985583</v>
      </c>
      <c r="CU98" s="106">
        <v>25981.229660144181</v>
      </c>
    </row>
    <row r="99" spans="2:99" x14ac:dyDescent="0.2">
      <c r="C99" s="105" t="s">
        <v>265</v>
      </c>
      <c r="D99" s="106">
        <v>11.807658058771148</v>
      </c>
      <c r="E99" s="106">
        <v>64724.858414959919</v>
      </c>
      <c r="F99" s="106">
        <v>0</v>
      </c>
      <c r="G99" s="106">
        <v>0</v>
      </c>
      <c r="H99" s="106">
        <v>7.9931573802541553</v>
      </c>
      <c r="I99" s="106">
        <v>43815.291495601174</v>
      </c>
      <c r="J99" s="106">
        <v>0</v>
      </c>
      <c r="K99" s="106">
        <v>0</v>
      </c>
      <c r="L99" s="106">
        <v>4.156488549618321</v>
      </c>
      <c r="M99" s="106">
        <v>22784.207633587786</v>
      </c>
      <c r="N99" s="106">
        <v>0</v>
      </c>
      <c r="O99" s="106">
        <v>0</v>
      </c>
      <c r="P99" s="106">
        <v>1.9627862595419847</v>
      </c>
      <c r="Q99" s="106">
        <v>10759.209160305343</v>
      </c>
      <c r="R99" s="106">
        <v>5.786216596343178</v>
      </c>
      <c r="S99" s="106">
        <v>31717.724894514762</v>
      </c>
      <c r="T99" s="106">
        <v>0</v>
      </c>
      <c r="U99" s="106">
        <v>0</v>
      </c>
      <c r="V99" s="106">
        <v>7.02418797512094</v>
      </c>
      <c r="W99" s="106">
        <v>38503.78880442294</v>
      </c>
      <c r="X99" s="106">
        <v>4.0206896551724141</v>
      </c>
      <c r="Y99" s="106">
        <v>22039.812413793104</v>
      </c>
      <c r="Z99" s="106">
        <v>2.9969040247678018</v>
      </c>
      <c r="AA99" s="106">
        <v>16427.829102167179</v>
      </c>
      <c r="AB99" s="106">
        <v>1.7831578947368421</v>
      </c>
      <c r="AC99" s="106">
        <v>9774.5583157894725</v>
      </c>
      <c r="AD99" s="106">
        <v>0</v>
      </c>
      <c r="AE99" s="106">
        <v>0</v>
      </c>
      <c r="AF99" s="106">
        <v>5.7504950495049503</v>
      </c>
      <c r="AG99" s="106">
        <v>31521.913663366333</v>
      </c>
      <c r="AH99" s="106">
        <v>2.0728051391862956</v>
      </c>
      <c r="AI99" s="106">
        <v>11362.288650963597</v>
      </c>
      <c r="AJ99" s="106">
        <v>0</v>
      </c>
      <c r="AK99" s="106">
        <v>0</v>
      </c>
      <c r="AL99" s="106">
        <v>2.6606118546845123</v>
      </c>
      <c r="AM99" s="106">
        <v>14584.409942638622</v>
      </c>
      <c r="AN99" s="106">
        <v>4.2456140350877192</v>
      </c>
      <c r="AO99" s="106">
        <v>23272.757894736838</v>
      </c>
      <c r="AP99" s="106">
        <v>0</v>
      </c>
      <c r="AQ99" s="106">
        <v>0</v>
      </c>
      <c r="AR99" s="106">
        <v>0</v>
      </c>
      <c r="AS99" s="106">
        <v>0</v>
      </c>
      <c r="AT99" s="106">
        <v>2.4108159392789372</v>
      </c>
      <c r="AU99" s="106">
        <v>13215.12865275142</v>
      </c>
      <c r="AV99" s="106">
        <v>2.1125827814569536</v>
      </c>
      <c r="AW99" s="106">
        <v>11580.333774834435</v>
      </c>
      <c r="AX99" s="106">
        <v>1.4055555555555557</v>
      </c>
      <c r="AY99" s="106">
        <v>7704.6933333333336</v>
      </c>
      <c r="AZ99" s="106">
        <v>2.1684587813620069</v>
      </c>
      <c r="BA99" s="106">
        <v>11886.623655913976</v>
      </c>
      <c r="BB99" s="106">
        <v>3.1703056768558948</v>
      </c>
      <c r="BC99" s="106">
        <v>17378.347598253273</v>
      </c>
      <c r="BD99" s="106">
        <v>3.5530179445350734</v>
      </c>
      <c r="BE99" s="106">
        <v>19476.223164763454</v>
      </c>
      <c r="BF99" s="106">
        <v>6.3684210526315788</v>
      </c>
      <c r="BG99" s="106">
        <v>34909.136842105261</v>
      </c>
      <c r="BH99" s="106">
        <v>2.1801801801801801</v>
      </c>
      <c r="BI99" s="106">
        <v>11950.875675675674</v>
      </c>
      <c r="BJ99" s="106">
        <v>1.9187314172447967</v>
      </c>
      <c r="BK99" s="106">
        <v>10517.718136769077</v>
      </c>
      <c r="BL99" s="106">
        <v>2.0922190201729109</v>
      </c>
      <c r="BM99" s="106">
        <v>11468.707780979828</v>
      </c>
      <c r="BN99" s="106">
        <v>1.2415153906866614</v>
      </c>
      <c r="BO99" s="106">
        <v>6805.4907655880024</v>
      </c>
      <c r="BP99" s="106">
        <v>3.4224452554744524</v>
      </c>
      <c r="BQ99" s="106">
        <v>18760.475912408758</v>
      </c>
      <c r="BR99" s="106">
        <v>2.9572301425661913</v>
      </c>
      <c r="BS99" s="106">
        <v>16210.352749490832</v>
      </c>
      <c r="BT99" s="106">
        <v>0</v>
      </c>
      <c r="BU99" s="106">
        <v>0</v>
      </c>
      <c r="BV99" s="106">
        <v>3.1842105263157894</v>
      </c>
      <c r="BW99" s="106">
        <v>17454.568421052631</v>
      </c>
      <c r="BX99" s="106">
        <v>0</v>
      </c>
      <c r="BY99" s="106">
        <v>0</v>
      </c>
      <c r="BZ99" s="106">
        <v>10.819672131147541</v>
      </c>
      <c r="CA99" s="106">
        <v>59309.114754098358</v>
      </c>
      <c r="CB99" s="106">
        <v>3.8331573389651528</v>
      </c>
      <c r="CC99" s="106">
        <v>21011.835269271378</v>
      </c>
      <c r="CD99" s="106">
        <v>3.9002998500749628</v>
      </c>
      <c r="CE99" s="106">
        <v>21379.883658170915</v>
      </c>
      <c r="CF99" s="106">
        <v>2.3833333333333333</v>
      </c>
      <c r="CG99" s="106">
        <v>13064.479999999998</v>
      </c>
      <c r="CH99" s="106">
        <v>0</v>
      </c>
      <c r="CI99" s="106">
        <v>0</v>
      </c>
      <c r="CJ99" s="106">
        <v>1.4991150442477876</v>
      </c>
      <c r="CK99" s="106">
        <v>8217.5490265486715</v>
      </c>
      <c r="CL99" s="106">
        <v>2.2521150592216581</v>
      </c>
      <c r="CM99" s="106">
        <v>12345.193908629441</v>
      </c>
      <c r="CN99" s="106">
        <v>6.1577608142493636</v>
      </c>
      <c r="CO99" s="106">
        <v>33754.381679389306</v>
      </c>
      <c r="CP99" s="106">
        <v>0</v>
      </c>
      <c r="CQ99" s="106">
        <v>0</v>
      </c>
      <c r="CR99" s="106">
        <v>0</v>
      </c>
      <c r="CS99" s="106">
        <v>0</v>
      </c>
      <c r="CT99" s="106">
        <v>12.336766220391349</v>
      </c>
      <c r="CU99" s="106">
        <v>67625.217713697217</v>
      </c>
    </row>
    <row r="100" spans="2:99" x14ac:dyDescent="0.2">
      <c r="C100" s="105" t="s">
        <v>266</v>
      </c>
      <c r="D100" s="106">
        <v>16.924309884238646</v>
      </c>
      <c r="E100" s="106">
        <v>27458.000356188775</v>
      </c>
      <c r="F100" s="106">
        <v>0</v>
      </c>
      <c r="G100" s="106">
        <v>0</v>
      </c>
      <c r="H100" s="106">
        <v>11.881720430107528</v>
      </c>
      <c r="I100" s="106">
        <v>19276.903225806451</v>
      </c>
      <c r="J100" s="106">
        <v>0</v>
      </c>
      <c r="K100" s="106">
        <v>0</v>
      </c>
      <c r="L100" s="106">
        <v>6.6965648854961835</v>
      </c>
      <c r="M100" s="106">
        <v>10864.506870229006</v>
      </c>
      <c r="N100" s="106">
        <v>0</v>
      </c>
      <c r="O100" s="106">
        <v>0</v>
      </c>
      <c r="P100" s="106">
        <v>3.1173664122137406</v>
      </c>
      <c r="Q100" s="106">
        <v>5057.6152671755726</v>
      </c>
      <c r="R100" s="106">
        <v>8.5091420534458511</v>
      </c>
      <c r="S100" s="106">
        <v>13805.232067510547</v>
      </c>
      <c r="T100" s="106">
        <v>0</v>
      </c>
      <c r="U100" s="106">
        <v>0</v>
      </c>
      <c r="V100" s="106">
        <v>12.877677954388389</v>
      </c>
      <c r="W100" s="106">
        <v>20892.744713199721</v>
      </c>
      <c r="X100" s="106">
        <v>6.2206896551724142</v>
      </c>
      <c r="Y100" s="106">
        <v>10092.446896551724</v>
      </c>
      <c r="Z100" s="106">
        <v>5.2445820433436534</v>
      </c>
      <c r="AA100" s="106">
        <v>8508.8099071207434</v>
      </c>
      <c r="AB100" s="106">
        <v>2.2926315789473688</v>
      </c>
      <c r="AC100" s="106">
        <v>3719.5654736842107</v>
      </c>
      <c r="AD100" s="106">
        <v>0</v>
      </c>
      <c r="AE100" s="106">
        <v>0</v>
      </c>
      <c r="AF100" s="106">
        <v>7.1881188118811874</v>
      </c>
      <c r="AG100" s="106">
        <v>11662.003960396038</v>
      </c>
      <c r="AH100" s="106">
        <v>2.3319057815845823</v>
      </c>
      <c r="AI100" s="106">
        <v>3783.2839400428261</v>
      </c>
      <c r="AJ100" s="106">
        <v>0</v>
      </c>
      <c r="AK100" s="106">
        <v>0</v>
      </c>
      <c r="AL100" s="106">
        <v>4.1644359464627154</v>
      </c>
      <c r="AM100" s="106">
        <v>6756.3808795411087</v>
      </c>
      <c r="AN100" s="106">
        <v>6.2435500515995868</v>
      </c>
      <c r="AO100" s="106">
        <v>10129.535603715169</v>
      </c>
      <c r="AP100" s="106">
        <v>0</v>
      </c>
      <c r="AQ100" s="106">
        <v>0</v>
      </c>
      <c r="AR100" s="106">
        <v>0</v>
      </c>
      <c r="AS100" s="106">
        <v>0</v>
      </c>
      <c r="AT100" s="106">
        <v>3.6736242884250476</v>
      </c>
      <c r="AU100" s="106">
        <v>5960.0880455407969</v>
      </c>
      <c r="AV100" s="106">
        <v>3.423841059602649</v>
      </c>
      <c r="AW100" s="106">
        <v>5554.8397350993373</v>
      </c>
      <c r="AX100" s="106">
        <v>2.2611111111111111</v>
      </c>
      <c r="AY100" s="106">
        <v>3668.4266666666663</v>
      </c>
      <c r="AZ100" s="106">
        <v>2.602150537634409</v>
      </c>
      <c r="BA100" s="106">
        <v>4221.7290322580648</v>
      </c>
      <c r="BB100" s="106">
        <v>4.7554585152838431</v>
      </c>
      <c r="BC100" s="106">
        <v>7715.2558951965066</v>
      </c>
      <c r="BD100" s="106">
        <v>4.5399673735725941</v>
      </c>
      <c r="BE100" s="106">
        <v>7365.6430668841758</v>
      </c>
      <c r="BF100" s="106">
        <v>8.4912280701754383</v>
      </c>
      <c r="BG100" s="106">
        <v>13776.168421052629</v>
      </c>
      <c r="BH100" s="106">
        <v>2.7747747747747749</v>
      </c>
      <c r="BI100" s="106">
        <v>4501.7945945945939</v>
      </c>
      <c r="BJ100" s="106">
        <v>2.7581764122893953</v>
      </c>
      <c r="BK100" s="106">
        <v>4474.865411298314</v>
      </c>
      <c r="BL100" s="106">
        <v>3.1383285302593662</v>
      </c>
      <c r="BM100" s="106">
        <v>5091.624207492795</v>
      </c>
      <c r="BN100" s="106">
        <v>2.1010260457774272</v>
      </c>
      <c r="BO100" s="106">
        <v>3408.7046566692975</v>
      </c>
      <c r="BP100" s="106">
        <v>5.851277372262774</v>
      </c>
      <c r="BQ100" s="106">
        <v>9493.1124087591234</v>
      </c>
      <c r="BR100" s="106">
        <v>4.5590631364562118</v>
      </c>
      <c r="BS100" s="106">
        <v>7396.6240325865574</v>
      </c>
      <c r="BT100" s="106">
        <v>0</v>
      </c>
      <c r="BU100" s="106">
        <v>0</v>
      </c>
      <c r="BV100" s="106">
        <v>4.7763157894736841</v>
      </c>
      <c r="BW100" s="106">
        <v>7749.0947368421048</v>
      </c>
      <c r="BX100" s="106">
        <v>0</v>
      </c>
      <c r="BY100" s="106">
        <v>0</v>
      </c>
      <c r="BZ100" s="106">
        <v>19.475409836065577</v>
      </c>
      <c r="CA100" s="106">
        <v>31596.904918032789</v>
      </c>
      <c r="CB100" s="106">
        <v>6.260823653643083</v>
      </c>
      <c r="CC100" s="106">
        <v>10157.560295670537</v>
      </c>
      <c r="CD100" s="106">
        <v>6.440029985007496</v>
      </c>
      <c r="CE100" s="106">
        <v>10448.304647676161</v>
      </c>
      <c r="CF100" s="106">
        <v>2.75</v>
      </c>
      <c r="CG100" s="106">
        <v>4461.5999999999995</v>
      </c>
      <c r="CH100" s="106">
        <v>0</v>
      </c>
      <c r="CI100" s="106">
        <v>0</v>
      </c>
      <c r="CJ100" s="106">
        <v>2.1415929203539821</v>
      </c>
      <c r="CK100" s="106">
        <v>3474.5203539823001</v>
      </c>
      <c r="CL100" s="106">
        <v>2.6615905245346871</v>
      </c>
      <c r="CM100" s="106">
        <v>4318.1644670050764</v>
      </c>
      <c r="CN100" s="106">
        <v>9.2366412213740468</v>
      </c>
      <c r="CO100" s="106">
        <v>14985.526717557252</v>
      </c>
      <c r="CP100" s="106">
        <v>0</v>
      </c>
      <c r="CQ100" s="106">
        <v>0</v>
      </c>
      <c r="CR100" s="106">
        <v>0</v>
      </c>
      <c r="CS100" s="106">
        <v>0</v>
      </c>
      <c r="CT100" s="106">
        <v>17.944387229660144</v>
      </c>
      <c r="CU100" s="106">
        <v>29112.973841400617</v>
      </c>
    </row>
    <row r="101" spans="2:99" x14ac:dyDescent="0.2">
      <c r="C101" s="105" t="s">
        <v>267</v>
      </c>
      <c r="D101" s="106">
        <v>18.892252894033838</v>
      </c>
      <c r="E101" s="106">
        <v>22489.337845057878</v>
      </c>
      <c r="F101" s="106">
        <v>0</v>
      </c>
      <c r="G101" s="106">
        <v>0</v>
      </c>
      <c r="H101" s="106">
        <v>12.745845552297165</v>
      </c>
      <c r="I101" s="106">
        <v>15172.654545454545</v>
      </c>
      <c r="J101" s="106">
        <v>0</v>
      </c>
      <c r="K101" s="106">
        <v>0</v>
      </c>
      <c r="L101" s="106">
        <v>6.2347328244274811</v>
      </c>
      <c r="M101" s="106">
        <v>7421.8259541984726</v>
      </c>
      <c r="N101" s="106">
        <v>0</v>
      </c>
      <c r="O101" s="106">
        <v>0</v>
      </c>
      <c r="P101" s="106">
        <v>3.5791984732824429</v>
      </c>
      <c r="Q101" s="106">
        <v>4260.6778625954194</v>
      </c>
      <c r="R101" s="106">
        <v>7.6582278481012667</v>
      </c>
      <c r="S101" s="106">
        <v>9116.3544303797462</v>
      </c>
      <c r="T101" s="106">
        <v>0</v>
      </c>
      <c r="U101" s="106">
        <v>0</v>
      </c>
      <c r="V101" s="106">
        <v>14.04837595024188</v>
      </c>
      <c r="W101" s="106">
        <v>16723.186731167931</v>
      </c>
      <c r="X101" s="106">
        <v>6.2206896551724142</v>
      </c>
      <c r="Y101" s="106">
        <v>7405.1089655172409</v>
      </c>
      <c r="Z101" s="106">
        <v>5.057275541795665</v>
      </c>
      <c r="AA101" s="106">
        <v>6020.1808049535584</v>
      </c>
      <c r="AB101" s="106">
        <v>2.2926315789473688</v>
      </c>
      <c r="AC101" s="106">
        <v>2729.1486315789475</v>
      </c>
      <c r="AD101" s="106">
        <v>0</v>
      </c>
      <c r="AE101" s="106">
        <v>0</v>
      </c>
      <c r="AF101" s="106">
        <v>6.229702970297029</v>
      </c>
      <c r="AG101" s="106">
        <v>7415.8384158415829</v>
      </c>
      <c r="AH101" s="106">
        <v>2.5910064239828694</v>
      </c>
      <c r="AI101" s="106">
        <v>3084.3340471092074</v>
      </c>
      <c r="AJ101" s="106">
        <v>0</v>
      </c>
      <c r="AK101" s="106">
        <v>0</v>
      </c>
      <c r="AL101" s="106">
        <v>4.5114722753346079</v>
      </c>
      <c r="AM101" s="106">
        <v>5370.456596558317</v>
      </c>
      <c r="AN101" s="106">
        <v>5.9938080495356036</v>
      </c>
      <c r="AO101" s="106">
        <v>7135.0291021671819</v>
      </c>
      <c r="AP101" s="106">
        <v>0</v>
      </c>
      <c r="AQ101" s="106">
        <v>0</v>
      </c>
      <c r="AR101" s="106">
        <v>0</v>
      </c>
      <c r="AS101" s="106">
        <v>0</v>
      </c>
      <c r="AT101" s="106">
        <v>3.3292220113851996</v>
      </c>
      <c r="AU101" s="106">
        <v>3963.1058823529411</v>
      </c>
      <c r="AV101" s="106">
        <v>3.3509933774834439</v>
      </c>
      <c r="AW101" s="106">
        <v>3989.0225165562911</v>
      </c>
      <c r="AX101" s="106">
        <v>2.322222222222222</v>
      </c>
      <c r="AY101" s="106">
        <v>2764.3733333333325</v>
      </c>
      <c r="AZ101" s="106">
        <v>2.8189964157706093</v>
      </c>
      <c r="BA101" s="106">
        <v>3355.7333333333331</v>
      </c>
      <c r="BB101" s="106">
        <v>4.7554585152838431</v>
      </c>
      <c r="BC101" s="106">
        <v>5660.8978165938861</v>
      </c>
      <c r="BD101" s="106">
        <v>4.7373572593800972</v>
      </c>
      <c r="BE101" s="106">
        <v>5639.3500815660673</v>
      </c>
      <c r="BF101" s="106">
        <v>7.9605263157894735</v>
      </c>
      <c r="BG101" s="106">
        <v>9476.2105263157882</v>
      </c>
      <c r="BH101" s="106">
        <v>2.9729729729729728</v>
      </c>
      <c r="BI101" s="106">
        <v>3539.0270270270266</v>
      </c>
      <c r="BJ101" s="106">
        <v>2.6382556987115957</v>
      </c>
      <c r="BK101" s="106">
        <v>3140.5795837462833</v>
      </c>
      <c r="BL101" s="106">
        <v>3.0220941402497599</v>
      </c>
      <c r="BM101" s="106">
        <v>3597.5008645533139</v>
      </c>
      <c r="BN101" s="106">
        <v>2.1010260457774272</v>
      </c>
      <c r="BO101" s="106">
        <v>2501.061404893449</v>
      </c>
      <c r="BP101" s="106">
        <v>6.0720802919708028</v>
      </c>
      <c r="BQ101" s="106">
        <v>7228.204379562043</v>
      </c>
      <c r="BR101" s="106">
        <v>4.0661914460285136</v>
      </c>
      <c r="BS101" s="106">
        <v>4840.3942973523417</v>
      </c>
      <c r="BT101" s="106">
        <v>0</v>
      </c>
      <c r="BU101" s="106">
        <v>0</v>
      </c>
      <c r="BV101" s="106">
        <v>5.231203007518797</v>
      </c>
      <c r="BW101" s="106">
        <v>6227.2240601503754</v>
      </c>
      <c r="BX101" s="106">
        <v>0</v>
      </c>
      <c r="BY101" s="106">
        <v>0</v>
      </c>
      <c r="BZ101" s="106">
        <v>22.450819672131146</v>
      </c>
      <c r="CA101" s="106">
        <v>26725.455737704913</v>
      </c>
      <c r="CB101" s="106">
        <v>7.410770855332629</v>
      </c>
      <c r="CC101" s="106">
        <v>8821.7816261879598</v>
      </c>
      <c r="CD101" s="106">
        <v>8.0727136431784103</v>
      </c>
      <c r="CE101" s="106">
        <v>9609.758320839579</v>
      </c>
      <c r="CF101" s="106">
        <v>3.1166666666666667</v>
      </c>
      <c r="CG101" s="106">
        <v>3710.0799999999995</v>
      </c>
      <c r="CH101" s="106">
        <v>0</v>
      </c>
      <c r="CI101" s="106">
        <v>0</v>
      </c>
      <c r="CJ101" s="106">
        <v>1.927433628318584</v>
      </c>
      <c r="CK101" s="106">
        <v>2294.4169911504423</v>
      </c>
      <c r="CL101" s="106">
        <v>2.8663282571912014</v>
      </c>
      <c r="CM101" s="106">
        <v>3412.0771573604056</v>
      </c>
      <c r="CN101" s="106">
        <v>10.776081424936388</v>
      </c>
      <c r="CO101" s="106">
        <v>12827.847328244276</v>
      </c>
      <c r="CP101" s="106">
        <v>0</v>
      </c>
      <c r="CQ101" s="106">
        <v>0</v>
      </c>
      <c r="CR101" s="106">
        <v>0</v>
      </c>
      <c r="CS101" s="106">
        <v>0</v>
      </c>
      <c r="CT101" s="106">
        <v>17.944387229660144</v>
      </c>
      <c r="CU101" s="106">
        <v>21360.998558187432</v>
      </c>
    </row>
    <row r="102" spans="2:99" x14ac:dyDescent="0.2">
      <c r="C102" s="105" t="s">
        <v>268</v>
      </c>
      <c r="D102" s="106">
        <v>15.743544078361531</v>
      </c>
      <c r="E102" s="106">
        <v>30529.880676758676</v>
      </c>
      <c r="F102" s="106">
        <v>0</v>
      </c>
      <c r="G102" s="106">
        <v>0</v>
      </c>
      <c r="H102" s="106">
        <v>11.017595307917889</v>
      </c>
      <c r="I102" s="106">
        <v>21365.320821114368</v>
      </c>
      <c r="J102" s="106">
        <v>0</v>
      </c>
      <c r="K102" s="106">
        <v>0</v>
      </c>
      <c r="L102" s="106">
        <v>6.4656488549618318</v>
      </c>
      <c r="M102" s="106">
        <v>12538.186259541983</v>
      </c>
      <c r="N102" s="106">
        <v>0</v>
      </c>
      <c r="O102" s="106">
        <v>0</v>
      </c>
      <c r="P102" s="106">
        <v>2.8864503816793894</v>
      </c>
      <c r="Q102" s="106">
        <v>5597.4045801526718</v>
      </c>
      <c r="R102" s="106">
        <v>8.5091420534458511</v>
      </c>
      <c r="S102" s="106">
        <v>16500.928270042194</v>
      </c>
      <c r="T102" s="106">
        <v>0</v>
      </c>
      <c r="U102" s="106">
        <v>0</v>
      </c>
      <c r="V102" s="106">
        <v>11.874222529371114</v>
      </c>
      <c r="W102" s="106">
        <v>23026.492328956461</v>
      </c>
      <c r="X102" s="106">
        <v>5.4620689655172407</v>
      </c>
      <c r="Y102" s="106">
        <v>10592.044137931032</v>
      </c>
      <c r="Z102" s="106">
        <v>5.1509287925696592</v>
      </c>
      <c r="AA102" s="106">
        <v>9988.6811145510819</v>
      </c>
      <c r="AB102" s="106">
        <v>2.2926315789473688</v>
      </c>
      <c r="AC102" s="106">
        <v>4445.8711578947368</v>
      </c>
      <c r="AD102" s="106">
        <v>0</v>
      </c>
      <c r="AE102" s="106">
        <v>0</v>
      </c>
      <c r="AF102" s="106">
        <v>5.7504950495049503</v>
      </c>
      <c r="AG102" s="106">
        <v>11151.359999999999</v>
      </c>
      <c r="AH102" s="106">
        <v>2.5910064239828694</v>
      </c>
      <c r="AI102" s="106">
        <v>5024.4796573875801</v>
      </c>
      <c r="AJ102" s="106">
        <v>0</v>
      </c>
      <c r="AK102" s="106">
        <v>0</v>
      </c>
      <c r="AL102" s="106">
        <v>3.9330783938814533</v>
      </c>
      <c r="AM102" s="106">
        <v>7627.025621414914</v>
      </c>
      <c r="AN102" s="106">
        <v>5.9938080495356036</v>
      </c>
      <c r="AO102" s="106">
        <v>11623.192569659441</v>
      </c>
      <c r="AP102" s="106">
        <v>0</v>
      </c>
      <c r="AQ102" s="106">
        <v>0</v>
      </c>
      <c r="AR102" s="106">
        <v>0</v>
      </c>
      <c r="AS102" s="106">
        <v>0</v>
      </c>
      <c r="AT102" s="106">
        <v>3.3292220113851996</v>
      </c>
      <c r="AU102" s="106">
        <v>6456.0273244781783</v>
      </c>
      <c r="AV102" s="106">
        <v>3.423841059602649</v>
      </c>
      <c r="AW102" s="106">
        <v>6639.5125827814563</v>
      </c>
      <c r="AX102" s="106">
        <v>2.322222222222222</v>
      </c>
      <c r="AY102" s="106">
        <v>4503.2533333333322</v>
      </c>
      <c r="AZ102" s="106">
        <v>2.8189964157706093</v>
      </c>
      <c r="BA102" s="106">
        <v>5466.597849462365</v>
      </c>
      <c r="BB102" s="106">
        <v>4.4912663755458517</v>
      </c>
      <c r="BC102" s="106">
        <v>8709.4637554585152</v>
      </c>
      <c r="BD102" s="106">
        <v>4.145187601957586</v>
      </c>
      <c r="BE102" s="106">
        <v>8038.3477977161501</v>
      </c>
      <c r="BF102" s="106">
        <v>7.4298245614035086</v>
      </c>
      <c r="BG102" s="106">
        <v>14407.915789473682</v>
      </c>
      <c r="BH102" s="106">
        <v>2.6756756756756754</v>
      </c>
      <c r="BI102" s="106">
        <v>5188.6702702702696</v>
      </c>
      <c r="BJ102" s="106">
        <v>2.5183349851337957</v>
      </c>
      <c r="BK102" s="106">
        <v>4883.555203171456</v>
      </c>
      <c r="BL102" s="106">
        <v>2.9058597502401535</v>
      </c>
      <c r="BM102" s="106">
        <v>5635.0432276657048</v>
      </c>
      <c r="BN102" s="106">
        <v>1.7190213101815313</v>
      </c>
      <c r="BO102" s="106">
        <v>3333.5261247040253</v>
      </c>
      <c r="BP102" s="106">
        <v>4.8576642335766422</v>
      </c>
      <c r="BQ102" s="106">
        <v>9419.9824817518238</v>
      </c>
      <c r="BR102" s="106">
        <v>4.4358452138492872</v>
      </c>
      <c r="BS102" s="106">
        <v>8601.9910386965366</v>
      </c>
      <c r="BT102" s="106">
        <v>0</v>
      </c>
      <c r="BU102" s="106">
        <v>0</v>
      </c>
      <c r="BV102" s="106">
        <v>4.5488721804511272</v>
      </c>
      <c r="BW102" s="106">
        <v>8821.1729323308246</v>
      </c>
      <c r="BX102" s="106">
        <v>0</v>
      </c>
      <c r="BY102" s="106">
        <v>0</v>
      </c>
      <c r="BZ102" s="106">
        <v>17.311475409836067</v>
      </c>
      <c r="CA102" s="106">
        <v>33570.413114754097</v>
      </c>
      <c r="CB102" s="106">
        <v>6.260823653643083</v>
      </c>
      <c r="CC102" s="106">
        <v>12140.989229144665</v>
      </c>
      <c r="CD102" s="106">
        <v>7.0749625187406302</v>
      </c>
      <c r="CE102" s="106">
        <v>13719.767316341829</v>
      </c>
      <c r="CF102" s="106">
        <v>2.9333333333333331</v>
      </c>
      <c r="CG102" s="106">
        <v>5688.3199999999988</v>
      </c>
      <c r="CH102" s="106">
        <v>0</v>
      </c>
      <c r="CI102" s="106">
        <v>0</v>
      </c>
      <c r="CJ102" s="106">
        <v>1.927433628318584</v>
      </c>
      <c r="CK102" s="106">
        <v>3737.6792920353978</v>
      </c>
      <c r="CL102" s="106">
        <v>2.8663282571912014</v>
      </c>
      <c r="CM102" s="106">
        <v>5558.3837563451771</v>
      </c>
      <c r="CN102" s="106">
        <v>9.5445292620865132</v>
      </c>
      <c r="CO102" s="106">
        <v>18508.751145038164</v>
      </c>
      <c r="CP102" s="106">
        <v>0</v>
      </c>
      <c r="CQ102" s="106">
        <v>0</v>
      </c>
      <c r="CR102" s="106">
        <v>0</v>
      </c>
      <c r="CS102" s="106">
        <v>0</v>
      </c>
      <c r="CT102" s="106">
        <v>18.318228630278064</v>
      </c>
      <c r="CU102" s="106">
        <v>35522.708959835218</v>
      </c>
    </row>
    <row r="103" spans="2:99" x14ac:dyDescent="0.2">
      <c r="C103" s="105" t="s">
        <v>269</v>
      </c>
      <c r="D103" s="106">
        <v>16.924309884238646</v>
      </c>
      <c r="E103" s="106">
        <v>34322.500445235972</v>
      </c>
      <c r="F103" s="106">
        <v>0</v>
      </c>
      <c r="G103" s="106">
        <v>0</v>
      </c>
      <c r="H103" s="106">
        <v>11.233626588465299</v>
      </c>
      <c r="I103" s="106">
        <v>22781.794721407627</v>
      </c>
      <c r="J103" s="106">
        <v>0</v>
      </c>
      <c r="K103" s="106">
        <v>0</v>
      </c>
      <c r="L103" s="106">
        <v>6.2347328244274811</v>
      </c>
      <c r="M103" s="106">
        <v>12644.038167938932</v>
      </c>
      <c r="N103" s="106">
        <v>0</v>
      </c>
      <c r="O103" s="106">
        <v>0</v>
      </c>
      <c r="P103" s="106">
        <v>2.7709923664122136</v>
      </c>
      <c r="Q103" s="106">
        <v>5619.5725190839694</v>
      </c>
      <c r="R103" s="106">
        <v>7.147679324894515</v>
      </c>
      <c r="S103" s="106">
        <v>14495.493670886077</v>
      </c>
      <c r="T103" s="106">
        <v>0</v>
      </c>
      <c r="U103" s="106">
        <v>0</v>
      </c>
      <c r="V103" s="106">
        <v>11.539737387698688</v>
      </c>
      <c r="W103" s="106">
        <v>23402.587422252938</v>
      </c>
      <c r="X103" s="106">
        <v>5.9172413793103447</v>
      </c>
      <c r="Y103" s="106">
        <v>12000.165517241379</v>
      </c>
      <c r="Z103" s="106">
        <v>4.5890092879256965</v>
      </c>
      <c r="AA103" s="106">
        <v>9306.5108359133119</v>
      </c>
      <c r="AB103" s="106">
        <v>2.2926315789473688</v>
      </c>
      <c r="AC103" s="106">
        <v>4649.4568421052636</v>
      </c>
      <c r="AD103" s="106">
        <v>0</v>
      </c>
      <c r="AE103" s="106">
        <v>0</v>
      </c>
      <c r="AF103" s="106">
        <v>5.7504950495049503</v>
      </c>
      <c r="AG103" s="106">
        <v>11662.003960396039</v>
      </c>
      <c r="AH103" s="106">
        <v>2.5910064239828694</v>
      </c>
      <c r="AI103" s="106">
        <v>5254.5610278372587</v>
      </c>
      <c r="AJ103" s="106">
        <v>0</v>
      </c>
      <c r="AK103" s="106">
        <v>0</v>
      </c>
      <c r="AL103" s="106">
        <v>3.817399617590822</v>
      </c>
      <c r="AM103" s="106">
        <v>7741.6864244741873</v>
      </c>
      <c r="AN103" s="106">
        <v>5.4943240454076365</v>
      </c>
      <c r="AO103" s="106">
        <v>11142.489164086686</v>
      </c>
      <c r="AP103" s="106">
        <v>0</v>
      </c>
      <c r="AQ103" s="106">
        <v>0</v>
      </c>
      <c r="AR103" s="106">
        <v>0</v>
      </c>
      <c r="AS103" s="106">
        <v>0</v>
      </c>
      <c r="AT103" s="106">
        <v>3.2144212523719164</v>
      </c>
      <c r="AU103" s="106">
        <v>6518.8462998102468</v>
      </c>
      <c r="AV103" s="106">
        <v>3.2052980132450331</v>
      </c>
      <c r="AW103" s="106">
        <v>6500.3443708609266</v>
      </c>
      <c r="AX103" s="106">
        <v>2.0166666666666666</v>
      </c>
      <c r="AY103" s="106">
        <v>4089.7999999999997</v>
      </c>
      <c r="AZ103" s="106">
        <v>2.8189964157706093</v>
      </c>
      <c r="BA103" s="106">
        <v>5716.9247311827958</v>
      </c>
      <c r="BB103" s="106">
        <v>4.4912663755458517</v>
      </c>
      <c r="BC103" s="106">
        <v>9108.2882096069879</v>
      </c>
      <c r="BD103" s="106">
        <v>3.947797716150081</v>
      </c>
      <c r="BE103" s="106">
        <v>8006.1337683523643</v>
      </c>
      <c r="BF103" s="106">
        <v>8.4912280701754383</v>
      </c>
      <c r="BG103" s="106">
        <v>17220.21052631579</v>
      </c>
      <c r="BH103" s="106">
        <v>2.6756756756756754</v>
      </c>
      <c r="BI103" s="106">
        <v>5426.27027027027</v>
      </c>
      <c r="BJ103" s="106">
        <v>2.6382556987115957</v>
      </c>
      <c r="BK103" s="106">
        <v>5350.382556987116</v>
      </c>
      <c r="BL103" s="106">
        <v>2.557156580211335</v>
      </c>
      <c r="BM103" s="106">
        <v>5185.9135446685877</v>
      </c>
      <c r="BN103" s="106">
        <v>1.9100236779794793</v>
      </c>
      <c r="BO103" s="106">
        <v>3873.5280189423838</v>
      </c>
      <c r="BP103" s="106">
        <v>4.7472627737226274</v>
      </c>
      <c r="BQ103" s="106">
        <v>9627.4489051094879</v>
      </c>
      <c r="BR103" s="106">
        <v>3.696537678207739</v>
      </c>
      <c r="BS103" s="106">
        <v>7496.5784114052949</v>
      </c>
      <c r="BT103" s="106">
        <v>0</v>
      </c>
      <c r="BU103" s="106">
        <v>0</v>
      </c>
      <c r="BV103" s="106">
        <v>4.7763157894736841</v>
      </c>
      <c r="BW103" s="106">
        <v>9686.3684210526317</v>
      </c>
      <c r="BX103" s="106">
        <v>0</v>
      </c>
      <c r="BY103" s="106">
        <v>0</v>
      </c>
      <c r="BZ103" s="106">
        <v>18.934426229508198</v>
      </c>
      <c r="CA103" s="106">
        <v>38399.016393442624</v>
      </c>
      <c r="CB103" s="106">
        <v>5.3664202745512144</v>
      </c>
      <c r="CC103" s="106">
        <v>10883.100316789863</v>
      </c>
      <c r="CD103" s="106">
        <v>6.984257871064468</v>
      </c>
      <c r="CE103" s="106">
        <v>14164.074962518742</v>
      </c>
      <c r="CF103" s="106">
        <v>2.9333333333333331</v>
      </c>
      <c r="CG103" s="106">
        <v>5948.7999999999993</v>
      </c>
      <c r="CH103" s="106">
        <v>0</v>
      </c>
      <c r="CI103" s="106">
        <v>0</v>
      </c>
      <c r="CJ103" s="106">
        <v>1.7132743362831859</v>
      </c>
      <c r="CK103" s="106">
        <v>3474.520353982301</v>
      </c>
      <c r="CL103" s="106">
        <v>2.4568527918781724</v>
      </c>
      <c r="CM103" s="106">
        <v>4982.4974619289333</v>
      </c>
      <c r="CN103" s="106">
        <v>9.2366412213740468</v>
      </c>
      <c r="CO103" s="106">
        <v>18731.908396946568</v>
      </c>
      <c r="CP103" s="106">
        <v>0</v>
      </c>
      <c r="CQ103" s="106">
        <v>0</v>
      </c>
      <c r="CR103" s="106">
        <v>0</v>
      </c>
      <c r="CS103" s="106">
        <v>0</v>
      </c>
      <c r="CT103" s="106">
        <v>17.196704428424304</v>
      </c>
      <c r="CU103" s="106">
        <v>34874.916580844489</v>
      </c>
    </row>
    <row r="104" spans="2:99" x14ac:dyDescent="0.2">
      <c r="C104" s="105" t="s">
        <v>270</v>
      </c>
      <c r="D104" s="106">
        <v>18.105075690115761</v>
      </c>
      <c r="E104" s="106">
        <v>37520.958860195904</v>
      </c>
      <c r="F104" s="106">
        <v>0</v>
      </c>
      <c r="G104" s="106">
        <v>0</v>
      </c>
      <c r="H104" s="106">
        <v>11.665689149560118</v>
      </c>
      <c r="I104" s="106">
        <v>24175.974193548387</v>
      </c>
      <c r="J104" s="106">
        <v>0</v>
      </c>
      <c r="K104" s="106">
        <v>0</v>
      </c>
      <c r="L104" s="106">
        <v>5.7729007633587788</v>
      </c>
      <c r="M104" s="106">
        <v>11963.759541984733</v>
      </c>
      <c r="N104" s="106">
        <v>0</v>
      </c>
      <c r="O104" s="106">
        <v>0</v>
      </c>
      <c r="P104" s="106">
        <v>3.2328244274809159</v>
      </c>
      <c r="Q104" s="106">
        <v>6699.7053435114503</v>
      </c>
      <c r="R104" s="106">
        <v>7.3178621659634322</v>
      </c>
      <c r="S104" s="106">
        <v>15165.537552742617</v>
      </c>
      <c r="T104" s="106">
        <v>0</v>
      </c>
      <c r="U104" s="106">
        <v>0</v>
      </c>
      <c r="V104" s="106">
        <v>11.874222529371114</v>
      </c>
      <c r="W104" s="106">
        <v>24608.138769868696</v>
      </c>
      <c r="X104" s="106">
        <v>6.1448275862068966</v>
      </c>
      <c r="Y104" s="106">
        <v>12734.540689655174</v>
      </c>
      <c r="Z104" s="106">
        <v>4.5890092879256965</v>
      </c>
      <c r="AA104" s="106">
        <v>9510.2628482972141</v>
      </c>
      <c r="AB104" s="106">
        <v>2.2926315789473688</v>
      </c>
      <c r="AC104" s="106">
        <v>4751.2496842105274</v>
      </c>
      <c r="AD104" s="106">
        <v>0</v>
      </c>
      <c r="AE104" s="106">
        <v>0</v>
      </c>
      <c r="AF104" s="106">
        <v>5.7504950495049503</v>
      </c>
      <c r="AG104" s="106">
        <v>11917.325940594059</v>
      </c>
      <c r="AH104" s="106">
        <v>2.3319057815845823</v>
      </c>
      <c r="AI104" s="106">
        <v>4832.6415417558883</v>
      </c>
      <c r="AJ104" s="106">
        <v>0</v>
      </c>
      <c r="AK104" s="106">
        <v>0</v>
      </c>
      <c r="AL104" s="106">
        <v>3.7017208413001912</v>
      </c>
      <c r="AM104" s="106">
        <v>7671.4462715105165</v>
      </c>
      <c r="AN104" s="106">
        <v>5.4943240454076365</v>
      </c>
      <c r="AO104" s="106">
        <v>11386.437151702787</v>
      </c>
      <c r="AP104" s="106">
        <v>0</v>
      </c>
      <c r="AQ104" s="106">
        <v>0</v>
      </c>
      <c r="AR104" s="106">
        <v>0</v>
      </c>
      <c r="AS104" s="106">
        <v>0</v>
      </c>
      <c r="AT104" s="106">
        <v>2.9848197343453511</v>
      </c>
      <c r="AU104" s="106">
        <v>6185.7404174573057</v>
      </c>
      <c r="AV104" s="106">
        <v>3.4966887417218544</v>
      </c>
      <c r="AW104" s="106">
        <v>7246.5377483443717</v>
      </c>
      <c r="AX104" s="106">
        <v>2.0777777777777775</v>
      </c>
      <c r="AY104" s="106">
        <v>4305.9866666666667</v>
      </c>
      <c r="AZ104" s="106">
        <v>3.0358422939068102</v>
      </c>
      <c r="BA104" s="106">
        <v>6291.4795698924736</v>
      </c>
      <c r="BB104" s="106">
        <v>3.962882096069869</v>
      </c>
      <c r="BC104" s="106">
        <v>8212.6768558951971</v>
      </c>
      <c r="BD104" s="106">
        <v>3.947797716150081</v>
      </c>
      <c r="BE104" s="106">
        <v>8181.4159869494279</v>
      </c>
      <c r="BF104" s="106">
        <v>7.4298245614035086</v>
      </c>
      <c r="BG104" s="106">
        <v>15397.568421052632</v>
      </c>
      <c r="BH104" s="106">
        <v>2.7747747747747749</v>
      </c>
      <c r="BI104" s="106">
        <v>5750.4432432432441</v>
      </c>
      <c r="BJ104" s="106">
        <v>2.5183349851337957</v>
      </c>
      <c r="BK104" s="106">
        <v>5218.9974231912784</v>
      </c>
      <c r="BL104" s="106">
        <v>2.7896253602305472</v>
      </c>
      <c r="BM104" s="106">
        <v>5781.2195965417859</v>
      </c>
      <c r="BN104" s="106">
        <v>2.0055248618784529</v>
      </c>
      <c r="BO104" s="106">
        <v>4156.249723756906</v>
      </c>
      <c r="BP104" s="106">
        <v>5.1888686131386867</v>
      </c>
      <c r="BQ104" s="106">
        <v>10753.411313868615</v>
      </c>
      <c r="BR104" s="106">
        <v>3.819755600814664</v>
      </c>
      <c r="BS104" s="106">
        <v>7916.06150712831</v>
      </c>
      <c r="BT104" s="106">
        <v>0</v>
      </c>
      <c r="BU104" s="106">
        <v>0</v>
      </c>
      <c r="BV104" s="106">
        <v>5.344924812030075</v>
      </c>
      <c r="BW104" s="106">
        <v>11076.822180451129</v>
      </c>
      <c r="BX104" s="106">
        <v>0</v>
      </c>
      <c r="BY104" s="106">
        <v>0</v>
      </c>
      <c r="BZ104" s="106">
        <v>20.016393442622952</v>
      </c>
      <c r="CA104" s="106">
        <v>41481.973770491808</v>
      </c>
      <c r="CB104" s="106">
        <v>6.0052798310454065</v>
      </c>
      <c r="CC104" s="106">
        <v>12445.3419218585</v>
      </c>
      <c r="CD104" s="106">
        <v>6.440029985007496</v>
      </c>
      <c r="CE104" s="106">
        <v>13346.318140929536</v>
      </c>
      <c r="CF104" s="106">
        <v>2.9333333333333331</v>
      </c>
      <c r="CG104" s="106">
        <v>6079.04</v>
      </c>
      <c r="CH104" s="106">
        <v>0</v>
      </c>
      <c r="CI104" s="106">
        <v>0</v>
      </c>
      <c r="CJ104" s="106">
        <v>1.7132743362831859</v>
      </c>
      <c r="CK104" s="106">
        <v>3550.5897345132748</v>
      </c>
      <c r="CL104" s="106">
        <v>2.8663282571912014</v>
      </c>
      <c r="CM104" s="106">
        <v>5940.1786802030465</v>
      </c>
      <c r="CN104" s="106">
        <v>10.16030534351145</v>
      </c>
      <c r="CO104" s="106">
        <v>21056.216793893131</v>
      </c>
      <c r="CP104" s="106">
        <v>0</v>
      </c>
      <c r="CQ104" s="106">
        <v>0</v>
      </c>
      <c r="CR104" s="106">
        <v>0</v>
      </c>
      <c r="CS104" s="106">
        <v>0</v>
      </c>
      <c r="CT104" s="106">
        <v>17.196704428424304</v>
      </c>
      <c r="CU104" s="106">
        <v>35638.450257466531</v>
      </c>
    </row>
    <row r="105" spans="2:99" x14ac:dyDescent="0.2">
      <c r="C105" s="105" t="s">
        <v>271</v>
      </c>
      <c r="D105" s="106">
        <v>18.4986642920748</v>
      </c>
      <c r="E105" s="106">
        <v>36960.331255565448</v>
      </c>
      <c r="F105" s="106">
        <v>0</v>
      </c>
      <c r="G105" s="106">
        <v>0</v>
      </c>
      <c r="H105" s="106">
        <v>11.017595307917889</v>
      </c>
      <c r="I105" s="106">
        <v>22013.155425219942</v>
      </c>
      <c r="J105" s="106">
        <v>0</v>
      </c>
      <c r="K105" s="106">
        <v>0</v>
      </c>
      <c r="L105" s="106">
        <v>6.0038167938931295</v>
      </c>
      <c r="M105" s="106">
        <v>11995.625954198473</v>
      </c>
      <c r="N105" s="106">
        <v>0</v>
      </c>
      <c r="O105" s="106">
        <v>0</v>
      </c>
      <c r="P105" s="106">
        <v>2.8864503816793894</v>
      </c>
      <c r="Q105" s="106">
        <v>5767.1278625954201</v>
      </c>
      <c r="R105" s="106">
        <v>7.3178621659634322</v>
      </c>
      <c r="S105" s="106">
        <v>14621.088607594938</v>
      </c>
      <c r="T105" s="106">
        <v>0</v>
      </c>
      <c r="U105" s="106">
        <v>0</v>
      </c>
      <c r="V105" s="106">
        <v>11.20525224602626</v>
      </c>
      <c r="W105" s="106">
        <v>22388.093987560467</v>
      </c>
      <c r="X105" s="106">
        <v>5.613793103448276</v>
      </c>
      <c r="Y105" s="106">
        <v>11216.358620689656</v>
      </c>
      <c r="Z105" s="106">
        <v>4.7763157894736841</v>
      </c>
      <c r="AA105" s="106">
        <v>9543.0789473684199</v>
      </c>
      <c r="AB105" s="106">
        <v>2.2926315789473688</v>
      </c>
      <c r="AC105" s="106">
        <v>4580.677894736843</v>
      </c>
      <c r="AD105" s="106">
        <v>0</v>
      </c>
      <c r="AE105" s="106">
        <v>0</v>
      </c>
      <c r="AF105" s="106">
        <v>6.7089108910891087</v>
      </c>
      <c r="AG105" s="106">
        <v>13404.403960396039</v>
      </c>
      <c r="AH105" s="106">
        <v>2.5910064239828694</v>
      </c>
      <c r="AI105" s="106">
        <v>5176.8308351177729</v>
      </c>
      <c r="AJ105" s="106">
        <v>0</v>
      </c>
      <c r="AK105" s="106">
        <v>0</v>
      </c>
      <c r="AL105" s="106">
        <v>4.0487571701720846</v>
      </c>
      <c r="AM105" s="106">
        <v>8089.416826003825</v>
      </c>
      <c r="AN105" s="106">
        <v>5.9938080495356036</v>
      </c>
      <c r="AO105" s="106">
        <v>11975.628482972135</v>
      </c>
      <c r="AP105" s="106">
        <v>0</v>
      </c>
      <c r="AQ105" s="106">
        <v>0</v>
      </c>
      <c r="AR105" s="106">
        <v>0</v>
      </c>
      <c r="AS105" s="106">
        <v>0</v>
      </c>
      <c r="AT105" s="106">
        <v>2.9848197343453511</v>
      </c>
      <c r="AU105" s="106">
        <v>5963.6698292220117</v>
      </c>
      <c r="AV105" s="106">
        <v>3.3509933774834439</v>
      </c>
      <c r="AW105" s="106">
        <v>6695.2847682119209</v>
      </c>
      <c r="AX105" s="106">
        <v>2.1999999999999997</v>
      </c>
      <c r="AY105" s="106">
        <v>4395.5999999999995</v>
      </c>
      <c r="AZ105" s="106">
        <v>2.8189964157706093</v>
      </c>
      <c r="BA105" s="106">
        <v>5632.3548387096771</v>
      </c>
      <c r="BB105" s="106">
        <v>4.4912663755458517</v>
      </c>
      <c r="BC105" s="106">
        <v>8973.5502183406115</v>
      </c>
      <c r="BD105" s="106">
        <v>4.145187601957586</v>
      </c>
      <c r="BE105" s="106">
        <v>8282.0848287112567</v>
      </c>
      <c r="BF105" s="106">
        <v>7.4298245614035086</v>
      </c>
      <c r="BG105" s="106">
        <v>14844.78947368421</v>
      </c>
      <c r="BH105" s="106">
        <v>2.9729729729729728</v>
      </c>
      <c r="BI105" s="106">
        <v>5940</v>
      </c>
      <c r="BJ105" s="106">
        <v>2.7581764122893953</v>
      </c>
      <c r="BK105" s="106">
        <v>5510.8364717542117</v>
      </c>
      <c r="BL105" s="106">
        <v>2.7896253602305472</v>
      </c>
      <c r="BM105" s="106">
        <v>5573.6714697406333</v>
      </c>
      <c r="BN105" s="106">
        <v>1.8145224940805051</v>
      </c>
      <c r="BO105" s="106">
        <v>3625.4159431728494</v>
      </c>
      <c r="BP105" s="106">
        <v>4.7472627737226274</v>
      </c>
      <c r="BQ105" s="106">
        <v>9485.0310218978102</v>
      </c>
      <c r="BR105" s="106">
        <v>3.819755600814664</v>
      </c>
      <c r="BS105" s="106">
        <v>7631.8716904276989</v>
      </c>
      <c r="BT105" s="106">
        <v>0</v>
      </c>
      <c r="BU105" s="106">
        <v>0</v>
      </c>
      <c r="BV105" s="106">
        <v>5.344924812030075</v>
      </c>
      <c r="BW105" s="106">
        <v>10679.15977443609</v>
      </c>
      <c r="BX105" s="106">
        <v>0</v>
      </c>
      <c r="BY105" s="106">
        <v>0</v>
      </c>
      <c r="BZ105" s="106">
        <v>18.663934426229506</v>
      </c>
      <c r="CA105" s="106">
        <v>37290.540983606552</v>
      </c>
      <c r="CB105" s="106">
        <v>5.6219640971488918</v>
      </c>
      <c r="CC105" s="106">
        <v>11232.684266103486</v>
      </c>
      <c r="CD105" s="106">
        <v>6.5307346326836582</v>
      </c>
      <c r="CE105" s="106">
        <v>13048.407796101948</v>
      </c>
      <c r="CF105" s="106">
        <v>3.3</v>
      </c>
      <c r="CG105" s="106">
        <v>6593.4</v>
      </c>
      <c r="CH105" s="106">
        <v>0</v>
      </c>
      <c r="CI105" s="106">
        <v>0</v>
      </c>
      <c r="CJ105" s="106">
        <v>2.1415929203539821</v>
      </c>
      <c r="CK105" s="106">
        <v>4278.9026548672564</v>
      </c>
      <c r="CL105" s="106">
        <v>2.8663282571912014</v>
      </c>
      <c r="CM105" s="106">
        <v>5726.9238578680206</v>
      </c>
      <c r="CN105" s="106">
        <v>9.8524173027989832</v>
      </c>
      <c r="CO105" s="106">
        <v>19685.129770992367</v>
      </c>
      <c r="CP105" s="106">
        <v>0</v>
      </c>
      <c r="CQ105" s="106">
        <v>0</v>
      </c>
      <c r="CR105" s="106">
        <v>0</v>
      </c>
      <c r="CS105" s="106">
        <v>0</v>
      </c>
      <c r="CT105" s="106">
        <v>18.318228630278064</v>
      </c>
      <c r="CU105" s="106">
        <v>36599.820803295574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86.453486985443433</v>
      </c>
      <c r="E112" s="106">
        <f>SUM(L$49:L$70)+SUM(N$49:N$70)+SUM(P$49:P$70)+SUM(R$49:R$70)</f>
        <v>20.07897703481818</v>
      </c>
      <c r="F112" s="106">
        <f>SUM(T$49:T$70)+SUM(V$49:V$70)+SUM(X$49:X$70)+SUM(Z$49:Z$70)</f>
        <v>8.1781153734946663</v>
      </c>
      <c r="G112" s="106">
        <f>SUM(AB$49:AB$70)+SUM(AD$49:AD$70)+SUM(AF$49:AF$70)+SUM(AH$49:AH$70)</f>
        <v>21.760565426541525</v>
      </c>
      <c r="H112" s="106">
        <f>SUM(AJ$49:AJ$70)+SUM(AL$49:AL$70)+SUM(AN$49:AN$70)+SUM(AP$49:AP$70)</f>
        <v>27.758966784862281</v>
      </c>
      <c r="I112" s="106">
        <f>SUM(AR$49:AR$70)+SUM(AT$49:AT$70)+SUM(AV$49:AV$70)+SUM(AX$49:AX$70)</f>
        <v>14.003913260810982</v>
      </c>
      <c r="J112" s="106">
        <f>SUM(AZ$49:AZ$70)+SUM(BB$49:BB$70)+SUM(BD$49:BD$70)+SUM(BF$49:BF$70)</f>
        <v>57.510135003407434</v>
      </c>
      <c r="K112" s="106">
        <f>SUM(BH$49:BH$70)+SUM(BJ$49:BJ$70)+SUM(BL$49:BL$70)+SUM(BN$49:BN$70)</f>
        <v>30.18403745451085</v>
      </c>
      <c r="L112" s="106">
        <f>SUM(BP$49:BP$70)+SUM(BR$49:BR$70)+SUM(BT$49:BT$70)+SUM(BV$49:BV$70)</f>
        <v>17.716326132611918</v>
      </c>
      <c r="M112" s="106">
        <f>SUM(BX$49:BX$70)+SUM(BZ$49:BZ$70)+SUM(CB$49:CB$70)+SUM(CD$49:CD$70)</f>
        <v>39.054021390641083</v>
      </c>
      <c r="N112" s="106">
        <f>SUM(CF$49:CF$70)+SUM(CH$49:CH$70)+SUM(CJ$49:CJ$70)+SUM(CL$49:CL$70)</f>
        <v>40.006049443720705</v>
      </c>
      <c r="O112" s="106">
        <f>SUM(CN$49:CN$70)+SUM(CP$49:CP$70)+SUM(CR$49:CR$70)+SUM(CT$49:CT$70)</f>
        <v>33.976444105523285</v>
      </c>
    </row>
    <row r="113" spans="2:15" x14ac:dyDescent="0.2">
      <c r="C113" s="105" t="s">
        <v>130</v>
      </c>
      <c r="D113" s="106">
        <f>SUM(D$71:D$86)+SUM(F$71:F$86)+SUM(H$71:H$86)+SUM(J$71:J$86)</f>
        <v>208.29166655786025</v>
      </c>
      <c r="E113" s="106">
        <f>SUM(L$71:L$86)+SUM(N$71:N$86)+SUM(P$71:P$86)+SUM(R$71:R$86)</f>
        <v>219.0527600627006</v>
      </c>
      <c r="F113" s="106">
        <f>SUM(T$71:T$86)+SUM(V$71:V$86)+SUM(X$71:X$86)+SUM(Z$71:Z$86)</f>
        <v>96.933927153428471</v>
      </c>
      <c r="G113" s="106">
        <f>SUM(AB$71:AB$86)+SUM(AD$71:AD$86)+SUM(AF$71:AF$86)+SUM(AH$71:AH$86)</f>
        <v>190.99099289980839</v>
      </c>
      <c r="H113" s="106">
        <f>SUM(AJ$71:AJ$86)+SUM(AL$71:AL$86)+SUM(AN$71:AN$86)+SUM(AP$71:AP$86)</f>
        <v>83.552667096827662</v>
      </c>
      <c r="I113" s="106">
        <f>SUM(AR$71:AR$86)+SUM(AT$71:AT$86)+SUM(AV$71:AV$86)+SUM(AX$71:AX$86)</f>
        <v>350.05267225454594</v>
      </c>
      <c r="J113" s="106">
        <f>SUM(AZ$71:AZ$86)+SUM(BB$71:BB$86)+SUM(BD$71:BD$86)+SUM(BF$71:BF$86)</f>
        <v>145.32220463214935</v>
      </c>
      <c r="K113" s="106">
        <f>SUM(BH$71:BH$86)+SUM(BJ$71:BJ$86)+SUM(BL$71:BL$86)+SUM(BN$71:BN$86)</f>
        <v>265.94467459248818</v>
      </c>
      <c r="L113" s="106">
        <f>SUM(BP$71:BP$86)+SUM(BR$71:BR$86)+SUM(BT$71:BT$86)+SUM(BV$71:BV$86)</f>
        <v>57.825154688794314</v>
      </c>
      <c r="M113" s="106">
        <f>SUM(BX$71:BX$86)+SUM(BZ$71:BZ$86)+SUM(CB$71:CB$86)+SUM(CD$71:CD$86)</f>
        <v>145.00029986564701</v>
      </c>
      <c r="N113" s="106">
        <f>SUM(CF$71:CF$86)+SUM(CH$71:CH$86)+SUM(CJ$71:CJ$86)+SUM(CL$71:CL$86)</f>
        <v>108.52984142671039</v>
      </c>
      <c r="O113" s="106">
        <f>SUM(CN$71:CN$86)+SUM(CP$71:CP$86)+SUM(CR$71:CR$86)+SUM(CT$71:CT$86)</f>
        <v>202.07760683223145</v>
      </c>
    </row>
    <row r="114" spans="2:15" x14ac:dyDescent="0.2">
      <c r="C114" s="105" t="s">
        <v>131</v>
      </c>
      <c r="D114" s="106">
        <f>SUM(D$87:D$94)+SUM(F$87:F$94)+SUM(H$87:H$94)+SUM(J$87:J$94)</f>
        <v>56.372044925746138</v>
      </c>
      <c r="E114" s="106">
        <f>SUM(L$87:L$94)+SUM(N$87:N$94)+SUM(P$87:P$94)+SUM(R$87:R$94)</f>
        <v>180.38309391138165</v>
      </c>
      <c r="F114" s="106">
        <f>SUM(T$87:T$94)+SUM(V$87:V$94)+SUM(X$87:X$94)+SUM(Z$87:Z$94)</f>
        <v>130.98759990464839</v>
      </c>
      <c r="G114" s="106">
        <f>SUM(AB$87:AB$94)+SUM(AD$87:AD$94)+SUM(AF$87:AF$94)+SUM(AH$87:AH$94)</f>
        <v>150.36208950727146</v>
      </c>
      <c r="H114" s="106">
        <f>SUM(AJ$87:AJ$94)+SUM(AL$87:AL$94)+SUM(AN$87:AN$94)+SUM(AP$87:AP$94)</f>
        <v>146.08629759642611</v>
      </c>
      <c r="I114" s="106">
        <f>SUM(AR$87:AR$94)+SUM(AT$87:AT$94)+SUM(AV$87:AV$94)+SUM(AX$87:AX$94)</f>
        <v>22.956740571326442</v>
      </c>
      <c r="J114" s="106">
        <f>SUM(AZ$87:AZ$94)+SUM(BB$87:BB$94)+SUM(BD$87:BD$94)+SUM(BF$87:BF$94)</f>
        <v>187.9057537851923</v>
      </c>
      <c r="K114" s="106">
        <f>SUM(BH$87:BH$94)+SUM(BJ$87:BJ$94)+SUM(BL$87:BL$94)+SUM(BN$87:BN$94)</f>
        <v>76.342242307651915</v>
      </c>
      <c r="L114" s="106">
        <f>SUM(BP$87:BP$94)+SUM(BR$87:BR$94)+SUM(BT$87:BT$94)+SUM(BV$87:BV$94)</f>
        <v>131.30094157655427</v>
      </c>
      <c r="M114" s="106">
        <f>SUM(BX$87:BX$94)+SUM(BZ$87:BZ$94)+SUM(CB$87:CB$94)+SUM(CD$87:CD$94)</f>
        <v>66.780953374473455</v>
      </c>
      <c r="N114" s="106">
        <f>SUM(CF$87:CF$94)+SUM(CH$87:CH$94)+SUM(CJ$87:CJ$94)+SUM(CL$87:CL$94)</f>
        <v>131.84148061632453</v>
      </c>
      <c r="O114" s="106">
        <f>SUM(CN$87:CN$94)+SUM(CP$87:CP$94)+SUM(CR$87:CR$94)+SUM(CT$87:CT$94)</f>
        <v>63.994735366336222</v>
      </c>
    </row>
    <row r="115" spans="2:15" x14ac:dyDescent="0.2">
      <c r="C115" s="105" t="s">
        <v>132</v>
      </c>
      <c r="D115" s="106">
        <f>SUM(D$95:D$105)+SUM(F$95:F$105)+SUM(H$95:H$105)+SUM(J$95:J$105)</f>
        <v>311.88280153095025</v>
      </c>
      <c r="E115" s="106">
        <f>SUM(L$95:L$105)+SUM(N$95:N$105)+SUM(P$95:P$105)+SUM(R$95:R$105)</f>
        <v>185.48516899109953</v>
      </c>
      <c r="F115" s="106">
        <f>SUM(T$95:T$105)+SUM(V$95:V$105)+SUM(X$95:X$105)+SUM(Z$95:Z$105)</f>
        <v>247.90035756842843</v>
      </c>
      <c r="G115" s="106">
        <f>SUM(AB$95:AB$105)+SUM(AD$95:AD$105)+SUM(AF$95:AF$105)+SUM(AH$95:AH$105)</f>
        <v>120.88635216637857</v>
      </c>
      <c r="H115" s="106">
        <f>SUM(AJ$95:AJ$105)+SUM(AL$95:AL$105)+SUM(AN$95:AN$105)+SUM(AP$95:AP$105)</f>
        <v>105.60206852188395</v>
      </c>
      <c r="I115" s="106">
        <f>SUM(AR$95:AR$105)+SUM(AT$95:AT$105)+SUM(AV$95:AV$105)+SUM(AX$95:AX$105)</f>
        <v>96.986673913316665</v>
      </c>
      <c r="J115" s="106">
        <f>SUM(AZ$95:AZ$105)+SUM(BB$95:BB$105)+SUM(BD$95:BD$105)+SUM(BF$95:BF$105)</f>
        <v>214.26190657925082</v>
      </c>
      <c r="K115" s="106">
        <f>SUM(BH$95:BH$105)+SUM(BJ$95:BJ$105)+SUM(BL$95:BL$105)+SUM(BN$95:BN$105)</f>
        <v>111.529045645349</v>
      </c>
      <c r="L115" s="106">
        <f>SUM(BP$95:BP$105)+SUM(BR$95:BR$105)+SUM(BT$95:BT$105)+SUM(BV$95:BV$105)</f>
        <v>156.15757760203951</v>
      </c>
      <c r="M115" s="106">
        <f>SUM(BX$95:BX$105)+SUM(BZ$95:BZ$105)+SUM(CB$95:CB$105)+SUM(CD$95:CD$105)</f>
        <v>354.16472536923851</v>
      </c>
      <c r="N115" s="106">
        <f>SUM(CF$95:CF$105)+SUM(CH$95:CH$105)+SUM(CJ$95:CJ$105)+SUM(CL$95:CL$105)</f>
        <v>82.622628513244393</v>
      </c>
      <c r="O115" s="106">
        <f>SUM(CN$95:CN$105)+SUM(CP$95:CP$105)+SUM(CR$95:CR$105)+SUM(CT$95:CT$105)</f>
        <v>304.95121369590913</v>
      </c>
    </row>
    <row r="116" spans="2:15" x14ac:dyDescent="0.2">
      <c r="C116" s="105" t="s">
        <v>278</v>
      </c>
      <c r="D116" s="106">
        <f t="shared" ref="D116:O116" si="0">SUM(D$109:D$115)</f>
        <v>663</v>
      </c>
      <c r="E116" s="106">
        <f t="shared" si="0"/>
        <v>605</v>
      </c>
      <c r="F116" s="106">
        <f t="shared" si="0"/>
        <v>483.99999999999994</v>
      </c>
      <c r="G116" s="106">
        <f t="shared" si="0"/>
        <v>483.99999999999994</v>
      </c>
      <c r="H116" s="106">
        <f t="shared" si="0"/>
        <v>363</v>
      </c>
      <c r="I116" s="106">
        <f t="shared" si="0"/>
        <v>484.00000000000006</v>
      </c>
      <c r="J116" s="106">
        <f t="shared" si="0"/>
        <v>605</v>
      </c>
      <c r="K116" s="106">
        <f t="shared" si="0"/>
        <v>484</v>
      </c>
      <c r="L116" s="106">
        <f t="shared" si="0"/>
        <v>363</v>
      </c>
      <c r="M116" s="106">
        <f t="shared" si="0"/>
        <v>605</v>
      </c>
      <c r="N116" s="106">
        <f t="shared" si="0"/>
        <v>363</v>
      </c>
      <c r="O116" s="106">
        <f t="shared" si="0"/>
        <v>605.00000000000011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239228.42652202718</v>
      </c>
      <c r="E123" s="106">
        <f>E112*pricing!E18*2000</f>
        <v>108541.75847629315</v>
      </c>
      <c r="F123" s="106">
        <f>F112*pricing!F18*2000</f>
        <v>50704.978500020647</v>
      </c>
      <c r="G123" s="106">
        <f>G112*pricing!G18*2000</f>
        <v>152105.07862386524</v>
      </c>
      <c r="H123" s="106">
        <f>H112*pricing!H18*2000</f>
        <v>104095.9177189433</v>
      </c>
      <c r="I123" s="106">
        <f>I112*pricing!I18*2000</f>
        <v>53743.657763628195</v>
      </c>
      <c r="J123" s="106">
        <f>J112*pricing!J18*2000</f>
        <v>287778.39770682598</v>
      </c>
      <c r="K123" s="106">
        <f>K112*pricing!K18*2000</f>
        <v>121651.65515492957</v>
      </c>
      <c r="L123" s="106">
        <f>L112*pricing!L18*2000</f>
        <v>80950.363969357728</v>
      </c>
      <c r="M123" s="106">
        <f>M112*pricing!M18*2000</f>
        <v>134194.0490879821</v>
      </c>
      <c r="N123" s="106">
        <f>N112*pricing!N18*2000</f>
        <v>164129.58667558667</v>
      </c>
      <c r="O123" s="106">
        <f>O112*pricing!O18*2000</f>
        <v>170323.21333689109</v>
      </c>
    </row>
    <row r="124" spans="2:15" x14ac:dyDescent="0.2">
      <c r="C124" s="105" t="s">
        <v>130</v>
      </c>
      <c r="D124" s="106">
        <f>D113*pricing!D19*2000</f>
        <v>1019853.8357498754</v>
      </c>
      <c r="E124" s="106">
        <f>E113*pricing!E19*2000</f>
        <v>911071.36824886547</v>
      </c>
      <c r="F124" s="106">
        <f>F113*pricing!F19*2000</f>
        <v>497310.52616576711</v>
      </c>
      <c r="G124" s="106">
        <f>G113*pricing!G19*2000</f>
        <v>1113796.3632523937</v>
      </c>
      <c r="H124" s="106">
        <f>H113*pricing!H19*2000</f>
        <v>513192.48893928807</v>
      </c>
      <c r="I124" s="106">
        <f>I113*pricing!I19*2000</f>
        <v>840195.98100147769</v>
      </c>
      <c r="J124" s="106">
        <f>J113*pricing!J19*2000</f>
        <v>1044062.8719462077</v>
      </c>
      <c r="K124" s="106">
        <f>K113*pricing!K19*2000</f>
        <v>897776.65155111812</v>
      </c>
      <c r="L124" s="106">
        <f>L113*pricing!L19*2000</f>
        <v>393906.4286720184</v>
      </c>
      <c r="M124" s="106">
        <f>M113*pricing!M19*2000</f>
        <v>795541.25933050585</v>
      </c>
      <c r="N124" s="106">
        <f>N113*pricing!N19*2000</f>
        <v>722210.46763907629</v>
      </c>
      <c r="O124" s="106">
        <f>O113*pricing!O19*2000</f>
        <v>1188185.0131423594</v>
      </c>
    </row>
    <row r="125" spans="2:15" x14ac:dyDescent="0.2">
      <c r="C125" s="105" t="s">
        <v>131</v>
      </c>
      <c r="D125" s="106">
        <f>D114*pricing!D20*2000</f>
        <v>284143.5376629532</v>
      </c>
      <c r="E125" s="106">
        <f>E114*pricing!E20*2000</f>
        <v>498161.82292032131</v>
      </c>
      <c r="F125" s="106">
        <f>F114*pricing!F20*2000</f>
        <v>288466.91655982309</v>
      </c>
      <c r="G125" s="106">
        <f>G114*pricing!G20*2000</f>
        <v>587096.14487457741</v>
      </c>
      <c r="H125" s="106">
        <f>H114*pricing!H20*2000</f>
        <v>316394.28626893146</v>
      </c>
      <c r="I125" s="106">
        <f>I114*pricing!I20*2000</f>
        <v>117235.66143428803</v>
      </c>
      <c r="J125" s="106">
        <f>J114*pricing!J20*2000</f>
        <v>691006.61853814486</v>
      </c>
      <c r="K125" s="106">
        <f>K114*pricing!K20*2000</f>
        <v>300813.6599542324</v>
      </c>
      <c r="L125" s="106">
        <f>L114*pricing!L20*2000</f>
        <v>352747.42427820078</v>
      </c>
      <c r="M125" s="106">
        <f>M114*pricing!M20*2000</f>
        <v>304953.36067595758</v>
      </c>
      <c r="N125" s="106">
        <f>N114*pricing!N20*2000</f>
        <v>415000.8020899102</v>
      </c>
      <c r="O125" s="106">
        <f>O114*pricing!O20*2000</f>
        <v>384422.75714390486</v>
      </c>
    </row>
    <row r="126" spans="2:15" x14ac:dyDescent="0.2">
      <c r="C126" s="105" t="s">
        <v>132</v>
      </c>
      <c r="D126" s="106">
        <f>D115*pricing!D21*2000</f>
        <v>950096.02769130538</v>
      </c>
      <c r="E126" s="106">
        <f>E115*pricing!E21*2000</f>
        <v>584851.7814139073</v>
      </c>
      <c r="F126" s="106">
        <f>F115*pricing!F21*2000</f>
        <v>558049.14122720598</v>
      </c>
      <c r="G126" s="106">
        <f>G115*pricing!G21*2000</f>
        <v>760246.20960886485</v>
      </c>
      <c r="H126" s="106">
        <f>H115*pricing!H21*2000</f>
        <v>376153.49222403305</v>
      </c>
      <c r="I126" s="106">
        <f>I115*pricing!I21*2000</f>
        <v>306945.16386112262</v>
      </c>
      <c r="J126" s="106">
        <f>J115*pricing!J21*2000</f>
        <v>1058381.5175462095</v>
      </c>
      <c r="K126" s="106">
        <f>K115*pricing!K21*2000</f>
        <v>445886.29138183105</v>
      </c>
      <c r="L126" s="106">
        <f>L115*pricing!L21*2000</f>
        <v>505036.53001323569</v>
      </c>
      <c r="M126" s="106">
        <f>M115*pricing!M21*2000</f>
        <v>787019.63328730396</v>
      </c>
      <c r="N126" s="106">
        <f>N115*pricing!N21*2000</f>
        <v>471082.03757581848</v>
      </c>
      <c r="O126" s="106">
        <f>O115*pricing!O21*2000</f>
        <v>976028.96932444908</v>
      </c>
    </row>
    <row r="127" spans="2:15" x14ac:dyDescent="0.2">
      <c r="C127" s="105" t="s">
        <v>278</v>
      </c>
      <c r="D127" s="106">
        <f t="shared" ref="D127:O127" si="1">SUM(D$120:D$126)</f>
        <v>2493321.8276261613</v>
      </c>
      <c r="E127" s="106">
        <f t="shared" si="1"/>
        <v>2102626.7310593873</v>
      </c>
      <c r="F127" s="106">
        <f t="shared" si="1"/>
        <v>1394531.5624528169</v>
      </c>
      <c r="G127" s="106">
        <f t="shared" si="1"/>
        <v>2613243.7963597011</v>
      </c>
      <c r="H127" s="106">
        <f t="shared" si="1"/>
        <v>1309836.1851511959</v>
      </c>
      <c r="I127" s="106">
        <f t="shared" si="1"/>
        <v>1318120.4640605166</v>
      </c>
      <c r="J127" s="106">
        <f t="shared" si="1"/>
        <v>3081229.4057373879</v>
      </c>
      <c r="K127" s="106">
        <f t="shared" si="1"/>
        <v>1766128.2580421113</v>
      </c>
      <c r="L127" s="106">
        <f t="shared" si="1"/>
        <v>1332640.7469328127</v>
      </c>
      <c r="M127" s="106">
        <f t="shared" si="1"/>
        <v>2021708.3023817493</v>
      </c>
      <c r="N127" s="106">
        <f t="shared" si="1"/>
        <v>1772422.8939803918</v>
      </c>
      <c r="O127" s="106">
        <f t="shared" si="1"/>
        <v>2718959.9529476045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95357.745499460754</v>
      </c>
      <c r="E134" s="112">
        <f>SUM(M$49:M$70)+SUM(O$49:O$70)+SUM(Q$49:Q$70)+SUM(S$49:S$70)</f>
        <v>22156.966814829131</v>
      </c>
      <c r="F134" s="112">
        <f>SUM(U$49:U$70)+SUM(W$49:W$70)+SUM(Y$49:Y$70)+SUM(AA$49:AA$70)</f>
        <v>9008.2898479236719</v>
      </c>
      <c r="G134" s="112">
        <f>SUM(AC$49:AC$70)+SUM(AE$49:AE$70)+SUM(AG$49:AG$70)+SUM(AI$49:AI$70)</f>
        <v>24085.48850117109</v>
      </c>
      <c r="H134" s="112">
        <f>SUM(AK$49:AK$70)+SUM(AM$49:AM$70)+SUM(AO$49:AO$70)+SUM(AQ$49:AQ$70)</f>
        <v>30665.424332115861</v>
      </c>
      <c r="I134" s="112">
        <f>SUM(AS$49:AS$70)+SUM(AU$49:AU$70)+SUM(AW$49:AW$70)+SUM(AY$49:AY$70)</f>
        <v>15451.033739983497</v>
      </c>
      <c r="J134" s="112">
        <f>SUM(BA$49:BA$70)+SUM(BC$49:BC$70)+SUM(BE$49:BE$70)+SUM(BG$49:BG$70)</f>
        <v>63437.943144724122</v>
      </c>
      <c r="K134" s="112">
        <f>SUM(BI$49:BI$70)+SUM(BK$49:BK$70)+SUM(BM$49:BM$70)+SUM(BO$49:BO$70)</f>
        <v>33382.151211352335</v>
      </c>
      <c r="L134" s="112">
        <f>SUM(BQ$49:BQ$70)+SUM(BS$49:BS$70)+SUM(BU$49:BU$70)+SUM(BW$49:BW$70)</f>
        <v>19478.178056658064</v>
      </c>
      <c r="M134" s="112">
        <f>SUM(BY$49:BY$70)+SUM(CA$49:CA$70)+SUM(CC$49:CC$70)+SUM(CE$49:CE$70)</f>
        <v>43033.783785033753</v>
      </c>
      <c r="N134" s="112">
        <f>SUM(CG$49:CG$70)+SUM(CI$49:CI$70)+SUM(CK$49:CK$70)+SUM(CM$49:CM$70)</f>
        <v>44197.121146399535</v>
      </c>
      <c r="O134" s="112">
        <f>SUM(CO$49:CO$70)+SUM(CQ$49:CQ$70)+SUM(CS$49:CS$70)+SUM(CU$49:CU$70)</f>
        <v>37539.574754915448</v>
      </c>
    </row>
    <row r="135" spans="2:15" x14ac:dyDescent="0.2">
      <c r="C135" s="111" t="s">
        <v>130</v>
      </c>
      <c r="D135" s="112">
        <f>SUM(E$71:E$86)+SUM(G$71:G$86)+SUM(I$71:I$86)+SUM(K$71:K$86)</f>
        <v>115278.35999822427</v>
      </c>
      <c r="E135" s="112">
        <f>SUM(M$71:M$86)+SUM(O$71:O$86)+SUM(Q$71:Q$86)+SUM(S$71:S$86)</f>
        <v>122413.03852224046</v>
      </c>
      <c r="F135" s="112">
        <f>SUM(U$71:U$86)+SUM(W$71:W$86)+SUM(Y$71:Y$86)+SUM(AA$71:AA$86)</f>
        <v>54212.676573816425</v>
      </c>
      <c r="G135" s="112">
        <f>SUM(AC$71:AC$86)+SUM(AE$71:AE$86)+SUM(AG$71:AG$86)+SUM(AI$71:AI$86)</f>
        <v>107015.23197461205</v>
      </c>
      <c r="H135" s="112">
        <f>SUM(AK$71:AK$86)+SUM(AM$71:AM$86)+SUM(AO$71:AO$86)+SUM(AQ$71:AQ$86)</f>
        <v>46994.720616353618</v>
      </c>
      <c r="I135" s="112">
        <f>SUM(AS$71:AS$86)+SUM(AU$71:AU$86)+SUM(AW$71:AW$86)+SUM(AY$71:AY$86)</f>
        <v>194481.3842635435</v>
      </c>
      <c r="J135" s="112">
        <f>SUM(BA$71:BA$86)+SUM(BC$71:BC$86)+SUM(BE$71:BE$86)+SUM(BG$71:BG$86)</f>
        <v>81959.774687624973</v>
      </c>
      <c r="K135" s="112">
        <f>SUM(BI$71:BI$86)+SUM(BK$71:BK$86)+SUM(BM$71:BM$86)+SUM(BO$71:BO$86)</f>
        <v>147714.11636659526</v>
      </c>
      <c r="L135" s="112">
        <f>SUM(BQ$71:BQ$86)+SUM(BS$71:BS$86)+SUM(BU$71:BU$86)+SUM(BW$71:BW$86)</f>
        <v>32185.659149376774</v>
      </c>
      <c r="M135" s="112">
        <f>SUM(BY$71:BY$86)+SUM(CA$71:CA$86)+SUM(CC$71:CC$86)+SUM(CE$71:CE$86)</f>
        <v>81281.247934714935</v>
      </c>
      <c r="N135" s="112">
        <f>SUM(CG$71:CG$86)+SUM(CI$71:CI$86)+SUM(CK$71:CK$86)+SUM(CM$71:CM$86)</f>
        <v>60885.499820313547</v>
      </c>
      <c r="O135" s="112">
        <f>SUM(CO$71:CO$86)+SUM(CQ$71:CQ$86)+SUM(CS$71:CS$86)+SUM(CU$71:CU$86)</f>
        <v>112180.10689853068</v>
      </c>
    </row>
    <row r="136" spans="2:15" x14ac:dyDescent="0.2">
      <c r="C136" s="111" t="s">
        <v>131</v>
      </c>
      <c r="D136" s="112">
        <f>SUM(E$87:E$94)+SUM(G$87:G$94)+SUM(I$87:I$94)+SUM(K$87:K$94)</f>
        <v>115060.72835487267</v>
      </c>
      <c r="E136" s="112">
        <f>SUM(M$87:M$94)+SUM(O$87:O$94)+SUM(Q$87:Q$94)+SUM(S$87:S$94)</f>
        <v>366662.80274261604</v>
      </c>
      <c r="F136" s="112">
        <f>SUM(U$87:U$94)+SUM(W$87:W$94)+SUM(Y$87:Y$94)+SUM(AA$87:AA$94)</f>
        <v>265020.80483064946</v>
      </c>
      <c r="G136" s="112">
        <f>SUM(AC$87:AC$94)+SUM(AE$87:AE$94)+SUM(AG$87:AG$94)+SUM(AI$87:AI$94)</f>
        <v>305427.15681301709</v>
      </c>
      <c r="H136" s="112">
        <f>SUM(AK$87:AK$94)+SUM(AM$87:AM$94)+SUM(AO$87:AO$94)+SUM(AQ$87:AQ$94)</f>
        <v>294467.71430719411</v>
      </c>
      <c r="I136" s="112">
        <f>SUM(AS$87:AS$94)+SUM(AU$87:AU$94)+SUM(AW$87:AW$94)+SUM(AY$87:AY$94)</f>
        <v>46728.138053960312</v>
      </c>
      <c r="J136" s="112">
        <f>SUM(BA$87:BA$94)+SUM(BC$87:BC$94)+SUM(BE$87:BE$94)+SUM(BG$87:BG$94)</f>
        <v>381138.23471737816</v>
      </c>
      <c r="K136" s="112">
        <f>SUM(BI$87:BI$94)+SUM(BK$87:BK$94)+SUM(BM$87:BM$94)+SUM(BO$87:BO$94)</f>
        <v>155199.4183869391</v>
      </c>
      <c r="L136" s="112">
        <f>SUM(BQ$87:BQ$94)+SUM(BS$87:BS$94)+SUM(BU$87:BU$94)+SUM(BW$87:BW$94)</f>
        <v>266592.83693695226</v>
      </c>
      <c r="M136" s="112">
        <f>SUM(BY$87:BY$94)+SUM(CA$87:CA$94)+SUM(CC$87:CC$94)+SUM(CE$87:CE$94)</f>
        <v>135997.182347158</v>
      </c>
      <c r="N136" s="112">
        <f>SUM(CG$87:CG$94)+SUM(CI$87:CI$94)+SUM(CK$87:CK$94)+SUM(CM$87:CM$94)</f>
        <v>267308.09019091685</v>
      </c>
      <c r="O136" s="112">
        <f>SUM(CO$87:CO$94)+SUM(CQ$87:CQ$94)+SUM(CS$87:CS$94)+SUM(CU$87:CU$94)</f>
        <v>129884.34488093645</v>
      </c>
    </row>
    <row r="137" spans="2:15" x14ac:dyDescent="0.2">
      <c r="C137" s="111" t="s">
        <v>132</v>
      </c>
      <c r="D137" s="112">
        <f>SUM(E$95:E$105)+SUM(G$95:G$105)+SUM(I$95:I$105)+SUM(K$95:K$105)</f>
        <v>587543.6967329341</v>
      </c>
      <c r="E137" s="112">
        <f>SUM(M$95:M$105)+SUM(O$95:O$105)+SUM(Q$95:Q$105)+SUM(S$95:S$105)</f>
        <v>348009.62755338673</v>
      </c>
      <c r="F137" s="112">
        <f>SUM(U$95:U$105)+SUM(W$95:W$105)+SUM(Y$95:Y$105)+SUM(AA$95:AA$105)</f>
        <v>457212.26002521318</v>
      </c>
      <c r="G137" s="112">
        <f>SUM(AC$95:AC$105)+SUM(AE$95:AE$105)+SUM(AG$95:AG$105)+SUM(AI$95:AI$105)</f>
        <v>235264.12450208608</v>
      </c>
      <c r="H137" s="112">
        <f>SUM(AK$95:AK$105)+SUM(AM$95:AM$105)+SUM(AO$95:AO$105)+SUM(AQ$95:AQ$105)</f>
        <v>199230.18216647231</v>
      </c>
      <c r="I137" s="112">
        <f>SUM(AS$95:AS$105)+SUM(AU$95:AU$105)+SUM(AW$95:AW$105)+SUM(AY$95:AY$105)</f>
        <v>180908.95054676602</v>
      </c>
      <c r="J137" s="112">
        <f>SUM(BA$95:BA$105)+SUM(BC$95:BC$105)+SUM(BE$95:BE$105)+SUM(BG$95:BG$105)</f>
        <v>408254.46240418463</v>
      </c>
      <c r="K137" s="112">
        <f>SUM(BI$95:BI$105)+SUM(BK$95:BK$105)+SUM(BM$95:BM$105)+SUM(BO$95:BO$105)</f>
        <v>210853.37902267146</v>
      </c>
      <c r="L137" s="112">
        <f>SUM(BQ$95:BQ$105)+SUM(BS$95:BS$105)+SUM(BU$95:BU$105)+SUM(BW$95:BW$105)</f>
        <v>290553.97065998125</v>
      </c>
      <c r="M137" s="112">
        <f>SUM(BY$95:BY$105)+SUM(CA$95:CA$105)+SUM(CC$95:CC$105)+SUM(CE$95:CE$105)</f>
        <v>647025.3879975311</v>
      </c>
      <c r="N137" s="112">
        <f>SUM(CG$95:CG$105)+SUM(CI$95:CI$105)+SUM(CK$95:CK$105)+SUM(CM$95:CM$105)</f>
        <v>159376.41817977629</v>
      </c>
      <c r="O137" s="112">
        <f>SUM(CO$95:CO$105)+SUM(CQ$95:CQ$105)+SUM(CS$95:CS$105)+SUM(CU$95:CU$105)</f>
        <v>567472.44372292678</v>
      </c>
    </row>
    <row r="138" spans="2:15" x14ac:dyDescent="0.2">
      <c r="C138" s="111" t="s">
        <v>278</v>
      </c>
      <c r="D138" s="106">
        <f t="shared" ref="D138:O138" si="2">SUM(D$131:D$137)</f>
        <v>913240.5305854918</v>
      </c>
      <c r="E138" s="106">
        <f t="shared" si="2"/>
        <v>859242.4356330724</v>
      </c>
      <c r="F138" s="106">
        <f t="shared" si="2"/>
        <v>785454.03127760277</v>
      </c>
      <c r="G138" s="106">
        <f t="shared" si="2"/>
        <v>671792.00179088628</v>
      </c>
      <c r="H138" s="106">
        <f t="shared" si="2"/>
        <v>571358.0414221359</v>
      </c>
      <c r="I138" s="106">
        <f t="shared" si="2"/>
        <v>437569.50660425331</v>
      </c>
      <c r="J138" s="106">
        <f t="shared" si="2"/>
        <v>934790.41495391191</v>
      </c>
      <c r="K138" s="106">
        <f t="shared" si="2"/>
        <v>547149.06498755817</v>
      </c>
      <c r="L138" s="106">
        <f t="shared" si="2"/>
        <v>608810.64480296837</v>
      </c>
      <c r="M138" s="106">
        <f t="shared" si="2"/>
        <v>907337.60206443781</v>
      </c>
      <c r="N138" s="106">
        <f t="shared" si="2"/>
        <v>531767.12933740625</v>
      </c>
      <c r="O138" s="106">
        <f t="shared" si="2"/>
        <v>847076.47025730927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17</v>
      </c>
      <c r="E49" s="106">
        <v>16748.399999999998</v>
      </c>
      <c r="F49" s="106">
        <v>19</v>
      </c>
      <c r="G49" s="106">
        <v>18718.8</v>
      </c>
      <c r="H49" s="106">
        <v>11</v>
      </c>
      <c r="I49" s="106">
        <v>10837.199999999999</v>
      </c>
      <c r="J49" s="106">
        <v>17</v>
      </c>
      <c r="K49" s="106">
        <v>16748.399999999998</v>
      </c>
      <c r="L49" s="106">
        <v>29.461743925179185</v>
      </c>
      <c r="M49" s="106">
        <v>29025.710115086531</v>
      </c>
      <c r="N49" s="106">
        <v>23</v>
      </c>
      <c r="O49" s="106">
        <v>22659.599999999999</v>
      </c>
      <c r="P49" s="106">
        <v>20.245105908746577</v>
      </c>
      <c r="Q49" s="106">
        <v>19945.478341297126</v>
      </c>
      <c r="R49" s="106">
        <v>18.39541779668896</v>
      </c>
      <c r="S49" s="106">
        <v>18123.165613297962</v>
      </c>
      <c r="T49" s="106">
        <v>12</v>
      </c>
      <c r="U49" s="106">
        <v>11822.4</v>
      </c>
      <c r="V49" s="106">
        <v>15.222835989338092</v>
      </c>
      <c r="W49" s="106">
        <v>14997.538016695888</v>
      </c>
      <c r="X49" s="106">
        <v>14.126192627824018</v>
      </c>
      <c r="Y49" s="106">
        <v>13917.124976932222</v>
      </c>
      <c r="Z49" s="106">
        <v>16.152788174908224</v>
      </c>
      <c r="AA49" s="106">
        <v>15913.726909919582</v>
      </c>
      <c r="AB49" s="106">
        <v>5.1898459833795014</v>
      </c>
      <c r="AC49" s="106">
        <v>5113.0362628254843</v>
      </c>
      <c r="AD49" s="106">
        <v>4</v>
      </c>
      <c r="AE49" s="106">
        <v>3940.7999999999997</v>
      </c>
      <c r="AF49" s="106">
        <v>4.3993083031075386</v>
      </c>
      <c r="AG49" s="106">
        <v>4334.1985402215469</v>
      </c>
      <c r="AH49" s="106">
        <v>4.2687544993099147</v>
      </c>
      <c r="AI49" s="106">
        <v>4205.5769327201278</v>
      </c>
      <c r="AJ49" s="106">
        <v>5</v>
      </c>
      <c r="AK49" s="106">
        <v>4926</v>
      </c>
      <c r="AL49" s="106">
        <v>4.6137831820391986</v>
      </c>
      <c r="AM49" s="106">
        <v>4545.4991909450182</v>
      </c>
      <c r="AN49" s="106">
        <v>5.8619062985576615</v>
      </c>
      <c r="AO49" s="106">
        <v>5775.150085339008</v>
      </c>
      <c r="AP49" s="106">
        <v>7</v>
      </c>
      <c r="AQ49" s="106">
        <v>6896.4</v>
      </c>
      <c r="AR49" s="106">
        <v>8</v>
      </c>
      <c r="AS49" s="106">
        <v>7881.5999999999995</v>
      </c>
      <c r="AT49" s="106">
        <v>7.4268104879216787</v>
      </c>
      <c r="AU49" s="106">
        <v>7316.893692700437</v>
      </c>
      <c r="AV49" s="106">
        <v>6.2566554098504454</v>
      </c>
      <c r="AW49" s="106">
        <v>6164.0569097846583</v>
      </c>
      <c r="AX49" s="106">
        <v>7.1836049382716052</v>
      </c>
      <c r="AY49" s="106">
        <v>7077.287585185185</v>
      </c>
      <c r="AZ49" s="106">
        <v>41.441541732506003</v>
      </c>
      <c r="BA49" s="106">
        <v>40828.20691486491</v>
      </c>
      <c r="BB49" s="106">
        <v>39</v>
      </c>
      <c r="BC49" s="106">
        <v>38422.799999999996</v>
      </c>
      <c r="BD49" s="106">
        <v>32.57033762763826</v>
      </c>
      <c r="BE49" s="106">
        <v>32088.29663074921</v>
      </c>
      <c r="BF49" s="106">
        <v>48</v>
      </c>
      <c r="BG49" s="106">
        <v>47289.599999999999</v>
      </c>
      <c r="BH49" s="106">
        <v>5.4642480318155995</v>
      </c>
      <c r="BI49" s="106">
        <v>5383.3771609447285</v>
      </c>
      <c r="BJ49" s="106">
        <v>6.4643748385442805</v>
      </c>
      <c r="BK49" s="106">
        <v>6368.7020909338244</v>
      </c>
      <c r="BL49" s="106">
        <v>8.3698062437193226</v>
      </c>
      <c r="BM49" s="106">
        <v>8245.9331113122753</v>
      </c>
      <c r="BN49" s="106">
        <v>4.449179680418915</v>
      </c>
      <c r="BO49" s="106">
        <v>4383.3318211487149</v>
      </c>
      <c r="BP49" s="106">
        <v>5.4321371010709152</v>
      </c>
      <c r="BQ49" s="106">
        <v>5351.741471975065</v>
      </c>
      <c r="BR49" s="106">
        <v>4.4105340113903626</v>
      </c>
      <c r="BS49" s="106">
        <v>4345.2581080217851</v>
      </c>
      <c r="BT49" s="106">
        <v>4</v>
      </c>
      <c r="BU49" s="106">
        <v>3940.7999999999997</v>
      </c>
      <c r="BV49" s="106">
        <v>5.2822096359319355</v>
      </c>
      <c r="BW49" s="106">
        <v>5204.0329333201425</v>
      </c>
      <c r="BX49" s="106">
        <v>7</v>
      </c>
      <c r="BY49" s="106">
        <v>6896.4</v>
      </c>
      <c r="BZ49" s="106">
        <v>7</v>
      </c>
      <c r="CA49" s="106">
        <v>6896.4</v>
      </c>
      <c r="CB49" s="106">
        <v>5</v>
      </c>
      <c r="CC49" s="106">
        <v>4926</v>
      </c>
      <c r="CD49" s="106">
        <v>7.3958911099173053</v>
      </c>
      <c r="CE49" s="106">
        <v>7286.431921490529</v>
      </c>
      <c r="CF49" s="106">
        <v>10.8085</v>
      </c>
      <c r="CG49" s="106">
        <v>10648.5342</v>
      </c>
      <c r="CH49" s="106">
        <v>8</v>
      </c>
      <c r="CI49" s="106">
        <v>7881.5999999999995</v>
      </c>
      <c r="CJ49" s="106">
        <v>10.538544286944944</v>
      </c>
      <c r="CK49" s="106">
        <v>10382.573831498159</v>
      </c>
      <c r="CL49" s="106">
        <v>11.781536928719284</v>
      </c>
      <c r="CM49" s="106">
        <v>11607.170182174237</v>
      </c>
      <c r="CN49" s="106">
        <v>30.681897584315859</v>
      </c>
      <c r="CO49" s="106">
        <v>30227.805500067981</v>
      </c>
      <c r="CP49" s="106">
        <v>31</v>
      </c>
      <c r="CQ49" s="106">
        <v>30541.199999999997</v>
      </c>
      <c r="CR49" s="106">
        <v>31</v>
      </c>
      <c r="CS49" s="106">
        <v>30541.199999999997</v>
      </c>
      <c r="CT49" s="106">
        <v>27</v>
      </c>
      <c r="CU49" s="106">
        <v>26600.399999999998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16</v>
      </c>
      <c r="E56" s="106">
        <v>18412.8</v>
      </c>
      <c r="F56" s="106">
        <v>17</v>
      </c>
      <c r="G56" s="106">
        <v>19563.599999999999</v>
      </c>
      <c r="H56" s="106">
        <v>11</v>
      </c>
      <c r="I56" s="106">
        <v>12658.8</v>
      </c>
      <c r="J56" s="106">
        <v>18</v>
      </c>
      <c r="K56" s="106">
        <v>20714.399999999998</v>
      </c>
      <c r="L56" s="106">
        <v>27.461743925179185</v>
      </c>
      <c r="M56" s="106">
        <v>31602.974909096203</v>
      </c>
      <c r="N56" s="106">
        <v>23</v>
      </c>
      <c r="O56" s="106">
        <v>26468.399999999998</v>
      </c>
      <c r="P56" s="106">
        <v>21.224680416351028</v>
      </c>
      <c r="Q56" s="106">
        <v>24425.362223136763</v>
      </c>
      <c r="R56" s="106">
        <v>20.423661925023886</v>
      </c>
      <c r="S56" s="106">
        <v>23503.550143317487</v>
      </c>
      <c r="T56" s="106">
        <v>11</v>
      </c>
      <c r="U56" s="106">
        <v>12658.8</v>
      </c>
      <c r="V56" s="106">
        <v>16.19498149067083</v>
      </c>
      <c r="W56" s="106">
        <v>18637.184699463993</v>
      </c>
      <c r="X56" s="106">
        <v>13.112171224732462</v>
      </c>
      <c r="Y56" s="106">
        <v>15089.486645422117</v>
      </c>
      <c r="Z56" s="106">
        <v>15.152788174908222</v>
      </c>
      <c r="AA56" s="106">
        <v>17437.828631684381</v>
      </c>
      <c r="AB56" s="106">
        <v>5.1898459833795014</v>
      </c>
      <c r="AC56" s="106">
        <v>5972.4747576731297</v>
      </c>
      <c r="AD56" s="106">
        <v>4</v>
      </c>
      <c r="AE56" s="106">
        <v>4603.2</v>
      </c>
      <c r="AF56" s="106">
        <v>4.4492218409959809</v>
      </c>
      <c r="AG56" s="106">
        <v>5120.164494618175</v>
      </c>
      <c r="AH56" s="106">
        <v>4.3071479992113311</v>
      </c>
      <c r="AI56" s="106">
        <v>4956.6659174923998</v>
      </c>
      <c r="AJ56" s="106">
        <v>5</v>
      </c>
      <c r="AK56" s="106">
        <v>5754</v>
      </c>
      <c r="AL56" s="106">
        <v>4.6137831820391986</v>
      </c>
      <c r="AM56" s="106">
        <v>5309.5416858907092</v>
      </c>
      <c r="AN56" s="106">
        <v>5.8619062985576615</v>
      </c>
      <c r="AO56" s="106">
        <v>6745.8817683801562</v>
      </c>
      <c r="AP56" s="106">
        <v>7</v>
      </c>
      <c r="AQ56" s="106">
        <v>8055.5999999999995</v>
      </c>
      <c r="AR56" s="106">
        <v>8</v>
      </c>
      <c r="AS56" s="106">
        <v>9206.4</v>
      </c>
      <c r="AT56" s="106">
        <v>7.3861618700243765</v>
      </c>
      <c r="AU56" s="106">
        <v>8499.9950800240513</v>
      </c>
      <c r="AV56" s="106">
        <v>7.2431472303846327</v>
      </c>
      <c r="AW56" s="106">
        <v>8335.4138327266355</v>
      </c>
      <c r="AX56" s="106">
        <v>7.1836049382716052</v>
      </c>
      <c r="AY56" s="106">
        <v>8266.892562962963</v>
      </c>
      <c r="AZ56" s="106">
        <v>39.441541732506003</v>
      </c>
      <c r="BA56" s="106">
        <v>45389.326225767909</v>
      </c>
      <c r="BB56" s="106">
        <v>45</v>
      </c>
      <c r="BC56" s="106">
        <v>51786</v>
      </c>
      <c r="BD56" s="106">
        <v>31.602023051395939</v>
      </c>
      <c r="BE56" s="106">
        <v>36367.608127546446</v>
      </c>
      <c r="BF56" s="106">
        <v>48</v>
      </c>
      <c r="BG56" s="106">
        <v>55238.399999999994</v>
      </c>
      <c r="BH56" s="106">
        <v>5.517815112409707</v>
      </c>
      <c r="BI56" s="106">
        <v>6349.9016313610909</v>
      </c>
      <c r="BJ56" s="106">
        <v>6.4643748385442805</v>
      </c>
      <c r="BK56" s="106">
        <v>7439.2025641967575</v>
      </c>
      <c r="BL56" s="106">
        <v>6.3492614524015831</v>
      </c>
      <c r="BM56" s="106">
        <v>7306.7300794237417</v>
      </c>
      <c r="BN56" s="106">
        <v>4.5010081050826365</v>
      </c>
      <c r="BO56" s="106">
        <v>5179.7601273290975</v>
      </c>
      <c r="BP56" s="106">
        <v>5.3732093145612447</v>
      </c>
      <c r="BQ56" s="106">
        <v>6183.4892791970806</v>
      </c>
      <c r="BR56" s="106">
        <v>4.3889269581592911</v>
      </c>
      <c r="BS56" s="106">
        <v>5050.7771434497117</v>
      </c>
      <c r="BT56" s="106">
        <v>4</v>
      </c>
      <c r="BU56" s="106">
        <v>4603.2</v>
      </c>
      <c r="BV56" s="106">
        <v>6.2822096359319355</v>
      </c>
      <c r="BW56" s="106">
        <v>7229.5668490304706</v>
      </c>
      <c r="BX56" s="106">
        <v>6</v>
      </c>
      <c r="BY56" s="106">
        <v>6904.7999999999993</v>
      </c>
      <c r="BZ56" s="106">
        <v>7</v>
      </c>
      <c r="CA56" s="106">
        <v>8055.5999999999995</v>
      </c>
      <c r="CB56" s="106">
        <v>5.4234957499311447</v>
      </c>
      <c r="CC56" s="106">
        <v>6241.3589090207606</v>
      </c>
      <c r="CD56" s="106">
        <v>6.4123865728305258</v>
      </c>
      <c r="CE56" s="106">
        <v>7379.3744680133686</v>
      </c>
      <c r="CF56" s="106">
        <v>9.7785555555555561</v>
      </c>
      <c r="CG56" s="106">
        <v>11253.161733333334</v>
      </c>
      <c r="CH56" s="106">
        <v>8</v>
      </c>
      <c r="CI56" s="106">
        <v>9206.4</v>
      </c>
      <c r="CJ56" s="106">
        <v>10.572203304879004</v>
      </c>
      <c r="CK56" s="106">
        <v>12166.491563254756</v>
      </c>
      <c r="CL56" s="106">
        <v>11.748972890022646</v>
      </c>
      <c r="CM56" s="106">
        <v>13520.71800183806</v>
      </c>
      <c r="CN56" s="106">
        <v>31.596660386276376</v>
      </c>
      <c r="CO56" s="106">
        <v>36361.436772526853</v>
      </c>
      <c r="CP56" s="106">
        <v>30</v>
      </c>
      <c r="CQ56" s="106">
        <v>34524</v>
      </c>
      <c r="CR56" s="106">
        <v>27</v>
      </c>
      <c r="CS56" s="106">
        <v>31071.599999999999</v>
      </c>
      <c r="CT56" s="106">
        <v>25</v>
      </c>
      <c r="CU56" s="106">
        <v>28770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16</v>
      </c>
      <c r="E58" s="106">
        <v>18835.2</v>
      </c>
      <c r="F58" s="106">
        <v>20</v>
      </c>
      <c r="G58" s="106">
        <v>23544</v>
      </c>
      <c r="H58" s="106">
        <v>11</v>
      </c>
      <c r="I58" s="106">
        <v>12949.2</v>
      </c>
      <c r="J58" s="106">
        <v>16</v>
      </c>
      <c r="K58" s="106">
        <v>18835.2</v>
      </c>
      <c r="L58" s="106">
        <v>28.461743925179185</v>
      </c>
      <c r="M58" s="106">
        <v>33505.164948720936</v>
      </c>
      <c r="N58" s="106">
        <v>21</v>
      </c>
      <c r="O58" s="106">
        <v>24721.200000000001</v>
      </c>
      <c r="P58" s="106">
        <v>21.224680416351028</v>
      </c>
      <c r="Q58" s="106">
        <v>24985.693786128431</v>
      </c>
      <c r="R58" s="106">
        <v>20.367173668354035</v>
      </c>
      <c r="S58" s="106">
        <v>23976.23684238637</v>
      </c>
      <c r="T58" s="106">
        <v>11</v>
      </c>
      <c r="U58" s="106">
        <v>12949.2</v>
      </c>
      <c r="V58" s="106">
        <v>14.222835989338092</v>
      </c>
      <c r="W58" s="106">
        <v>16743.122526648804</v>
      </c>
      <c r="X58" s="106">
        <v>15.112171224732462</v>
      </c>
      <c r="Y58" s="106">
        <v>17790.047965755053</v>
      </c>
      <c r="Z58" s="106">
        <v>14.135811711029531</v>
      </c>
      <c r="AA58" s="106">
        <v>16640.677546223964</v>
      </c>
      <c r="AB58" s="106">
        <v>5.1898459833795014</v>
      </c>
      <c r="AC58" s="106">
        <v>6109.486691634349</v>
      </c>
      <c r="AD58" s="106">
        <v>4</v>
      </c>
      <c r="AE58" s="106">
        <v>4708.8</v>
      </c>
      <c r="AF58" s="106">
        <v>4.3993083031075386</v>
      </c>
      <c r="AG58" s="106">
        <v>5178.8657344181947</v>
      </c>
      <c r="AH58" s="106">
        <v>4.3071479992113311</v>
      </c>
      <c r="AI58" s="106">
        <v>5070.3746246715791</v>
      </c>
      <c r="AJ58" s="106">
        <v>5</v>
      </c>
      <c r="AK58" s="106">
        <v>5886</v>
      </c>
      <c r="AL58" s="106">
        <v>4.6342426214405057</v>
      </c>
      <c r="AM58" s="106">
        <v>5455.4304139597634</v>
      </c>
      <c r="AN58" s="106">
        <v>5.8619062985576615</v>
      </c>
      <c r="AO58" s="106">
        <v>6900.6360946620798</v>
      </c>
      <c r="AP58" s="106">
        <v>6</v>
      </c>
      <c r="AQ58" s="106">
        <v>7063.2000000000007</v>
      </c>
      <c r="AR58" s="106">
        <v>8</v>
      </c>
      <c r="AS58" s="106">
        <v>9417.6</v>
      </c>
      <c r="AT58" s="106">
        <v>8.4268104879216796</v>
      </c>
      <c r="AU58" s="106">
        <v>9920.0413063814012</v>
      </c>
      <c r="AV58" s="106">
        <v>7.2431472303846327</v>
      </c>
      <c r="AW58" s="106">
        <v>8526.63291960879</v>
      </c>
      <c r="AX58" s="106">
        <v>6.1950802469135802</v>
      </c>
      <c r="AY58" s="106">
        <v>7292.8484666666673</v>
      </c>
      <c r="AZ58" s="106">
        <v>36.373612235197392</v>
      </c>
      <c r="BA58" s="106">
        <v>42819.016323274373</v>
      </c>
      <c r="BB58" s="106">
        <v>44</v>
      </c>
      <c r="BC58" s="106">
        <v>51796.800000000003</v>
      </c>
      <c r="BD58" s="106">
        <v>34.602023051395939</v>
      </c>
      <c r="BE58" s="106">
        <v>40733.5015361033</v>
      </c>
      <c r="BF58" s="106">
        <v>48</v>
      </c>
      <c r="BG58" s="106">
        <v>56505.600000000006</v>
      </c>
      <c r="BH58" s="106">
        <v>6.4999594188783378</v>
      </c>
      <c r="BI58" s="106">
        <v>7651.7522279035793</v>
      </c>
      <c r="BJ58" s="106">
        <v>5.5276986801639554</v>
      </c>
      <c r="BK58" s="106">
        <v>6507.2068862890083</v>
      </c>
      <c r="BL58" s="106">
        <v>7.3492614524015831</v>
      </c>
      <c r="BM58" s="106">
        <v>8651.5505817671437</v>
      </c>
      <c r="BN58" s="106">
        <v>4.4319035388643417</v>
      </c>
      <c r="BO58" s="106">
        <v>5217.2368459511035</v>
      </c>
      <c r="BP58" s="106">
        <v>4.353566719058021</v>
      </c>
      <c r="BQ58" s="106">
        <v>5125.0187416751023</v>
      </c>
      <c r="BR58" s="106">
        <v>4.3673199049282196</v>
      </c>
      <c r="BS58" s="106">
        <v>5141.2089920815006</v>
      </c>
      <c r="BT58" s="106">
        <v>4</v>
      </c>
      <c r="BU58" s="106">
        <v>4708.8</v>
      </c>
      <c r="BV58" s="106">
        <v>5.2418939736559444</v>
      </c>
      <c r="BW58" s="106">
        <v>6170.7575857877782</v>
      </c>
      <c r="BX58" s="106">
        <v>6</v>
      </c>
      <c r="BY58" s="106">
        <v>7063.2000000000007</v>
      </c>
      <c r="BZ58" s="106">
        <v>7</v>
      </c>
      <c r="CA58" s="106">
        <v>8240.4</v>
      </c>
      <c r="CB58" s="106">
        <v>5.4680742499238972</v>
      </c>
      <c r="CC58" s="106">
        <v>6437.0170070104123</v>
      </c>
      <c r="CD58" s="106">
        <v>7.4288820357437473</v>
      </c>
      <c r="CE58" s="106">
        <v>8745.2799324775388</v>
      </c>
      <c r="CF58" s="106">
        <v>8.6887222222222213</v>
      </c>
      <c r="CG58" s="106">
        <v>10228.363799999999</v>
      </c>
      <c r="CH58" s="106">
        <v>8</v>
      </c>
      <c r="CI58" s="106">
        <v>9417.6</v>
      </c>
      <c r="CJ58" s="106">
        <v>10.605862322813064</v>
      </c>
      <c r="CK58" s="106">
        <v>12485.221126415539</v>
      </c>
      <c r="CL58" s="106">
        <v>11.879229044809193</v>
      </c>
      <c r="CM58" s="106">
        <v>13984.228431549383</v>
      </c>
      <c r="CN58" s="106">
        <v>28.681897584315859</v>
      </c>
      <c r="CO58" s="106">
        <v>33764.329836256627</v>
      </c>
      <c r="CP58" s="106">
        <v>26</v>
      </c>
      <c r="CQ58" s="106">
        <v>30607.200000000001</v>
      </c>
      <c r="CR58" s="106">
        <v>29</v>
      </c>
      <c r="CS58" s="106">
        <v>34138.800000000003</v>
      </c>
      <c r="CT58" s="106">
        <v>27</v>
      </c>
      <c r="CU58" s="106">
        <v>31784.400000000001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9.0501771032146596</v>
      </c>
      <c r="E71" s="106">
        <v>5104.299886213068</v>
      </c>
      <c r="F71" s="106">
        <v>10</v>
      </c>
      <c r="G71" s="106">
        <v>5640</v>
      </c>
      <c r="H71" s="106">
        <v>10.711319418764315</v>
      </c>
      <c r="I71" s="106">
        <v>6041.1841521830738</v>
      </c>
      <c r="J71" s="106">
        <v>7</v>
      </c>
      <c r="K71" s="106">
        <v>3948</v>
      </c>
      <c r="L71" s="106">
        <v>4.8169315599324047</v>
      </c>
      <c r="M71" s="106">
        <v>2716.7493998018763</v>
      </c>
      <c r="N71" s="106">
        <v>5</v>
      </c>
      <c r="O71" s="106">
        <v>2820</v>
      </c>
      <c r="P71" s="106">
        <v>5.5310628022842492</v>
      </c>
      <c r="Q71" s="106">
        <v>3119.5194204883164</v>
      </c>
      <c r="R71" s="106">
        <v>4.8755679783826986</v>
      </c>
      <c r="S71" s="106">
        <v>2749.8203398078422</v>
      </c>
      <c r="T71" s="106">
        <v>33</v>
      </c>
      <c r="U71" s="106">
        <v>18612</v>
      </c>
      <c r="V71" s="106">
        <v>33.612798970679755</v>
      </c>
      <c r="W71" s="106">
        <v>18957.618619463381</v>
      </c>
      <c r="X71" s="106">
        <v>20.168256837098692</v>
      </c>
      <c r="Y71" s="106">
        <v>11374.896856123662</v>
      </c>
      <c r="Z71" s="106">
        <v>28.22069403042299</v>
      </c>
      <c r="AA71" s="106">
        <v>15916.471433158567</v>
      </c>
      <c r="AB71" s="106">
        <v>13.531568753462604</v>
      </c>
      <c r="AC71" s="106">
        <v>7631.8047769529085</v>
      </c>
      <c r="AD71" s="106">
        <v>15</v>
      </c>
      <c r="AE71" s="106">
        <v>8460</v>
      </c>
      <c r="AF71" s="106">
        <v>18.598962454661308</v>
      </c>
      <c r="AG71" s="106">
        <v>10489.814824428977</v>
      </c>
      <c r="AH71" s="106">
        <v>10.345541499112748</v>
      </c>
      <c r="AI71" s="106">
        <v>5834.88540549959</v>
      </c>
      <c r="AJ71" s="106">
        <v>14</v>
      </c>
      <c r="AK71" s="106">
        <v>7896</v>
      </c>
      <c r="AL71" s="106">
        <v>11.3068915910196</v>
      </c>
      <c r="AM71" s="106">
        <v>6377.0868573350544</v>
      </c>
      <c r="AN71" s="106">
        <v>15.487164429619547</v>
      </c>
      <c r="AO71" s="106">
        <v>8734.7607383054237</v>
      </c>
      <c r="AP71" s="106">
        <v>16</v>
      </c>
      <c r="AQ71" s="106">
        <v>9024</v>
      </c>
      <c r="AR71" s="106">
        <v>21</v>
      </c>
      <c r="AS71" s="106">
        <v>11844</v>
      </c>
      <c r="AT71" s="106">
        <v>14.991782276967836</v>
      </c>
      <c r="AU71" s="106">
        <v>8455.3652042098602</v>
      </c>
      <c r="AV71" s="106">
        <v>15.756458050085524</v>
      </c>
      <c r="AW71" s="106">
        <v>8886.642340248236</v>
      </c>
      <c r="AX71" s="106">
        <v>21.952450617283951</v>
      </c>
      <c r="AY71" s="106">
        <v>12381.182148148147</v>
      </c>
      <c r="AZ71" s="106">
        <v>3.3056827378887732</v>
      </c>
      <c r="BA71" s="106">
        <v>1864.4050641692681</v>
      </c>
      <c r="BB71" s="106">
        <v>4</v>
      </c>
      <c r="BC71" s="106">
        <v>2256</v>
      </c>
      <c r="BD71" s="106">
        <v>6</v>
      </c>
      <c r="BE71" s="106">
        <v>3384</v>
      </c>
      <c r="BF71" s="106">
        <v>5</v>
      </c>
      <c r="BG71" s="106">
        <v>2820</v>
      </c>
      <c r="BH71" s="106">
        <v>15</v>
      </c>
      <c r="BI71" s="106">
        <v>8460</v>
      </c>
      <c r="BJ71" s="106">
        <v>15</v>
      </c>
      <c r="BK71" s="106">
        <v>8460</v>
      </c>
      <c r="BL71" s="106">
        <v>9</v>
      </c>
      <c r="BM71" s="106">
        <v>5076</v>
      </c>
      <c r="BN71" s="106">
        <v>11</v>
      </c>
      <c r="BO71" s="106">
        <v>6204</v>
      </c>
      <c r="BP71" s="106">
        <v>5.2553537415419038</v>
      </c>
      <c r="BQ71" s="106">
        <v>2964.0195102296339</v>
      </c>
      <c r="BR71" s="106">
        <v>7.1728564258485736</v>
      </c>
      <c r="BS71" s="106">
        <v>4045.4910241785956</v>
      </c>
      <c r="BT71" s="106">
        <v>8</v>
      </c>
      <c r="BU71" s="106">
        <v>4512</v>
      </c>
      <c r="BV71" s="106">
        <v>5.2217361425179494</v>
      </c>
      <c r="BW71" s="106">
        <v>2945.0591843801235</v>
      </c>
      <c r="BX71" s="106">
        <v>6</v>
      </c>
      <c r="BY71" s="106">
        <v>3384</v>
      </c>
      <c r="BZ71" s="106">
        <v>8.7893039505509272</v>
      </c>
      <c r="CA71" s="106">
        <v>4957.1674281107225</v>
      </c>
      <c r="CB71" s="106">
        <v>8.289760249952888</v>
      </c>
      <c r="CC71" s="106">
        <v>4675.4247809734288</v>
      </c>
      <c r="CD71" s="106">
        <v>7.3134137953511997</v>
      </c>
      <c r="CE71" s="106">
        <v>4124.7653805780765</v>
      </c>
      <c r="CF71" s="106">
        <v>21.359333333333332</v>
      </c>
      <c r="CG71" s="106">
        <v>12046.663999999999</v>
      </c>
      <c r="CH71" s="106">
        <v>13</v>
      </c>
      <c r="CI71" s="106">
        <v>7332</v>
      </c>
      <c r="CJ71" s="106">
        <v>12</v>
      </c>
      <c r="CK71" s="106">
        <v>6768</v>
      </c>
      <c r="CL71" s="106">
        <v>13.260512309573095</v>
      </c>
      <c r="CM71" s="106">
        <v>7478.9289425992256</v>
      </c>
      <c r="CN71" s="106">
        <v>7</v>
      </c>
      <c r="CO71" s="106">
        <v>3948</v>
      </c>
      <c r="CP71" s="106">
        <v>4</v>
      </c>
      <c r="CQ71" s="106">
        <v>2256</v>
      </c>
      <c r="CR71" s="106">
        <v>3</v>
      </c>
      <c r="CS71" s="106">
        <v>1692</v>
      </c>
      <c r="CT71" s="106">
        <v>6</v>
      </c>
      <c r="CU71" s="106">
        <v>3384</v>
      </c>
    </row>
    <row r="72" spans="2:99" x14ac:dyDescent="0.2">
      <c r="C72" s="105" t="s">
        <v>238</v>
      </c>
      <c r="D72" s="106">
        <v>9.0501771032146596</v>
      </c>
      <c r="E72" s="106">
        <v>673.33317647917056</v>
      </c>
      <c r="F72" s="106">
        <v>10</v>
      </c>
      <c r="G72" s="106">
        <v>743.99999999999989</v>
      </c>
      <c r="H72" s="106">
        <v>10.745191772038806</v>
      </c>
      <c r="I72" s="106">
        <v>799.44226783968713</v>
      </c>
      <c r="J72" s="106">
        <v>8</v>
      </c>
      <c r="K72" s="106">
        <v>595.19999999999993</v>
      </c>
      <c r="L72" s="106">
        <v>4.8169315599324047</v>
      </c>
      <c r="M72" s="106">
        <v>358.37970805897089</v>
      </c>
      <c r="N72" s="106">
        <v>4</v>
      </c>
      <c r="O72" s="106">
        <v>297.59999999999997</v>
      </c>
      <c r="P72" s="106">
        <v>6.6331902642619891</v>
      </c>
      <c r="Q72" s="106">
        <v>493.50935566109194</v>
      </c>
      <c r="R72" s="106">
        <v>4.9320562350525501</v>
      </c>
      <c r="S72" s="106">
        <v>366.9449838879097</v>
      </c>
      <c r="T72" s="106">
        <v>40</v>
      </c>
      <c r="U72" s="106">
        <v>2975.9999999999995</v>
      </c>
      <c r="V72" s="106">
        <v>34.668507968014275</v>
      </c>
      <c r="W72" s="106">
        <v>2579.3369928202619</v>
      </c>
      <c r="X72" s="106">
        <v>20.18227824019025</v>
      </c>
      <c r="Y72" s="106">
        <v>1501.5615010701545</v>
      </c>
      <c r="Z72" s="106">
        <v>31.237670494301682</v>
      </c>
      <c r="AA72" s="106">
        <v>2324.082684776045</v>
      </c>
      <c r="AB72" s="106">
        <v>13.455630360110803</v>
      </c>
      <c r="AC72" s="106">
        <v>1001.0988987922436</v>
      </c>
      <c r="AD72" s="106">
        <v>16</v>
      </c>
      <c r="AE72" s="106">
        <v>1190.3999999999999</v>
      </c>
      <c r="AF72" s="106">
        <v>17.698789530438191</v>
      </c>
      <c r="AG72" s="106">
        <v>1316.7899410646012</v>
      </c>
      <c r="AH72" s="106">
        <v>10.422328498915581</v>
      </c>
      <c r="AI72" s="106">
        <v>775.42124031931917</v>
      </c>
      <c r="AJ72" s="106">
        <v>14</v>
      </c>
      <c r="AK72" s="106">
        <v>1041.5999999999999</v>
      </c>
      <c r="AL72" s="106">
        <v>11.3068915910196</v>
      </c>
      <c r="AM72" s="106">
        <v>841.2327343718581</v>
      </c>
      <c r="AN72" s="106">
        <v>14.524638616513359</v>
      </c>
      <c r="AO72" s="106">
        <v>1080.6331130685937</v>
      </c>
      <c r="AP72" s="106">
        <v>15</v>
      </c>
      <c r="AQ72" s="106">
        <v>1115.9999999999998</v>
      </c>
      <c r="AR72" s="106">
        <v>20</v>
      </c>
      <c r="AS72" s="106">
        <v>1487.9999999999998</v>
      </c>
      <c r="AT72" s="106">
        <v>16.398268455940865</v>
      </c>
      <c r="AU72" s="106">
        <v>1220.0311731220002</v>
      </c>
      <c r="AV72" s="106">
        <v>17.932064383141089</v>
      </c>
      <c r="AW72" s="106">
        <v>1334.1455901056968</v>
      </c>
      <c r="AX72" s="106">
        <v>25.181956790123458</v>
      </c>
      <c r="AY72" s="106">
        <v>1873.537585185185</v>
      </c>
      <c r="AZ72" s="106">
        <v>3.2717179892344652</v>
      </c>
      <c r="BA72" s="106">
        <v>243.41581839904418</v>
      </c>
      <c r="BB72" s="106">
        <v>4.2332735836463833</v>
      </c>
      <c r="BC72" s="106">
        <v>314.95555462329088</v>
      </c>
      <c r="BD72" s="106">
        <v>6</v>
      </c>
      <c r="BE72" s="106">
        <v>446.4</v>
      </c>
      <c r="BF72" s="106">
        <v>5.2988688827331485</v>
      </c>
      <c r="BG72" s="106">
        <v>394.23584487534617</v>
      </c>
      <c r="BH72" s="106">
        <v>17</v>
      </c>
      <c r="BI72" s="106">
        <v>1264.8</v>
      </c>
      <c r="BJ72" s="106">
        <v>16</v>
      </c>
      <c r="BK72" s="106">
        <v>1190.3999999999999</v>
      </c>
      <c r="BL72" s="106">
        <v>11</v>
      </c>
      <c r="BM72" s="106">
        <v>818.39999999999986</v>
      </c>
      <c r="BN72" s="106">
        <v>11</v>
      </c>
      <c r="BO72" s="106">
        <v>818.39999999999986</v>
      </c>
      <c r="BP72" s="106">
        <v>5.2553537415419038</v>
      </c>
      <c r="BQ72" s="106">
        <v>390.99831837071758</v>
      </c>
      <c r="BR72" s="106">
        <v>7.1728564258485736</v>
      </c>
      <c r="BS72" s="106">
        <v>533.66051808313387</v>
      </c>
      <c r="BT72" s="106">
        <v>9</v>
      </c>
      <c r="BU72" s="106">
        <v>669.59999999999991</v>
      </c>
      <c r="BV72" s="106">
        <v>5.2620518047939395</v>
      </c>
      <c r="BW72" s="106">
        <v>391.49665427666906</v>
      </c>
      <c r="BX72" s="106">
        <v>6</v>
      </c>
      <c r="BY72" s="106">
        <v>446.4</v>
      </c>
      <c r="BZ72" s="106">
        <v>8.8287691480784733</v>
      </c>
      <c r="CA72" s="106">
        <v>656.86042461703835</v>
      </c>
      <c r="CB72" s="106">
        <v>8.289760249952888</v>
      </c>
      <c r="CC72" s="106">
        <v>616.7581625964948</v>
      </c>
      <c r="CD72" s="106">
        <v>7.3299092582644212</v>
      </c>
      <c r="CE72" s="106">
        <v>545.34524881487289</v>
      </c>
      <c r="CF72" s="106">
        <v>22.359333333333332</v>
      </c>
      <c r="CG72" s="106">
        <v>1663.5343999999998</v>
      </c>
      <c r="CH72" s="106">
        <v>13</v>
      </c>
      <c r="CI72" s="106">
        <v>967.19999999999993</v>
      </c>
      <c r="CJ72" s="106">
        <v>11</v>
      </c>
      <c r="CK72" s="106">
        <v>818.39999999999986</v>
      </c>
      <c r="CL72" s="106">
        <v>13.260512309573095</v>
      </c>
      <c r="CM72" s="106">
        <v>986.58211583223817</v>
      </c>
      <c r="CN72" s="106">
        <v>8</v>
      </c>
      <c r="CO72" s="106">
        <v>595.19999999999993</v>
      </c>
      <c r="CP72" s="106">
        <v>4</v>
      </c>
      <c r="CQ72" s="106">
        <v>297.59999999999997</v>
      </c>
      <c r="CR72" s="106">
        <v>4</v>
      </c>
      <c r="CS72" s="106">
        <v>297.59999999999997</v>
      </c>
      <c r="CT72" s="106">
        <v>5</v>
      </c>
      <c r="CU72" s="106">
        <v>371.99999999999994</v>
      </c>
    </row>
    <row r="73" spans="2:99" x14ac:dyDescent="0.2">
      <c r="C73" s="105" t="s">
        <v>239</v>
      </c>
      <c r="D73" s="106">
        <v>9.1456477489614461</v>
      </c>
      <c r="E73" s="106">
        <v>5114.2462212192404</v>
      </c>
      <c r="F73" s="106">
        <v>11</v>
      </c>
      <c r="G73" s="106">
        <v>6151.1999999999989</v>
      </c>
      <c r="H73" s="106">
        <v>9.6097023589408419</v>
      </c>
      <c r="I73" s="106">
        <v>5373.7455591197186</v>
      </c>
      <c r="J73" s="106">
        <v>7</v>
      </c>
      <c r="K73" s="106">
        <v>3914.3999999999996</v>
      </c>
      <c r="L73" s="106">
        <v>3.8169315599324047</v>
      </c>
      <c r="M73" s="106">
        <v>2134.4281283142004</v>
      </c>
      <c r="N73" s="106">
        <v>5</v>
      </c>
      <c r="O73" s="106">
        <v>2795.9999999999995</v>
      </c>
      <c r="P73" s="106">
        <v>5.551488294679797</v>
      </c>
      <c r="Q73" s="106">
        <v>3104.3922543849421</v>
      </c>
      <c r="R73" s="106">
        <v>4.9038121067176244</v>
      </c>
      <c r="S73" s="106">
        <v>2742.2117300764953</v>
      </c>
      <c r="T73" s="106">
        <v>34</v>
      </c>
      <c r="U73" s="106">
        <v>19012.8</v>
      </c>
      <c r="V73" s="106">
        <v>33.612798970679755</v>
      </c>
      <c r="W73" s="106">
        <v>18796.277184404116</v>
      </c>
      <c r="X73" s="106">
        <v>21.196299643281808</v>
      </c>
      <c r="Y73" s="106">
        <v>11852.970760523185</v>
      </c>
      <c r="Z73" s="106">
        <v>30.254646958180373</v>
      </c>
      <c r="AA73" s="106">
        <v>16918.398579014462</v>
      </c>
      <c r="AB73" s="106">
        <v>11.493599556786704</v>
      </c>
      <c r="AC73" s="106">
        <v>6427.2208721551242</v>
      </c>
      <c r="AD73" s="106">
        <v>16</v>
      </c>
      <c r="AE73" s="106">
        <v>8947.1999999999989</v>
      </c>
      <c r="AF73" s="106">
        <v>17.598962454661308</v>
      </c>
      <c r="AG73" s="106">
        <v>9841.3398046466027</v>
      </c>
      <c r="AH73" s="106">
        <v>9.3839349990141638</v>
      </c>
      <c r="AI73" s="106">
        <v>5247.4964514487201</v>
      </c>
      <c r="AJ73" s="106">
        <v>15</v>
      </c>
      <c r="AK73" s="106">
        <v>8387.9999999999982</v>
      </c>
      <c r="AL73" s="106">
        <v>11.286432151618293</v>
      </c>
      <c r="AM73" s="106">
        <v>6311.3728591849485</v>
      </c>
      <c r="AN73" s="106">
        <v>13.487164429619547</v>
      </c>
      <c r="AO73" s="106">
        <v>7542.02234904325</v>
      </c>
      <c r="AP73" s="106">
        <v>14</v>
      </c>
      <c r="AQ73" s="106">
        <v>7828.7999999999993</v>
      </c>
      <c r="AR73" s="106">
        <v>20</v>
      </c>
      <c r="AS73" s="106">
        <v>11183.999999999998</v>
      </c>
      <c r="AT73" s="106">
        <v>14.07307951276244</v>
      </c>
      <c r="AU73" s="106">
        <v>7869.6660635367562</v>
      </c>
      <c r="AV73" s="106">
        <v>15.783474409017149</v>
      </c>
      <c r="AW73" s="106">
        <v>8826.1188895223895</v>
      </c>
      <c r="AX73" s="106">
        <v>20.998351851851851</v>
      </c>
      <c r="AY73" s="106">
        <v>11742.278355555554</v>
      </c>
      <c r="AZ73" s="106">
        <v>3.2717179892344652</v>
      </c>
      <c r="BA73" s="106">
        <v>1829.5446995799127</v>
      </c>
      <c r="BB73" s="106">
        <v>4</v>
      </c>
      <c r="BC73" s="106">
        <v>2236.7999999999997</v>
      </c>
      <c r="BD73" s="106">
        <v>5</v>
      </c>
      <c r="BE73" s="106">
        <v>2795.9999999999995</v>
      </c>
      <c r="BF73" s="106">
        <v>5</v>
      </c>
      <c r="BG73" s="106">
        <v>2795.9999999999995</v>
      </c>
      <c r="BH73" s="106">
        <v>14</v>
      </c>
      <c r="BI73" s="106">
        <v>7828.7999999999993</v>
      </c>
      <c r="BJ73" s="106">
        <v>13</v>
      </c>
      <c r="BK73" s="106">
        <v>7269.5999999999995</v>
      </c>
      <c r="BL73" s="106">
        <v>10</v>
      </c>
      <c r="BM73" s="106">
        <v>5591.9999999999991</v>
      </c>
      <c r="BN73" s="106">
        <v>12</v>
      </c>
      <c r="BO73" s="106">
        <v>6710.4</v>
      </c>
      <c r="BP73" s="106">
        <v>6.2357111460386809</v>
      </c>
      <c r="BQ73" s="106">
        <v>3487.00967286483</v>
      </c>
      <c r="BR73" s="106">
        <v>7.1944634790796451</v>
      </c>
      <c r="BS73" s="106">
        <v>4023.1439775013368</v>
      </c>
      <c r="BT73" s="106">
        <v>8</v>
      </c>
      <c r="BU73" s="106">
        <v>4473.5999999999995</v>
      </c>
      <c r="BV73" s="106">
        <v>5.2418939736559444</v>
      </c>
      <c r="BW73" s="106">
        <v>2931.2671100684038</v>
      </c>
      <c r="BX73" s="106">
        <v>5</v>
      </c>
      <c r="BY73" s="106">
        <v>2795.9999999999995</v>
      </c>
      <c r="BZ73" s="106">
        <v>8.8287691480784733</v>
      </c>
      <c r="CA73" s="106">
        <v>4937.0477076054813</v>
      </c>
      <c r="CB73" s="106">
        <v>8.3343387499456405</v>
      </c>
      <c r="CC73" s="106">
        <v>4660.5622289696012</v>
      </c>
      <c r="CD73" s="106">
        <v>7.3299092582644212</v>
      </c>
      <c r="CE73" s="106">
        <v>4098.8852572214637</v>
      </c>
      <c r="CF73" s="106">
        <v>19.299444444444443</v>
      </c>
      <c r="CG73" s="106">
        <v>10792.249333333331</v>
      </c>
      <c r="CH73" s="106">
        <v>13</v>
      </c>
      <c r="CI73" s="106">
        <v>7269.5999999999995</v>
      </c>
      <c r="CJ73" s="106">
        <v>11</v>
      </c>
      <c r="CK73" s="106">
        <v>6151.1999999999989</v>
      </c>
      <c r="CL73" s="106">
        <v>12.260512309573095</v>
      </c>
      <c r="CM73" s="106">
        <v>6856.0784835132736</v>
      </c>
      <c r="CN73" s="106">
        <v>7</v>
      </c>
      <c r="CO73" s="106">
        <v>3914.3999999999996</v>
      </c>
      <c r="CP73" s="106">
        <v>4</v>
      </c>
      <c r="CQ73" s="106">
        <v>2236.7999999999997</v>
      </c>
      <c r="CR73" s="106">
        <v>4</v>
      </c>
      <c r="CS73" s="106">
        <v>2236.7999999999997</v>
      </c>
      <c r="CT73" s="106">
        <v>5</v>
      </c>
      <c r="CU73" s="106">
        <v>2795.9999999999995</v>
      </c>
    </row>
    <row r="74" spans="2:99" x14ac:dyDescent="0.2">
      <c r="C74" s="105" t="s">
        <v>240</v>
      </c>
      <c r="D74" s="106">
        <v>9.1456477489614461</v>
      </c>
      <c r="E74" s="106">
        <v>3687.5251723812548</v>
      </c>
      <c r="F74" s="106">
        <v>9</v>
      </c>
      <c r="G74" s="106">
        <v>3628.7999999999997</v>
      </c>
      <c r="H74" s="106">
        <v>11.609702358940842</v>
      </c>
      <c r="I74" s="106">
        <v>4681.0319911249471</v>
      </c>
      <c r="J74" s="106">
        <v>7</v>
      </c>
      <c r="K74" s="106">
        <v>2822.4</v>
      </c>
      <c r="L74" s="106">
        <v>4.7814127964570829</v>
      </c>
      <c r="M74" s="106">
        <v>1927.8656395314958</v>
      </c>
      <c r="N74" s="106">
        <v>5</v>
      </c>
      <c r="O74" s="106">
        <v>2016</v>
      </c>
      <c r="P74" s="106">
        <v>5.5106373098887014</v>
      </c>
      <c r="Q74" s="106">
        <v>2221.8889633471244</v>
      </c>
      <c r="R74" s="106">
        <v>5.8755679783826986</v>
      </c>
      <c r="S74" s="106">
        <v>2369.0290088839042</v>
      </c>
      <c r="T74" s="106">
        <v>38</v>
      </c>
      <c r="U74" s="106">
        <v>15321.6</v>
      </c>
      <c r="V74" s="106">
        <v>35.584944472012488</v>
      </c>
      <c r="W74" s="106">
        <v>14347.849611115435</v>
      </c>
      <c r="X74" s="106">
        <v>20.196299643281808</v>
      </c>
      <c r="Y74" s="106">
        <v>8143.1480161712252</v>
      </c>
      <c r="Z74" s="106">
        <v>27.237670494301682</v>
      </c>
      <c r="AA74" s="106">
        <v>10982.228743302438</v>
      </c>
      <c r="AB74" s="106">
        <v>13.455630360110803</v>
      </c>
      <c r="AC74" s="106">
        <v>5425.3101611966758</v>
      </c>
      <c r="AD74" s="106">
        <v>14</v>
      </c>
      <c r="AE74" s="106">
        <v>5644.8</v>
      </c>
      <c r="AF74" s="106">
        <v>17.698789530438191</v>
      </c>
      <c r="AG74" s="106">
        <v>7136.1519386726786</v>
      </c>
      <c r="AH74" s="106">
        <v>9.4223284989155811</v>
      </c>
      <c r="AI74" s="106">
        <v>3799.0828507627621</v>
      </c>
      <c r="AJ74" s="106">
        <v>13</v>
      </c>
      <c r="AK74" s="106">
        <v>5241.5999999999995</v>
      </c>
      <c r="AL74" s="106">
        <v>10.3068915910196</v>
      </c>
      <c r="AM74" s="106">
        <v>4155.7386894991023</v>
      </c>
      <c r="AN74" s="106">
        <v>13.487164429619547</v>
      </c>
      <c r="AO74" s="106">
        <v>5438.0246980226011</v>
      </c>
      <c r="AP74" s="106">
        <v>14</v>
      </c>
      <c r="AQ74" s="106">
        <v>5644.8</v>
      </c>
      <c r="AR74" s="106">
        <v>21</v>
      </c>
      <c r="AS74" s="106">
        <v>8467.1999999999989</v>
      </c>
      <c r="AT74" s="106">
        <v>15.174701057505699</v>
      </c>
      <c r="AU74" s="106">
        <v>6118.4394663862977</v>
      </c>
      <c r="AV74" s="106">
        <v>15.878031665277838</v>
      </c>
      <c r="AW74" s="106">
        <v>6402.022367440024</v>
      </c>
      <c r="AX74" s="106">
        <v>22.032777777777778</v>
      </c>
      <c r="AY74" s="106">
        <v>8883.616</v>
      </c>
      <c r="AZ74" s="106">
        <v>3.3056827378887732</v>
      </c>
      <c r="BA74" s="106">
        <v>1332.8512799167534</v>
      </c>
      <c r="BB74" s="106">
        <v>4.2332735836463833</v>
      </c>
      <c r="BC74" s="106">
        <v>1706.8559089262217</v>
      </c>
      <c r="BD74" s="106">
        <v>5</v>
      </c>
      <c r="BE74" s="106">
        <v>2016</v>
      </c>
      <c r="BF74" s="106">
        <v>5.2988688827331485</v>
      </c>
      <c r="BG74" s="106">
        <v>2136.5039335180054</v>
      </c>
      <c r="BH74" s="106">
        <v>15</v>
      </c>
      <c r="BI74" s="106">
        <v>6048</v>
      </c>
      <c r="BJ74" s="106">
        <v>15</v>
      </c>
      <c r="BK74" s="106">
        <v>6048</v>
      </c>
      <c r="BL74" s="106">
        <v>10</v>
      </c>
      <c r="BM74" s="106">
        <v>4032</v>
      </c>
      <c r="BN74" s="106">
        <v>12</v>
      </c>
      <c r="BO74" s="106">
        <v>4838.3999999999996</v>
      </c>
      <c r="BP74" s="106">
        <v>5.2553537415419038</v>
      </c>
      <c r="BQ74" s="106">
        <v>2118.9586285896958</v>
      </c>
      <c r="BR74" s="106">
        <v>7.1728564258485736</v>
      </c>
      <c r="BS74" s="106">
        <v>2892.0957109021447</v>
      </c>
      <c r="BT74" s="106">
        <v>8</v>
      </c>
      <c r="BU74" s="106">
        <v>3225.6</v>
      </c>
      <c r="BV74" s="106">
        <v>5.2418939736559444</v>
      </c>
      <c r="BW74" s="106">
        <v>2113.5316501780767</v>
      </c>
      <c r="BX74" s="106">
        <v>6</v>
      </c>
      <c r="BY74" s="106">
        <v>2419.1999999999998</v>
      </c>
      <c r="BZ74" s="106">
        <v>8.749838753023381</v>
      </c>
      <c r="CA74" s="106">
        <v>3527.9349852190271</v>
      </c>
      <c r="CB74" s="106">
        <v>8.3566279999420168</v>
      </c>
      <c r="CC74" s="106">
        <v>3369.392409576621</v>
      </c>
      <c r="CD74" s="106">
        <v>7.3299092582644212</v>
      </c>
      <c r="CE74" s="106">
        <v>2955.4194129322145</v>
      </c>
      <c r="CF74" s="106">
        <v>18.329388888888889</v>
      </c>
      <c r="CG74" s="106">
        <v>7390.4096</v>
      </c>
      <c r="CH74" s="106">
        <v>14</v>
      </c>
      <c r="CI74" s="106">
        <v>5644.8</v>
      </c>
      <c r="CJ74" s="106">
        <v>12</v>
      </c>
      <c r="CK74" s="106">
        <v>4838.3999999999996</v>
      </c>
      <c r="CL74" s="106">
        <v>12.260512309573095</v>
      </c>
      <c r="CM74" s="106">
        <v>4943.4385632198719</v>
      </c>
      <c r="CN74" s="106">
        <v>7</v>
      </c>
      <c r="CO74" s="106">
        <v>2822.4</v>
      </c>
      <c r="CP74" s="106">
        <v>4</v>
      </c>
      <c r="CQ74" s="106">
        <v>1612.8</v>
      </c>
      <c r="CR74" s="106">
        <v>4</v>
      </c>
      <c r="CS74" s="106">
        <v>1612.8</v>
      </c>
      <c r="CT74" s="106">
        <v>5</v>
      </c>
      <c r="CU74" s="106">
        <v>2016</v>
      </c>
    </row>
    <row r="75" spans="2:99" x14ac:dyDescent="0.2">
      <c r="C75" s="105" t="s">
        <v>241</v>
      </c>
      <c r="D75" s="106">
        <v>9.0979124260880528</v>
      </c>
      <c r="E75" s="106">
        <v>5851.7772724598353</v>
      </c>
      <c r="F75" s="106">
        <v>11</v>
      </c>
      <c r="G75" s="106">
        <v>7075.1999999999989</v>
      </c>
      <c r="H75" s="106">
        <v>9.643574712215333</v>
      </c>
      <c r="I75" s="106">
        <v>6202.7472548969017</v>
      </c>
      <c r="J75" s="106">
        <v>8</v>
      </c>
      <c r="K75" s="106">
        <v>5145.5999999999995</v>
      </c>
      <c r="L75" s="106">
        <v>4.7458940329817612</v>
      </c>
      <c r="M75" s="106">
        <v>3052.5590420138683</v>
      </c>
      <c r="N75" s="106">
        <v>4</v>
      </c>
      <c r="O75" s="106">
        <v>2572.7999999999997</v>
      </c>
      <c r="P75" s="106">
        <v>5.5923392794708935</v>
      </c>
      <c r="Q75" s="106">
        <v>3596.9926245556785</v>
      </c>
      <c r="R75" s="106">
        <v>4.847323850047772</v>
      </c>
      <c r="S75" s="106">
        <v>3117.7987003507264</v>
      </c>
      <c r="T75" s="106">
        <v>34</v>
      </c>
      <c r="U75" s="106">
        <v>21868.799999999999</v>
      </c>
      <c r="V75" s="106">
        <v>29.557089973345228</v>
      </c>
      <c r="W75" s="106">
        <v>19011.120270855648</v>
      </c>
      <c r="X75" s="106">
        <v>18.196299643281808</v>
      </c>
      <c r="Y75" s="106">
        <v>11703.859930558858</v>
      </c>
      <c r="Z75" s="106">
        <v>29.237670494301682</v>
      </c>
      <c r="AA75" s="106">
        <v>18805.66966193484</v>
      </c>
      <c r="AB75" s="106">
        <v>11.455630360110803</v>
      </c>
      <c r="AC75" s="106">
        <v>7368.2614476232675</v>
      </c>
      <c r="AD75" s="106">
        <v>15</v>
      </c>
      <c r="AE75" s="106">
        <v>9647.9999999999982</v>
      </c>
      <c r="AF75" s="106">
        <v>16.648875992549751</v>
      </c>
      <c r="AG75" s="106">
        <v>10708.557038407998</v>
      </c>
      <c r="AH75" s="106">
        <v>10.422328498915581</v>
      </c>
      <c r="AI75" s="106">
        <v>6703.6416905025008</v>
      </c>
      <c r="AJ75" s="106">
        <v>14</v>
      </c>
      <c r="AK75" s="106">
        <v>9004.7999999999993</v>
      </c>
      <c r="AL75" s="106">
        <v>12.3068915910196</v>
      </c>
      <c r="AM75" s="106">
        <v>7915.7926713438055</v>
      </c>
      <c r="AN75" s="106">
        <v>12.524638616513359</v>
      </c>
      <c r="AO75" s="106">
        <v>8055.8475581413913</v>
      </c>
      <c r="AP75" s="106">
        <v>15</v>
      </c>
      <c r="AQ75" s="106">
        <v>9647.9999999999982</v>
      </c>
      <c r="AR75" s="106">
        <v>18</v>
      </c>
      <c r="AS75" s="106">
        <v>11577.599999999999</v>
      </c>
      <c r="AT75" s="106">
        <v>15.154376748557047</v>
      </c>
      <c r="AU75" s="106">
        <v>9747.2951246718912</v>
      </c>
      <c r="AV75" s="106">
        <v>14.878031665277838</v>
      </c>
      <c r="AW75" s="106">
        <v>9569.5499671067046</v>
      </c>
      <c r="AX75" s="106">
        <v>23.986876543209878</v>
      </c>
      <c r="AY75" s="106">
        <v>15428.358992592592</v>
      </c>
      <c r="AZ75" s="106">
        <v>3.3056827378887732</v>
      </c>
      <c r="BA75" s="106">
        <v>2126.2151370100587</v>
      </c>
      <c r="BB75" s="106">
        <v>4</v>
      </c>
      <c r="BC75" s="106">
        <v>2572.7999999999997</v>
      </c>
      <c r="BD75" s="106">
        <v>6</v>
      </c>
      <c r="BE75" s="106">
        <v>3859.2</v>
      </c>
      <c r="BF75" s="106">
        <v>5</v>
      </c>
      <c r="BG75" s="106">
        <v>3215.9999999999995</v>
      </c>
      <c r="BH75" s="106">
        <v>16</v>
      </c>
      <c r="BI75" s="106">
        <v>10291.199999999999</v>
      </c>
      <c r="BJ75" s="106">
        <v>14</v>
      </c>
      <c r="BK75" s="106">
        <v>9004.7999999999993</v>
      </c>
      <c r="BL75" s="106">
        <v>11</v>
      </c>
      <c r="BM75" s="106">
        <v>7075.1999999999989</v>
      </c>
      <c r="BN75" s="106">
        <v>12</v>
      </c>
      <c r="BO75" s="106">
        <v>7718.4</v>
      </c>
      <c r="BP75" s="106">
        <v>6.2357111460386809</v>
      </c>
      <c r="BQ75" s="106">
        <v>4010.8094091320791</v>
      </c>
      <c r="BR75" s="106">
        <v>6.1728564258485736</v>
      </c>
      <c r="BS75" s="106">
        <v>3970.381253105802</v>
      </c>
      <c r="BT75" s="106">
        <v>9</v>
      </c>
      <c r="BU75" s="106">
        <v>5788.7999999999993</v>
      </c>
      <c r="BV75" s="106">
        <v>4.2217361425179494</v>
      </c>
      <c r="BW75" s="106">
        <v>2715.4206868675446</v>
      </c>
      <c r="BX75" s="106">
        <v>5</v>
      </c>
      <c r="BY75" s="106">
        <v>3215.9999999999995</v>
      </c>
      <c r="BZ75" s="106">
        <v>8.8682343456060195</v>
      </c>
      <c r="CA75" s="106">
        <v>5704.0483310937916</v>
      </c>
      <c r="CB75" s="106">
        <v>8.3343387499456405</v>
      </c>
      <c r="CC75" s="106">
        <v>5360.6466839650357</v>
      </c>
      <c r="CD75" s="106">
        <v>6.3299092582644212</v>
      </c>
      <c r="CE75" s="106">
        <v>4071.3976349156751</v>
      </c>
      <c r="CF75" s="106">
        <v>18.299444444444443</v>
      </c>
      <c r="CG75" s="106">
        <v>11770.202666666664</v>
      </c>
      <c r="CH75" s="106">
        <v>14</v>
      </c>
      <c r="CI75" s="106">
        <v>9004.7999999999993</v>
      </c>
      <c r="CJ75" s="106">
        <v>12</v>
      </c>
      <c r="CK75" s="106">
        <v>7718.4</v>
      </c>
      <c r="CL75" s="106">
        <v>11.260512309573095</v>
      </c>
      <c r="CM75" s="106">
        <v>7242.7615175174133</v>
      </c>
      <c r="CN75" s="106">
        <v>7</v>
      </c>
      <c r="CO75" s="106">
        <v>4502.3999999999996</v>
      </c>
      <c r="CP75" s="106">
        <v>4</v>
      </c>
      <c r="CQ75" s="106">
        <v>2572.7999999999997</v>
      </c>
      <c r="CR75" s="106">
        <v>4</v>
      </c>
      <c r="CS75" s="106">
        <v>2572.7999999999997</v>
      </c>
      <c r="CT75" s="106">
        <v>5</v>
      </c>
      <c r="CU75" s="106">
        <v>3215.9999999999995</v>
      </c>
    </row>
    <row r="76" spans="2:99" x14ac:dyDescent="0.2">
      <c r="C76" s="105" t="s">
        <v>242</v>
      </c>
      <c r="D76" s="106">
        <v>9.0501771032146596</v>
      </c>
      <c r="E76" s="106">
        <v>7048.2779279835768</v>
      </c>
      <c r="F76" s="106">
        <v>10</v>
      </c>
      <c r="G76" s="106">
        <v>7788</v>
      </c>
      <c r="H76" s="106">
        <v>9.6097023589408419</v>
      </c>
      <c r="I76" s="106">
        <v>7484.0361971431275</v>
      </c>
      <c r="J76" s="106">
        <v>8</v>
      </c>
      <c r="K76" s="106">
        <v>6230.4</v>
      </c>
      <c r="L76" s="106">
        <v>3.7103752695064394</v>
      </c>
      <c r="M76" s="106">
        <v>2889.6402598916147</v>
      </c>
      <c r="N76" s="106">
        <v>4</v>
      </c>
      <c r="O76" s="106">
        <v>3115.2</v>
      </c>
      <c r="P76" s="106">
        <v>5.5310628022842492</v>
      </c>
      <c r="Q76" s="106">
        <v>4307.591710418973</v>
      </c>
      <c r="R76" s="106">
        <v>4.8190797217128472</v>
      </c>
      <c r="S76" s="106">
        <v>3753.0992872699653</v>
      </c>
      <c r="T76" s="106">
        <v>35</v>
      </c>
      <c r="U76" s="106">
        <v>27258</v>
      </c>
      <c r="V76" s="106">
        <v>32.584944472012488</v>
      </c>
      <c r="W76" s="106">
        <v>25377.154754803323</v>
      </c>
      <c r="X76" s="106">
        <v>19.196299643281808</v>
      </c>
      <c r="Y76" s="106">
        <v>14950.07816218787</v>
      </c>
      <c r="Z76" s="106">
        <v>29.254646958180373</v>
      </c>
      <c r="AA76" s="106">
        <v>22783.519051030875</v>
      </c>
      <c r="AB76" s="106">
        <v>12.531568753462604</v>
      </c>
      <c r="AC76" s="106">
        <v>9759.5857451966749</v>
      </c>
      <c r="AD76" s="106">
        <v>14</v>
      </c>
      <c r="AE76" s="106">
        <v>10903.199999999999</v>
      </c>
      <c r="AF76" s="106">
        <v>16.648875992549751</v>
      </c>
      <c r="AG76" s="106">
        <v>12966.144622997745</v>
      </c>
      <c r="AH76" s="106">
        <v>9.3455414991127483</v>
      </c>
      <c r="AI76" s="106">
        <v>7278.3077195090082</v>
      </c>
      <c r="AJ76" s="106">
        <v>15</v>
      </c>
      <c r="AK76" s="106">
        <v>11682</v>
      </c>
      <c r="AL76" s="106">
        <v>12.327351030420907</v>
      </c>
      <c r="AM76" s="106">
        <v>9600.5409824918024</v>
      </c>
      <c r="AN76" s="106">
        <v>14.562112803407171</v>
      </c>
      <c r="AO76" s="106">
        <v>11340.973451293505</v>
      </c>
      <c r="AP76" s="106">
        <v>16</v>
      </c>
      <c r="AQ76" s="106">
        <v>12460.8</v>
      </c>
      <c r="AR76" s="106">
        <v>18</v>
      </c>
      <c r="AS76" s="106">
        <v>14018.4</v>
      </c>
      <c r="AT76" s="106">
        <v>13.971457968019184</v>
      </c>
      <c r="AU76" s="106">
        <v>10880.97146549334</v>
      </c>
      <c r="AV76" s="106">
        <v>15.8375071268804</v>
      </c>
      <c r="AW76" s="106">
        <v>12334.250550414456</v>
      </c>
      <c r="AX76" s="106">
        <v>20.055728395061728</v>
      </c>
      <c r="AY76" s="106">
        <v>15619.401274074073</v>
      </c>
      <c r="AZ76" s="106">
        <v>3.3056827378887732</v>
      </c>
      <c r="BA76" s="106">
        <v>2574.4657162677763</v>
      </c>
      <c r="BB76" s="106">
        <v>4</v>
      </c>
      <c r="BC76" s="106">
        <v>3115.2</v>
      </c>
      <c r="BD76" s="106">
        <v>6</v>
      </c>
      <c r="BE76" s="106">
        <v>4672.7999999999993</v>
      </c>
      <c r="BF76" s="106">
        <v>5.2988688827331485</v>
      </c>
      <c r="BG76" s="106">
        <v>4126.7590858725762</v>
      </c>
      <c r="BH76" s="106">
        <v>15</v>
      </c>
      <c r="BI76" s="106">
        <v>11682</v>
      </c>
      <c r="BJ76" s="106">
        <v>15</v>
      </c>
      <c r="BK76" s="106">
        <v>11682</v>
      </c>
      <c r="BL76" s="106">
        <v>10</v>
      </c>
      <c r="BM76" s="106">
        <v>7788</v>
      </c>
      <c r="BN76" s="106">
        <v>10</v>
      </c>
      <c r="BO76" s="106">
        <v>7788</v>
      </c>
      <c r="BP76" s="106">
        <v>6.2160685505354571</v>
      </c>
      <c r="BQ76" s="106">
        <v>4841.0741871570135</v>
      </c>
      <c r="BR76" s="106">
        <v>7.1728564258485736</v>
      </c>
      <c r="BS76" s="106">
        <v>5586.220584450869</v>
      </c>
      <c r="BT76" s="106">
        <v>8</v>
      </c>
      <c r="BU76" s="106">
        <v>6230.4</v>
      </c>
      <c r="BV76" s="106">
        <v>4.2418939736559444</v>
      </c>
      <c r="BW76" s="106">
        <v>3303.5870266832494</v>
      </c>
      <c r="BX76" s="106">
        <v>5</v>
      </c>
      <c r="BY76" s="106">
        <v>3894</v>
      </c>
      <c r="BZ76" s="106">
        <v>7.8682343456060204</v>
      </c>
      <c r="CA76" s="106">
        <v>6127.7809083579687</v>
      </c>
      <c r="CB76" s="106">
        <v>8.3343387499456405</v>
      </c>
      <c r="CC76" s="106">
        <v>6490.7830184576642</v>
      </c>
      <c r="CD76" s="106">
        <v>6.3299092582644212</v>
      </c>
      <c r="CE76" s="106">
        <v>4929.7333303363312</v>
      </c>
      <c r="CF76" s="106">
        <v>20.329388888888889</v>
      </c>
      <c r="CG76" s="106">
        <v>15832.528066666666</v>
      </c>
      <c r="CH76" s="106">
        <v>14</v>
      </c>
      <c r="CI76" s="106">
        <v>10903.199999999999</v>
      </c>
      <c r="CJ76" s="106">
        <v>10</v>
      </c>
      <c r="CK76" s="106">
        <v>7788</v>
      </c>
      <c r="CL76" s="106">
        <v>11.293076348269731</v>
      </c>
      <c r="CM76" s="106">
        <v>8795.0478600324659</v>
      </c>
      <c r="CN76" s="106">
        <v>7</v>
      </c>
      <c r="CO76" s="106">
        <v>5451.5999999999995</v>
      </c>
      <c r="CP76" s="106">
        <v>4</v>
      </c>
      <c r="CQ76" s="106">
        <v>3115.2</v>
      </c>
      <c r="CR76" s="106">
        <v>4</v>
      </c>
      <c r="CS76" s="106">
        <v>3115.2</v>
      </c>
      <c r="CT76" s="106">
        <v>5</v>
      </c>
      <c r="CU76" s="106">
        <v>3894</v>
      </c>
    </row>
    <row r="77" spans="2:99" x14ac:dyDescent="0.2">
      <c r="C77" s="105" t="s">
        <v>243</v>
      </c>
      <c r="D77" s="106">
        <v>9.0979124260880528</v>
      </c>
      <c r="E77" s="106">
        <v>2532.8588194229137</v>
      </c>
      <c r="F77" s="106">
        <v>10</v>
      </c>
      <c r="G77" s="106">
        <v>2784</v>
      </c>
      <c r="H77" s="106">
        <v>11.711319418764315</v>
      </c>
      <c r="I77" s="106">
        <v>3260.4313261839852</v>
      </c>
      <c r="J77" s="106">
        <v>7</v>
      </c>
      <c r="K77" s="106">
        <v>1948.7999999999997</v>
      </c>
      <c r="L77" s="106">
        <v>3.8524503234077265</v>
      </c>
      <c r="M77" s="106">
        <v>1072.522170036711</v>
      </c>
      <c r="N77" s="106">
        <v>5</v>
      </c>
      <c r="O77" s="106">
        <v>1392</v>
      </c>
      <c r="P77" s="106">
        <v>6.5310628022842492</v>
      </c>
      <c r="Q77" s="106">
        <v>1818.2478841559348</v>
      </c>
      <c r="R77" s="106">
        <v>4.9038121067176244</v>
      </c>
      <c r="S77" s="106">
        <v>1365.2212905101865</v>
      </c>
      <c r="T77" s="106">
        <v>35</v>
      </c>
      <c r="U77" s="106">
        <v>9744</v>
      </c>
      <c r="V77" s="106">
        <v>35.696362466681535</v>
      </c>
      <c r="W77" s="106">
        <v>9937.8673107241393</v>
      </c>
      <c r="X77" s="106">
        <v>20.196299643281808</v>
      </c>
      <c r="Y77" s="106">
        <v>5622.6498206896549</v>
      </c>
      <c r="Z77" s="106">
        <v>26.237670494301682</v>
      </c>
      <c r="AA77" s="106">
        <v>7304.567465613588</v>
      </c>
      <c r="AB77" s="106">
        <v>12.531568753462604</v>
      </c>
      <c r="AC77" s="106">
        <v>3488.7887409639889</v>
      </c>
      <c r="AD77" s="106">
        <v>14</v>
      </c>
      <c r="AE77" s="106">
        <v>3897.5999999999995</v>
      </c>
      <c r="AF77" s="106">
        <v>18.598962454661308</v>
      </c>
      <c r="AG77" s="106">
        <v>5177.9511473777075</v>
      </c>
      <c r="AH77" s="106">
        <v>9.3839349990141638</v>
      </c>
      <c r="AI77" s="106">
        <v>2612.4875037255429</v>
      </c>
      <c r="AJ77" s="106">
        <v>13</v>
      </c>
      <c r="AK77" s="106">
        <v>3619.2</v>
      </c>
      <c r="AL77" s="106">
        <v>12.286432151618293</v>
      </c>
      <c r="AM77" s="106">
        <v>3420.5427110105325</v>
      </c>
      <c r="AN77" s="106">
        <v>13.562112803407171</v>
      </c>
      <c r="AO77" s="106">
        <v>3775.6922044685562</v>
      </c>
      <c r="AP77" s="106">
        <v>17</v>
      </c>
      <c r="AQ77" s="106">
        <v>4732.7999999999993</v>
      </c>
      <c r="AR77" s="106">
        <v>19</v>
      </c>
      <c r="AS77" s="106">
        <v>5289.5999999999995</v>
      </c>
      <c r="AT77" s="106">
        <v>13.195025366454349</v>
      </c>
      <c r="AU77" s="106">
        <v>3673.4950620208906</v>
      </c>
      <c r="AV77" s="106">
        <v>15.823998947414587</v>
      </c>
      <c r="AW77" s="106">
        <v>4405.4013069602206</v>
      </c>
      <c r="AX77" s="106">
        <v>21.055728395061728</v>
      </c>
      <c r="AY77" s="106">
        <v>5861.9147851851849</v>
      </c>
      <c r="AZ77" s="106">
        <v>3.3056827378887732</v>
      </c>
      <c r="BA77" s="106">
        <v>920.30207422823435</v>
      </c>
      <c r="BB77" s="106">
        <v>4</v>
      </c>
      <c r="BC77" s="106">
        <v>1113.5999999999999</v>
      </c>
      <c r="BD77" s="106">
        <v>6</v>
      </c>
      <c r="BE77" s="106">
        <v>1670.3999999999999</v>
      </c>
      <c r="BF77" s="106">
        <v>5</v>
      </c>
      <c r="BG77" s="106">
        <v>1392</v>
      </c>
      <c r="BH77" s="106">
        <v>14</v>
      </c>
      <c r="BI77" s="106">
        <v>3897.5999999999995</v>
      </c>
      <c r="BJ77" s="106">
        <v>16</v>
      </c>
      <c r="BK77" s="106">
        <v>4454.3999999999996</v>
      </c>
      <c r="BL77" s="106">
        <v>10</v>
      </c>
      <c r="BM77" s="106">
        <v>2784</v>
      </c>
      <c r="BN77" s="106">
        <v>12</v>
      </c>
      <c r="BO77" s="106">
        <v>3340.7999999999997</v>
      </c>
      <c r="BP77" s="106">
        <v>6.2160685505354571</v>
      </c>
      <c r="BQ77" s="106">
        <v>1730.5534844690712</v>
      </c>
      <c r="BR77" s="106">
        <v>7.1728564258485736</v>
      </c>
      <c r="BS77" s="106">
        <v>1996.9232289562428</v>
      </c>
      <c r="BT77" s="106">
        <v>8</v>
      </c>
      <c r="BU77" s="106">
        <v>2227.1999999999998</v>
      </c>
      <c r="BV77" s="106">
        <v>5.2418939736559444</v>
      </c>
      <c r="BW77" s="106">
        <v>1459.3432822658149</v>
      </c>
      <c r="BX77" s="106">
        <v>6</v>
      </c>
      <c r="BY77" s="106">
        <v>1670.3999999999999</v>
      </c>
      <c r="BZ77" s="106">
        <v>8.749838753023381</v>
      </c>
      <c r="CA77" s="106">
        <v>2435.9551088417093</v>
      </c>
      <c r="CB77" s="106">
        <v>9.3120494999492642</v>
      </c>
      <c r="CC77" s="106">
        <v>2592.4745807858749</v>
      </c>
      <c r="CD77" s="106">
        <v>7.3464047211776418</v>
      </c>
      <c r="CE77" s="106">
        <v>2045.2390743758554</v>
      </c>
      <c r="CF77" s="106">
        <v>20.329388888888889</v>
      </c>
      <c r="CG77" s="106">
        <v>5659.7018666666663</v>
      </c>
      <c r="CH77" s="106">
        <v>12</v>
      </c>
      <c r="CI77" s="106">
        <v>3340.7999999999997</v>
      </c>
      <c r="CJ77" s="106">
        <v>10</v>
      </c>
      <c r="CK77" s="106">
        <v>2784</v>
      </c>
      <c r="CL77" s="106">
        <v>11.293076348269731</v>
      </c>
      <c r="CM77" s="106">
        <v>3143.9924553582928</v>
      </c>
      <c r="CN77" s="106">
        <v>7</v>
      </c>
      <c r="CO77" s="106">
        <v>1948.7999999999997</v>
      </c>
      <c r="CP77" s="106">
        <v>4</v>
      </c>
      <c r="CQ77" s="106">
        <v>1113.5999999999999</v>
      </c>
      <c r="CR77" s="106">
        <v>4</v>
      </c>
      <c r="CS77" s="106">
        <v>1113.5999999999999</v>
      </c>
      <c r="CT77" s="106">
        <v>6</v>
      </c>
      <c r="CU77" s="106">
        <v>1670.3999999999999</v>
      </c>
    </row>
    <row r="78" spans="2:99" x14ac:dyDescent="0.2">
      <c r="C78" s="105" t="s">
        <v>244</v>
      </c>
      <c r="D78" s="106">
        <v>9.0979124260880528</v>
      </c>
      <c r="E78" s="106">
        <v>5022.0476592006053</v>
      </c>
      <c r="F78" s="106">
        <v>10</v>
      </c>
      <c r="G78" s="106">
        <v>5520</v>
      </c>
      <c r="H78" s="106">
        <v>9.5758300056663508</v>
      </c>
      <c r="I78" s="106">
        <v>5285.8581631278257</v>
      </c>
      <c r="J78" s="106">
        <v>7</v>
      </c>
      <c r="K78" s="106">
        <v>3864</v>
      </c>
      <c r="L78" s="106">
        <v>3.8879690868830488</v>
      </c>
      <c r="M78" s="106">
        <v>2146.1589359594427</v>
      </c>
      <c r="N78" s="106">
        <v>5</v>
      </c>
      <c r="O78" s="106">
        <v>2760</v>
      </c>
      <c r="P78" s="106">
        <v>5.5923392794708935</v>
      </c>
      <c r="Q78" s="106">
        <v>3086.971282267933</v>
      </c>
      <c r="R78" s="106">
        <v>4.9038121067176244</v>
      </c>
      <c r="S78" s="106">
        <v>2706.9042829081286</v>
      </c>
      <c r="T78" s="106">
        <v>34</v>
      </c>
      <c r="U78" s="106">
        <v>18768</v>
      </c>
      <c r="V78" s="106">
        <v>32.584944472012488</v>
      </c>
      <c r="W78" s="106">
        <v>17986.889348550892</v>
      </c>
      <c r="X78" s="106">
        <v>21.168256837098692</v>
      </c>
      <c r="Y78" s="106">
        <v>11684.877774078477</v>
      </c>
      <c r="Z78" s="106">
        <v>29.22069403042299</v>
      </c>
      <c r="AA78" s="106">
        <v>16129.823104793491</v>
      </c>
      <c r="AB78" s="106">
        <v>13.455630360110803</v>
      </c>
      <c r="AC78" s="106">
        <v>7427.5079587811633</v>
      </c>
      <c r="AD78" s="106">
        <v>14</v>
      </c>
      <c r="AE78" s="106">
        <v>7728</v>
      </c>
      <c r="AF78" s="106">
        <v>15.598962454661308</v>
      </c>
      <c r="AG78" s="106">
        <v>8610.6272749730415</v>
      </c>
      <c r="AH78" s="106">
        <v>9.3839349990141638</v>
      </c>
      <c r="AI78" s="106">
        <v>5179.9321194558188</v>
      </c>
      <c r="AJ78" s="106">
        <v>14</v>
      </c>
      <c r="AK78" s="106">
        <v>7728</v>
      </c>
      <c r="AL78" s="106">
        <v>11.347810469822212</v>
      </c>
      <c r="AM78" s="106">
        <v>6263.9913793418609</v>
      </c>
      <c r="AN78" s="106">
        <v>15.562112803407171</v>
      </c>
      <c r="AO78" s="106">
        <v>8590.2862674807584</v>
      </c>
      <c r="AP78" s="106">
        <v>17</v>
      </c>
      <c r="AQ78" s="106">
        <v>9384</v>
      </c>
      <c r="AR78" s="106">
        <v>19</v>
      </c>
      <c r="AS78" s="106">
        <v>10488</v>
      </c>
      <c r="AT78" s="106">
        <v>14.971457968019184</v>
      </c>
      <c r="AU78" s="106">
        <v>8264.24479834659</v>
      </c>
      <c r="AV78" s="106">
        <v>15.864523485812025</v>
      </c>
      <c r="AW78" s="106">
        <v>8757.2169641682376</v>
      </c>
      <c r="AX78" s="106">
        <v>22.952450617283951</v>
      </c>
      <c r="AY78" s="106">
        <v>12669.752740740742</v>
      </c>
      <c r="AZ78" s="106">
        <v>3.2717179892344652</v>
      </c>
      <c r="BA78" s="106">
        <v>1805.9883300574247</v>
      </c>
      <c r="BB78" s="106">
        <v>4</v>
      </c>
      <c r="BC78" s="106">
        <v>2208</v>
      </c>
      <c r="BD78" s="106">
        <v>5</v>
      </c>
      <c r="BE78" s="106">
        <v>2760</v>
      </c>
      <c r="BF78" s="106">
        <v>6.2988688827331485</v>
      </c>
      <c r="BG78" s="106">
        <v>3476.9756232686977</v>
      </c>
      <c r="BH78" s="106">
        <v>14</v>
      </c>
      <c r="BI78" s="106">
        <v>7728</v>
      </c>
      <c r="BJ78" s="106">
        <v>14</v>
      </c>
      <c r="BK78" s="106">
        <v>7728</v>
      </c>
      <c r="BL78" s="106">
        <v>9</v>
      </c>
      <c r="BM78" s="106">
        <v>4968</v>
      </c>
      <c r="BN78" s="106">
        <v>12</v>
      </c>
      <c r="BO78" s="106">
        <v>6624</v>
      </c>
      <c r="BP78" s="106">
        <v>6.2160685505354571</v>
      </c>
      <c r="BQ78" s="106">
        <v>3431.2698398955722</v>
      </c>
      <c r="BR78" s="106">
        <v>6.1944634790796451</v>
      </c>
      <c r="BS78" s="106">
        <v>3419.3438404519643</v>
      </c>
      <c r="BT78" s="106">
        <v>9</v>
      </c>
      <c r="BU78" s="106">
        <v>4968</v>
      </c>
      <c r="BV78" s="106">
        <v>5.2418939736559444</v>
      </c>
      <c r="BW78" s="106">
        <v>2893.5254734580813</v>
      </c>
      <c r="BX78" s="106">
        <v>6</v>
      </c>
      <c r="BY78" s="106">
        <v>3312</v>
      </c>
      <c r="BZ78" s="106">
        <v>8.7893039505509272</v>
      </c>
      <c r="CA78" s="106">
        <v>4851.6957807041117</v>
      </c>
      <c r="CB78" s="106">
        <v>8.3343387499456405</v>
      </c>
      <c r="CC78" s="106">
        <v>4600.5549899699936</v>
      </c>
      <c r="CD78" s="106">
        <v>6.3134137953511997</v>
      </c>
      <c r="CE78" s="106">
        <v>3485.0044150338622</v>
      </c>
      <c r="CF78" s="106">
        <v>21.299444444444443</v>
      </c>
      <c r="CG78" s="106">
        <v>11757.293333333333</v>
      </c>
      <c r="CH78" s="106">
        <v>14</v>
      </c>
      <c r="CI78" s="106">
        <v>7728</v>
      </c>
      <c r="CJ78" s="106">
        <v>11</v>
      </c>
      <c r="CK78" s="106">
        <v>6072</v>
      </c>
      <c r="CL78" s="106">
        <v>12.260512309573095</v>
      </c>
      <c r="CM78" s="106">
        <v>6767.8027948843483</v>
      </c>
      <c r="CN78" s="106">
        <v>8</v>
      </c>
      <c r="CO78" s="106">
        <v>4416</v>
      </c>
      <c r="CP78" s="106">
        <v>4</v>
      </c>
      <c r="CQ78" s="106">
        <v>2208</v>
      </c>
      <c r="CR78" s="106">
        <v>4</v>
      </c>
      <c r="CS78" s="106">
        <v>2208</v>
      </c>
      <c r="CT78" s="106">
        <v>5</v>
      </c>
      <c r="CU78" s="106">
        <v>2760</v>
      </c>
    </row>
    <row r="79" spans="2:99" x14ac:dyDescent="0.2">
      <c r="C79" s="105" t="s">
        <v>245</v>
      </c>
      <c r="D79" s="106">
        <v>8.9547064574678714</v>
      </c>
      <c r="E79" s="106">
        <v>6780.5037295946713</v>
      </c>
      <c r="F79" s="106">
        <v>10</v>
      </c>
      <c r="G79" s="106">
        <v>7571.9999999999991</v>
      </c>
      <c r="H79" s="106">
        <v>10.575830005666351</v>
      </c>
      <c r="I79" s="106">
        <v>8008.0184802905605</v>
      </c>
      <c r="J79" s="106">
        <v>7</v>
      </c>
      <c r="K79" s="106">
        <v>5300.4</v>
      </c>
      <c r="L79" s="106">
        <v>4.8169315599324047</v>
      </c>
      <c r="M79" s="106">
        <v>3647.3805771808165</v>
      </c>
      <c r="N79" s="106">
        <v>5</v>
      </c>
      <c r="O79" s="106">
        <v>3785.9999999999995</v>
      </c>
      <c r="P79" s="106">
        <v>5.5923392794708935</v>
      </c>
      <c r="Q79" s="106">
        <v>4234.5193024153605</v>
      </c>
      <c r="R79" s="106">
        <v>5.9038121067176244</v>
      </c>
      <c r="S79" s="106">
        <v>4470.3665272065846</v>
      </c>
      <c r="T79" s="106">
        <v>35</v>
      </c>
      <c r="U79" s="106">
        <v>26501.999999999996</v>
      </c>
      <c r="V79" s="106">
        <v>28.668507968014275</v>
      </c>
      <c r="W79" s="106">
        <v>21707.794233380406</v>
      </c>
      <c r="X79" s="106">
        <v>19.196299643281808</v>
      </c>
      <c r="Y79" s="106">
        <v>14535.438089892983</v>
      </c>
      <c r="Z79" s="106">
        <v>27.237670494301682</v>
      </c>
      <c r="AA79" s="106">
        <v>20624.36409828523</v>
      </c>
      <c r="AB79" s="106">
        <v>11.493599556786704</v>
      </c>
      <c r="AC79" s="106">
        <v>8702.9535843988906</v>
      </c>
      <c r="AD79" s="106">
        <v>15</v>
      </c>
      <c r="AE79" s="106">
        <v>11357.999999999998</v>
      </c>
      <c r="AF79" s="106">
        <v>17.648875992549751</v>
      </c>
      <c r="AG79" s="106">
        <v>13363.72890155867</v>
      </c>
      <c r="AH79" s="106">
        <v>9.3455414991127483</v>
      </c>
      <c r="AI79" s="106">
        <v>7076.4440231281724</v>
      </c>
      <c r="AJ79" s="106">
        <v>14</v>
      </c>
      <c r="AK79" s="106">
        <v>10600.8</v>
      </c>
      <c r="AL79" s="106">
        <v>11.286432151618293</v>
      </c>
      <c r="AM79" s="106">
        <v>8546.0864252053707</v>
      </c>
      <c r="AN79" s="106">
        <v>14.562112803407171</v>
      </c>
      <c r="AO79" s="106">
        <v>11026.431814739908</v>
      </c>
      <c r="AP79" s="106">
        <v>14</v>
      </c>
      <c r="AQ79" s="106">
        <v>10600.8</v>
      </c>
      <c r="AR79" s="106">
        <v>22</v>
      </c>
      <c r="AS79" s="106">
        <v>16658.399999999998</v>
      </c>
      <c r="AT79" s="106">
        <v>14.05275520381379</v>
      </c>
      <c r="AU79" s="106">
        <v>10640.7462403278</v>
      </c>
      <c r="AV79" s="106">
        <v>14.864523485812025</v>
      </c>
      <c r="AW79" s="106">
        <v>11255.417183456864</v>
      </c>
      <c r="AX79" s="106">
        <v>23.078679012345678</v>
      </c>
      <c r="AY79" s="106">
        <v>17475.175748148147</v>
      </c>
      <c r="AZ79" s="106">
        <v>3.2717179892344652</v>
      </c>
      <c r="BA79" s="106">
        <v>2477.3448614483368</v>
      </c>
      <c r="BB79" s="106">
        <v>4</v>
      </c>
      <c r="BC79" s="106">
        <v>3028.7999999999997</v>
      </c>
      <c r="BD79" s="106">
        <v>6</v>
      </c>
      <c r="BE79" s="106">
        <v>4543.2</v>
      </c>
      <c r="BF79" s="106">
        <v>5.2988688827331485</v>
      </c>
      <c r="BG79" s="106">
        <v>4012.3035180055399</v>
      </c>
      <c r="BH79" s="106">
        <v>13</v>
      </c>
      <c r="BI79" s="106">
        <v>9843.5999999999985</v>
      </c>
      <c r="BJ79" s="106">
        <v>14</v>
      </c>
      <c r="BK79" s="106">
        <v>10600.8</v>
      </c>
      <c r="BL79" s="106">
        <v>10</v>
      </c>
      <c r="BM79" s="106">
        <v>7571.9999999999991</v>
      </c>
      <c r="BN79" s="106">
        <v>12</v>
      </c>
      <c r="BO79" s="106">
        <v>9086.4</v>
      </c>
      <c r="BP79" s="106">
        <v>6.2357111460386809</v>
      </c>
      <c r="BQ79" s="106">
        <v>4721.6804797804889</v>
      </c>
      <c r="BR79" s="106">
        <v>6.1728564258485736</v>
      </c>
      <c r="BS79" s="106">
        <v>4674.0868856525394</v>
      </c>
      <c r="BT79" s="106">
        <v>9</v>
      </c>
      <c r="BU79" s="106">
        <v>6814.7999999999993</v>
      </c>
      <c r="BV79" s="106">
        <v>5.2015783113799534</v>
      </c>
      <c r="BW79" s="106">
        <v>3938.6350973769004</v>
      </c>
      <c r="BX79" s="106">
        <v>6</v>
      </c>
      <c r="BY79" s="106">
        <v>4543.2</v>
      </c>
      <c r="BZ79" s="106">
        <v>9.749838753023381</v>
      </c>
      <c r="CA79" s="106">
        <v>7382.5779037893035</v>
      </c>
      <c r="CB79" s="106">
        <v>8.289760249952888</v>
      </c>
      <c r="CC79" s="106">
        <v>6277.0064612643264</v>
      </c>
      <c r="CD79" s="106">
        <v>6.2969183324379792</v>
      </c>
      <c r="CE79" s="106">
        <v>4768.0265613220372</v>
      </c>
      <c r="CF79" s="106">
        <v>19.329388888888889</v>
      </c>
      <c r="CG79" s="106">
        <v>14636.213266666666</v>
      </c>
      <c r="CH79" s="106">
        <v>12</v>
      </c>
      <c r="CI79" s="106">
        <v>9086.4</v>
      </c>
      <c r="CJ79" s="106">
        <v>11</v>
      </c>
      <c r="CK79" s="106">
        <v>8329.1999999999989</v>
      </c>
      <c r="CL79" s="106">
        <v>10.260512309573095</v>
      </c>
      <c r="CM79" s="106">
        <v>7769.2599208087468</v>
      </c>
      <c r="CN79" s="106">
        <v>7</v>
      </c>
      <c r="CO79" s="106">
        <v>5300.4</v>
      </c>
      <c r="CP79" s="106">
        <v>4</v>
      </c>
      <c r="CQ79" s="106">
        <v>3028.7999999999997</v>
      </c>
      <c r="CR79" s="106">
        <v>4</v>
      </c>
      <c r="CS79" s="106">
        <v>3028.7999999999997</v>
      </c>
      <c r="CT79" s="106">
        <v>5</v>
      </c>
      <c r="CU79" s="106">
        <v>3785.9999999999995</v>
      </c>
    </row>
    <row r="80" spans="2:99" x14ac:dyDescent="0.2">
      <c r="C80" s="105" t="s">
        <v>246</v>
      </c>
      <c r="D80" s="106">
        <v>8.0024417803412646</v>
      </c>
      <c r="E80" s="106">
        <v>6443.5661215307855</v>
      </c>
      <c r="F80" s="106">
        <v>11</v>
      </c>
      <c r="G80" s="106">
        <v>8857.1999999999989</v>
      </c>
      <c r="H80" s="106">
        <v>10.643574712215333</v>
      </c>
      <c r="I80" s="106">
        <v>8570.2063582757855</v>
      </c>
      <c r="J80" s="106">
        <v>7</v>
      </c>
      <c r="K80" s="106">
        <v>5636.4</v>
      </c>
      <c r="L80" s="106">
        <v>3.8524503234077265</v>
      </c>
      <c r="M80" s="106">
        <v>3101.993000407901</v>
      </c>
      <c r="N80" s="106">
        <v>4</v>
      </c>
      <c r="O80" s="106">
        <v>3220.7999999999997</v>
      </c>
      <c r="P80" s="106">
        <v>5.5719137870753457</v>
      </c>
      <c r="Q80" s="106">
        <v>4486.5049813530677</v>
      </c>
      <c r="R80" s="106">
        <v>4.9038121067176244</v>
      </c>
      <c r="S80" s="106">
        <v>3948.5495083290307</v>
      </c>
      <c r="T80" s="106">
        <v>31</v>
      </c>
      <c r="U80" s="106">
        <v>24961.199999999997</v>
      </c>
      <c r="V80" s="106">
        <v>29.640653469347011</v>
      </c>
      <c r="W80" s="106">
        <v>23866.654173518211</v>
      </c>
      <c r="X80" s="106">
        <v>18.196299643281808</v>
      </c>
      <c r="Y80" s="106">
        <v>14651.660472770511</v>
      </c>
      <c r="Z80" s="106">
        <v>28.254646958180373</v>
      </c>
      <c r="AA80" s="106">
        <v>22750.641730726835</v>
      </c>
      <c r="AB80" s="106">
        <v>12.417661163434904</v>
      </c>
      <c r="AC80" s="106">
        <v>9998.7007687977839</v>
      </c>
      <c r="AD80" s="106">
        <v>15</v>
      </c>
      <c r="AE80" s="106">
        <v>12077.999999999998</v>
      </c>
      <c r="AF80" s="106">
        <v>15.598962454661308</v>
      </c>
      <c r="AG80" s="106">
        <v>12560.284568493284</v>
      </c>
      <c r="AH80" s="106">
        <v>9.3455414991127483</v>
      </c>
      <c r="AI80" s="106">
        <v>7525.0300150855846</v>
      </c>
      <c r="AJ80" s="106">
        <v>14</v>
      </c>
      <c r="AK80" s="106">
        <v>11272.8</v>
      </c>
      <c r="AL80" s="106">
        <v>11.286432151618293</v>
      </c>
      <c r="AM80" s="106">
        <v>9087.8351684830486</v>
      </c>
      <c r="AN80" s="106">
        <v>14.487164429619547</v>
      </c>
      <c r="AO80" s="106">
        <v>11665.064798729658</v>
      </c>
      <c r="AP80" s="106">
        <v>13</v>
      </c>
      <c r="AQ80" s="106">
        <v>10467.599999999999</v>
      </c>
      <c r="AR80" s="106">
        <v>20</v>
      </c>
      <c r="AS80" s="106">
        <v>16103.999999999998</v>
      </c>
      <c r="AT80" s="106">
        <v>13.971457968019184</v>
      </c>
      <c r="AU80" s="106">
        <v>11249.817955849046</v>
      </c>
      <c r="AV80" s="106">
        <v>14.864523485812025</v>
      </c>
      <c r="AW80" s="106">
        <v>11968.914310775843</v>
      </c>
      <c r="AX80" s="106">
        <v>21.998351851851851</v>
      </c>
      <c r="AY80" s="106">
        <v>17713.07291111111</v>
      </c>
      <c r="AZ80" s="106">
        <v>3.2717179892344652</v>
      </c>
      <c r="BA80" s="106">
        <v>2634.3873249315911</v>
      </c>
      <c r="BB80" s="106">
        <v>4</v>
      </c>
      <c r="BC80" s="106">
        <v>3220.7999999999997</v>
      </c>
      <c r="BD80" s="106">
        <v>6</v>
      </c>
      <c r="BE80" s="106">
        <v>4831.2</v>
      </c>
      <c r="BF80" s="106">
        <v>5</v>
      </c>
      <c r="BG80" s="106">
        <v>4025.9999999999995</v>
      </c>
      <c r="BH80" s="106">
        <v>16</v>
      </c>
      <c r="BI80" s="106">
        <v>12883.199999999999</v>
      </c>
      <c r="BJ80" s="106">
        <v>13</v>
      </c>
      <c r="BK80" s="106">
        <v>10467.599999999999</v>
      </c>
      <c r="BL80" s="106">
        <v>10</v>
      </c>
      <c r="BM80" s="106">
        <v>8051.9999999999991</v>
      </c>
      <c r="BN80" s="106">
        <v>11</v>
      </c>
      <c r="BO80" s="106">
        <v>8857.1999999999989</v>
      </c>
      <c r="BP80" s="106">
        <v>6.2160685505354571</v>
      </c>
      <c r="BQ80" s="106">
        <v>5005.1783968911495</v>
      </c>
      <c r="BR80" s="106">
        <v>7.1728564258485736</v>
      </c>
      <c r="BS80" s="106">
        <v>5775.583994093271</v>
      </c>
      <c r="BT80" s="106">
        <v>8</v>
      </c>
      <c r="BU80" s="106">
        <v>6441.5999999999995</v>
      </c>
      <c r="BV80" s="106">
        <v>5.2418939736559444</v>
      </c>
      <c r="BW80" s="106">
        <v>4220.7730275877657</v>
      </c>
      <c r="BX80" s="106">
        <v>6</v>
      </c>
      <c r="BY80" s="106">
        <v>4831.2</v>
      </c>
      <c r="BZ80" s="106">
        <v>7.7103735554958348</v>
      </c>
      <c r="CA80" s="106">
        <v>6208.3927868852461</v>
      </c>
      <c r="CB80" s="106">
        <v>8.289760249952888</v>
      </c>
      <c r="CC80" s="106">
        <v>6674.914953262065</v>
      </c>
      <c r="CD80" s="106">
        <v>6.3629001840908632</v>
      </c>
      <c r="CE80" s="106">
        <v>5123.407228229963</v>
      </c>
      <c r="CF80" s="106">
        <v>18.329388888888889</v>
      </c>
      <c r="CG80" s="106">
        <v>14758.823933333333</v>
      </c>
      <c r="CH80" s="106">
        <v>12</v>
      </c>
      <c r="CI80" s="106">
        <v>9662.4</v>
      </c>
      <c r="CJ80" s="106">
        <v>11</v>
      </c>
      <c r="CK80" s="106">
        <v>8857.1999999999989</v>
      </c>
      <c r="CL80" s="106">
        <v>10.260512309573095</v>
      </c>
      <c r="CM80" s="106">
        <v>8261.7645116682543</v>
      </c>
      <c r="CN80" s="106">
        <v>7</v>
      </c>
      <c r="CO80" s="106">
        <v>5636.4</v>
      </c>
      <c r="CP80" s="106">
        <v>4</v>
      </c>
      <c r="CQ80" s="106">
        <v>3220.7999999999997</v>
      </c>
      <c r="CR80" s="106">
        <v>4</v>
      </c>
      <c r="CS80" s="106">
        <v>3220.7999999999997</v>
      </c>
      <c r="CT80" s="106">
        <v>5</v>
      </c>
      <c r="CU80" s="106">
        <v>4025.9999999999995</v>
      </c>
    </row>
    <row r="81" spans="2:99" x14ac:dyDescent="0.2">
      <c r="C81" s="105" t="s">
        <v>247</v>
      </c>
      <c r="D81" s="106">
        <v>8.1456477489614461</v>
      </c>
      <c r="E81" s="106">
        <v>6138.5601436173456</v>
      </c>
      <c r="F81" s="106">
        <v>9</v>
      </c>
      <c r="G81" s="106">
        <v>6782.4000000000005</v>
      </c>
      <c r="H81" s="106">
        <v>10.643574712215333</v>
      </c>
      <c r="I81" s="106">
        <v>8020.9979031254752</v>
      </c>
      <c r="J81" s="106">
        <v>7</v>
      </c>
      <c r="K81" s="106">
        <v>5275.2</v>
      </c>
      <c r="L81" s="106">
        <v>4.7458940329817612</v>
      </c>
      <c r="M81" s="106">
        <v>3576.5057432550552</v>
      </c>
      <c r="N81" s="106">
        <v>4</v>
      </c>
      <c r="O81" s="106">
        <v>3014.4</v>
      </c>
      <c r="P81" s="106">
        <v>5.5923392794708935</v>
      </c>
      <c r="Q81" s="106">
        <v>4214.3868810092654</v>
      </c>
      <c r="R81" s="106">
        <v>4.9038121067176244</v>
      </c>
      <c r="S81" s="106">
        <v>3695.5128036224019</v>
      </c>
      <c r="T81" s="106">
        <v>32</v>
      </c>
      <c r="U81" s="106">
        <v>24115.200000000001</v>
      </c>
      <c r="V81" s="106">
        <v>33.612798970679755</v>
      </c>
      <c r="W81" s="106">
        <v>25330.605304304263</v>
      </c>
      <c r="X81" s="106">
        <v>19.18227824019025</v>
      </c>
      <c r="Y81" s="106">
        <v>14455.764881807372</v>
      </c>
      <c r="Z81" s="106">
        <v>26.237670494301682</v>
      </c>
      <c r="AA81" s="106">
        <v>19772.708484505747</v>
      </c>
      <c r="AB81" s="106">
        <v>11.493599556786704</v>
      </c>
      <c r="AC81" s="106">
        <v>8661.5766259944594</v>
      </c>
      <c r="AD81" s="106">
        <v>14</v>
      </c>
      <c r="AE81" s="106">
        <v>10550.4</v>
      </c>
      <c r="AF81" s="106">
        <v>16.598962454661308</v>
      </c>
      <c r="AG81" s="106">
        <v>12508.978105832763</v>
      </c>
      <c r="AH81" s="106">
        <v>10.383934999014164</v>
      </c>
      <c r="AI81" s="106">
        <v>7825.3334152570742</v>
      </c>
      <c r="AJ81" s="106">
        <v>13</v>
      </c>
      <c r="AK81" s="106">
        <v>9796.8000000000011</v>
      </c>
      <c r="AL81" s="106">
        <v>11.327351030420907</v>
      </c>
      <c r="AM81" s="106">
        <v>8536.291736525196</v>
      </c>
      <c r="AN81" s="106">
        <v>13.562112803407171</v>
      </c>
      <c r="AO81" s="106">
        <v>10220.408208647645</v>
      </c>
      <c r="AP81" s="106">
        <v>16</v>
      </c>
      <c r="AQ81" s="106">
        <v>12057.6</v>
      </c>
      <c r="AR81" s="106">
        <v>20</v>
      </c>
      <c r="AS81" s="106">
        <v>15072</v>
      </c>
      <c r="AT81" s="106">
        <v>14.113728130659744</v>
      </c>
      <c r="AU81" s="106">
        <v>10636.105519265184</v>
      </c>
      <c r="AV81" s="106">
        <v>14.742949870619709</v>
      </c>
      <c r="AW81" s="106">
        <v>11110.287022499013</v>
      </c>
      <c r="AX81" s="106">
        <v>20.032777777777778</v>
      </c>
      <c r="AY81" s="106">
        <v>15096.701333333334</v>
      </c>
      <c r="AZ81" s="106">
        <v>3.2717179892344652</v>
      </c>
      <c r="BA81" s="106">
        <v>2465.5666766870931</v>
      </c>
      <c r="BB81" s="106">
        <v>4</v>
      </c>
      <c r="BC81" s="106">
        <v>3014.4</v>
      </c>
      <c r="BD81" s="106">
        <v>6.2851688138191282</v>
      </c>
      <c r="BE81" s="106">
        <v>4736.5032180940952</v>
      </c>
      <c r="BF81" s="106">
        <v>5.2988688827331485</v>
      </c>
      <c r="BG81" s="106">
        <v>3993.2275900277009</v>
      </c>
      <c r="BH81" s="106">
        <v>15</v>
      </c>
      <c r="BI81" s="106">
        <v>11304</v>
      </c>
      <c r="BJ81" s="106">
        <v>14</v>
      </c>
      <c r="BK81" s="106">
        <v>10550.4</v>
      </c>
      <c r="BL81" s="106">
        <v>11</v>
      </c>
      <c r="BM81" s="106">
        <v>8289.6</v>
      </c>
      <c r="BN81" s="106">
        <v>12</v>
      </c>
      <c r="BO81" s="106">
        <v>9043.2000000000007</v>
      </c>
      <c r="BP81" s="106">
        <v>5.2357111460386809</v>
      </c>
      <c r="BQ81" s="106">
        <v>3945.6319196547502</v>
      </c>
      <c r="BR81" s="106">
        <v>7.1728564258485736</v>
      </c>
      <c r="BS81" s="106">
        <v>5405.4646025194852</v>
      </c>
      <c r="BT81" s="106">
        <v>8</v>
      </c>
      <c r="BU81" s="106">
        <v>6028.8</v>
      </c>
      <c r="BV81" s="106">
        <v>5.2217361425179494</v>
      </c>
      <c r="BW81" s="106">
        <v>3935.1003570015268</v>
      </c>
      <c r="BX81" s="106">
        <v>6</v>
      </c>
      <c r="BY81" s="106">
        <v>4521.6000000000004</v>
      </c>
      <c r="BZ81" s="106">
        <v>8.8682343456060195</v>
      </c>
      <c r="CA81" s="106">
        <v>6683.1014028486961</v>
      </c>
      <c r="CB81" s="106">
        <v>7.3343387499456405</v>
      </c>
      <c r="CC81" s="106">
        <v>5527.1576819590346</v>
      </c>
      <c r="CD81" s="106">
        <v>6.3134137953511997</v>
      </c>
      <c r="CE81" s="106">
        <v>4757.7886361766641</v>
      </c>
      <c r="CF81" s="106">
        <v>17.329388888888889</v>
      </c>
      <c r="CG81" s="106">
        <v>13059.427466666668</v>
      </c>
      <c r="CH81" s="106">
        <v>12</v>
      </c>
      <c r="CI81" s="106">
        <v>9043.2000000000007</v>
      </c>
      <c r="CJ81" s="106">
        <v>11</v>
      </c>
      <c r="CK81" s="106">
        <v>8289.6</v>
      </c>
      <c r="CL81" s="106">
        <v>11.293076348269731</v>
      </c>
      <c r="CM81" s="106">
        <v>8510.462336056069</v>
      </c>
      <c r="CN81" s="106">
        <v>7</v>
      </c>
      <c r="CO81" s="106">
        <v>5275.2</v>
      </c>
      <c r="CP81" s="106">
        <v>4</v>
      </c>
      <c r="CQ81" s="106">
        <v>3014.4</v>
      </c>
      <c r="CR81" s="106">
        <v>4</v>
      </c>
      <c r="CS81" s="106">
        <v>3014.4</v>
      </c>
      <c r="CT81" s="106">
        <v>5</v>
      </c>
      <c r="CU81" s="106">
        <v>3768</v>
      </c>
    </row>
    <row r="82" spans="2:99" x14ac:dyDescent="0.2">
      <c r="C82" s="105" t="s">
        <v>248</v>
      </c>
      <c r="D82" s="106">
        <v>8.1456477489614461</v>
      </c>
      <c r="E82" s="106">
        <v>4144.5055746715825</v>
      </c>
      <c r="F82" s="106">
        <v>10</v>
      </c>
      <c r="G82" s="106">
        <v>5087.9999999999991</v>
      </c>
      <c r="H82" s="106">
        <v>9.5758300056663508</v>
      </c>
      <c r="I82" s="106">
        <v>4872.1823068830381</v>
      </c>
      <c r="J82" s="106">
        <v>8</v>
      </c>
      <c r="K82" s="106">
        <v>4070.3999999999992</v>
      </c>
      <c r="L82" s="106">
        <v>4.7458940329817612</v>
      </c>
      <c r="M82" s="106">
        <v>2414.7108839811194</v>
      </c>
      <c r="N82" s="106">
        <v>4</v>
      </c>
      <c r="O82" s="106">
        <v>2035.1999999999996</v>
      </c>
      <c r="P82" s="106">
        <v>6.5923392794708935</v>
      </c>
      <c r="Q82" s="106">
        <v>3354.1822253947898</v>
      </c>
      <c r="R82" s="106">
        <v>4.847323850047772</v>
      </c>
      <c r="S82" s="106">
        <v>2466.318374904306</v>
      </c>
      <c r="T82" s="106">
        <v>36</v>
      </c>
      <c r="U82" s="106">
        <v>18316.799999999996</v>
      </c>
      <c r="V82" s="106">
        <v>30.612798970679751</v>
      </c>
      <c r="W82" s="106">
        <v>15575.792116281855</v>
      </c>
      <c r="X82" s="106">
        <v>20.18227824019025</v>
      </c>
      <c r="Y82" s="106">
        <v>10268.743168608797</v>
      </c>
      <c r="Z82" s="106">
        <v>26.237670494301682</v>
      </c>
      <c r="AA82" s="106">
        <v>13349.726747500694</v>
      </c>
      <c r="AB82" s="106">
        <v>12.493599556786704</v>
      </c>
      <c r="AC82" s="106">
        <v>6356.7434544930738</v>
      </c>
      <c r="AD82" s="106">
        <v>14</v>
      </c>
      <c r="AE82" s="106">
        <v>7123.1999999999989</v>
      </c>
      <c r="AF82" s="106">
        <v>16.648875992549751</v>
      </c>
      <c r="AG82" s="106">
        <v>8470.9481050093109</v>
      </c>
      <c r="AH82" s="106">
        <v>9.3839349990141638</v>
      </c>
      <c r="AI82" s="106">
        <v>4774.5461274984054</v>
      </c>
      <c r="AJ82" s="106">
        <v>13</v>
      </c>
      <c r="AK82" s="106">
        <v>6614.3999999999987</v>
      </c>
      <c r="AL82" s="106">
        <v>11.327351030420907</v>
      </c>
      <c r="AM82" s="106">
        <v>5763.3562042781559</v>
      </c>
      <c r="AN82" s="106">
        <v>13.487164429619547</v>
      </c>
      <c r="AO82" s="106">
        <v>6862.269261790424</v>
      </c>
      <c r="AP82" s="106">
        <v>16</v>
      </c>
      <c r="AQ82" s="106">
        <v>8140.7999999999984</v>
      </c>
      <c r="AR82" s="106">
        <v>20</v>
      </c>
      <c r="AS82" s="106">
        <v>10175.999999999998</v>
      </c>
      <c r="AT82" s="106">
        <v>12.991782276967836</v>
      </c>
      <c r="AU82" s="106">
        <v>6610.218822521234</v>
      </c>
      <c r="AV82" s="106">
        <v>16.823998947414587</v>
      </c>
      <c r="AW82" s="106">
        <v>8560.0506644445395</v>
      </c>
      <c r="AX82" s="106">
        <v>22.032777777777778</v>
      </c>
      <c r="AY82" s="106">
        <v>11210.277333333332</v>
      </c>
      <c r="AZ82" s="106">
        <v>3.3056827378887732</v>
      </c>
      <c r="BA82" s="106">
        <v>1681.9313770378076</v>
      </c>
      <c r="BB82" s="106">
        <v>4</v>
      </c>
      <c r="BC82" s="106">
        <v>2035.1999999999996</v>
      </c>
      <c r="BD82" s="106">
        <v>6</v>
      </c>
      <c r="BE82" s="106">
        <v>3052.7999999999993</v>
      </c>
      <c r="BF82" s="106">
        <v>5</v>
      </c>
      <c r="BG82" s="106">
        <v>2543.9999999999995</v>
      </c>
      <c r="BH82" s="106">
        <v>16</v>
      </c>
      <c r="BI82" s="106">
        <v>8140.7999999999984</v>
      </c>
      <c r="BJ82" s="106">
        <v>14</v>
      </c>
      <c r="BK82" s="106">
        <v>7123.1999999999989</v>
      </c>
      <c r="BL82" s="106">
        <v>10</v>
      </c>
      <c r="BM82" s="106">
        <v>5087.9999999999991</v>
      </c>
      <c r="BN82" s="106">
        <v>13</v>
      </c>
      <c r="BO82" s="106">
        <v>6614.3999999999987</v>
      </c>
      <c r="BP82" s="106">
        <v>5.2357111460386809</v>
      </c>
      <c r="BQ82" s="106">
        <v>2663.9298311044804</v>
      </c>
      <c r="BR82" s="106">
        <v>6.1512493726175022</v>
      </c>
      <c r="BS82" s="106">
        <v>3129.7556807877845</v>
      </c>
      <c r="BT82" s="106">
        <v>9</v>
      </c>
      <c r="BU82" s="106">
        <v>4579.1999999999989</v>
      </c>
      <c r="BV82" s="106">
        <v>5.2418939736559444</v>
      </c>
      <c r="BW82" s="106">
        <v>2667.0756537961438</v>
      </c>
      <c r="BX82" s="106">
        <v>5</v>
      </c>
      <c r="BY82" s="106">
        <v>2543.9999999999995</v>
      </c>
      <c r="BZ82" s="106">
        <v>8.8682343456060195</v>
      </c>
      <c r="CA82" s="106">
        <v>4512.157635044342</v>
      </c>
      <c r="CB82" s="106">
        <v>9.289760249952888</v>
      </c>
      <c r="CC82" s="106">
        <v>4726.6300151760288</v>
      </c>
      <c r="CD82" s="106">
        <v>6.3629001840908632</v>
      </c>
      <c r="CE82" s="106">
        <v>3237.4436136654303</v>
      </c>
      <c r="CF82" s="106">
        <v>20.299444444444443</v>
      </c>
      <c r="CG82" s="106">
        <v>10328.357333333332</v>
      </c>
      <c r="CH82" s="106">
        <v>13</v>
      </c>
      <c r="CI82" s="106">
        <v>6614.3999999999987</v>
      </c>
      <c r="CJ82" s="106">
        <v>11</v>
      </c>
      <c r="CK82" s="106">
        <v>5596.7999999999993</v>
      </c>
      <c r="CL82" s="106">
        <v>11.293076348269731</v>
      </c>
      <c r="CM82" s="106">
        <v>5745.917245999638</v>
      </c>
      <c r="CN82" s="106">
        <v>6</v>
      </c>
      <c r="CO82" s="106">
        <v>3052.7999999999993</v>
      </c>
      <c r="CP82" s="106">
        <v>4</v>
      </c>
      <c r="CQ82" s="106">
        <v>2035.1999999999996</v>
      </c>
      <c r="CR82" s="106">
        <v>4</v>
      </c>
      <c r="CS82" s="106">
        <v>2035.1999999999996</v>
      </c>
      <c r="CT82" s="106">
        <v>5</v>
      </c>
      <c r="CU82" s="106">
        <v>2543.9999999999995</v>
      </c>
    </row>
    <row r="83" spans="2:99" x14ac:dyDescent="0.2">
      <c r="C83" s="105" t="s">
        <v>249</v>
      </c>
      <c r="D83" s="106">
        <v>9.0024417803412646</v>
      </c>
      <c r="E83" s="106">
        <v>7745.7009078056235</v>
      </c>
      <c r="F83" s="106">
        <v>10</v>
      </c>
      <c r="G83" s="106">
        <v>8604</v>
      </c>
      <c r="H83" s="106">
        <v>9.643574712215333</v>
      </c>
      <c r="I83" s="106">
        <v>8297.3316823900732</v>
      </c>
      <c r="J83" s="106">
        <v>7</v>
      </c>
      <c r="K83" s="106">
        <v>6022.8</v>
      </c>
      <c r="L83" s="106">
        <v>4.7814127964570829</v>
      </c>
      <c r="M83" s="106">
        <v>4113.9275700716744</v>
      </c>
      <c r="N83" s="106">
        <v>5</v>
      </c>
      <c r="O83" s="106">
        <v>4302</v>
      </c>
      <c r="P83" s="106">
        <v>5.551488294679797</v>
      </c>
      <c r="Q83" s="106">
        <v>4776.5005287424974</v>
      </c>
      <c r="R83" s="106">
        <v>4.7908355933779214</v>
      </c>
      <c r="S83" s="106">
        <v>4122.0349445423635</v>
      </c>
      <c r="T83" s="106">
        <v>31</v>
      </c>
      <c r="U83" s="106">
        <v>26672.399999999998</v>
      </c>
      <c r="V83" s="106">
        <v>29.640653469347011</v>
      </c>
      <c r="W83" s="106">
        <v>25502.818245026167</v>
      </c>
      <c r="X83" s="106">
        <v>18.18227824019025</v>
      </c>
      <c r="Y83" s="106">
        <v>15644.032197859691</v>
      </c>
      <c r="Z83" s="106">
        <v>27.237670494301682</v>
      </c>
      <c r="AA83" s="106">
        <v>23435.291693297168</v>
      </c>
      <c r="AB83" s="106">
        <v>11.493599556786704</v>
      </c>
      <c r="AC83" s="106">
        <v>9889.0930586592804</v>
      </c>
      <c r="AD83" s="106">
        <v>15</v>
      </c>
      <c r="AE83" s="106">
        <v>12906</v>
      </c>
      <c r="AF83" s="106">
        <v>15.648875992549749</v>
      </c>
      <c r="AG83" s="106">
        <v>13464.292903989804</v>
      </c>
      <c r="AH83" s="106">
        <v>9.3839349990141638</v>
      </c>
      <c r="AI83" s="106">
        <v>8073.9376731517859</v>
      </c>
      <c r="AJ83" s="106">
        <v>14</v>
      </c>
      <c r="AK83" s="106">
        <v>12045.6</v>
      </c>
      <c r="AL83" s="106">
        <v>10.327351030420907</v>
      </c>
      <c r="AM83" s="106">
        <v>8885.6528265741472</v>
      </c>
      <c r="AN83" s="106">
        <v>14.449690242725737</v>
      </c>
      <c r="AO83" s="106">
        <v>12432.513484841224</v>
      </c>
      <c r="AP83" s="106">
        <v>15</v>
      </c>
      <c r="AQ83" s="106">
        <v>12906</v>
      </c>
      <c r="AR83" s="106">
        <v>19</v>
      </c>
      <c r="AS83" s="106">
        <v>16347.6</v>
      </c>
      <c r="AT83" s="106">
        <v>14.235673984351653</v>
      </c>
      <c r="AU83" s="106">
        <v>12248.373896136161</v>
      </c>
      <c r="AV83" s="106">
        <v>14.810490767948775</v>
      </c>
      <c r="AW83" s="106">
        <v>12742.946256743126</v>
      </c>
      <c r="AX83" s="106">
        <v>22.021302469135801</v>
      </c>
      <c r="AY83" s="106">
        <v>18947.128644444441</v>
      </c>
      <c r="AZ83" s="106">
        <v>3.2717179892344652</v>
      </c>
      <c r="BA83" s="106">
        <v>2814.9861579373337</v>
      </c>
      <c r="BB83" s="106">
        <v>4.2332735836463833</v>
      </c>
      <c r="BC83" s="106">
        <v>3642.3085913693481</v>
      </c>
      <c r="BD83" s="106">
        <v>6</v>
      </c>
      <c r="BE83" s="106">
        <v>5162.3999999999996</v>
      </c>
      <c r="BF83" s="106">
        <v>5</v>
      </c>
      <c r="BG83" s="106">
        <v>4302</v>
      </c>
      <c r="BH83" s="106">
        <v>13</v>
      </c>
      <c r="BI83" s="106">
        <v>11185.199999999999</v>
      </c>
      <c r="BJ83" s="106">
        <v>15</v>
      </c>
      <c r="BK83" s="106">
        <v>12906</v>
      </c>
      <c r="BL83" s="106">
        <v>9</v>
      </c>
      <c r="BM83" s="106">
        <v>7743.5999999999995</v>
      </c>
      <c r="BN83" s="106">
        <v>11</v>
      </c>
      <c r="BO83" s="106">
        <v>9464.4</v>
      </c>
      <c r="BP83" s="106">
        <v>6.2160685505354571</v>
      </c>
      <c r="BQ83" s="106">
        <v>5348.3053808807072</v>
      </c>
      <c r="BR83" s="106">
        <v>7.1728564258485736</v>
      </c>
      <c r="BS83" s="106">
        <v>6171.5256688001127</v>
      </c>
      <c r="BT83" s="106">
        <v>8</v>
      </c>
      <c r="BU83" s="106">
        <v>6883.2</v>
      </c>
      <c r="BV83" s="106">
        <v>4.2217361425179494</v>
      </c>
      <c r="BW83" s="106">
        <v>3632.3817770224437</v>
      </c>
      <c r="BX83" s="106">
        <v>6</v>
      </c>
      <c r="BY83" s="106">
        <v>5162.3999999999996</v>
      </c>
      <c r="BZ83" s="106">
        <v>9.7103735554958348</v>
      </c>
      <c r="CA83" s="106">
        <v>8354.8054071486167</v>
      </c>
      <c r="CB83" s="106">
        <v>7.2897602499528888</v>
      </c>
      <c r="CC83" s="106">
        <v>6272.1097190594655</v>
      </c>
      <c r="CD83" s="106">
        <v>7.3299092582644212</v>
      </c>
      <c r="CE83" s="106">
        <v>6306.6539258107077</v>
      </c>
      <c r="CF83" s="106">
        <v>20.329388888888889</v>
      </c>
      <c r="CG83" s="106">
        <v>17491.406200000001</v>
      </c>
      <c r="CH83" s="106">
        <v>12</v>
      </c>
      <c r="CI83" s="106">
        <v>10324.799999999999</v>
      </c>
      <c r="CJ83" s="106">
        <v>10</v>
      </c>
      <c r="CK83" s="106">
        <v>8604</v>
      </c>
      <c r="CL83" s="106">
        <v>10.260512309573095</v>
      </c>
      <c r="CM83" s="106">
        <v>8828.1447911566902</v>
      </c>
      <c r="CN83" s="106">
        <v>7</v>
      </c>
      <c r="CO83" s="106">
        <v>6022.8</v>
      </c>
      <c r="CP83" s="106">
        <v>4</v>
      </c>
      <c r="CQ83" s="106">
        <v>3441.6</v>
      </c>
      <c r="CR83" s="106">
        <v>3</v>
      </c>
      <c r="CS83" s="106">
        <v>2581.1999999999998</v>
      </c>
      <c r="CT83" s="106">
        <v>5</v>
      </c>
      <c r="CU83" s="106">
        <v>4302</v>
      </c>
    </row>
    <row r="84" spans="2:99" x14ac:dyDescent="0.2">
      <c r="C84" s="105" t="s">
        <v>250</v>
      </c>
      <c r="D84" s="106">
        <v>8.9547064574678714</v>
      </c>
      <c r="E84" s="106">
        <v>6995.416684573901</v>
      </c>
      <c r="F84" s="106">
        <v>10</v>
      </c>
      <c r="G84" s="106">
        <v>7811.9999999999991</v>
      </c>
      <c r="H84" s="106">
        <v>9.5758300056663508</v>
      </c>
      <c r="I84" s="106">
        <v>7480.6384004265528</v>
      </c>
      <c r="J84" s="106">
        <v>7</v>
      </c>
      <c r="K84" s="106">
        <v>5468.4</v>
      </c>
      <c r="L84" s="106">
        <v>4.8169315599324047</v>
      </c>
      <c r="M84" s="106">
        <v>3762.9869346191945</v>
      </c>
      <c r="N84" s="106">
        <v>5</v>
      </c>
      <c r="O84" s="106">
        <v>3905.9999999999995</v>
      </c>
      <c r="P84" s="106">
        <v>5.5719137870753457</v>
      </c>
      <c r="Q84" s="106">
        <v>4352.7790504632594</v>
      </c>
      <c r="R84" s="106">
        <v>4.8190797217128472</v>
      </c>
      <c r="S84" s="106">
        <v>3764.6650786020759</v>
      </c>
      <c r="T84" s="106">
        <v>30</v>
      </c>
      <c r="U84" s="106">
        <v>23435.999999999996</v>
      </c>
      <c r="V84" s="106">
        <v>30.584944472012491</v>
      </c>
      <c r="W84" s="106">
        <v>23892.958621536156</v>
      </c>
      <c r="X84" s="106">
        <v>20.168256837098692</v>
      </c>
      <c r="Y84" s="106">
        <v>15755.442241141496</v>
      </c>
      <c r="Z84" s="106">
        <v>27.22069403042299</v>
      </c>
      <c r="AA84" s="106">
        <v>21264.806176566439</v>
      </c>
      <c r="AB84" s="106">
        <v>12.493599556786704</v>
      </c>
      <c r="AC84" s="106">
        <v>9759.9999737617727</v>
      </c>
      <c r="AD84" s="106">
        <v>15</v>
      </c>
      <c r="AE84" s="106">
        <v>11717.999999999998</v>
      </c>
      <c r="AF84" s="106">
        <v>16.648875992549751</v>
      </c>
      <c r="AG84" s="106">
        <v>13006.101925379864</v>
      </c>
      <c r="AH84" s="106">
        <v>10.422328498915581</v>
      </c>
      <c r="AI84" s="106">
        <v>8141.9230233528515</v>
      </c>
      <c r="AJ84" s="106">
        <v>14</v>
      </c>
      <c r="AK84" s="106">
        <v>10936.8</v>
      </c>
      <c r="AL84" s="106">
        <v>10.286432151618293</v>
      </c>
      <c r="AM84" s="106">
        <v>8035.7607968442098</v>
      </c>
      <c r="AN84" s="106">
        <v>12.524638616513359</v>
      </c>
      <c r="AO84" s="106">
        <v>9784.2476872202351</v>
      </c>
      <c r="AP84" s="106">
        <v>14</v>
      </c>
      <c r="AQ84" s="106">
        <v>10936.8</v>
      </c>
      <c r="AR84" s="106">
        <v>18</v>
      </c>
      <c r="AS84" s="106">
        <v>14061.599999999999</v>
      </c>
      <c r="AT84" s="106">
        <v>13.05275520381379</v>
      </c>
      <c r="AU84" s="106">
        <v>10196.812365219332</v>
      </c>
      <c r="AV84" s="106">
        <v>14.729441691153896</v>
      </c>
      <c r="AW84" s="106">
        <v>11506.639849129422</v>
      </c>
      <c r="AX84" s="106">
        <v>24.009827160493828</v>
      </c>
      <c r="AY84" s="106">
        <v>18756.476977777776</v>
      </c>
      <c r="AZ84" s="106">
        <v>4.3056827378887732</v>
      </c>
      <c r="BA84" s="106">
        <v>3363.5993548387091</v>
      </c>
      <c r="BB84" s="106">
        <v>4</v>
      </c>
      <c r="BC84" s="106">
        <v>3124.7999999999997</v>
      </c>
      <c r="BD84" s="106">
        <v>6.2851688138191282</v>
      </c>
      <c r="BE84" s="106">
        <v>4909.9738773555027</v>
      </c>
      <c r="BF84" s="106">
        <v>6.2988688827331485</v>
      </c>
      <c r="BG84" s="106">
        <v>4920.6763711911353</v>
      </c>
      <c r="BH84" s="106">
        <v>16</v>
      </c>
      <c r="BI84" s="106">
        <v>12499.199999999999</v>
      </c>
      <c r="BJ84" s="106">
        <v>13</v>
      </c>
      <c r="BK84" s="106">
        <v>10155.599999999999</v>
      </c>
      <c r="BL84" s="106">
        <v>10</v>
      </c>
      <c r="BM84" s="106">
        <v>7811.9999999999991</v>
      </c>
      <c r="BN84" s="106">
        <v>11</v>
      </c>
      <c r="BO84" s="106">
        <v>8593.1999999999989</v>
      </c>
      <c r="BP84" s="106">
        <v>5.2160685505354571</v>
      </c>
      <c r="BQ84" s="106">
        <v>4074.7927516782988</v>
      </c>
      <c r="BR84" s="106">
        <v>7.1944634790796451</v>
      </c>
      <c r="BS84" s="106">
        <v>5620.3148698570185</v>
      </c>
      <c r="BT84" s="106">
        <v>8</v>
      </c>
      <c r="BU84" s="106">
        <v>6249.5999999999995</v>
      </c>
      <c r="BV84" s="106">
        <v>5.2015783113799534</v>
      </c>
      <c r="BW84" s="106">
        <v>4063.4729768500192</v>
      </c>
      <c r="BX84" s="106">
        <v>6</v>
      </c>
      <c r="BY84" s="106">
        <v>4687.2</v>
      </c>
      <c r="BZ84" s="106">
        <v>9.7893039505509272</v>
      </c>
      <c r="CA84" s="106">
        <v>7647.4042461703839</v>
      </c>
      <c r="CB84" s="106">
        <v>8.3120494999492642</v>
      </c>
      <c r="CC84" s="106">
        <v>6493.3730693603648</v>
      </c>
      <c r="CD84" s="106">
        <v>6.2969183324379792</v>
      </c>
      <c r="CE84" s="106">
        <v>4919.1526013005487</v>
      </c>
      <c r="CF84" s="106">
        <v>17.329388888888889</v>
      </c>
      <c r="CG84" s="106">
        <v>13537.718599999998</v>
      </c>
      <c r="CH84" s="106">
        <v>13</v>
      </c>
      <c r="CI84" s="106">
        <v>10155.599999999999</v>
      </c>
      <c r="CJ84" s="106">
        <v>11</v>
      </c>
      <c r="CK84" s="106">
        <v>8593.1999999999989</v>
      </c>
      <c r="CL84" s="106">
        <v>12.260512309573095</v>
      </c>
      <c r="CM84" s="106">
        <v>9577.9122162385011</v>
      </c>
      <c r="CN84" s="106">
        <v>7</v>
      </c>
      <c r="CO84" s="106">
        <v>5468.4</v>
      </c>
      <c r="CP84" s="106">
        <v>4</v>
      </c>
      <c r="CQ84" s="106">
        <v>3124.7999999999997</v>
      </c>
      <c r="CR84" s="106">
        <v>4</v>
      </c>
      <c r="CS84" s="106">
        <v>3124.7999999999997</v>
      </c>
      <c r="CT84" s="106">
        <v>5</v>
      </c>
      <c r="CU84" s="106">
        <v>3905.9999999999995</v>
      </c>
    </row>
    <row r="85" spans="2:99" x14ac:dyDescent="0.2">
      <c r="C85" s="105" t="s">
        <v>251</v>
      </c>
      <c r="D85" s="106">
        <v>9.2411183947082343</v>
      </c>
      <c r="E85" s="106">
        <v>1386.1677592062351</v>
      </c>
      <c r="F85" s="106">
        <v>10</v>
      </c>
      <c r="G85" s="106">
        <v>1500</v>
      </c>
      <c r="H85" s="106">
        <v>10.677447065489824</v>
      </c>
      <c r="I85" s="106">
        <v>1601.6170598234737</v>
      </c>
      <c r="J85" s="106">
        <v>8</v>
      </c>
      <c r="K85" s="106">
        <v>1200</v>
      </c>
      <c r="L85" s="106">
        <v>4.8879690868830492</v>
      </c>
      <c r="M85" s="106">
        <v>733.19536303245741</v>
      </c>
      <c r="N85" s="106">
        <v>5</v>
      </c>
      <c r="O85" s="106">
        <v>750</v>
      </c>
      <c r="P85" s="106">
        <v>5.6127647718664413</v>
      </c>
      <c r="Q85" s="106">
        <v>841.91471577996617</v>
      </c>
      <c r="R85" s="106">
        <v>4.8190797217128472</v>
      </c>
      <c r="S85" s="106">
        <v>722.8619582569271</v>
      </c>
      <c r="T85" s="106">
        <v>39</v>
      </c>
      <c r="U85" s="106">
        <v>5850</v>
      </c>
      <c r="V85" s="106">
        <v>32.696362466681535</v>
      </c>
      <c r="W85" s="106">
        <v>4904.4543700022305</v>
      </c>
      <c r="X85" s="106">
        <v>19.168256837098692</v>
      </c>
      <c r="Y85" s="106">
        <v>2875.2385255648037</v>
      </c>
      <c r="Z85" s="106">
        <v>30.237670494301682</v>
      </c>
      <c r="AA85" s="106">
        <v>4535.650574145252</v>
      </c>
      <c r="AB85" s="106">
        <v>13.493599556786704</v>
      </c>
      <c r="AC85" s="106">
        <v>2024.0399335180055</v>
      </c>
      <c r="AD85" s="106">
        <v>14</v>
      </c>
      <c r="AE85" s="106">
        <v>2100</v>
      </c>
      <c r="AF85" s="106">
        <v>17.598962454661308</v>
      </c>
      <c r="AG85" s="106">
        <v>2639.8443681991962</v>
      </c>
      <c r="AH85" s="106">
        <v>9.4223284989155811</v>
      </c>
      <c r="AI85" s="106">
        <v>1413.3492748373371</v>
      </c>
      <c r="AJ85" s="106">
        <v>15</v>
      </c>
      <c r="AK85" s="106">
        <v>2250</v>
      </c>
      <c r="AL85" s="106">
        <v>12.3068915910196</v>
      </c>
      <c r="AM85" s="106">
        <v>1846.03373865294</v>
      </c>
      <c r="AN85" s="106">
        <v>15.524638616513359</v>
      </c>
      <c r="AO85" s="106">
        <v>2328.695792477004</v>
      </c>
      <c r="AP85" s="106">
        <v>16</v>
      </c>
      <c r="AQ85" s="106">
        <v>2400</v>
      </c>
      <c r="AR85" s="106">
        <v>20</v>
      </c>
      <c r="AS85" s="106">
        <v>3000</v>
      </c>
      <c r="AT85" s="106">
        <v>15.296646911197607</v>
      </c>
      <c r="AU85" s="106">
        <v>2294.497036679641</v>
      </c>
      <c r="AV85" s="106">
        <v>16.823998947414587</v>
      </c>
      <c r="AW85" s="106">
        <v>2523.5998421121881</v>
      </c>
      <c r="AX85" s="106">
        <v>23.090154320987654</v>
      </c>
      <c r="AY85" s="106">
        <v>3463.5231481481483</v>
      </c>
      <c r="AZ85" s="106">
        <v>3.3056827378887732</v>
      </c>
      <c r="BA85" s="106">
        <v>495.85241068331595</v>
      </c>
      <c r="BB85" s="106">
        <v>5</v>
      </c>
      <c r="BC85" s="106">
        <v>750</v>
      </c>
      <c r="BD85" s="106">
        <v>6</v>
      </c>
      <c r="BE85" s="106">
        <v>900</v>
      </c>
      <c r="BF85" s="106">
        <v>5.2988688827331485</v>
      </c>
      <c r="BG85" s="106">
        <v>794.83033240997224</v>
      </c>
      <c r="BH85" s="106">
        <v>15</v>
      </c>
      <c r="BI85" s="106">
        <v>2250</v>
      </c>
      <c r="BJ85" s="106">
        <v>15</v>
      </c>
      <c r="BK85" s="106">
        <v>2250</v>
      </c>
      <c r="BL85" s="106">
        <v>10</v>
      </c>
      <c r="BM85" s="106">
        <v>1500</v>
      </c>
      <c r="BN85" s="106">
        <v>11</v>
      </c>
      <c r="BO85" s="106">
        <v>1650</v>
      </c>
      <c r="BP85" s="106">
        <v>6.2160685505354571</v>
      </c>
      <c r="BQ85" s="106">
        <v>932.41028258031861</v>
      </c>
      <c r="BR85" s="106">
        <v>7.1944634790796451</v>
      </c>
      <c r="BS85" s="106">
        <v>1079.1695218619468</v>
      </c>
      <c r="BT85" s="106">
        <v>9</v>
      </c>
      <c r="BU85" s="106">
        <v>1350</v>
      </c>
      <c r="BV85" s="106">
        <v>5.2620518047939395</v>
      </c>
      <c r="BW85" s="106">
        <v>789.30777071909097</v>
      </c>
      <c r="BX85" s="106">
        <v>6</v>
      </c>
      <c r="BY85" s="106">
        <v>900</v>
      </c>
      <c r="BZ85" s="106">
        <v>9.7893039505509272</v>
      </c>
      <c r="CA85" s="106">
        <v>1468.395592582639</v>
      </c>
      <c r="CB85" s="106">
        <v>8.3343387499456405</v>
      </c>
      <c r="CC85" s="106">
        <v>1250.1508124918462</v>
      </c>
      <c r="CD85" s="106">
        <v>7.3793956470040847</v>
      </c>
      <c r="CE85" s="106">
        <v>1106.9093470506127</v>
      </c>
      <c r="CF85" s="106">
        <v>21.359333333333332</v>
      </c>
      <c r="CG85" s="106">
        <v>3203.8999999999996</v>
      </c>
      <c r="CH85" s="106">
        <v>14</v>
      </c>
      <c r="CI85" s="106">
        <v>2100</v>
      </c>
      <c r="CJ85" s="106">
        <v>11</v>
      </c>
      <c r="CK85" s="106">
        <v>1650</v>
      </c>
      <c r="CL85" s="106">
        <v>11.293076348269731</v>
      </c>
      <c r="CM85" s="106">
        <v>1693.9614522404595</v>
      </c>
      <c r="CN85" s="106">
        <v>7</v>
      </c>
      <c r="CO85" s="106">
        <v>1050</v>
      </c>
      <c r="CP85" s="106">
        <v>4</v>
      </c>
      <c r="CQ85" s="106">
        <v>600</v>
      </c>
      <c r="CR85" s="106">
        <v>4</v>
      </c>
      <c r="CS85" s="106">
        <v>600</v>
      </c>
      <c r="CT85" s="106">
        <v>5</v>
      </c>
      <c r="CU85" s="106">
        <v>750</v>
      </c>
    </row>
    <row r="86" spans="2:99" x14ac:dyDescent="0.2">
      <c r="C86" s="105" t="s">
        <v>252</v>
      </c>
      <c r="D86" s="106">
        <v>9.193383071834841</v>
      </c>
      <c r="E86" s="106">
        <v>4964.4268587908145</v>
      </c>
      <c r="F86" s="106">
        <v>11</v>
      </c>
      <c r="G86" s="106">
        <v>5940</v>
      </c>
      <c r="H86" s="106">
        <v>10.643574712215333</v>
      </c>
      <c r="I86" s="106">
        <v>5747.53034459628</v>
      </c>
      <c r="J86" s="106">
        <v>8</v>
      </c>
      <c r="K86" s="106">
        <v>4320</v>
      </c>
      <c r="L86" s="106">
        <v>3.8524503234077265</v>
      </c>
      <c r="M86" s="106">
        <v>2080.3231746401725</v>
      </c>
      <c r="N86" s="106">
        <v>4</v>
      </c>
      <c r="O86" s="106">
        <v>2160</v>
      </c>
      <c r="P86" s="106">
        <v>5.5719137870753457</v>
      </c>
      <c r="Q86" s="106">
        <v>3008.8334450206867</v>
      </c>
      <c r="R86" s="106">
        <v>4.7908355933779214</v>
      </c>
      <c r="S86" s="106">
        <v>2587.0512204240777</v>
      </c>
      <c r="T86" s="106">
        <v>37</v>
      </c>
      <c r="U86" s="106">
        <v>19980</v>
      </c>
      <c r="V86" s="106">
        <v>34.612798970679755</v>
      </c>
      <c r="W86" s="106">
        <v>18690.911444167068</v>
      </c>
      <c r="X86" s="106">
        <v>19.196299643281808</v>
      </c>
      <c r="Y86" s="106">
        <v>10366.001807372177</v>
      </c>
      <c r="Z86" s="106">
        <v>29.237670494301682</v>
      </c>
      <c r="AA86" s="106">
        <v>15788.342066922909</v>
      </c>
      <c r="AB86" s="106">
        <v>12.531568753462604</v>
      </c>
      <c r="AC86" s="106">
        <v>6767.0471268698066</v>
      </c>
      <c r="AD86" s="106">
        <v>14</v>
      </c>
      <c r="AE86" s="106">
        <v>7560</v>
      </c>
      <c r="AF86" s="106">
        <v>18.598962454661308</v>
      </c>
      <c r="AG86" s="106">
        <v>10043.439725517106</v>
      </c>
      <c r="AH86" s="106">
        <v>9.3839349990141638</v>
      </c>
      <c r="AI86" s="106">
        <v>5067.3248994676487</v>
      </c>
      <c r="AJ86" s="106">
        <v>13</v>
      </c>
      <c r="AK86" s="106">
        <v>7020</v>
      </c>
      <c r="AL86" s="106">
        <v>10.347810469822212</v>
      </c>
      <c r="AM86" s="106">
        <v>5587.8176537039944</v>
      </c>
      <c r="AN86" s="106">
        <v>13.524638616513359</v>
      </c>
      <c r="AO86" s="106">
        <v>7303.3048529172138</v>
      </c>
      <c r="AP86" s="106">
        <v>15</v>
      </c>
      <c r="AQ86" s="106">
        <v>8100</v>
      </c>
      <c r="AR86" s="106">
        <v>20</v>
      </c>
      <c r="AS86" s="106">
        <v>10800</v>
      </c>
      <c r="AT86" s="106">
        <v>13.032430894865138</v>
      </c>
      <c r="AU86" s="106">
        <v>7037.5126832271744</v>
      </c>
      <c r="AV86" s="106">
        <v>15.905048024209464</v>
      </c>
      <c r="AW86" s="106">
        <v>8588.7259330731104</v>
      </c>
      <c r="AX86" s="106">
        <v>24.044253086419754</v>
      </c>
      <c r="AY86" s="106">
        <v>12983.896666666667</v>
      </c>
      <c r="AZ86" s="106">
        <v>3.2717179892344652</v>
      </c>
      <c r="BA86" s="106">
        <v>1766.7277141866111</v>
      </c>
      <c r="BB86" s="106">
        <v>4</v>
      </c>
      <c r="BC86" s="106">
        <v>2160</v>
      </c>
      <c r="BD86" s="106">
        <v>6</v>
      </c>
      <c r="BE86" s="106">
        <v>3240</v>
      </c>
      <c r="BF86" s="106">
        <v>5.2988688827331485</v>
      </c>
      <c r="BG86" s="106">
        <v>2861.3891966759002</v>
      </c>
      <c r="BH86" s="106">
        <v>15</v>
      </c>
      <c r="BI86" s="106">
        <v>8100</v>
      </c>
      <c r="BJ86" s="106">
        <v>14</v>
      </c>
      <c r="BK86" s="106">
        <v>7560</v>
      </c>
      <c r="BL86" s="106">
        <v>10</v>
      </c>
      <c r="BM86" s="106">
        <v>5400</v>
      </c>
      <c r="BN86" s="106">
        <v>12</v>
      </c>
      <c r="BO86" s="106">
        <v>6480</v>
      </c>
      <c r="BP86" s="106">
        <v>6.2160685505354571</v>
      </c>
      <c r="BQ86" s="106">
        <v>3356.677017289147</v>
      </c>
      <c r="BR86" s="106">
        <v>7.1728564258485736</v>
      </c>
      <c r="BS86" s="106">
        <v>3873.3424699582297</v>
      </c>
      <c r="BT86" s="106">
        <v>8</v>
      </c>
      <c r="BU86" s="106">
        <v>4320</v>
      </c>
      <c r="BV86" s="106">
        <v>5.2217361425179494</v>
      </c>
      <c r="BW86" s="106">
        <v>2819.7375169596926</v>
      </c>
      <c r="BX86" s="106">
        <v>5</v>
      </c>
      <c r="BY86" s="106">
        <v>2700</v>
      </c>
      <c r="BZ86" s="106">
        <v>8.749838753023381</v>
      </c>
      <c r="CA86" s="106">
        <v>4724.9129266326254</v>
      </c>
      <c r="CB86" s="106">
        <v>8.3120494999492642</v>
      </c>
      <c r="CC86" s="106">
        <v>4488.5067299726024</v>
      </c>
      <c r="CD86" s="106">
        <v>6.3134137953511997</v>
      </c>
      <c r="CE86" s="106">
        <v>3409.2434494896479</v>
      </c>
      <c r="CF86" s="106">
        <v>19.359333333333332</v>
      </c>
      <c r="CG86" s="106">
        <v>10454.039999999999</v>
      </c>
      <c r="CH86" s="106">
        <v>12</v>
      </c>
      <c r="CI86" s="106">
        <v>6480</v>
      </c>
      <c r="CJ86" s="106">
        <v>10</v>
      </c>
      <c r="CK86" s="106">
        <v>5400</v>
      </c>
      <c r="CL86" s="106">
        <v>12.293076348269731</v>
      </c>
      <c r="CM86" s="106">
        <v>6638.2612280656549</v>
      </c>
      <c r="CN86" s="106">
        <v>6</v>
      </c>
      <c r="CO86" s="106">
        <v>3240</v>
      </c>
      <c r="CP86" s="106">
        <v>4</v>
      </c>
      <c r="CQ86" s="106">
        <v>2160</v>
      </c>
      <c r="CR86" s="106">
        <v>4</v>
      </c>
      <c r="CS86" s="106">
        <v>2160</v>
      </c>
      <c r="CT86" s="106">
        <v>6</v>
      </c>
      <c r="CU86" s="106">
        <v>3240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4</v>
      </c>
      <c r="G87" s="106">
        <v>7819.2</v>
      </c>
      <c r="H87" s="106">
        <v>4.2709788261959298</v>
      </c>
      <c r="I87" s="106">
        <v>8348.9094094478041</v>
      </c>
      <c r="J87" s="106">
        <v>4</v>
      </c>
      <c r="K87" s="106">
        <v>7819.2</v>
      </c>
      <c r="L87" s="106">
        <v>12</v>
      </c>
      <c r="M87" s="106">
        <v>23457.599999999999</v>
      </c>
      <c r="N87" s="106">
        <v>16</v>
      </c>
      <c r="O87" s="106">
        <v>31276.799999999999</v>
      </c>
      <c r="P87" s="106">
        <v>19.776168711030827</v>
      </c>
      <c r="Q87" s="106">
        <v>38658.454596323063</v>
      </c>
      <c r="R87" s="106">
        <v>15</v>
      </c>
      <c r="S87" s="106">
        <v>29322</v>
      </c>
      <c r="T87" s="106">
        <v>42</v>
      </c>
      <c r="U87" s="106">
        <v>82101.599999999991</v>
      </c>
      <c r="V87" s="106">
        <v>25</v>
      </c>
      <c r="W87" s="106">
        <v>48870</v>
      </c>
      <c r="X87" s="106">
        <v>39.883348394768134</v>
      </c>
      <c r="Y87" s="106">
        <v>77963.969442092741</v>
      </c>
      <c r="Z87" s="106">
        <v>37.035564296600178</v>
      </c>
      <c r="AA87" s="106">
        <v>72397.121086994026</v>
      </c>
      <c r="AB87" s="106">
        <v>6.7973531301939056</v>
      </c>
      <c r="AC87" s="106">
        <v>13287.465898903047</v>
      </c>
      <c r="AD87" s="106">
        <v>12</v>
      </c>
      <c r="AE87" s="106">
        <v>23457.599999999999</v>
      </c>
      <c r="AF87" s="106">
        <v>6.7487030683266349</v>
      </c>
      <c r="AG87" s="106">
        <v>13192.364757964906</v>
      </c>
      <c r="AH87" s="106">
        <v>10.806263497929745</v>
      </c>
      <c r="AI87" s="106">
        <v>21124.083885753065</v>
      </c>
      <c r="AJ87" s="106">
        <v>12</v>
      </c>
      <c r="AK87" s="106">
        <v>23457.599999999999</v>
      </c>
      <c r="AL87" s="106">
        <v>14.879755894256185</v>
      </c>
      <c r="AM87" s="106">
        <v>29086.946822091988</v>
      </c>
      <c r="AN87" s="106">
        <v>11</v>
      </c>
      <c r="AO87" s="106">
        <v>21502.799999999999</v>
      </c>
      <c r="AP87" s="106">
        <v>16</v>
      </c>
      <c r="AQ87" s="106">
        <v>31276.799999999999</v>
      </c>
      <c r="AR87" s="106">
        <v>6</v>
      </c>
      <c r="AS87" s="106">
        <v>11728.8</v>
      </c>
      <c r="AT87" s="106">
        <v>8.1829187805378627</v>
      </c>
      <c r="AU87" s="106">
        <v>15995.969632195414</v>
      </c>
      <c r="AV87" s="106">
        <v>8.2026226919871927</v>
      </c>
      <c r="AW87" s="106">
        <v>16034.486838296563</v>
      </c>
      <c r="AX87" s="106">
        <v>8.1606543209876552</v>
      </c>
      <c r="AY87" s="106">
        <v>15952.447066666668</v>
      </c>
      <c r="AZ87" s="106">
        <v>9</v>
      </c>
      <c r="BA87" s="106">
        <v>17593.2</v>
      </c>
      <c r="BB87" s="106">
        <v>8</v>
      </c>
      <c r="BC87" s="106">
        <v>15638.4</v>
      </c>
      <c r="BD87" s="106">
        <v>6.6653938989112991</v>
      </c>
      <c r="BE87" s="106">
        <v>13029.511993591806</v>
      </c>
      <c r="BF87" s="106">
        <v>5</v>
      </c>
      <c r="BG87" s="106">
        <v>9774</v>
      </c>
      <c r="BH87" s="106">
        <v>19.357113870627384</v>
      </c>
      <c r="BI87" s="106">
        <v>37839.286194302411</v>
      </c>
      <c r="BJ87" s="106">
        <v>22.569914574577073</v>
      </c>
      <c r="BK87" s="106">
        <v>44119.669010383259</v>
      </c>
      <c r="BL87" s="106">
        <v>14.513619782943504</v>
      </c>
      <c r="BM87" s="106">
        <v>28371.223951697961</v>
      </c>
      <c r="BN87" s="106">
        <v>23.328246689536901</v>
      </c>
      <c r="BO87" s="106">
        <v>45602.056628706734</v>
      </c>
      <c r="BP87" s="106">
        <v>35.805346415632158</v>
      </c>
      <c r="BQ87" s="106">
        <v>69992.291173277743</v>
      </c>
      <c r="BR87" s="106">
        <v>49.2964231938643</v>
      </c>
      <c r="BS87" s="106">
        <v>96364.648059365936</v>
      </c>
      <c r="BT87" s="106">
        <v>43</v>
      </c>
      <c r="BU87" s="106">
        <v>84056.4</v>
      </c>
      <c r="BV87" s="106">
        <v>28.947418063485781</v>
      </c>
      <c r="BW87" s="106">
        <v>56586.412830502006</v>
      </c>
      <c r="BX87" s="106">
        <v>34</v>
      </c>
      <c r="BY87" s="106">
        <v>66463.199999999997</v>
      </c>
      <c r="BZ87" s="106">
        <v>27.670908357968287</v>
      </c>
      <c r="CA87" s="106">
        <v>54091.091658156409</v>
      </c>
      <c r="CB87" s="106">
        <v>22.378917249938393</v>
      </c>
      <c r="CC87" s="106">
        <v>43746.307440179567</v>
      </c>
      <c r="CD87" s="106">
        <v>31.230936480785093</v>
      </c>
      <c r="CE87" s="106">
        <v>61050.234632638698</v>
      </c>
      <c r="CF87" s="106">
        <v>10</v>
      </c>
      <c r="CG87" s="106">
        <v>19548</v>
      </c>
      <c r="CH87" s="106">
        <v>10</v>
      </c>
      <c r="CI87" s="106">
        <v>19548</v>
      </c>
      <c r="CJ87" s="106">
        <v>11</v>
      </c>
      <c r="CK87" s="106">
        <v>21502.799999999999</v>
      </c>
      <c r="CL87" s="106">
        <v>8</v>
      </c>
      <c r="CM87" s="106">
        <v>15638.4</v>
      </c>
      <c r="CN87" s="106">
        <v>7</v>
      </c>
      <c r="CO87" s="106">
        <v>13683.6</v>
      </c>
      <c r="CP87" s="106">
        <v>7</v>
      </c>
      <c r="CQ87" s="106">
        <v>13683.6</v>
      </c>
      <c r="CR87" s="106">
        <v>7</v>
      </c>
      <c r="CS87" s="106">
        <v>13683.6</v>
      </c>
      <c r="CT87" s="106">
        <v>6</v>
      </c>
      <c r="CU87" s="106">
        <v>11728.8</v>
      </c>
    </row>
    <row r="88" spans="2:99" x14ac:dyDescent="0.2">
      <c r="C88" s="105" t="s">
        <v>254</v>
      </c>
      <c r="D88" s="106">
        <v>5</v>
      </c>
      <c r="E88" s="106">
        <v>9462</v>
      </c>
      <c r="F88" s="106">
        <v>5</v>
      </c>
      <c r="G88" s="106">
        <v>9462</v>
      </c>
      <c r="H88" s="106">
        <v>3.304851179470421</v>
      </c>
      <c r="I88" s="106">
        <v>6254.100372029824</v>
      </c>
      <c r="J88" s="106">
        <v>4</v>
      </c>
      <c r="K88" s="106">
        <v>7569.5999999999995</v>
      </c>
      <c r="L88" s="106">
        <v>13</v>
      </c>
      <c r="M88" s="106">
        <v>24601.199999999997</v>
      </c>
      <c r="N88" s="106">
        <v>14</v>
      </c>
      <c r="O88" s="106">
        <v>26493.599999999999</v>
      </c>
      <c r="P88" s="106">
        <v>20.714892233844182</v>
      </c>
      <c r="Q88" s="106">
        <v>39200.862063326727</v>
      </c>
      <c r="R88" s="106">
        <v>15</v>
      </c>
      <c r="S88" s="106">
        <v>28385.999999999996</v>
      </c>
      <c r="T88" s="106">
        <v>40</v>
      </c>
      <c r="U88" s="106">
        <v>75696</v>
      </c>
      <c r="V88" s="106">
        <v>29</v>
      </c>
      <c r="W88" s="106">
        <v>54879.6</v>
      </c>
      <c r="X88" s="106">
        <v>46.967476813317482</v>
      </c>
      <c r="Y88" s="106">
        <v>88881.253121521993</v>
      </c>
      <c r="Z88" s="106">
        <v>37.035564296600178</v>
      </c>
      <c r="AA88" s="106">
        <v>70086.101874886168</v>
      </c>
      <c r="AB88" s="106">
        <v>6.7593839335180057</v>
      </c>
      <c r="AC88" s="106">
        <v>12791.458155789473</v>
      </c>
      <c r="AD88" s="106">
        <v>11</v>
      </c>
      <c r="AE88" s="106">
        <v>20816.399999999998</v>
      </c>
      <c r="AF88" s="106">
        <v>6.8984436819919619</v>
      </c>
      <c r="AG88" s="106">
        <v>13054.614823801588</v>
      </c>
      <c r="AH88" s="106">
        <v>12.921443997633993</v>
      </c>
      <c r="AI88" s="106">
        <v>24452.540621122567</v>
      </c>
      <c r="AJ88" s="106">
        <v>13</v>
      </c>
      <c r="AK88" s="106">
        <v>24601.199999999997</v>
      </c>
      <c r="AL88" s="106">
        <v>15.818377576052265</v>
      </c>
      <c r="AM88" s="106">
        <v>29934.697724921305</v>
      </c>
      <c r="AN88" s="106">
        <v>11</v>
      </c>
      <c r="AO88" s="106">
        <v>20816.399999999998</v>
      </c>
      <c r="AP88" s="106">
        <v>16</v>
      </c>
      <c r="AQ88" s="106">
        <v>30278.399999999998</v>
      </c>
      <c r="AR88" s="106">
        <v>5</v>
      </c>
      <c r="AS88" s="106">
        <v>9462</v>
      </c>
      <c r="AT88" s="106">
        <v>7.1829187805378627</v>
      </c>
      <c r="AU88" s="106">
        <v>13592.955500289851</v>
      </c>
      <c r="AV88" s="106">
        <v>7.2026226919871936</v>
      </c>
      <c r="AW88" s="106">
        <v>13630.243182316564</v>
      </c>
      <c r="AX88" s="106">
        <v>7.1606543209876543</v>
      </c>
      <c r="AY88" s="106">
        <v>13550.822237037037</v>
      </c>
      <c r="AZ88" s="106">
        <v>10</v>
      </c>
      <c r="BA88" s="106">
        <v>18924</v>
      </c>
      <c r="BB88" s="106">
        <v>9</v>
      </c>
      <c r="BC88" s="106">
        <v>17031.599999999999</v>
      </c>
      <c r="BD88" s="106">
        <v>6.6337084751536182</v>
      </c>
      <c r="BE88" s="106">
        <v>12553.629918380706</v>
      </c>
      <c r="BF88" s="106">
        <v>6</v>
      </c>
      <c r="BG88" s="106">
        <v>11354.4</v>
      </c>
      <c r="BH88" s="106">
        <v>19.357113870627384</v>
      </c>
      <c r="BI88" s="106">
        <v>36631.402288775258</v>
      </c>
      <c r="BJ88" s="106">
        <v>24.506590732957399</v>
      </c>
      <c r="BK88" s="106">
        <v>46376.272303048579</v>
      </c>
      <c r="BL88" s="106">
        <v>15.431440617672544</v>
      </c>
      <c r="BM88" s="106">
        <v>29202.458224883521</v>
      </c>
      <c r="BN88" s="106">
        <v>25.345522831091472</v>
      </c>
      <c r="BO88" s="106">
        <v>47963.867405557496</v>
      </c>
      <c r="BP88" s="106">
        <v>35.805346415632158</v>
      </c>
      <c r="BQ88" s="106">
        <v>67758.03755694229</v>
      </c>
      <c r="BR88" s="106">
        <v>50.253209087402162</v>
      </c>
      <c r="BS88" s="106">
        <v>95099.172876999844</v>
      </c>
      <c r="BT88" s="106">
        <v>47</v>
      </c>
      <c r="BU88" s="106">
        <v>88942.799999999988</v>
      </c>
      <c r="BV88" s="106">
        <v>31.866786738933801</v>
      </c>
      <c r="BW88" s="106">
        <v>60304.70722475832</v>
      </c>
      <c r="BX88" s="106">
        <v>34</v>
      </c>
      <c r="BY88" s="106">
        <v>64341.599999999999</v>
      </c>
      <c r="BZ88" s="106">
        <v>26.631443160440742</v>
      </c>
      <c r="CA88" s="106">
        <v>50397.343036818056</v>
      </c>
      <c r="CB88" s="106">
        <v>24.401206499934769</v>
      </c>
      <c r="CC88" s="106">
        <v>46176.843180476557</v>
      </c>
      <c r="CD88" s="106">
        <v>31.214441017871874</v>
      </c>
      <c r="CE88" s="106">
        <v>59070.208182220733</v>
      </c>
      <c r="CF88" s="106">
        <v>11</v>
      </c>
      <c r="CG88" s="106">
        <v>20816.399999999998</v>
      </c>
      <c r="CH88" s="106">
        <v>9</v>
      </c>
      <c r="CI88" s="106">
        <v>17031.599999999999</v>
      </c>
      <c r="CJ88" s="106">
        <v>12</v>
      </c>
      <c r="CK88" s="106">
        <v>22708.799999999999</v>
      </c>
      <c r="CL88" s="106">
        <v>7</v>
      </c>
      <c r="CM88" s="106">
        <v>13246.8</v>
      </c>
      <c r="CN88" s="106">
        <v>6</v>
      </c>
      <c r="CO88" s="106">
        <v>11354.4</v>
      </c>
      <c r="CP88" s="106">
        <v>7</v>
      </c>
      <c r="CQ88" s="106">
        <v>13246.8</v>
      </c>
      <c r="CR88" s="106">
        <v>7</v>
      </c>
      <c r="CS88" s="106">
        <v>13246.8</v>
      </c>
      <c r="CT88" s="106">
        <v>5</v>
      </c>
      <c r="CU88" s="106">
        <v>9462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5</v>
      </c>
      <c r="G89" s="106">
        <v>11988</v>
      </c>
      <c r="H89" s="106">
        <v>3.2709788261959298</v>
      </c>
      <c r="I89" s="106">
        <v>7842.4988336873612</v>
      </c>
      <c r="J89" s="106">
        <v>4</v>
      </c>
      <c r="K89" s="106">
        <v>9590.4</v>
      </c>
      <c r="L89" s="106">
        <v>12</v>
      </c>
      <c r="M89" s="106">
        <v>28771.199999999997</v>
      </c>
      <c r="N89" s="106">
        <v>16</v>
      </c>
      <c r="O89" s="106">
        <v>38361.599999999999</v>
      </c>
      <c r="P89" s="106">
        <v>21.694466741448633</v>
      </c>
      <c r="Q89" s="106">
        <v>52014.653459297238</v>
      </c>
      <c r="R89" s="106">
        <v>14</v>
      </c>
      <c r="S89" s="106">
        <v>33566.400000000001</v>
      </c>
      <c r="T89" s="106">
        <v>39</v>
      </c>
      <c r="U89" s="106">
        <v>93506.4</v>
      </c>
      <c r="V89" s="106">
        <v>26</v>
      </c>
      <c r="W89" s="106">
        <v>62337.599999999999</v>
      </c>
      <c r="X89" s="106">
        <v>41.785198573127232</v>
      </c>
      <c r="Y89" s="106">
        <v>100184.19209892985</v>
      </c>
      <c r="Z89" s="106">
        <v>36.848823193934571</v>
      </c>
      <c r="AA89" s="106">
        <v>88348.738489777519</v>
      </c>
      <c r="AB89" s="106">
        <v>7.7214147368421049</v>
      </c>
      <c r="AC89" s="106">
        <v>18512.86397305263</v>
      </c>
      <c r="AD89" s="106">
        <v>12</v>
      </c>
      <c r="AE89" s="106">
        <v>28771.199999999997</v>
      </c>
      <c r="AF89" s="106">
        <v>6.8485301441035196</v>
      </c>
      <c r="AG89" s="106">
        <v>16420.035873502598</v>
      </c>
      <c r="AH89" s="106">
        <v>10.84465699783116</v>
      </c>
      <c r="AI89" s="106">
        <v>26001.149617999989</v>
      </c>
      <c r="AJ89" s="106">
        <v>12</v>
      </c>
      <c r="AK89" s="106">
        <v>28771.199999999997</v>
      </c>
      <c r="AL89" s="106">
        <v>13.777458697249651</v>
      </c>
      <c r="AM89" s="106">
        <v>33032.834972525765</v>
      </c>
      <c r="AN89" s="106">
        <v>10</v>
      </c>
      <c r="AO89" s="106">
        <v>23976</v>
      </c>
      <c r="AP89" s="106">
        <v>15</v>
      </c>
      <c r="AQ89" s="106">
        <v>35964</v>
      </c>
      <c r="AR89" s="106">
        <v>6</v>
      </c>
      <c r="AS89" s="106">
        <v>14385.599999999999</v>
      </c>
      <c r="AT89" s="106">
        <v>7.1829187805378627</v>
      </c>
      <c r="AU89" s="106">
        <v>17221.766068217577</v>
      </c>
      <c r="AV89" s="106">
        <v>7.2026226919871936</v>
      </c>
      <c r="AW89" s="106">
        <v>17269.008166308497</v>
      </c>
      <c r="AX89" s="106">
        <v>7.1491790123456793</v>
      </c>
      <c r="AY89" s="106">
        <v>17140.871599999999</v>
      </c>
      <c r="AZ89" s="106">
        <v>9</v>
      </c>
      <c r="BA89" s="106">
        <v>21578.399999999998</v>
      </c>
      <c r="BB89" s="106">
        <v>8</v>
      </c>
      <c r="BC89" s="106">
        <v>19180.8</v>
      </c>
      <c r="BD89" s="106">
        <v>5.5703376276382564</v>
      </c>
      <c r="BE89" s="106">
        <v>13355.441496025484</v>
      </c>
      <c r="BF89" s="106">
        <v>5</v>
      </c>
      <c r="BG89" s="106">
        <v>11988</v>
      </c>
      <c r="BH89" s="106">
        <v>20.374969564158754</v>
      </c>
      <c r="BI89" s="106">
        <v>48851.027027027027</v>
      </c>
      <c r="BJ89" s="106">
        <v>21.48548278575084</v>
      </c>
      <c r="BK89" s="106">
        <v>51513.593527116209</v>
      </c>
      <c r="BL89" s="106">
        <v>13.410895826354803</v>
      </c>
      <c r="BM89" s="106">
        <v>32153.963833268273</v>
      </c>
      <c r="BN89" s="106">
        <v>22.362798972646047</v>
      </c>
      <c r="BO89" s="106">
        <v>53617.046816816161</v>
      </c>
      <c r="BP89" s="106">
        <v>33.805346415632158</v>
      </c>
      <c r="BQ89" s="106">
        <v>81051.698566119652</v>
      </c>
      <c r="BR89" s="106">
        <v>50.123566768015728</v>
      </c>
      <c r="BS89" s="106">
        <v>120176.26368299451</v>
      </c>
      <c r="BT89" s="106">
        <v>38</v>
      </c>
      <c r="BU89" s="106">
        <v>91108.800000000003</v>
      </c>
      <c r="BV89" s="106">
        <v>28.907102401209791</v>
      </c>
      <c r="BW89" s="106">
        <v>69307.668717140594</v>
      </c>
      <c r="BX89" s="106">
        <v>32</v>
      </c>
      <c r="BY89" s="106">
        <v>76723.199999999997</v>
      </c>
      <c r="BZ89" s="106">
        <v>25.710373555495835</v>
      </c>
      <c r="CA89" s="106">
        <v>61643.191636656811</v>
      </c>
      <c r="CB89" s="106">
        <v>20.378917249938393</v>
      </c>
      <c r="CC89" s="106">
        <v>48860.491998452286</v>
      </c>
      <c r="CD89" s="106">
        <v>32.247431943698317</v>
      </c>
      <c r="CE89" s="106">
        <v>77316.442828211075</v>
      </c>
      <c r="CF89" s="106">
        <v>10</v>
      </c>
      <c r="CG89" s="106">
        <v>23976</v>
      </c>
      <c r="CH89" s="106">
        <v>9</v>
      </c>
      <c r="CI89" s="106">
        <v>21578.399999999998</v>
      </c>
      <c r="CJ89" s="106">
        <v>11</v>
      </c>
      <c r="CK89" s="106">
        <v>26373.599999999999</v>
      </c>
      <c r="CL89" s="106">
        <v>8</v>
      </c>
      <c r="CM89" s="106">
        <v>19180.8</v>
      </c>
      <c r="CN89" s="106">
        <v>6.4688045892171528</v>
      </c>
      <c r="CO89" s="106">
        <v>15509.605883107046</v>
      </c>
      <c r="CP89" s="106">
        <v>7</v>
      </c>
      <c r="CQ89" s="106">
        <v>16783.2</v>
      </c>
      <c r="CR89" s="106">
        <v>7</v>
      </c>
      <c r="CS89" s="106">
        <v>16783.2</v>
      </c>
      <c r="CT89" s="106">
        <v>5</v>
      </c>
      <c r="CU89" s="106">
        <v>11988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5</v>
      </c>
      <c r="G90" s="106">
        <v>10986</v>
      </c>
      <c r="H90" s="106">
        <v>4.2709788261959298</v>
      </c>
      <c r="I90" s="106">
        <v>9384.1946769176957</v>
      </c>
      <c r="J90" s="106">
        <v>4</v>
      </c>
      <c r="K90" s="106">
        <v>8788.7999999999993</v>
      </c>
      <c r="L90" s="106">
        <v>12</v>
      </c>
      <c r="M90" s="106">
        <v>26366.399999999998</v>
      </c>
      <c r="N90" s="106">
        <v>16</v>
      </c>
      <c r="O90" s="106">
        <v>35155.199999999997</v>
      </c>
      <c r="P90" s="106">
        <v>21.755743218635278</v>
      </c>
      <c r="Q90" s="106">
        <v>47801.718999985431</v>
      </c>
      <c r="R90" s="106">
        <v>13</v>
      </c>
      <c r="S90" s="106">
        <v>28563.599999999999</v>
      </c>
      <c r="T90" s="106">
        <v>39</v>
      </c>
      <c r="U90" s="106">
        <v>85690.799999999988</v>
      </c>
      <c r="V90" s="106">
        <v>29</v>
      </c>
      <c r="W90" s="106">
        <v>63718.799999999996</v>
      </c>
      <c r="X90" s="106">
        <v>38.799219976218787</v>
      </c>
      <c r="Y90" s="106">
        <v>85249.646131747912</v>
      </c>
      <c r="Z90" s="106">
        <v>35.967658441085412</v>
      </c>
      <c r="AA90" s="106">
        <v>79028.139126752867</v>
      </c>
      <c r="AB90" s="106">
        <v>6.683445540166205</v>
      </c>
      <c r="AC90" s="106">
        <v>14684.866540853185</v>
      </c>
      <c r="AD90" s="106">
        <v>11</v>
      </c>
      <c r="AE90" s="106">
        <v>24169.199999999997</v>
      </c>
      <c r="AF90" s="106">
        <v>7.7986166062150772</v>
      </c>
      <c r="AG90" s="106">
        <v>17135.120407175767</v>
      </c>
      <c r="AH90" s="106">
        <v>12.767869998028328</v>
      </c>
      <c r="AI90" s="106">
        <v>28053.563959667837</v>
      </c>
      <c r="AJ90" s="106">
        <v>12</v>
      </c>
      <c r="AK90" s="106">
        <v>26366.399999999998</v>
      </c>
      <c r="AL90" s="106">
        <v>13.838837015453571</v>
      </c>
      <c r="AM90" s="106">
        <v>30406.692690354583</v>
      </c>
      <c r="AN90" s="106">
        <v>10</v>
      </c>
      <c r="AO90" s="106">
        <v>21972</v>
      </c>
      <c r="AP90" s="106">
        <v>14</v>
      </c>
      <c r="AQ90" s="106">
        <v>30760.799999999996</v>
      </c>
      <c r="AR90" s="106">
        <v>6</v>
      </c>
      <c r="AS90" s="106">
        <v>13183.199999999999</v>
      </c>
      <c r="AT90" s="106">
        <v>7.1625944715892107</v>
      </c>
      <c r="AU90" s="106">
        <v>15737.652572975812</v>
      </c>
      <c r="AV90" s="106">
        <v>7.1756063330555682</v>
      </c>
      <c r="AW90" s="106">
        <v>15766.242234989693</v>
      </c>
      <c r="AX90" s="106">
        <v>8.1377037037037034</v>
      </c>
      <c r="AY90" s="106">
        <v>17880.162577777777</v>
      </c>
      <c r="AZ90" s="106">
        <v>10</v>
      </c>
      <c r="BA90" s="106">
        <v>21972</v>
      </c>
      <c r="BB90" s="106">
        <v>7</v>
      </c>
      <c r="BC90" s="106">
        <v>15380.399999999998</v>
      </c>
      <c r="BD90" s="106">
        <v>5.5703376276382564</v>
      </c>
      <c r="BE90" s="106">
        <v>12239.145835446776</v>
      </c>
      <c r="BF90" s="106">
        <v>5</v>
      </c>
      <c r="BG90" s="106">
        <v>10986</v>
      </c>
      <c r="BH90" s="106">
        <v>20.357113870627384</v>
      </c>
      <c r="BI90" s="106">
        <v>44728.65059654248</v>
      </c>
      <c r="BJ90" s="106">
        <v>20.48548278575084</v>
      </c>
      <c r="BK90" s="106">
        <v>45010.702776851744</v>
      </c>
      <c r="BL90" s="106">
        <v>12.472530200308023</v>
      </c>
      <c r="BM90" s="106">
        <v>27404.643356116787</v>
      </c>
      <c r="BN90" s="106">
        <v>22.328246689536901</v>
      </c>
      <c r="BO90" s="106">
        <v>49059.623626250475</v>
      </c>
      <c r="BP90" s="106">
        <v>36.824989011135386</v>
      </c>
      <c r="BQ90" s="106">
        <v>80911.86585526666</v>
      </c>
      <c r="BR90" s="106">
        <v>52.209994980940017</v>
      </c>
      <c r="BS90" s="106">
        <v>114715.80097212139</v>
      </c>
      <c r="BT90" s="106">
        <v>43</v>
      </c>
      <c r="BU90" s="106">
        <v>94479.599999999991</v>
      </c>
      <c r="BV90" s="106">
        <v>27.927260232347788</v>
      </c>
      <c r="BW90" s="106">
        <v>61361.776182514557</v>
      </c>
      <c r="BX90" s="106">
        <v>29</v>
      </c>
      <c r="BY90" s="106">
        <v>63718.799999999996</v>
      </c>
      <c r="BZ90" s="106">
        <v>26.670908357968287</v>
      </c>
      <c r="CA90" s="106">
        <v>58601.319844127916</v>
      </c>
      <c r="CB90" s="106">
        <v>20.378917249938393</v>
      </c>
      <c r="CC90" s="106">
        <v>44776.55698156463</v>
      </c>
      <c r="CD90" s="106">
        <v>34.247431943698317</v>
      </c>
      <c r="CE90" s="106">
        <v>75248.45746669393</v>
      </c>
      <c r="CF90" s="106">
        <v>10</v>
      </c>
      <c r="CG90" s="106">
        <v>21972</v>
      </c>
      <c r="CH90" s="106">
        <v>10</v>
      </c>
      <c r="CI90" s="106">
        <v>21972</v>
      </c>
      <c r="CJ90" s="106">
        <v>12</v>
      </c>
      <c r="CK90" s="106">
        <v>26366.399999999998</v>
      </c>
      <c r="CL90" s="106">
        <v>8</v>
      </c>
      <c r="CM90" s="106">
        <v>17577.599999999999</v>
      </c>
      <c r="CN90" s="106">
        <v>6</v>
      </c>
      <c r="CO90" s="106">
        <v>13183.199999999999</v>
      </c>
      <c r="CP90" s="106">
        <v>6</v>
      </c>
      <c r="CQ90" s="106">
        <v>13183.199999999999</v>
      </c>
      <c r="CR90" s="106">
        <v>7</v>
      </c>
      <c r="CS90" s="106">
        <v>15380.399999999998</v>
      </c>
      <c r="CT90" s="106">
        <v>5</v>
      </c>
      <c r="CU90" s="106">
        <v>10986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4</v>
      </c>
      <c r="G91" s="106">
        <v>9187.1999999999989</v>
      </c>
      <c r="H91" s="106">
        <v>3.2371064729214383</v>
      </c>
      <c r="I91" s="106">
        <v>7434.9861470059586</v>
      </c>
      <c r="J91" s="106">
        <v>4</v>
      </c>
      <c r="K91" s="106">
        <v>9187.1999999999989</v>
      </c>
      <c r="L91" s="106">
        <v>11</v>
      </c>
      <c r="M91" s="106">
        <v>25264.799999999996</v>
      </c>
      <c r="N91" s="106">
        <v>16</v>
      </c>
      <c r="O91" s="106">
        <v>36748.799999999996</v>
      </c>
      <c r="P91" s="106">
        <v>20.694466741448633</v>
      </c>
      <c r="Q91" s="106">
        <v>47531.051211759215</v>
      </c>
      <c r="R91" s="106">
        <v>15</v>
      </c>
      <c r="S91" s="106">
        <v>34451.999999999993</v>
      </c>
      <c r="T91" s="106">
        <v>38</v>
      </c>
      <c r="U91" s="106">
        <v>87278.399999999994</v>
      </c>
      <c r="V91" s="106">
        <v>24</v>
      </c>
      <c r="W91" s="106">
        <v>55123.199999999997</v>
      </c>
      <c r="X91" s="106">
        <v>36.799219976218787</v>
      </c>
      <c r="Y91" s="106">
        <v>84520.448441379296</v>
      </c>
      <c r="Z91" s="106">
        <v>34.984634904964103</v>
      </c>
      <c r="AA91" s="106">
        <v>80352.709449721544</v>
      </c>
      <c r="AB91" s="106">
        <v>6.683445540166205</v>
      </c>
      <c r="AC91" s="106">
        <v>15350.537716653738</v>
      </c>
      <c r="AD91" s="106">
        <v>10</v>
      </c>
      <c r="AE91" s="106">
        <v>22967.999999999996</v>
      </c>
      <c r="AF91" s="106">
        <v>7.7986166062150772</v>
      </c>
      <c r="AG91" s="106">
        <v>17911.862621154789</v>
      </c>
      <c r="AH91" s="106">
        <v>11.84465699783116</v>
      </c>
      <c r="AI91" s="106">
        <v>27204.808192618606</v>
      </c>
      <c r="AJ91" s="106">
        <v>11</v>
      </c>
      <c r="AK91" s="106">
        <v>25264.799999999996</v>
      </c>
      <c r="AL91" s="106">
        <v>13.818377576052265</v>
      </c>
      <c r="AM91" s="106">
        <v>31738.049616676839</v>
      </c>
      <c r="AN91" s="106">
        <v>10</v>
      </c>
      <c r="AO91" s="106">
        <v>22967.999999999996</v>
      </c>
      <c r="AP91" s="106">
        <v>14</v>
      </c>
      <c r="AQ91" s="106">
        <v>32155.199999999997</v>
      </c>
      <c r="AR91" s="106">
        <v>5</v>
      </c>
      <c r="AS91" s="106">
        <v>11483.999999999998</v>
      </c>
      <c r="AT91" s="106">
        <v>8.1829187805378627</v>
      </c>
      <c r="AU91" s="106">
        <v>18794.52785513936</v>
      </c>
      <c r="AV91" s="106">
        <v>7.1891145125213809</v>
      </c>
      <c r="AW91" s="106">
        <v>16511.958212359106</v>
      </c>
      <c r="AX91" s="106">
        <v>8.1606543209876552</v>
      </c>
      <c r="AY91" s="106">
        <v>18743.390844444446</v>
      </c>
      <c r="AZ91" s="106">
        <v>10</v>
      </c>
      <c r="BA91" s="106">
        <v>22967.999999999996</v>
      </c>
      <c r="BB91" s="106">
        <v>8</v>
      </c>
      <c r="BC91" s="106">
        <v>18374.399999999998</v>
      </c>
      <c r="BD91" s="106">
        <v>6.6653938989112991</v>
      </c>
      <c r="BE91" s="106">
        <v>15309.076707019471</v>
      </c>
      <c r="BF91" s="106">
        <v>6</v>
      </c>
      <c r="BG91" s="106">
        <v>13780.8</v>
      </c>
      <c r="BH91" s="106">
        <v>21.357113870627384</v>
      </c>
      <c r="BI91" s="106">
        <v>49053.019138056967</v>
      </c>
      <c r="BJ91" s="106">
        <v>22.548806627370514</v>
      </c>
      <c r="BK91" s="106">
        <v>51790.099061744593</v>
      </c>
      <c r="BL91" s="106">
        <v>14.472530200308023</v>
      </c>
      <c r="BM91" s="106">
        <v>33240.507364067467</v>
      </c>
      <c r="BN91" s="106">
        <v>22.345522831091472</v>
      </c>
      <c r="BO91" s="106">
        <v>51323.196838450887</v>
      </c>
      <c r="BP91" s="106">
        <v>34.785703820128937</v>
      </c>
      <c r="BQ91" s="106">
        <v>79895.804534072129</v>
      </c>
      <c r="BR91" s="106">
        <v>50.080352661553583</v>
      </c>
      <c r="BS91" s="106">
        <v>115024.55399305625</v>
      </c>
      <c r="BT91" s="106">
        <v>42</v>
      </c>
      <c r="BU91" s="106">
        <v>96465.599999999991</v>
      </c>
      <c r="BV91" s="106">
        <v>28.846628907795804</v>
      </c>
      <c r="BW91" s="106">
        <v>66254.9372754254</v>
      </c>
      <c r="BX91" s="106">
        <v>31</v>
      </c>
      <c r="BY91" s="106">
        <v>71200.799999999988</v>
      </c>
      <c r="BZ91" s="106">
        <v>27.710373555495835</v>
      </c>
      <c r="CA91" s="106">
        <v>63645.185982262825</v>
      </c>
      <c r="CB91" s="106">
        <v>21.423495749931146</v>
      </c>
      <c r="CC91" s="106">
        <v>49205.485038441846</v>
      </c>
      <c r="CD91" s="106">
        <v>28.230936480785093</v>
      </c>
      <c r="CE91" s="106">
        <v>64840.814909067194</v>
      </c>
      <c r="CF91" s="106">
        <v>10</v>
      </c>
      <c r="CG91" s="106">
        <v>22967.999999999996</v>
      </c>
      <c r="CH91" s="106">
        <v>9</v>
      </c>
      <c r="CI91" s="106">
        <v>20671.199999999997</v>
      </c>
      <c r="CJ91" s="106">
        <v>12</v>
      </c>
      <c r="CK91" s="106">
        <v>27561.599999999999</v>
      </c>
      <c r="CL91" s="106">
        <v>7</v>
      </c>
      <c r="CM91" s="106">
        <v>16077.599999999999</v>
      </c>
      <c r="CN91" s="106">
        <v>7</v>
      </c>
      <c r="CO91" s="106">
        <v>16077.599999999999</v>
      </c>
      <c r="CP91" s="106">
        <v>7</v>
      </c>
      <c r="CQ91" s="106">
        <v>16077.599999999999</v>
      </c>
      <c r="CR91" s="106">
        <v>7</v>
      </c>
      <c r="CS91" s="106">
        <v>16077.599999999999</v>
      </c>
      <c r="CT91" s="106">
        <v>5</v>
      </c>
      <c r="CU91" s="106">
        <v>11483.999999999998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5</v>
      </c>
      <c r="G92" s="106">
        <v>7104</v>
      </c>
      <c r="H92" s="106">
        <v>3.304851179470421</v>
      </c>
      <c r="I92" s="106">
        <v>4695.5325557915739</v>
      </c>
      <c r="J92" s="106">
        <v>4</v>
      </c>
      <c r="K92" s="106">
        <v>5683.2</v>
      </c>
      <c r="L92" s="106">
        <v>11</v>
      </c>
      <c r="M92" s="106">
        <v>15628.8</v>
      </c>
      <c r="N92" s="106">
        <v>16</v>
      </c>
      <c r="O92" s="106">
        <v>22732.799999999999</v>
      </c>
      <c r="P92" s="106">
        <v>21.714892233844182</v>
      </c>
      <c r="Q92" s="106">
        <v>30852.518885845813</v>
      </c>
      <c r="R92" s="106">
        <v>15</v>
      </c>
      <c r="S92" s="106">
        <v>21312</v>
      </c>
      <c r="T92" s="106">
        <v>46</v>
      </c>
      <c r="U92" s="106">
        <v>65356.799999999996</v>
      </c>
      <c r="V92" s="106">
        <v>27</v>
      </c>
      <c r="W92" s="106">
        <v>38361.599999999999</v>
      </c>
      <c r="X92" s="106">
        <v>50.897369797859689</v>
      </c>
      <c r="Y92" s="106">
        <v>72314.983008799041</v>
      </c>
      <c r="Z92" s="106">
        <v>42.001611368842795</v>
      </c>
      <c r="AA92" s="106">
        <v>59675.889432851844</v>
      </c>
      <c r="AB92" s="106">
        <v>6.7973531301939056</v>
      </c>
      <c r="AC92" s="106">
        <v>9657.679327379501</v>
      </c>
      <c r="AD92" s="106">
        <v>10</v>
      </c>
      <c r="AE92" s="106">
        <v>14208</v>
      </c>
      <c r="AF92" s="106">
        <v>7.8485301441035196</v>
      </c>
      <c r="AG92" s="106">
        <v>11151.191628742281</v>
      </c>
      <c r="AH92" s="106">
        <v>12.95983749753541</v>
      </c>
      <c r="AI92" s="106">
        <v>18413.337116498311</v>
      </c>
      <c r="AJ92" s="106">
        <v>13</v>
      </c>
      <c r="AK92" s="106">
        <v>18470.399999999998</v>
      </c>
      <c r="AL92" s="106">
        <v>18.022971970065331</v>
      </c>
      <c r="AM92" s="106">
        <v>25607.038575068822</v>
      </c>
      <c r="AN92" s="106">
        <v>11</v>
      </c>
      <c r="AO92" s="106">
        <v>15628.8</v>
      </c>
      <c r="AP92" s="106">
        <v>16</v>
      </c>
      <c r="AQ92" s="106">
        <v>22732.799999999999</v>
      </c>
      <c r="AR92" s="106">
        <v>6</v>
      </c>
      <c r="AS92" s="106">
        <v>8524.7999999999993</v>
      </c>
      <c r="AT92" s="106">
        <v>8.1829187805378627</v>
      </c>
      <c r="AU92" s="106">
        <v>11626.291003388194</v>
      </c>
      <c r="AV92" s="106">
        <v>7.2161308714530064</v>
      </c>
      <c r="AW92" s="106">
        <v>10252.678742160431</v>
      </c>
      <c r="AX92" s="106">
        <v>8.1491790123456784</v>
      </c>
      <c r="AY92" s="106">
        <v>11578.35354074074</v>
      </c>
      <c r="AZ92" s="106">
        <v>11</v>
      </c>
      <c r="BA92" s="106">
        <v>15628.8</v>
      </c>
      <c r="BB92" s="106">
        <v>9</v>
      </c>
      <c r="BC92" s="106">
        <v>12787.199999999999</v>
      </c>
      <c r="BD92" s="106">
        <v>6.6020230513959373</v>
      </c>
      <c r="BE92" s="106">
        <v>9380.1543514233472</v>
      </c>
      <c r="BF92" s="106">
        <v>6</v>
      </c>
      <c r="BG92" s="106">
        <v>8524.7999999999993</v>
      </c>
      <c r="BH92" s="106">
        <v>24.374969564158754</v>
      </c>
      <c r="BI92" s="106">
        <v>34631.956756756757</v>
      </c>
      <c r="BJ92" s="106">
        <v>25.506590732957399</v>
      </c>
      <c r="BK92" s="106">
        <v>36239.764113385871</v>
      </c>
      <c r="BL92" s="106">
        <v>13.534164574261245</v>
      </c>
      <c r="BM92" s="106">
        <v>19229.341027110378</v>
      </c>
      <c r="BN92" s="106">
        <v>24.397351255755193</v>
      </c>
      <c r="BO92" s="106">
        <v>34663.756664176981</v>
      </c>
      <c r="BP92" s="106">
        <v>39.88391679764505</v>
      </c>
      <c r="BQ92" s="106">
        <v>56667.068986094084</v>
      </c>
      <c r="BR92" s="106">
        <v>53.1451738212468</v>
      </c>
      <c r="BS92" s="106">
        <v>75508.662965227457</v>
      </c>
      <c r="BT92" s="106">
        <v>42</v>
      </c>
      <c r="BU92" s="106">
        <v>59673.599999999999</v>
      </c>
      <c r="BV92" s="106">
        <v>35.048207219175758</v>
      </c>
      <c r="BW92" s="106">
        <v>49796.492817004917</v>
      </c>
      <c r="BX92" s="106">
        <v>36</v>
      </c>
      <c r="BY92" s="106">
        <v>51148.799999999996</v>
      </c>
      <c r="BZ92" s="106">
        <v>31.789303950550927</v>
      </c>
      <c r="CA92" s="106">
        <v>45166.243052942758</v>
      </c>
      <c r="CB92" s="106">
        <v>23.378917249938393</v>
      </c>
      <c r="CC92" s="106">
        <v>33216.76562871247</v>
      </c>
      <c r="CD92" s="106">
        <v>38.263927406611536</v>
      </c>
      <c r="CE92" s="106">
        <v>54365.388059313671</v>
      </c>
      <c r="CF92" s="106">
        <v>11</v>
      </c>
      <c r="CG92" s="106">
        <v>15628.8</v>
      </c>
      <c r="CH92" s="106">
        <v>11</v>
      </c>
      <c r="CI92" s="106">
        <v>15628.8</v>
      </c>
      <c r="CJ92" s="106">
        <v>13</v>
      </c>
      <c r="CK92" s="106">
        <v>18470.399999999998</v>
      </c>
      <c r="CL92" s="106">
        <v>8</v>
      </c>
      <c r="CM92" s="106">
        <v>11366.4</v>
      </c>
      <c r="CN92" s="106">
        <v>7</v>
      </c>
      <c r="CO92" s="106">
        <v>9945.6</v>
      </c>
      <c r="CP92" s="106">
        <v>7</v>
      </c>
      <c r="CQ92" s="106">
        <v>9945.6</v>
      </c>
      <c r="CR92" s="106">
        <v>7</v>
      </c>
      <c r="CS92" s="106">
        <v>9945.6</v>
      </c>
      <c r="CT92" s="106">
        <v>5</v>
      </c>
      <c r="CU92" s="106">
        <v>7104</v>
      </c>
    </row>
    <row r="93" spans="2:99" x14ac:dyDescent="0.2">
      <c r="C93" s="105" t="s">
        <v>259</v>
      </c>
      <c r="D93" s="106">
        <v>5</v>
      </c>
      <c r="E93" s="106">
        <v>8862</v>
      </c>
      <c r="F93" s="106">
        <v>5</v>
      </c>
      <c r="G93" s="106">
        <v>8862</v>
      </c>
      <c r="H93" s="106">
        <v>4.304851179470421</v>
      </c>
      <c r="I93" s="106">
        <v>7629.9182304933738</v>
      </c>
      <c r="J93" s="106">
        <v>4</v>
      </c>
      <c r="K93" s="106">
        <v>7089.5999999999995</v>
      </c>
      <c r="L93" s="106">
        <v>12</v>
      </c>
      <c r="M93" s="106">
        <v>21268.799999999999</v>
      </c>
      <c r="N93" s="106">
        <v>17</v>
      </c>
      <c r="O93" s="106">
        <v>30130.799999999999</v>
      </c>
      <c r="P93" s="106">
        <v>23.714892233844182</v>
      </c>
      <c r="Q93" s="106">
        <v>42032.274995265427</v>
      </c>
      <c r="R93" s="106">
        <v>14</v>
      </c>
      <c r="S93" s="106">
        <v>24813.599999999999</v>
      </c>
      <c r="T93" s="106">
        <v>37</v>
      </c>
      <c r="U93" s="106">
        <v>65578.799999999988</v>
      </c>
      <c r="V93" s="106">
        <v>26</v>
      </c>
      <c r="W93" s="106">
        <v>46082.399999999994</v>
      </c>
      <c r="X93" s="106">
        <v>46.925412604042805</v>
      </c>
      <c r="Y93" s="106">
        <v>83170.601299405462</v>
      </c>
      <c r="Z93" s="106">
        <v>39.120446615993636</v>
      </c>
      <c r="AA93" s="106">
        <v>69337.079582187114</v>
      </c>
      <c r="AB93" s="106">
        <v>6.7973531301939056</v>
      </c>
      <c r="AC93" s="106">
        <v>12047.628687955677</v>
      </c>
      <c r="AD93" s="106">
        <v>10</v>
      </c>
      <c r="AE93" s="106">
        <v>17724</v>
      </c>
      <c r="AF93" s="106">
        <v>7.7986166062150772</v>
      </c>
      <c r="AG93" s="106">
        <v>13822.268072855602</v>
      </c>
      <c r="AH93" s="106">
        <v>11.95983749753541</v>
      </c>
      <c r="AI93" s="106">
        <v>21197.615980631759</v>
      </c>
      <c r="AJ93" s="106">
        <v>13</v>
      </c>
      <c r="AK93" s="106">
        <v>23041.199999999997</v>
      </c>
      <c r="AL93" s="106">
        <v>15.920674773058797</v>
      </c>
      <c r="AM93" s="106">
        <v>28217.803967769411</v>
      </c>
      <c r="AN93" s="106">
        <v>10</v>
      </c>
      <c r="AO93" s="106">
        <v>17724</v>
      </c>
      <c r="AP93" s="106">
        <v>16</v>
      </c>
      <c r="AQ93" s="106">
        <v>28358.399999999998</v>
      </c>
      <c r="AR93" s="106">
        <v>6</v>
      </c>
      <c r="AS93" s="106">
        <v>10634.4</v>
      </c>
      <c r="AT93" s="106">
        <v>8.1829187805378627</v>
      </c>
      <c r="AU93" s="106">
        <v>14503.405246625307</v>
      </c>
      <c r="AV93" s="106">
        <v>7.1891145125213809</v>
      </c>
      <c r="AW93" s="106">
        <v>12741.986561992895</v>
      </c>
      <c r="AX93" s="106">
        <v>7.1377037037037034</v>
      </c>
      <c r="AY93" s="106">
        <v>12650.866044444443</v>
      </c>
      <c r="AZ93" s="106">
        <v>9</v>
      </c>
      <c r="BA93" s="106">
        <v>15951.599999999999</v>
      </c>
      <c r="BB93" s="106">
        <v>8</v>
      </c>
      <c r="BC93" s="106">
        <v>14179.199999999999</v>
      </c>
      <c r="BD93" s="106">
        <v>6.6337084751536182</v>
      </c>
      <c r="BE93" s="106">
        <v>11757.584901362272</v>
      </c>
      <c r="BF93" s="106">
        <v>6</v>
      </c>
      <c r="BG93" s="106">
        <v>10634.4</v>
      </c>
      <c r="BH93" s="106">
        <v>21.357113870627384</v>
      </c>
      <c r="BI93" s="106">
        <v>37853.348624299972</v>
      </c>
      <c r="BJ93" s="106">
        <v>23.548806627370514</v>
      </c>
      <c r="BK93" s="106">
        <v>41737.904866351499</v>
      </c>
      <c r="BL93" s="106">
        <v>15.472530200308023</v>
      </c>
      <c r="BM93" s="106">
        <v>27423.512527025938</v>
      </c>
      <c r="BN93" s="106">
        <v>27.328246689536901</v>
      </c>
      <c r="BO93" s="106">
        <v>48436.584432535201</v>
      </c>
      <c r="BP93" s="106">
        <v>39.805346415632158</v>
      </c>
      <c r="BQ93" s="106">
        <v>70550.995987066432</v>
      </c>
      <c r="BR93" s="106">
        <v>50.123566768015728</v>
      </c>
      <c r="BS93" s="106">
        <v>88839.009739631074</v>
      </c>
      <c r="BT93" s="106">
        <v>46</v>
      </c>
      <c r="BU93" s="106">
        <v>81530.399999999994</v>
      </c>
      <c r="BV93" s="106">
        <v>31.967575894623778</v>
      </c>
      <c r="BW93" s="106">
        <v>56659.33151563118</v>
      </c>
      <c r="BX93" s="106">
        <v>32</v>
      </c>
      <c r="BY93" s="106">
        <v>56716.799999999996</v>
      </c>
      <c r="BZ93" s="106">
        <v>26.710373555495835</v>
      </c>
      <c r="CA93" s="106">
        <v>47341.466089760812</v>
      </c>
      <c r="CB93" s="106">
        <v>24.401206499934769</v>
      </c>
      <c r="CC93" s="106">
        <v>43248.698400484383</v>
      </c>
      <c r="CD93" s="106">
        <v>30.230936480785093</v>
      </c>
      <c r="CE93" s="106">
        <v>53581.311818543494</v>
      </c>
      <c r="CF93" s="106">
        <v>11</v>
      </c>
      <c r="CG93" s="106">
        <v>19496.399999999998</v>
      </c>
      <c r="CH93" s="106">
        <v>10</v>
      </c>
      <c r="CI93" s="106">
        <v>17724</v>
      </c>
      <c r="CJ93" s="106">
        <v>12</v>
      </c>
      <c r="CK93" s="106">
        <v>21268.799999999999</v>
      </c>
      <c r="CL93" s="106">
        <v>7</v>
      </c>
      <c r="CM93" s="106">
        <v>12406.8</v>
      </c>
      <c r="CN93" s="106">
        <v>7</v>
      </c>
      <c r="CO93" s="106">
        <v>12406.8</v>
      </c>
      <c r="CP93" s="106">
        <v>7</v>
      </c>
      <c r="CQ93" s="106">
        <v>12406.8</v>
      </c>
      <c r="CR93" s="106">
        <v>7</v>
      </c>
      <c r="CS93" s="106">
        <v>12406.8</v>
      </c>
      <c r="CT93" s="106">
        <v>5</v>
      </c>
      <c r="CU93" s="106">
        <v>8862</v>
      </c>
    </row>
    <row r="94" spans="2:99" x14ac:dyDescent="0.2">
      <c r="C94" s="105" t="s">
        <v>260</v>
      </c>
      <c r="D94" s="106">
        <v>5</v>
      </c>
      <c r="E94" s="106">
        <v>11976</v>
      </c>
      <c r="F94" s="106">
        <v>5</v>
      </c>
      <c r="G94" s="106">
        <v>11976</v>
      </c>
      <c r="H94" s="106">
        <v>4.2709788261959298</v>
      </c>
      <c r="I94" s="106">
        <v>10229.84848450449</v>
      </c>
      <c r="J94" s="106">
        <v>4</v>
      </c>
      <c r="K94" s="106">
        <v>9580.7999999999993</v>
      </c>
      <c r="L94" s="106">
        <v>10</v>
      </c>
      <c r="M94" s="106">
        <v>23952</v>
      </c>
      <c r="N94" s="106">
        <v>15</v>
      </c>
      <c r="O94" s="106">
        <v>35928</v>
      </c>
      <c r="P94" s="106">
        <v>18.653615756657537</v>
      </c>
      <c r="Q94" s="106">
        <v>44679.140460346127</v>
      </c>
      <c r="R94" s="106">
        <v>13</v>
      </c>
      <c r="S94" s="106">
        <v>31137.599999999999</v>
      </c>
      <c r="T94" s="106">
        <v>38</v>
      </c>
      <c r="U94" s="106">
        <v>91017.599999999991</v>
      </c>
      <c r="V94" s="106">
        <v>25</v>
      </c>
      <c r="W94" s="106">
        <v>59879.999999999993</v>
      </c>
      <c r="X94" s="106">
        <v>36.813241379310348</v>
      </c>
      <c r="Y94" s="106">
        <v>88175.075751724144</v>
      </c>
      <c r="Z94" s="106">
        <v>34.916729049449337</v>
      </c>
      <c r="AA94" s="106">
        <v>83632.549419241041</v>
      </c>
      <c r="AB94" s="106">
        <v>5.7593839335180057</v>
      </c>
      <c r="AC94" s="106">
        <v>13794.876397562326</v>
      </c>
      <c r="AD94" s="106">
        <v>11</v>
      </c>
      <c r="AE94" s="106">
        <v>26347.199999999997</v>
      </c>
      <c r="AF94" s="106">
        <v>6.8984436819919619</v>
      </c>
      <c r="AG94" s="106">
        <v>16523.152307107146</v>
      </c>
      <c r="AH94" s="106">
        <v>11.767869998028328</v>
      </c>
      <c r="AI94" s="106">
        <v>28186.40221927745</v>
      </c>
      <c r="AJ94" s="106">
        <v>11</v>
      </c>
      <c r="AK94" s="106">
        <v>26347.199999999997</v>
      </c>
      <c r="AL94" s="106">
        <v>14.900215333657492</v>
      </c>
      <c r="AM94" s="106">
        <v>35688.99576717642</v>
      </c>
      <c r="AN94" s="106">
        <v>10</v>
      </c>
      <c r="AO94" s="106">
        <v>23952</v>
      </c>
      <c r="AP94" s="106">
        <v>16</v>
      </c>
      <c r="AQ94" s="106">
        <v>38323.199999999997</v>
      </c>
      <c r="AR94" s="106">
        <v>5</v>
      </c>
      <c r="AS94" s="106">
        <v>11976</v>
      </c>
      <c r="AT94" s="106">
        <v>7.1829187805378627</v>
      </c>
      <c r="AU94" s="106">
        <v>17204.527063144287</v>
      </c>
      <c r="AV94" s="106">
        <v>6.1891145125213809</v>
      </c>
      <c r="AW94" s="106">
        <v>14824.167080391211</v>
      </c>
      <c r="AX94" s="106">
        <v>7.1377037037037034</v>
      </c>
      <c r="AY94" s="106">
        <v>17096.227911111109</v>
      </c>
      <c r="AZ94" s="106">
        <v>10</v>
      </c>
      <c r="BA94" s="106">
        <v>23952</v>
      </c>
      <c r="BB94" s="106">
        <v>8</v>
      </c>
      <c r="BC94" s="106">
        <v>19161.599999999999</v>
      </c>
      <c r="BD94" s="106">
        <v>6.5703376276382564</v>
      </c>
      <c r="BE94" s="106">
        <v>15737.27268571915</v>
      </c>
      <c r="BF94" s="106">
        <v>6</v>
      </c>
      <c r="BG94" s="106">
        <v>14371.199999999999</v>
      </c>
      <c r="BH94" s="106">
        <v>19.321402483564647</v>
      </c>
      <c r="BI94" s="106">
        <v>46278.623228634038</v>
      </c>
      <c r="BJ94" s="106">
        <v>21.527698680163954</v>
      </c>
      <c r="BK94" s="106">
        <v>51563.143878728697</v>
      </c>
      <c r="BL94" s="106">
        <v>14.451985408990284</v>
      </c>
      <c r="BM94" s="106">
        <v>34615.395451613527</v>
      </c>
      <c r="BN94" s="106">
        <v>25.362798972646047</v>
      </c>
      <c r="BO94" s="106">
        <v>60748.976099281805</v>
      </c>
      <c r="BP94" s="106">
        <v>35.726776033619267</v>
      </c>
      <c r="BQ94" s="106">
        <v>85572.773955724857</v>
      </c>
      <c r="BR94" s="106">
        <v>49.123566768015728</v>
      </c>
      <c r="BS94" s="106">
        <v>117660.76712275126</v>
      </c>
      <c r="BT94" s="106">
        <v>40</v>
      </c>
      <c r="BU94" s="106">
        <v>95808</v>
      </c>
      <c r="BV94" s="106">
        <v>29.886944570071798</v>
      </c>
      <c r="BW94" s="106">
        <v>71585.209634235958</v>
      </c>
      <c r="BX94" s="106">
        <v>32</v>
      </c>
      <c r="BY94" s="106">
        <v>76646.399999999994</v>
      </c>
      <c r="BZ94" s="106">
        <v>26.749838753023379</v>
      </c>
      <c r="CA94" s="106">
        <v>64071.213781241589</v>
      </c>
      <c r="CB94" s="106">
        <v>21.356627999942017</v>
      </c>
      <c r="CC94" s="106">
        <v>51153.395385461117</v>
      </c>
      <c r="CD94" s="106">
        <v>29.214441017871874</v>
      </c>
      <c r="CE94" s="106">
        <v>69974.429126006711</v>
      </c>
      <c r="CF94" s="106">
        <v>10</v>
      </c>
      <c r="CG94" s="106">
        <v>23952</v>
      </c>
      <c r="CH94" s="106">
        <v>9</v>
      </c>
      <c r="CI94" s="106">
        <v>21556.799999999999</v>
      </c>
      <c r="CJ94" s="106">
        <v>11</v>
      </c>
      <c r="CK94" s="106">
        <v>26347.199999999997</v>
      </c>
      <c r="CL94" s="106">
        <v>8</v>
      </c>
      <c r="CM94" s="106">
        <v>19161.599999999999</v>
      </c>
      <c r="CN94" s="106">
        <v>7</v>
      </c>
      <c r="CO94" s="106">
        <v>16766.399999999998</v>
      </c>
      <c r="CP94" s="106">
        <v>7</v>
      </c>
      <c r="CQ94" s="106">
        <v>16766.399999999998</v>
      </c>
      <c r="CR94" s="106">
        <v>6</v>
      </c>
      <c r="CS94" s="106">
        <v>14371.199999999999</v>
      </c>
      <c r="CT94" s="106">
        <v>5</v>
      </c>
      <c r="CU94" s="106">
        <v>11976</v>
      </c>
    </row>
    <row r="95" spans="2:99" x14ac:dyDescent="0.2">
      <c r="B95" s="105" t="s">
        <v>132</v>
      </c>
      <c r="C95" s="105" t="s">
        <v>261</v>
      </c>
      <c r="D95" s="106">
        <v>6</v>
      </c>
      <c r="E95" s="106">
        <v>10396.799999999999</v>
      </c>
      <c r="F95" s="106">
        <v>11</v>
      </c>
      <c r="G95" s="106">
        <v>19060.8</v>
      </c>
      <c r="H95" s="106">
        <v>7.6258729571755772</v>
      </c>
      <c r="I95" s="106">
        <v>13214.112660193839</v>
      </c>
      <c r="J95" s="106">
        <v>12</v>
      </c>
      <c r="K95" s="106">
        <v>20793.599999999999</v>
      </c>
      <c r="L95" s="106">
        <v>15.92348785035837</v>
      </c>
      <c r="M95" s="106">
        <v>27592.219747100982</v>
      </c>
      <c r="N95" s="106">
        <v>16</v>
      </c>
      <c r="O95" s="106">
        <v>27724.799999999999</v>
      </c>
      <c r="P95" s="106">
        <v>10.551488294679798</v>
      </c>
      <c r="Q95" s="106">
        <v>18283.618917021155</v>
      </c>
      <c r="R95" s="106">
        <v>13.186253390066881</v>
      </c>
      <c r="S95" s="106">
        <v>22849.13987430789</v>
      </c>
      <c r="T95" s="106">
        <v>15</v>
      </c>
      <c r="U95" s="106">
        <v>25992</v>
      </c>
      <c r="V95" s="106">
        <v>11.894105909373778</v>
      </c>
      <c r="W95" s="106">
        <v>20610.10671976288</v>
      </c>
      <c r="X95" s="106">
        <v>14.065626634958383</v>
      </c>
      <c r="Y95" s="106">
        <v>24372.917833055886</v>
      </c>
      <c r="Z95" s="106">
        <v>16.899752585570646</v>
      </c>
      <c r="AA95" s="106">
        <v>29283.891280276814</v>
      </c>
      <c r="AB95" s="106">
        <v>46.303753573407199</v>
      </c>
      <c r="AC95" s="106">
        <v>80235.144191999992</v>
      </c>
      <c r="AD95" s="106">
        <v>56</v>
      </c>
      <c r="AE95" s="106">
        <v>97036.800000000003</v>
      </c>
      <c r="AF95" s="106">
        <v>61</v>
      </c>
      <c r="AG95" s="106">
        <v>105700.8</v>
      </c>
      <c r="AH95" s="106">
        <v>61.383934999014166</v>
      </c>
      <c r="AI95" s="106">
        <v>106366.08256629175</v>
      </c>
      <c r="AJ95" s="106">
        <v>8</v>
      </c>
      <c r="AK95" s="106">
        <v>13862.4</v>
      </c>
      <c r="AL95" s="106">
        <v>6.6956209396444253</v>
      </c>
      <c r="AM95" s="106">
        <v>11602.17196421586</v>
      </c>
      <c r="AN95" s="106">
        <v>6.8244321116638496</v>
      </c>
      <c r="AO95" s="106">
        <v>11825.375963091119</v>
      </c>
      <c r="AP95" s="106">
        <v>7</v>
      </c>
      <c r="AQ95" s="106">
        <v>12129.6</v>
      </c>
      <c r="AR95" s="106">
        <v>29</v>
      </c>
      <c r="AS95" s="106">
        <v>50251.199999999997</v>
      </c>
      <c r="AT95" s="106">
        <v>48</v>
      </c>
      <c r="AU95" s="106">
        <v>83174.399999999994</v>
      </c>
      <c r="AV95" s="106">
        <v>53</v>
      </c>
      <c r="AW95" s="106">
        <v>91838.399999999994</v>
      </c>
      <c r="AX95" s="106">
        <v>40.447537037037037</v>
      </c>
      <c r="AY95" s="106">
        <v>70087.492177777778</v>
      </c>
      <c r="AZ95" s="106">
        <v>20.407576983851698</v>
      </c>
      <c r="BA95" s="106">
        <v>35362.249397618223</v>
      </c>
      <c r="BB95" s="106">
        <v>29.69982075093915</v>
      </c>
      <c r="BC95" s="106">
        <v>51463.849397227357</v>
      </c>
      <c r="BD95" s="106">
        <v>21.728764746426663</v>
      </c>
      <c r="BE95" s="106">
        <v>37651.603552608118</v>
      </c>
      <c r="BF95" s="106">
        <v>29</v>
      </c>
      <c r="BG95" s="106">
        <v>50251.199999999997</v>
      </c>
      <c r="BH95" s="106">
        <v>41.517815112409707</v>
      </c>
      <c r="BI95" s="106">
        <v>71942.070026783535</v>
      </c>
      <c r="BJ95" s="106">
        <v>42.443266891337721</v>
      </c>
      <c r="BK95" s="106">
        <v>73545.692869310005</v>
      </c>
      <c r="BL95" s="106">
        <v>39.513619782943508</v>
      </c>
      <c r="BM95" s="106">
        <v>68469.200359884504</v>
      </c>
      <c r="BN95" s="106">
        <v>28.328246689536901</v>
      </c>
      <c r="BO95" s="106">
        <v>49087.185863629536</v>
      </c>
      <c r="BP95" s="106">
        <v>23</v>
      </c>
      <c r="BQ95" s="106">
        <v>39854.400000000001</v>
      </c>
      <c r="BR95" s="106">
        <v>26</v>
      </c>
      <c r="BS95" s="106">
        <v>45052.799999999996</v>
      </c>
      <c r="BT95" s="106">
        <v>18</v>
      </c>
      <c r="BU95" s="106">
        <v>31190.399999999998</v>
      </c>
      <c r="BV95" s="106">
        <v>20</v>
      </c>
      <c r="BW95" s="106">
        <v>34656</v>
      </c>
      <c r="BX95" s="106">
        <v>31</v>
      </c>
      <c r="BY95" s="106">
        <v>53716.799999999996</v>
      </c>
      <c r="BZ95" s="106">
        <v>24</v>
      </c>
      <c r="CA95" s="106">
        <v>41587.199999999997</v>
      </c>
      <c r="CB95" s="106">
        <v>37.003016249836925</v>
      </c>
      <c r="CC95" s="106">
        <v>64118.826557717424</v>
      </c>
      <c r="CD95" s="106">
        <v>21</v>
      </c>
      <c r="CE95" s="106">
        <v>36388.799999999996</v>
      </c>
      <c r="CF95" s="106">
        <v>26.539000000000001</v>
      </c>
      <c r="CG95" s="106">
        <v>45986.779200000004</v>
      </c>
      <c r="CH95" s="106">
        <v>23</v>
      </c>
      <c r="CI95" s="106">
        <v>39854.400000000001</v>
      </c>
      <c r="CJ95" s="106">
        <v>20.269272143472474</v>
      </c>
      <c r="CK95" s="106">
        <v>35122.5947702091</v>
      </c>
      <c r="CL95" s="106">
        <v>27.390768464359642</v>
      </c>
      <c r="CM95" s="106">
        <v>47462.723595042386</v>
      </c>
      <c r="CN95" s="106">
        <v>112</v>
      </c>
      <c r="CO95" s="106">
        <v>194073.60000000001</v>
      </c>
      <c r="CP95" s="106">
        <v>64</v>
      </c>
      <c r="CQ95" s="106">
        <v>110899.2</v>
      </c>
      <c r="CR95" s="106">
        <v>65</v>
      </c>
      <c r="CS95" s="106">
        <v>112632</v>
      </c>
      <c r="CT95" s="106">
        <v>84</v>
      </c>
      <c r="CU95" s="106">
        <v>145555.19999999998</v>
      </c>
    </row>
    <row r="96" spans="2:99" x14ac:dyDescent="0.2">
      <c r="C96" s="105" t="s">
        <v>262</v>
      </c>
      <c r="D96" s="106">
        <v>6</v>
      </c>
      <c r="E96" s="106">
        <v>4939.2</v>
      </c>
      <c r="F96" s="106">
        <v>11</v>
      </c>
      <c r="G96" s="106">
        <v>9055.1999999999989</v>
      </c>
      <c r="H96" s="106">
        <v>8.7952347235480346</v>
      </c>
      <c r="I96" s="106">
        <v>7240.2372244247417</v>
      </c>
      <c r="J96" s="106">
        <v>12</v>
      </c>
      <c r="K96" s="106">
        <v>9878.4</v>
      </c>
      <c r="L96" s="106">
        <v>16.136600431210301</v>
      </c>
      <c r="M96" s="106">
        <v>13283.649474972319</v>
      </c>
      <c r="N96" s="106">
        <v>15</v>
      </c>
      <c r="O96" s="106">
        <v>12347.999999999998</v>
      </c>
      <c r="P96" s="106">
        <v>12.551488294679798</v>
      </c>
      <c r="Q96" s="106">
        <v>10332.385164180409</v>
      </c>
      <c r="R96" s="106">
        <v>12.525182930085991</v>
      </c>
      <c r="S96" s="106">
        <v>10310.730588046787</v>
      </c>
      <c r="T96" s="106">
        <v>15</v>
      </c>
      <c r="U96" s="106">
        <v>12347.999999999998</v>
      </c>
      <c r="V96" s="106">
        <v>12.14479639737913</v>
      </c>
      <c r="W96" s="106">
        <v>9997.5963943224997</v>
      </c>
      <c r="X96" s="106">
        <v>16.444204518430439</v>
      </c>
      <c r="Y96" s="106">
        <v>13536.869159571936</v>
      </c>
      <c r="Z96" s="106">
        <v>17.05254076047887</v>
      </c>
      <c r="AA96" s="106">
        <v>14037.651554026204</v>
      </c>
      <c r="AB96" s="106">
        <v>47.341722770083102</v>
      </c>
      <c r="AC96" s="106">
        <v>38971.706184332405</v>
      </c>
      <c r="AD96" s="106">
        <v>69</v>
      </c>
      <c r="AE96" s="106">
        <v>56800.799999999996</v>
      </c>
      <c r="AF96" s="106">
        <v>78</v>
      </c>
      <c r="AG96" s="106">
        <v>64209.599999999991</v>
      </c>
      <c r="AH96" s="106">
        <v>59.383934999014166</v>
      </c>
      <c r="AI96" s="106">
        <v>48884.855291188454</v>
      </c>
      <c r="AJ96" s="106">
        <v>8</v>
      </c>
      <c r="AK96" s="106">
        <v>6585.5999999999995</v>
      </c>
      <c r="AL96" s="106">
        <v>7.7365398184470386</v>
      </c>
      <c r="AM96" s="106">
        <v>6368.7195785456015</v>
      </c>
      <c r="AN96" s="106">
        <v>6.9743288592390957</v>
      </c>
      <c r="AO96" s="106">
        <v>5741.2675169256236</v>
      </c>
      <c r="AP96" s="106">
        <v>8</v>
      </c>
      <c r="AQ96" s="106">
        <v>6585.5999999999995</v>
      </c>
      <c r="AR96" s="106">
        <v>32</v>
      </c>
      <c r="AS96" s="106">
        <v>26342.399999999998</v>
      </c>
      <c r="AT96" s="106">
        <v>52</v>
      </c>
      <c r="AU96" s="106">
        <v>42806.399999999994</v>
      </c>
      <c r="AV96" s="106">
        <v>59</v>
      </c>
      <c r="AW96" s="106">
        <v>48568.799999999996</v>
      </c>
      <c r="AX96" s="106">
        <v>46.459012345679014</v>
      </c>
      <c r="AY96" s="106">
        <v>38245.058962962961</v>
      </c>
      <c r="AZ96" s="106">
        <v>19.475506481160313</v>
      </c>
      <c r="BA96" s="106">
        <v>16032.236935291168</v>
      </c>
      <c r="BB96" s="106">
        <v>31.69982075093915</v>
      </c>
      <c r="BC96" s="106">
        <v>26095.292442173108</v>
      </c>
      <c r="BD96" s="106">
        <v>24.760450170184342</v>
      </c>
      <c r="BE96" s="106">
        <v>20382.802580095748</v>
      </c>
      <c r="BF96" s="106">
        <v>34</v>
      </c>
      <c r="BG96" s="106">
        <v>27988.799999999999</v>
      </c>
      <c r="BH96" s="106">
        <v>47.62494927359792</v>
      </c>
      <c r="BI96" s="106">
        <v>39204.858242025803</v>
      </c>
      <c r="BJ96" s="106">
        <v>40.464374838544281</v>
      </c>
      <c r="BK96" s="106">
        <v>33310.273367089649</v>
      </c>
      <c r="BL96" s="106">
        <v>42.595798948214465</v>
      </c>
      <c r="BM96" s="106">
        <v>35064.861694170148</v>
      </c>
      <c r="BN96" s="106">
        <v>31.362798972646047</v>
      </c>
      <c r="BO96" s="106">
        <v>25817.856114282225</v>
      </c>
      <c r="BP96" s="106">
        <v>26</v>
      </c>
      <c r="BQ96" s="106">
        <v>21403.199999999997</v>
      </c>
      <c r="BR96" s="106">
        <v>31</v>
      </c>
      <c r="BS96" s="106">
        <v>25519.199999999997</v>
      </c>
      <c r="BT96" s="106">
        <v>21</v>
      </c>
      <c r="BU96" s="106">
        <v>17287.199999999997</v>
      </c>
      <c r="BV96" s="106">
        <v>26</v>
      </c>
      <c r="BW96" s="106">
        <v>21403.199999999997</v>
      </c>
      <c r="BX96" s="106">
        <v>35</v>
      </c>
      <c r="BY96" s="106">
        <v>28811.999999999996</v>
      </c>
      <c r="BZ96" s="106">
        <v>25</v>
      </c>
      <c r="CA96" s="106">
        <v>20580</v>
      </c>
      <c r="CB96" s="106">
        <v>38.359644249778938</v>
      </c>
      <c r="CC96" s="106">
        <v>31577.65914641802</v>
      </c>
      <c r="CD96" s="106">
        <v>26</v>
      </c>
      <c r="CE96" s="106">
        <v>21403.199999999997</v>
      </c>
      <c r="CF96" s="106">
        <v>31.509055555555555</v>
      </c>
      <c r="CG96" s="106">
        <v>25938.254533333333</v>
      </c>
      <c r="CH96" s="106">
        <v>25</v>
      </c>
      <c r="CI96" s="106">
        <v>20580</v>
      </c>
      <c r="CJ96" s="106">
        <v>21.30293116140653</v>
      </c>
      <c r="CK96" s="106">
        <v>17536.572932069856</v>
      </c>
      <c r="CL96" s="106">
        <v>33.455896541752914</v>
      </c>
      <c r="CM96" s="106">
        <v>27540.894033170996</v>
      </c>
      <c r="CN96" s="106">
        <v>135</v>
      </c>
      <c r="CO96" s="106">
        <v>111131.99999999999</v>
      </c>
      <c r="CP96" s="106">
        <v>81</v>
      </c>
      <c r="CQ96" s="106">
        <v>66679.199999999997</v>
      </c>
      <c r="CR96" s="106">
        <v>87</v>
      </c>
      <c r="CS96" s="106">
        <v>71618.399999999994</v>
      </c>
      <c r="CT96" s="106">
        <v>88</v>
      </c>
      <c r="CU96" s="106">
        <v>72441.599999999991</v>
      </c>
    </row>
    <row r="97" spans="2:99" x14ac:dyDescent="0.2">
      <c r="C97" s="105" t="s">
        <v>263</v>
      </c>
      <c r="D97" s="106">
        <v>6</v>
      </c>
      <c r="E97" s="106">
        <v>10972.8</v>
      </c>
      <c r="F97" s="106">
        <v>11</v>
      </c>
      <c r="G97" s="106">
        <v>20116.8</v>
      </c>
      <c r="H97" s="106">
        <v>7</v>
      </c>
      <c r="I97" s="106">
        <v>12801.6</v>
      </c>
      <c r="J97" s="106">
        <v>10</v>
      </c>
      <c r="K97" s="106">
        <v>18288</v>
      </c>
      <c r="L97" s="106">
        <v>14.852450323407727</v>
      </c>
      <c r="M97" s="106">
        <v>27162.16115144805</v>
      </c>
      <c r="N97" s="106">
        <v>14</v>
      </c>
      <c r="O97" s="106">
        <v>25603.200000000001</v>
      </c>
      <c r="P97" s="106">
        <v>10.53106280228425</v>
      </c>
      <c r="Q97" s="106">
        <v>19259.207652817437</v>
      </c>
      <c r="R97" s="106">
        <v>13.412206416746287</v>
      </c>
      <c r="S97" s="106">
        <v>24528.24309494561</v>
      </c>
      <c r="T97" s="106">
        <v>14</v>
      </c>
      <c r="U97" s="106">
        <v>25603.200000000001</v>
      </c>
      <c r="V97" s="106">
        <v>11.977669405375561</v>
      </c>
      <c r="W97" s="106">
        <v>21904.761808550826</v>
      </c>
      <c r="X97" s="106">
        <v>14.093669441141499</v>
      </c>
      <c r="Y97" s="106">
        <v>25774.502673959571</v>
      </c>
      <c r="Z97" s="106">
        <v>17.933705513328029</v>
      </c>
      <c r="AA97" s="106">
        <v>32797.160642774295</v>
      </c>
      <c r="AB97" s="106">
        <v>44.341722770083102</v>
      </c>
      <c r="AC97" s="106">
        <v>81092.142601927975</v>
      </c>
      <c r="AD97" s="106">
        <v>58</v>
      </c>
      <c r="AE97" s="106">
        <v>106070.39999999999</v>
      </c>
      <c r="AF97" s="106">
        <v>59</v>
      </c>
      <c r="AG97" s="106">
        <v>107899.2</v>
      </c>
      <c r="AH97" s="106">
        <v>59.345541499112748</v>
      </c>
      <c r="AI97" s="106">
        <v>108531.12629357738</v>
      </c>
      <c r="AJ97" s="106">
        <v>6</v>
      </c>
      <c r="AK97" s="106">
        <v>10972.8</v>
      </c>
      <c r="AL97" s="106">
        <v>7.6956209396444253</v>
      </c>
      <c r="AM97" s="106">
        <v>14073.751574421725</v>
      </c>
      <c r="AN97" s="106">
        <v>5.8244321116638496</v>
      </c>
      <c r="AO97" s="106">
        <v>10651.721445810848</v>
      </c>
      <c r="AP97" s="106">
        <v>7</v>
      </c>
      <c r="AQ97" s="106">
        <v>12801.6</v>
      </c>
      <c r="AR97" s="106">
        <v>26</v>
      </c>
      <c r="AS97" s="106">
        <v>47548.799999999996</v>
      </c>
      <c r="AT97" s="106">
        <v>53.630053577408191</v>
      </c>
      <c r="AU97" s="106">
        <v>98078.64198236409</v>
      </c>
      <c r="AV97" s="106">
        <v>45</v>
      </c>
      <c r="AW97" s="106">
        <v>82296</v>
      </c>
      <c r="AX97" s="106">
        <v>35.39016049382716</v>
      </c>
      <c r="AY97" s="106">
        <v>64721.525511111111</v>
      </c>
      <c r="AZ97" s="106">
        <v>18.407576983851698</v>
      </c>
      <c r="BA97" s="106">
        <v>33663.776788067982</v>
      </c>
      <c r="BB97" s="106">
        <v>30.62206288972369</v>
      </c>
      <c r="BC97" s="106">
        <v>56001.628612726679</v>
      </c>
      <c r="BD97" s="106">
        <v>21.665393898911301</v>
      </c>
      <c r="BE97" s="106">
        <v>39621.672362328987</v>
      </c>
      <c r="BF97" s="106">
        <v>29.697360726377347</v>
      </c>
      <c r="BG97" s="106">
        <v>54310.533296398891</v>
      </c>
      <c r="BH97" s="106">
        <v>45.535670805941074</v>
      </c>
      <c r="BI97" s="106">
        <v>83275.634769905038</v>
      </c>
      <c r="BJ97" s="106">
        <v>42.464374838544281</v>
      </c>
      <c r="BK97" s="106">
        <v>77658.848704729782</v>
      </c>
      <c r="BL97" s="106">
        <v>40.513619782943508</v>
      </c>
      <c r="BM97" s="106">
        <v>74091.307859047083</v>
      </c>
      <c r="BN97" s="106">
        <v>29.362798972646047</v>
      </c>
      <c r="BO97" s="106">
        <v>53698.686761175086</v>
      </c>
      <c r="BP97" s="106">
        <v>22</v>
      </c>
      <c r="BQ97" s="106">
        <v>40233.599999999999</v>
      </c>
      <c r="BR97" s="106">
        <v>25</v>
      </c>
      <c r="BS97" s="106">
        <v>45720</v>
      </c>
      <c r="BT97" s="106">
        <v>19</v>
      </c>
      <c r="BU97" s="106">
        <v>34747.199999999997</v>
      </c>
      <c r="BV97" s="106">
        <v>22</v>
      </c>
      <c r="BW97" s="106">
        <v>40233.599999999999</v>
      </c>
      <c r="BX97" s="106">
        <v>36</v>
      </c>
      <c r="BY97" s="106">
        <v>65836.800000000003</v>
      </c>
      <c r="BZ97" s="106">
        <v>23</v>
      </c>
      <c r="CA97" s="106">
        <v>42062.400000000001</v>
      </c>
      <c r="CB97" s="106">
        <v>33.003016249836925</v>
      </c>
      <c r="CC97" s="106">
        <v>60355.916117701767</v>
      </c>
      <c r="CD97" s="106">
        <v>22</v>
      </c>
      <c r="CE97" s="106">
        <v>40233.599999999999</v>
      </c>
      <c r="CF97" s="106">
        <v>25.509055555555555</v>
      </c>
      <c r="CG97" s="106">
        <v>46650.960800000001</v>
      </c>
      <c r="CH97" s="106">
        <v>22</v>
      </c>
      <c r="CI97" s="106">
        <v>40233.599999999999</v>
      </c>
      <c r="CJ97" s="106">
        <v>20.269272143472474</v>
      </c>
      <c r="CK97" s="106">
        <v>37068.444895982459</v>
      </c>
      <c r="CL97" s="106">
        <v>27.390768464359642</v>
      </c>
      <c r="CM97" s="106">
        <v>50092.23736762091</v>
      </c>
      <c r="CN97" s="106">
        <v>123</v>
      </c>
      <c r="CO97" s="106">
        <v>224942.4</v>
      </c>
      <c r="CP97" s="106">
        <v>71</v>
      </c>
      <c r="CQ97" s="106">
        <v>129844.8</v>
      </c>
      <c r="CR97" s="106">
        <v>70</v>
      </c>
      <c r="CS97" s="106">
        <v>128016</v>
      </c>
      <c r="CT97" s="106">
        <v>83</v>
      </c>
      <c r="CU97" s="106">
        <v>151790.39999999999</v>
      </c>
    </row>
    <row r="98" spans="2:99" x14ac:dyDescent="0.2">
      <c r="C98" s="105" t="s">
        <v>264</v>
      </c>
      <c r="D98" s="106">
        <v>6</v>
      </c>
      <c r="E98" s="106">
        <v>7581.5999999999995</v>
      </c>
      <c r="F98" s="106">
        <v>12</v>
      </c>
      <c r="G98" s="106">
        <v>15163.199999999999</v>
      </c>
      <c r="H98" s="106">
        <v>7</v>
      </c>
      <c r="I98" s="106">
        <v>8845.1999999999989</v>
      </c>
      <c r="J98" s="106">
        <v>12</v>
      </c>
      <c r="K98" s="106">
        <v>15163.199999999999</v>
      </c>
      <c r="L98" s="106">
        <v>16.065562904259657</v>
      </c>
      <c r="M98" s="106">
        <v>20300.445285822501</v>
      </c>
      <c r="N98" s="106">
        <v>15</v>
      </c>
      <c r="O98" s="106">
        <v>18954</v>
      </c>
      <c r="P98" s="106">
        <v>11.612764771866441</v>
      </c>
      <c r="Q98" s="106">
        <v>14673.889565730435</v>
      </c>
      <c r="R98" s="106">
        <v>12.299229903406584</v>
      </c>
      <c r="S98" s="106">
        <v>15541.306905944559</v>
      </c>
      <c r="T98" s="106">
        <v>15</v>
      </c>
      <c r="U98" s="106">
        <v>18954</v>
      </c>
      <c r="V98" s="106">
        <v>10.92196040804104</v>
      </c>
      <c r="W98" s="106">
        <v>13800.989171600657</v>
      </c>
      <c r="X98" s="106">
        <v>14.247904875148633</v>
      </c>
      <c r="Y98" s="106">
        <v>18003.652600237812</v>
      </c>
      <c r="Z98" s="106">
        <v>19.018587832721487</v>
      </c>
      <c r="AA98" s="106">
        <v>24031.88758542687</v>
      </c>
      <c r="AB98" s="106">
        <v>47.341722770083102</v>
      </c>
      <c r="AC98" s="106">
        <v>59821.000892277007</v>
      </c>
      <c r="AD98" s="106">
        <v>58</v>
      </c>
      <c r="AE98" s="106">
        <v>73288.799999999988</v>
      </c>
      <c r="AF98" s="106">
        <v>72</v>
      </c>
      <c r="AG98" s="106">
        <v>90979.199999999997</v>
      </c>
      <c r="AH98" s="106">
        <v>61.345541499112748</v>
      </c>
      <c r="AI98" s="106">
        <v>77516.226238278861</v>
      </c>
      <c r="AJ98" s="106">
        <v>7</v>
      </c>
      <c r="AK98" s="106">
        <v>8845.1999999999989</v>
      </c>
      <c r="AL98" s="106">
        <v>6.7160803790457315</v>
      </c>
      <c r="AM98" s="106">
        <v>8486.4391669621855</v>
      </c>
      <c r="AN98" s="106">
        <v>6.8619062985576615</v>
      </c>
      <c r="AO98" s="106">
        <v>8670.7047988574614</v>
      </c>
      <c r="AP98" s="106">
        <v>8</v>
      </c>
      <c r="AQ98" s="106">
        <v>10108.799999999999</v>
      </c>
      <c r="AR98" s="106">
        <v>31</v>
      </c>
      <c r="AS98" s="106">
        <v>39171.599999999999</v>
      </c>
      <c r="AT98" s="106">
        <v>58</v>
      </c>
      <c r="AU98" s="106">
        <v>73288.799999999988</v>
      </c>
      <c r="AV98" s="106">
        <v>57</v>
      </c>
      <c r="AW98" s="106">
        <v>72025.2</v>
      </c>
      <c r="AX98" s="106">
        <v>41.401635802469137</v>
      </c>
      <c r="AY98" s="106">
        <v>52315.106999999996</v>
      </c>
      <c r="AZ98" s="106">
        <v>20.509471229814622</v>
      </c>
      <c r="BA98" s="106">
        <v>25915.767845993756</v>
      </c>
      <c r="BB98" s="106">
        <v>31.69982075093915</v>
      </c>
      <c r="BC98" s="106">
        <v>40055.893500886705</v>
      </c>
      <c r="BD98" s="106">
        <v>25.728764746426663</v>
      </c>
      <c r="BE98" s="106">
        <v>32510.867133584728</v>
      </c>
      <c r="BF98" s="106">
        <v>34</v>
      </c>
      <c r="BG98" s="106">
        <v>42962.399999999994</v>
      </c>
      <c r="BH98" s="106">
        <v>44.517815112409707</v>
      </c>
      <c r="BI98" s="106">
        <v>56252.711176040903</v>
      </c>
      <c r="BJ98" s="106">
        <v>44.48548278575084</v>
      </c>
      <c r="BK98" s="106">
        <v>56211.856048074755</v>
      </c>
      <c r="BL98" s="106">
        <v>43.513619782943508</v>
      </c>
      <c r="BM98" s="106">
        <v>54983.809957727412</v>
      </c>
      <c r="BN98" s="106">
        <v>34.345522831091472</v>
      </c>
      <c r="BO98" s="106">
        <v>43399.002649367183</v>
      </c>
      <c r="BP98" s="106">
        <v>25</v>
      </c>
      <c r="BQ98" s="106">
        <v>31589.999999999996</v>
      </c>
      <c r="BR98" s="106">
        <v>30</v>
      </c>
      <c r="BS98" s="106">
        <v>37908</v>
      </c>
      <c r="BT98" s="106">
        <v>19</v>
      </c>
      <c r="BU98" s="106">
        <v>24008.399999999998</v>
      </c>
      <c r="BV98" s="106">
        <v>25.947418063485781</v>
      </c>
      <c r="BW98" s="106">
        <v>32787.157465020631</v>
      </c>
      <c r="BX98" s="106">
        <v>33</v>
      </c>
      <c r="BY98" s="106">
        <v>41698.799999999996</v>
      </c>
      <c r="BZ98" s="106">
        <v>26</v>
      </c>
      <c r="CA98" s="106">
        <v>32853.599999999999</v>
      </c>
      <c r="CB98" s="106">
        <v>37.069883999826047</v>
      </c>
      <c r="CC98" s="106">
        <v>46841.505422180191</v>
      </c>
      <c r="CD98" s="106">
        <v>23</v>
      </c>
      <c r="CE98" s="106">
        <v>29062.799999999999</v>
      </c>
      <c r="CF98" s="106">
        <v>28.509055555555555</v>
      </c>
      <c r="CG98" s="106">
        <v>36024.042600000001</v>
      </c>
      <c r="CH98" s="106">
        <v>23</v>
      </c>
      <c r="CI98" s="106">
        <v>29062.799999999999</v>
      </c>
      <c r="CJ98" s="106">
        <v>19.30293116140653</v>
      </c>
      <c r="CK98" s="106">
        <v>24391.18381555329</v>
      </c>
      <c r="CL98" s="106">
        <v>34.42333250305628</v>
      </c>
      <c r="CM98" s="106">
        <v>43497.322950861912</v>
      </c>
      <c r="CN98" s="106">
        <v>139</v>
      </c>
      <c r="CO98" s="106">
        <v>175640.4</v>
      </c>
      <c r="CP98" s="106">
        <v>81</v>
      </c>
      <c r="CQ98" s="106">
        <v>102351.59999999999</v>
      </c>
      <c r="CR98" s="106">
        <v>74</v>
      </c>
      <c r="CS98" s="106">
        <v>93506.4</v>
      </c>
      <c r="CT98" s="106">
        <v>97</v>
      </c>
      <c r="CU98" s="106">
        <v>122569.2</v>
      </c>
    </row>
    <row r="99" spans="2:99" x14ac:dyDescent="0.2">
      <c r="C99" s="105" t="s">
        <v>265</v>
      </c>
      <c r="D99" s="106">
        <v>5</v>
      </c>
      <c r="E99" s="106">
        <v>27407.999999999996</v>
      </c>
      <c r="F99" s="106">
        <v>9</v>
      </c>
      <c r="G99" s="106">
        <v>49334.399999999994</v>
      </c>
      <c r="H99" s="106">
        <v>6.2532770711561749</v>
      </c>
      <c r="I99" s="106">
        <v>34277.963593249682</v>
      </c>
      <c r="J99" s="106">
        <v>8</v>
      </c>
      <c r="K99" s="106">
        <v>43852.799999999996</v>
      </c>
      <c r="L99" s="106">
        <v>10.639337742555796</v>
      </c>
      <c r="M99" s="106">
        <v>58320.593769593841</v>
      </c>
      <c r="N99" s="106">
        <v>11</v>
      </c>
      <c r="O99" s="106">
        <v>60297.599999999991</v>
      </c>
      <c r="P99" s="106">
        <v>8.3472333707243163</v>
      </c>
      <c r="Q99" s="106">
        <v>45756.194444962406</v>
      </c>
      <c r="R99" s="106">
        <v>9.9603003633874749</v>
      </c>
      <c r="S99" s="106">
        <v>54598.38247194478</v>
      </c>
      <c r="T99" s="106">
        <v>12</v>
      </c>
      <c r="U99" s="106">
        <v>65779.199999999997</v>
      </c>
      <c r="V99" s="106">
        <v>8.1698889440249811</v>
      </c>
      <c r="W99" s="106">
        <v>44784.06323556733</v>
      </c>
      <c r="X99" s="106">
        <v>10.743134363852556</v>
      </c>
      <c r="Y99" s="106">
        <v>58889.565328894168</v>
      </c>
      <c r="Z99" s="106">
        <v>13.543246844118126</v>
      </c>
      <c r="AA99" s="106">
        <v>74238.661900717911</v>
      </c>
      <c r="AB99" s="106">
        <v>26.2657843767313</v>
      </c>
      <c r="AC99" s="106">
        <v>143978.52363949027</v>
      </c>
      <c r="AD99" s="106">
        <v>33</v>
      </c>
      <c r="AE99" s="106">
        <v>180892.79999999999</v>
      </c>
      <c r="AF99" s="106">
        <v>35</v>
      </c>
      <c r="AG99" s="106">
        <v>191855.99999999997</v>
      </c>
      <c r="AH99" s="106">
        <v>34.307147999211331</v>
      </c>
      <c r="AI99" s="106">
        <v>188058.06247247683</v>
      </c>
      <c r="AJ99" s="106">
        <v>6</v>
      </c>
      <c r="AK99" s="106">
        <v>32889.599999999999</v>
      </c>
      <c r="AL99" s="106">
        <v>5.4705671062300523</v>
      </c>
      <c r="AM99" s="106">
        <v>29987.460649510653</v>
      </c>
      <c r="AN99" s="106">
        <v>4.6370611771947932</v>
      </c>
      <c r="AO99" s="106">
        <v>25418.514548910975</v>
      </c>
      <c r="AP99" s="106">
        <v>6</v>
      </c>
      <c r="AQ99" s="106">
        <v>32889.599999999999</v>
      </c>
      <c r="AR99" s="106">
        <v>17</v>
      </c>
      <c r="AS99" s="106">
        <v>93187.199999999997</v>
      </c>
      <c r="AT99" s="106">
        <v>33</v>
      </c>
      <c r="AU99" s="106">
        <v>180892.79999999999</v>
      </c>
      <c r="AV99" s="106">
        <v>30</v>
      </c>
      <c r="AW99" s="106">
        <v>164447.99999999997</v>
      </c>
      <c r="AX99" s="106">
        <v>26.263932098765434</v>
      </c>
      <c r="AY99" s="106">
        <v>143968.37019259259</v>
      </c>
      <c r="AZ99" s="106">
        <v>12.339647486543081</v>
      </c>
      <c r="BA99" s="106">
        <v>67641.011662234538</v>
      </c>
      <c r="BB99" s="106">
        <v>21.466547167292767</v>
      </c>
      <c r="BC99" s="106">
        <v>117671.02495223202</v>
      </c>
      <c r="BD99" s="106">
        <v>16.570337627638256</v>
      </c>
      <c r="BE99" s="106">
        <v>90831.96273966186</v>
      </c>
      <c r="BF99" s="106">
        <v>20</v>
      </c>
      <c r="BG99" s="106">
        <v>109631.99999999999</v>
      </c>
      <c r="BH99" s="106">
        <v>29.392825257690124</v>
      </c>
      <c r="BI99" s="106">
        <v>161119.71093255415</v>
      </c>
      <c r="BJ99" s="106">
        <v>27.337727155304933</v>
      </c>
      <c r="BK99" s="106">
        <v>149854.4851745195</v>
      </c>
      <c r="BL99" s="106">
        <v>27.369806243719324</v>
      </c>
      <c r="BM99" s="106">
        <v>150030.32990557182</v>
      </c>
      <c r="BN99" s="106">
        <v>20.224589840209457</v>
      </c>
      <c r="BO99" s="106">
        <v>110863.11166809216</v>
      </c>
      <c r="BP99" s="106">
        <v>14</v>
      </c>
      <c r="BQ99" s="106">
        <v>76742.399999999994</v>
      </c>
      <c r="BR99" s="106">
        <v>20</v>
      </c>
      <c r="BS99" s="106">
        <v>109631.99999999999</v>
      </c>
      <c r="BT99" s="106">
        <v>12</v>
      </c>
      <c r="BU99" s="106">
        <v>65779.199999999997</v>
      </c>
      <c r="BV99" s="106">
        <v>16.564419271863869</v>
      </c>
      <c r="BW99" s="106">
        <v>90799.520680648973</v>
      </c>
      <c r="BX99" s="106">
        <v>25</v>
      </c>
      <c r="BY99" s="106">
        <v>137040</v>
      </c>
      <c r="BZ99" s="106">
        <v>14</v>
      </c>
      <c r="CA99" s="106">
        <v>76742.399999999994</v>
      </c>
      <c r="CB99" s="106">
        <v>20.668677499891281</v>
      </c>
      <c r="CC99" s="106">
        <v>113297.42258340404</v>
      </c>
      <c r="CD99" s="106">
        <v>15</v>
      </c>
      <c r="CE99" s="106">
        <v>82223.999999999985</v>
      </c>
      <c r="CF99" s="106">
        <v>19.389277777777778</v>
      </c>
      <c r="CG99" s="106">
        <v>106284.26506666666</v>
      </c>
      <c r="CH99" s="106">
        <v>15</v>
      </c>
      <c r="CI99" s="106">
        <v>82223.999999999985</v>
      </c>
      <c r="CJ99" s="106">
        <v>12.235613125538414</v>
      </c>
      <c r="CK99" s="106">
        <v>67070.736908951367</v>
      </c>
      <c r="CL99" s="106">
        <v>20.358204425663004</v>
      </c>
      <c r="CM99" s="106">
        <v>111595.53337971431</v>
      </c>
      <c r="CN99" s="106">
        <v>64</v>
      </c>
      <c r="CO99" s="106">
        <v>350822.39999999997</v>
      </c>
      <c r="CP99" s="106">
        <v>34</v>
      </c>
      <c r="CQ99" s="106">
        <v>186374.39999999999</v>
      </c>
      <c r="CR99" s="106">
        <v>38</v>
      </c>
      <c r="CS99" s="106">
        <v>208300.79999999999</v>
      </c>
      <c r="CT99" s="106">
        <v>42</v>
      </c>
      <c r="CU99" s="106">
        <v>230227.19999999998</v>
      </c>
    </row>
    <row r="100" spans="2:99" x14ac:dyDescent="0.2">
      <c r="C100" s="105" t="s">
        <v>266</v>
      </c>
      <c r="D100" s="106">
        <v>6</v>
      </c>
      <c r="E100" s="106">
        <v>9734.4</v>
      </c>
      <c r="F100" s="106">
        <v>10</v>
      </c>
      <c r="G100" s="106">
        <v>16223.999999999998</v>
      </c>
      <c r="H100" s="106">
        <v>7</v>
      </c>
      <c r="I100" s="106">
        <v>11356.8</v>
      </c>
      <c r="J100" s="106">
        <v>10</v>
      </c>
      <c r="K100" s="106">
        <v>16223.999999999998</v>
      </c>
      <c r="L100" s="106">
        <v>14.030044140784337</v>
      </c>
      <c r="M100" s="106">
        <v>22762.343614008507</v>
      </c>
      <c r="N100" s="106">
        <v>14</v>
      </c>
      <c r="O100" s="106">
        <v>22713.599999999999</v>
      </c>
      <c r="P100" s="106">
        <v>11.551488294679798</v>
      </c>
      <c r="Q100" s="106">
        <v>18741.134609288503</v>
      </c>
      <c r="R100" s="106">
        <v>12.412206416746287</v>
      </c>
      <c r="S100" s="106">
        <v>20137.563690529172</v>
      </c>
      <c r="T100" s="106">
        <v>17</v>
      </c>
      <c r="U100" s="106">
        <v>27580.799999999999</v>
      </c>
      <c r="V100" s="106">
        <v>10</v>
      </c>
      <c r="W100" s="106">
        <v>16223.999999999998</v>
      </c>
      <c r="X100" s="106">
        <v>15.149755053507729</v>
      </c>
      <c r="Y100" s="106">
        <v>24578.962598810936</v>
      </c>
      <c r="Z100" s="106">
        <v>18.95068197720672</v>
      </c>
      <c r="AA100" s="106">
        <v>30745.586439820181</v>
      </c>
      <c r="AB100" s="106">
        <v>45.341722770083102</v>
      </c>
      <c r="AC100" s="106">
        <v>73562.411022182816</v>
      </c>
      <c r="AD100" s="106">
        <v>56</v>
      </c>
      <c r="AE100" s="106">
        <v>90854.399999999994</v>
      </c>
      <c r="AF100" s="106">
        <v>64</v>
      </c>
      <c r="AG100" s="106">
        <v>103833.59999999999</v>
      </c>
      <c r="AH100" s="106">
        <v>59.345541499112748</v>
      </c>
      <c r="AI100" s="106">
        <v>96282.206528160517</v>
      </c>
      <c r="AJ100" s="106">
        <v>7</v>
      </c>
      <c r="AK100" s="106">
        <v>11356.8</v>
      </c>
      <c r="AL100" s="106">
        <v>6.7365398184470386</v>
      </c>
      <c r="AM100" s="106">
        <v>10929.362201448475</v>
      </c>
      <c r="AN100" s="106">
        <v>5.9368546723452837</v>
      </c>
      <c r="AO100" s="106">
        <v>9631.9530204129878</v>
      </c>
      <c r="AP100" s="106">
        <v>7</v>
      </c>
      <c r="AQ100" s="106">
        <v>11356.8</v>
      </c>
      <c r="AR100" s="106">
        <v>27</v>
      </c>
      <c r="AS100" s="106">
        <v>43804.799999999996</v>
      </c>
      <c r="AT100" s="106">
        <v>55</v>
      </c>
      <c r="AU100" s="106">
        <v>89231.999999999985</v>
      </c>
      <c r="AV100" s="106">
        <v>54</v>
      </c>
      <c r="AW100" s="106">
        <v>87609.599999999991</v>
      </c>
      <c r="AX100" s="106">
        <v>40.424586419753084</v>
      </c>
      <c r="AY100" s="106">
        <v>65584.849007407392</v>
      </c>
      <c r="AZ100" s="106">
        <v>19.407576983851698</v>
      </c>
      <c r="BA100" s="106">
        <v>31486.852898600991</v>
      </c>
      <c r="BB100" s="106">
        <v>26.69982075093915</v>
      </c>
      <c r="BC100" s="106">
        <v>43317.789186323673</v>
      </c>
      <c r="BD100" s="106">
        <v>20.728764746426663</v>
      </c>
      <c r="BE100" s="106">
        <v>33630.347924602618</v>
      </c>
      <c r="BF100" s="106">
        <v>29.796983687288396</v>
      </c>
      <c r="BG100" s="106">
        <v>48342.626334256689</v>
      </c>
      <c r="BH100" s="106">
        <v>43.499959418878341</v>
      </c>
      <c r="BI100" s="106">
        <v>70574.334161188221</v>
      </c>
      <c r="BJ100" s="106">
        <v>42.48548278575084</v>
      </c>
      <c r="BK100" s="106">
        <v>68928.447271602156</v>
      </c>
      <c r="BL100" s="106">
        <v>42.554709365578987</v>
      </c>
      <c r="BM100" s="106">
        <v>69040.760474715338</v>
      </c>
      <c r="BN100" s="106">
        <v>28.380075114200622</v>
      </c>
      <c r="BO100" s="106">
        <v>46043.833865279084</v>
      </c>
      <c r="BP100" s="106">
        <v>25</v>
      </c>
      <c r="BQ100" s="106">
        <v>40560</v>
      </c>
      <c r="BR100" s="106">
        <v>30</v>
      </c>
      <c r="BS100" s="106">
        <v>48671.999999999993</v>
      </c>
      <c r="BT100" s="106">
        <v>17</v>
      </c>
      <c r="BU100" s="106">
        <v>27580.799999999999</v>
      </c>
      <c r="BV100" s="106">
        <v>23</v>
      </c>
      <c r="BW100" s="106">
        <v>37315.199999999997</v>
      </c>
      <c r="BX100" s="106">
        <v>35</v>
      </c>
      <c r="BY100" s="106">
        <v>56783.999999999993</v>
      </c>
      <c r="BZ100" s="106">
        <v>23</v>
      </c>
      <c r="CA100" s="106">
        <v>37315.199999999997</v>
      </c>
      <c r="CB100" s="106">
        <v>33.092173249822423</v>
      </c>
      <c r="CC100" s="106">
        <v>53688.741880511894</v>
      </c>
      <c r="CD100" s="106">
        <v>24</v>
      </c>
      <c r="CE100" s="106">
        <v>38937.599999999999</v>
      </c>
      <c r="CF100" s="106">
        <v>24.449166666666667</v>
      </c>
      <c r="CG100" s="106">
        <v>39666.327999999994</v>
      </c>
      <c r="CH100" s="106">
        <v>20</v>
      </c>
      <c r="CI100" s="106">
        <v>32447.999999999996</v>
      </c>
      <c r="CJ100" s="106">
        <v>20.33659017934059</v>
      </c>
      <c r="CK100" s="106">
        <v>32994.083906962172</v>
      </c>
      <c r="CL100" s="106">
        <v>30.42333250305628</v>
      </c>
      <c r="CM100" s="106">
        <v>49358.814652958506</v>
      </c>
      <c r="CN100" s="106">
        <v>111</v>
      </c>
      <c r="CO100" s="106">
        <v>180086.39999999999</v>
      </c>
      <c r="CP100" s="106">
        <v>72</v>
      </c>
      <c r="CQ100" s="106">
        <v>116812.79999999999</v>
      </c>
      <c r="CR100" s="106">
        <v>65</v>
      </c>
      <c r="CS100" s="106">
        <v>105455.99999999999</v>
      </c>
      <c r="CT100" s="106">
        <v>88</v>
      </c>
      <c r="CU100" s="106">
        <v>142771.19999999998</v>
      </c>
    </row>
    <row r="101" spans="2:99" x14ac:dyDescent="0.2">
      <c r="C101" s="105" t="s">
        <v>267</v>
      </c>
      <c r="D101" s="106">
        <v>6</v>
      </c>
      <c r="E101" s="106">
        <v>7142.4</v>
      </c>
      <c r="F101" s="106">
        <v>11</v>
      </c>
      <c r="G101" s="106">
        <v>13094.399999999998</v>
      </c>
      <c r="H101" s="106">
        <v>7</v>
      </c>
      <c r="I101" s="106">
        <v>8332.7999999999993</v>
      </c>
      <c r="J101" s="106">
        <v>11</v>
      </c>
      <c r="K101" s="106">
        <v>13094.399999999998</v>
      </c>
      <c r="L101" s="106">
        <v>15.959006613833694</v>
      </c>
      <c r="M101" s="106">
        <v>18997.601473107628</v>
      </c>
      <c r="N101" s="106">
        <v>15</v>
      </c>
      <c r="O101" s="106">
        <v>17855.999999999996</v>
      </c>
      <c r="P101" s="106">
        <v>11.633190264261989</v>
      </c>
      <c r="Q101" s="106">
        <v>13848.149690577471</v>
      </c>
      <c r="R101" s="106">
        <v>12.270985775071658</v>
      </c>
      <c r="S101" s="106">
        <v>14607.3814666453</v>
      </c>
      <c r="T101" s="106">
        <v>16</v>
      </c>
      <c r="U101" s="106">
        <v>19046.399999999998</v>
      </c>
      <c r="V101" s="106">
        <v>10</v>
      </c>
      <c r="W101" s="106">
        <v>11903.999999999998</v>
      </c>
      <c r="X101" s="106">
        <v>16.149755053507729</v>
      </c>
      <c r="Y101" s="106">
        <v>19224.6684156956</v>
      </c>
      <c r="Z101" s="106">
        <v>16.916729049449337</v>
      </c>
      <c r="AA101" s="106">
        <v>20137.67426046449</v>
      </c>
      <c r="AB101" s="106">
        <v>43.341722770083102</v>
      </c>
      <c r="AC101" s="106">
        <v>51593.986785506917</v>
      </c>
      <c r="AD101" s="106">
        <v>59</v>
      </c>
      <c r="AE101" s="106">
        <v>70233.599999999991</v>
      </c>
      <c r="AF101" s="106">
        <v>61</v>
      </c>
      <c r="AG101" s="106">
        <v>72614.399999999994</v>
      </c>
      <c r="AH101" s="106">
        <v>66.383934999014159</v>
      </c>
      <c r="AI101" s="106">
        <v>79023.436222826451</v>
      </c>
      <c r="AJ101" s="106">
        <v>7</v>
      </c>
      <c r="AK101" s="106">
        <v>8332.7999999999993</v>
      </c>
      <c r="AL101" s="106">
        <v>6.7979181366509582</v>
      </c>
      <c r="AM101" s="106">
        <v>8092.2417498692994</v>
      </c>
      <c r="AN101" s="106">
        <v>5.8993804854514726</v>
      </c>
      <c r="AO101" s="106">
        <v>7022.6225298814325</v>
      </c>
      <c r="AP101" s="106">
        <v>8</v>
      </c>
      <c r="AQ101" s="106">
        <v>9523.1999999999989</v>
      </c>
      <c r="AR101" s="106">
        <v>31</v>
      </c>
      <c r="AS101" s="106">
        <v>36902.399999999994</v>
      </c>
      <c r="AT101" s="106">
        <v>51</v>
      </c>
      <c r="AU101" s="106">
        <v>60710.399999999994</v>
      </c>
      <c r="AV101" s="106">
        <v>53</v>
      </c>
      <c r="AW101" s="106">
        <v>63091.19999999999</v>
      </c>
      <c r="AX101" s="106">
        <v>36.43606172839506</v>
      </c>
      <c r="AY101" s="106">
        <v>43373.487881481473</v>
      </c>
      <c r="AZ101" s="106">
        <v>21.441541732506007</v>
      </c>
      <c r="BA101" s="106">
        <v>25524.011278375147</v>
      </c>
      <c r="BB101" s="106">
        <v>29.69982075093915</v>
      </c>
      <c r="BC101" s="106">
        <v>35354.666621917961</v>
      </c>
      <c r="BD101" s="106">
        <v>23.760450170184342</v>
      </c>
      <c r="BE101" s="106">
        <v>28284.439882587438</v>
      </c>
      <c r="BF101" s="106">
        <v>29.747172206832872</v>
      </c>
      <c r="BG101" s="106">
        <v>35411.033795013849</v>
      </c>
      <c r="BH101" s="106">
        <v>44.535670805941074</v>
      </c>
      <c r="BI101" s="106">
        <v>53015.262527392246</v>
      </c>
      <c r="BJ101" s="106">
        <v>43.464374838544281</v>
      </c>
      <c r="BK101" s="106">
        <v>51739.991807803104</v>
      </c>
      <c r="BL101" s="106">
        <v>43.534164574261247</v>
      </c>
      <c r="BM101" s="106">
        <v>51823.069509200584</v>
      </c>
      <c r="BN101" s="106">
        <v>33.380075114200622</v>
      </c>
      <c r="BO101" s="106">
        <v>39735.641415944418</v>
      </c>
      <c r="BP101" s="106">
        <v>25</v>
      </c>
      <c r="BQ101" s="106">
        <v>29759.999999999996</v>
      </c>
      <c r="BR101" s="106">
        <v>32</v>
      </c>
      <c r="BS101" s="106">
        <v>38092.799999999996</v>
      </c>
      <c r="BT101" s="106">
        <v>18</v>
      </c>
      <c r="BU101" s="106">
        <v>21427.199999999997</v>
      </c>
      <c r="BV101" s="106">
        <v>25</v>
      </c>
      <c r="BW101" s="106">
        <v>29759.999999999996</v>
      </c>
      <c r="BX101" s="106">
        <v>37</v>
      </c>
      <c r="BY101" s="106">
        <v>44044.799999999996</v>
      </c>
      <c r="BZ101" s="106">
        <v>24</v>
      </c>
      <c r="CA101" s="106">
        <v>28569.599999999999</v>
      </c>
      <c r="CB101" s="106">
        <v>34.292776499789809</v>
      </c>
      <c r="CC101" s="106">
        <v>40822.121145349782</v>
      </c>
      <c r="CD101" s="106">
        <v>23</v>
      </c>
      <c r="CE101" s="106">
        <v>27379.199999999997</v>
      </c>
      <c r="CF101" s="106">
        <v>25.509055555555555</v>
      </c>
      <c r="CG101" s="106">
        <v>30365.97973333333</v>
      </c>
      <c r="CH101" s="106">
        <v>23</v>
      </c>
      <c r="CI101" s="106">
        <v>27379.199999999997</v>
      </c>
      <c r="CJ101" s="106">
        <v>21.30293116140653</v>
      </c>
      <c r="CK101" s="106">
        <v>25359.00925453833</v>
      </c>
      <c r="CL101" s="106">
        <v>31.455896541752914</v>
      </c>
      <c r="CM101" s="106">
        <v>37445.099243302662</v>
      </c>
      <c r="CN101" s="106">
        <v>122</v>
      </c>
      <c r="CO101" s="106">
        <v>145228.79999999999</v>
      </c>
      <c r="CP101" s="106">
        <v>76</v>
      </c>
      <c r="CQ101" s="106">
        <v>90470.399999999994</v>
      </c>
      <c r="CR101" s="106">
        <v>81</v>
      </c>
      <c r="CS101" s="106">
        <v>96422.399999999994</v>
      </c>
      <c r="CT101" s="106">
        <v>91</v>
      </c>
      <c r="CU101" s="106">
        <v>108326.39999999999</v>
      </c>
    </row>
    <row r="102" spans="2:99" x14ac:dyDescent="0.2">
      <c r="C102" s="105" t="s">
        <v>268</v>
      </c>
      <c r="D102" s="106">
        <v>6</v>
      </c>
      <c r="E102" s="106">
        <v>11635.199999999999</v>
      </c>
      <c r="F102" s="106">
        <v>12</v>
      </c>
      <c r="G102" s="106">
        <v>23270.399999999998</v>
      </c>
      <c r="H102" s="106">
        <v>7</v>
      </c>
      <c r="I102" s="106">
        <v>13574.399999999998</v>
      </c>
      <c r="J102" s="106">
        <v>10</v>
      </c>
      <c r="K102" s="106">
        <v>19392</v>
      </c>
      <c r="L102" s="106">
        <v>14.994525377309014</v>
      </c>
      <c r="M102" s="106">
        <v>29077.383611677637</v>
      </c>
      <c r="N102" s="106">
        <v>16</v>
      </c>
      <c r="O102" s="106">
        <v>31027.199999999997</v>
      </c>
      <c r="P102" s="106">
        <v>11.5106373098887</v>
      </c>
      <c r="Q102" s="106">
        <v>22321.427871336167</v>
      </c>
      <c r="R102" s="106">
        <v>12.412206416746287</v>
      </c>
      <c r="S102" s="106">
        <v>24069.750683354396</v>
      </c>
      <c r="T102" s="106">
        <v>16</v>
      </c>
      <c r="U102" s="106">
        <v>31027.199999999997</v>
      </c>
      <c r="V102" s="106">
        <v>9</v>
      </c>
      <c r="W102" s="106">
        <v>17452.8</v>
      </c>
      <c r="X102" s="106">
        <v>13.009541022592153</v>
      </c>
      <c r="Y102" s="106">
        <v>25228.1019510107</v>
      </c>
      <c r="Z102" s="106">
        <v>16.933705513328029</v>
      </c>
      <c r="AA102" s="106">
        <v>32837.841731445711</v>
      </c>
      <c r="AB102" s="106">
        <v>44.341722770083102</v>
      </c>
      <c r="AC102" s="106">
        <v>85987.468795745139</v>
      </c>
      <c r="AD102" s="106">
        <v>52</v>
      </c>
      <c r="AE102" s="106">
        <v>100838.39999999999</v>
      </c>
      <c r="AF102" s="106">
        <v>56</v>
      </c>
      <c r="AG102" s="106">
        <v>108595.19999999998</v>
      </c>
      <c r="AH102" s="106">
        <v>59.383934999014166</v>
      </c>
      <c r="AI102" s="106">
        <v>115157.32675008826</v>
      </c>
      <c r="AJ102" s="106">
        <v>7</v>
      </c>
      <c r="AK102" s="106">
        <v>13574.399999999998</v>
      </c>
      <c r="AL102" s="106">
        <v>7.6956209396444253</v>
      </c>
      <c r="AM102" s="106">
        <v>14923.348126158467</v>
      </c>
      <c r="AN102" s="106">
        <v>6.8993804854514726</v>
      </c>
      <c r="AO102" s="106">
        <v>13379.278637387495</v>
      </c>
      <c r="AP102" s="106">
        <v>7</v>
      </c>
      <c r="AQ102" s="106">
        <v>13574.399999999998</v>
      </c>
      <c r="AR102" s="106">
        <v>24</v>
      </c>
      <c r="AS102" s="106">
        <v>46540.799999999996</v>
      </c>
      <c r="AT102" s="106">
        <v>50</v>
      </c>
      <c r="AU102" s="106">
        <v>96959.999999999985</v>
      </c>
      <c r="AV102" s="106">
        <v>46</v>
      </c>
      <c r="AW102" s="106">
        <v>89203.199999999997</v>
      </c>
      <c r="AX102" s="106">
        <v>35.43606172839506</v>
      </c>
      <c r="AY102" s="106">
        <v>68717.610903703695</v>
      </c>
      <c r="AZ102" s="106">
        <v>18.441541732506007</v>
      </c>
      <c r="BA102" s="106">
        <v>35761.837727675644</v>
      </c>
      <c r="BB102" s="106">
        <v>28.66094182033142</v>
      </c>
      <c r="BC102" s="106">
        <v>55579.298377986684</v>
      </c>
      <c r="BD102" s="106">
        <v>23.665393898911301</v>
      </c>
      <c r="BE102" s="106">
        <v>45891.931848768792</v>
      </c>
      <c r="BF102" s="106">
        <v>28.697360726377347</v>
      </c>
      <c r="BG102" s="106">
        <v>55649.921920590947</v>
      </c>
      <c r="BH102" s="106">
        <v>41.482103725346967</v>
      </c>
      <c r="BI102" s="106">
        <v>80442.095544192824</v>
      </c>
      <c r="BJ102" s="106">
        <v>38.443266891337721</v>
      </c>
      <c r="BK102" s="106">
        <v>74549.183155682098</v>
      </c>
      <c r="BL102" s="106">
        <v>35.513619782943508</v>
      </c>
      <c r="BM102" s="106">
        <v>68868.011483084047</v>
      </c>
      <c r="BN102" s="106">
        <v>29.310970547982325</v>
      </c>
      <c r="BO102" s="106">
        <v>56839.834086647323</v>
      </c>
      <c r="BP102" s="106">
        <v>21</v>
      </c>
      <c r="BQ102" s="106">
        <v>40723.199999999997</v>
      </c>
      <c r="BR102" s="106">
        <v>27</v>
      </c>
      <c r="BS102" s="106">
        <v>52358.399999999994</v>
      </c>
      <c r="BT102" s="106">
        <v>20</v>
      </c>
      <c r="BU102" s="106">
        <v>38784</v>
      </c>
      <c r="BV102" s="106">
        <v>22</v>
      </c>
      <c r="BW102" s="106">
        <v>42662.399999999994</v>
      </c>
      <c r="BX102" s="106">
        <v>35</v>
      </c>
      <c r="BY102" s="106">
        <v>67872</v>
      </c>
      <c r="BZ102" s="106">
        <v>24</v>
      </c>
      <c r="CA102" s="106">
        <v>46540.799999999996</v>
      </c>
      <c r="CB102" s="106">
        <v>30.092173249822427</v>
      </c>
      <c r="CC102" s="106">
        <v>58354.742366055645</v>
      </c>
      <c r="CD102" s="106">
        <v>22</v>
      </c>
      <c r="CE102" s="106">
        <v>42662.399999999994</v>
      </c>
      <c r="CF102" s="106">
        <v>24.479111111111109</v>
      </c>
      <c r="CG102" s="106">
        <v>47469.892266666662</v>
      </c>
      <c r="CH102" s="106">
        <v>21</v>
      </c>
      <c r="CI102" s="106">
        <v>40723.199999999997</v>
      </c>
      <c r="CJ102" s="106">
        <v>19.30293116140653</v>
      </c>
      <c r="CK102" s="106">
        <v>37432.244108199542</v>
      </c>
      <c r="CL102" s="106">
        <v>31.455896541752914</v>
      </c>
      <c r="CM102" s="106">
        <v>60999.274573767245</v>
      </c>
      <c r="CN102" s="106">
        <v>120</v>
      </c>
      <c r="CO102" s="106">
        <v>232703.99999999997</v>
      </c>
      <c r="CP102" s="106">
        <v>72</v>
      </c>
      <c r="CQ102" s="106">
        <v>139622.39999999999</v>
      </c>
      <c r="CR102" s="106">
        <v>70</v>
      </c>
      <c r="CS102" s="106">
        <v>135744</v>
      </c>
      <c r="CT102" s="106">
        <v>72</v>
      </c>
      <c r="CU102" s="106">
        <v>139622.39999999999</v>
      </c>
    </row>
    <row r="103" spans="2:99" x14ac:dyDescent="0.2">
      <c r="C103" s="105" t="s">
        <v>269</v>
      </c>
      <c r="D103" s="106">
        <v>6</v>
      </c>
      <c r="E103" s="106">
        <v>12168</v>
      </c>
      <c r="F103" s="106">
        <v>11</v>
      </c>
      <c r="G103" s="106">
        <v>22308</v>
      </c>
      <c r="H103" s="106">
        <v>6</v>
      </c>
      <c r="I103" s="106">
        <v>12168</v>
      </c>
      <c r="J103" s="106">
        <v>11</v>
      </c>
      <c r="K103" s="106">
        <v>22308</v>
      </c>
      <c r="L103" s="106">
        <v>13.959006613833694</v>
      </c>
      <c r="M103" s="106">
        <v>28308.865412854731</v>
      </c>
      <c r="N103" s="106">
        <v>16</v>
      </c>
      <c r="O103" s="106">
        <v>32448</v>
      </c>
      <c r="P103" s="106">
        <v>11.490211817493153</v>
      </c>
      <c r="Q103" s="106">
        <v>23302.149565876112</v>
      </c>
      <c r="R103" s="106">
        <v>12.186253390066881</v>
      </c>
      <c r="S103" s="106">
        <v>24713.721875055635</v>
      </c>
      <c r="T103" s="106">
        <v>16</v>
      </c>
      <c r="U103" s="106">
        <v>32448</v>
      </c>
      <c r="V103" s="106">
        <v>9</v>
      </c>
      <c r="W103" s="106">
        <v>18252</v>
      </c>
      <c r="X103" s="106">
        <v>16.093669441141497</v>
      </c>
      <c r="Y103" s="106">
        <v>32637.961626634955</v>
      </c>
      <c r="Z103" s="106">
        <v>17.831846730055879</v>
      </c>
      <c r="AA103" s="106">
        <v>36162.985168553321</v>
      </c>
      <c r="AB103" s="106">
        <v>41.341722770083102</v>
      </c>
      <c r="AC103" s="106">
        <v>83841.013777728527</v>
      </c>
      <c r="AD103" s="106">
        <v>56</v>
      </c>
      <c r="AE103" s="106">
        <v>113568</v>
      </c>
      <c r="AF103" s="106">
        <v>63</v>
      </c>
      <c r="AG103" s="106">
        <v>127764</v>
      </c>
      <c r="AH103" s="106">
        <v>55.383934999014166</v>
      </c>
      <c r="AI103" s="106">
        <v>112318.62017800072</v>
      </c>
      <c r="AJ103" s="106">
        <v>7</v>
      </c>
      <c r="AK103" s="106">
        <v>14196</v>
      </c>
      <c r="AL103" s="106">
        <v>7.6751615002431191</v>
      </c>
      <c r="AM103" s="106">
        <v>15565.227522493045</v>
      </c>
      <c r="AN103" s="106">
        <v>6.8244321116638496</v>
      </c>
      <c r="AO103" s="106">
        <v>13839.948322454287</v>
      </c>
      <c r="AP103" s="106">
        <v>8</v>
      </c>
      <c r="AQ103" s="106">
        <v>16224</v>
      </c>
      <c r="AR103" s="106">
        <v>27</v>
      </c>
      <c r="AS103" s="106">
        <v>54756</v>
      </c>
      <c r="AT103" s="106">
        <v>49</v>
      </c>
      <c r="AU103" s="106">
        <v>99372</v>
      </c>
      <c r="AV103" s="106">
        <v>48</v>
      </c>
      <c r="AW103" s="106">
        <v>97344</v>
      </c>
      <c r="AX103" s="106">
        <v>34.378685185185184</v>
      </c>
      <c r="AY103" s="106">
        <v>69719.973555555553</v>
      </c>
      <c r="AZ103" s="106">
        <v>19.441541732506007</v>
      </c>
      <c r="BA103" s="106">
        <v>39427.44663352218</v>
      </c>
      <c r="BB103" s="106">
        <v>26.66094182033142</v>
      </c>
      <c r="BC103" s="106">
        <v>54068.390011632117</v>
      </c>
      <c r="BD103" s="106">
        <v>22.633708475153618</v>
      </c>
      <c r="BE103" s="106">
        <v>45901.160787611538</v>
      </c>
      <c r="BF103" s="106">
        <v>29</v>
      </c>
      <c r="BG103" s="106">
        <v>58812</v>
      </c>
      <c r="BH103" s="106">
        <v>40.482103725346967</v>
      </c>
      <c r="BI103" s="106">
        <v>82097.706355003655</v>
      </c>
      <c r="BJ103" s="106">
        <v>41.464374838544281</v>
      </c>
      <c r="BK103" s="106">
        <v>84089.752172567794</v>
      </c>
      <c r="BL103" s="106">
        <v>36.451985408990282</v>
      </c>
      <c r="BM103" s="106">
        <v>73924.626409432298</v>
      </c>
      <c r="BN103" s="106">
        <v>29.345522831091472</v>
      </c>
      <c r="BO103" s="106">
        <v>59512.720301453504</v>
      </c>
      <c r="BP103" s="106">
        <v>21</v>
      </c>
      <c r="BQ103" s="106">
        <v>42588</v>
      </c>
      <c r="BR103" s="106">
        <v>27</v>
      </c>
      <c r="BS103" s="106">
        <v>54756</v>
      </c>
      <c r="BT103" s="106">
        <v>19</v>
      </c>
      <c r="BU103" s="106">
        <v>38532</v>
      </c>
      <c r="BV103" s="106">
        <v>20</v>
      </c>
      <c r="BW103" s="106">
        <v>40560</v>
      </c>
      <c r="BX103" s="106">
        <v>31</v>
      </c>
      <c r="BY103" s="106">
        <v>62868</v>
      </c>
      <c r="BZ103" s="106">
        <v>23</v>
      </c>
      <c r="CA103" s="106">
        <v>46644</v>
      </c>
      <c r="CB103" s="106">
        <v>33.936148499847796</v>
      </c>
      <c r="CC103" s="106">
        <v>68822.509157691326</v>
      </c>
      <c r="CD103" s="106">
        <v>23</v>
      </c>
      <c r="CE103" s="106">
        <v>46644</v>
      </c>
      <c r="CF103" s="106">
        <v>24.479111111111109</v>
      </c>
      <c r="CG103" s="106">
        <v>49643.637333333332</v>
      </c>
      <c r="CH103" s="106">
        <v>20</v>
      </c>
      <c r="CI103" s="106">
        <v>40560</v>
      </c>
      <c r="CJ103" s="106">
        <v>19.269272143472474</v>
      </c>
      <c r="CK103" s="106">
        <v>39078.08390696218</v>
      </c>
      <c r="CL103" s="106">
        <v>31.390768464359642</v>
      </c>
      <c r="CM103" s="106">
        <v>63660.478445721354</v>
      </c>
      <c r="CN103" s="106">
        <v>110</v>
      </c>
      <c r="CO103" s="106">
        <v>223080</v>
      </c>
      <c r="CP103" s="106">
        <v>68</v>
      </c>
      <c r="CQ103" s="106">
        <v>137904</v>
      </c>
      <c r="CR103" s="106">
        <v>58</v>
      </c>
      <c r="CS103" s="106">
        <v>117624</v>
      </c>
      <c r="CT103" s="106">
        <v>70</v>
      </c>
      <c r="CU103" s="106">
        <v>141960</v>
      </c>
    </row>
    <row r="104" spans="2:99" x14ac:dyDescent="0.2">
      <c r="C104" s="105" t="s">
        <v>270</v>
      </c>
      <c r="D104" s="106">
        <v>6</v>
      </c>
      <c r="E104" s="106">
        <v>12434.400000000001</v>
      </c>
      <c r="F104" s="106">
        <v>10</v>
      </c>
      <c r="G104" s="106">
        <v>20724</v>
      </c>
      <c r="H104" s="106">
        <v>6</v>
      </c>
      <c r="I104" s="106">
        <v>12434.400000000001</v>
      </c>
      <c r="J104" s="106">
        <v>11</v>
      </c>
      <c r="K104" s="106">
        <v>22796.400000000001</v>
      </c>
      <c r="L104" s="106">
        <v>14.887969086883048</v>
      </c>
      <c r="M104" s="106">
        <v>30853.827135656429</v>
      </c>
      <c r="N104" s="106">
        <v>16</v>
      </c>
      <c r="O104" s="106">
        <v>33158.400000000001</v>
      </c>
      <c r="P104" s="106">
        <v>10.571913787075346</v>
      </c>
      <c r="Q104" s="106">
        <v>21909.234132334946</v>
      </c>
      <c r="R104" s="106">
        <v>11.214497518401807</v>
      </c>
      <c r="S104" s="106">
        <v>23240.924657135904</v>
      </c>
      <c r="T104" s="106">
        <v>14</v>
      </c>
      <c r="U104" s="106">
        <v>29013.600000000002</v>
      </c>
      <c r="V104" s="106">
        <v>9</v>
      </c>
      <c r="W104" s="106">
        <v>18651.600000000002</v>
      </c>
      <c r="X104" s="106">
        <v>13.135733650416171</v>
      </c>
      <c r="Y104" s="106">
        <v>27222.494417122474</v>
      </c>
      <c r="Z104" s="106">
        <v>15.831846730055881</v>
      </c>
      <c r="AA104" s="106">
        <v>32809.919163367813</v>
      </c>
      <c r="AB104" s="106">
        <v>42.341722770083102</v>
      </c>
      <c r="AC104" s="106">
        <v>87748.986268720226</v>
      </c>
      <c r="AD104" s="106">
        <v>56</v>
      </c>
      <c r="AE104" s="106">
        <v>116054.40000000001</v>
      </c>
      <c r="AF104" s="106">
        <v>58</v>
      </c>
      <c r="AG104" s="106">
        <v>120199.20000000001</v>
      </c>
      <c r="AH104" s="106">
        <v>55.345541499112748</v>
      </c>
      <c r="AI104" s="106">
        <v>114698.10020276127</v>
      </c>
      <c r="AJ104" s="106">
        <v>7</v>
      </c>
      <c r="AK104" s="106">
        <v>14506.800000000001</v>
      </c>
      <c r="AL104" s="106">
        <v>6.6547020608418119</v>
      </c>
      <c r="AM104" s="106">
        <v>13791.204550888571</v>
      </c>
      <c r="AN104" s="106">
        <v>5.8244321116638496</v>
      </c>
      <c r="AO104" s="106">
        <v>12070.553108212162</v>
      </c>
      <c r="AP104" s="106">
        <v>7</v>
      </c>
      <c r="AQ104" s="106">
        <v>14506.800000000001</v>
      </c>
      <c r="AR104" s="106">
        <v>27</v>
      </c>
      <c r="AS104" s="106">
        <v>55954.8</v>
      </c>
      <c r="AT104" s="106">
        <v>44</v>
      </c>
      <c r="AU104" s="106">
        <v>91185.600000000006</v>
      </c>
      <c r="AV104" s="106">
        <v>48</v>
      </c>
      <c r="AW104" s="106">
        <v>99475.200000000012</v>
      </c>
      <c r="AX104" s="106">
        <v>36.39016049382716</v>
      </c>
      <c r="AY104" s="106">
        <v>75414.968607407412</v>
      </c>
      <c r="AZ104" s="106">
        <v>18.475506481160313</v>
      </c>
      <c r="BA104" s="106">
        <v>38288.639631556631</v>
      </c>
      <c r="BB104" s="106">
        <v>26.58318395911596</v>
      </c>
      <c r="BC104" s="106">
        <v>55090.990436871914</v>
      </c>
      <c r="BD104" s="106">
        <v>21.633708475153618</v>
      </c>
      <c r="BE104" s="106">
        <v>44833.697443908357</v>
      </c>
      <c r="BF104" s="106">
        <v>28</v>
      </c>
      <c r="BG104" s="106">
        <v>58027.200000000004</v>
      </c>
      <c r="BH104" s="106">
        <v>37.499959418878341</v>
      </c>
      <c r="BI104" s="106">
        <v>77714.915899683474</v>
      </c>
      <c r="BJ104" s="106">
        <v>41.443266891337721</v>
      </c>
      <c r="BK104" s="106">
        <v>85887.026305608291</v>
      </c>
      <c r="BL104" s="106">
        <v>35.493074991625761</v>
      </c>
      <c r="BM104" s="106">
        <v>73555.848612645234</v>
      </c>
      <c r="BN104" s="106">
        <v>28.362798972646047</v>
      </c>
      <c r="BO104" s="106">
        <v>58779.064590911672</v>
      </c>
      <c r="BP104" s="106">
        <v>21</v>
      </c>
      <c r="BQ104" s="106">
        <v>43520.4</v>
      </c>
      <c r="BR104" s="106">
        <v>28</v>
      </c>
      <c r="BS104" s="106">
        <v>58027.200000000004</v>
      </c>
      <c r="BT104" s="106">
        <v>19</v>
      </c>
      <c r="BU104" s="106">
        <v>39375.599999999999</v>
      </c>
      <c r="BV104" s="106">
        <v>20</v>
      </c>
      <c r="BW104" s="106">
        <v>41448</v>
      </c>
      <c r="BX104" s="106">
        <v>32</v>
      </c>
      <c r="BY104" s="106">
        <v>66316.800000000003</v>
      </c>
      <c r="BZ104" s="106">
        <v>22</v>
      </c>
      <c r="CA104" s="106">
        <v>45592.800000000003</v>
      </c>
      <c r="CB104" s="106">
        <v>34.04759474982967</v>
      </c>
      <c r="CC104" s="106">
        <v>70560.235359547019</v>
      </c>
      <c r="CD104" s="106">
        <v>23</v>
      </c>
      <c r="CE104" s="106">
        <v>47665.200000000004</v>
      </c>
      <c r="CF104" s="106">
        <v>23.479111111111109</v>
      </c>
      <c r="CG104" s="106">
        <v>48658.109866666666</v>
      </c>
      <c r="CH104" s="106">
        <v>21</v>
      </c>
      <c r="CI104" s="106">
        <v>43520.4</v>
      </c>
      <c r="CJ104" s="106">
        <v>18.269272143472474</v>
      </c>
      <c r="CK104" s="106">
        <v>37861.239590132354</v>
      </c>
      <c r="CL104" s="106">
        <v>30.455896541752914</v>
      </c>
      <c r="CM104" s="106">
        <v>63116.799993128741</v>
      </c>
      <c r="CN104" s="106">
        <v>118</v>
      </c>
      <c r="CO104" s="106">
        <v>244543.2</v>
      </c>
      <c r="CP104" s="106">
        <v>66</v>
      </c>
      <c r="CQ104" s="106">
        <v>136778.4</v>
      </c>
      <c r="CR104" s="106">
        <v>64</v>
      </c>
      <c r="CS104" s="106">
        <v>132633.60000000001</v>
      </c>
      <c r="CT104" s="106">
        <v>77</v>
      </c>
      <c r="CU104" s="106">
        <v>159574.80000000002</v>
      </c>
    </row>
    <row r="105" spans="2:99" x14ac:dyDescent="0.2">
      <c r="C105" s="105" t="s">
        <v>271</v>
      </c>
      <c r="D105" s="106">
        <v>5</v>
      </c>
      <c r="E105" s="106">
        <v>9990</v>
      </c>
      <c r="F105" s="106">
        <v>10</v>
      </c>
      <c r="G105" s="106">
        <v>19980</v>
      </c>
      <c r="H105" s="106">
        <v>6</v>
      </c>
      <c r="I105" s="106">
        <v>11988</v>
      </c>
      <c r="J105" s="106">
        <v>11</v>
      </c>
      <c r="K105" s="106">
        <v>21978</v>
      </c>
      <c r="L105" s="106">
        <v>14.92348785035837</v>
      </c>
      <c r="M105" s="106">
        <v>29817.128725016024</v>
      </c>
      <c r="N105" s="106">
        <v>16</v>
      </c>
      <c r="O105" s="106">
        <v>31968</v>
      </c>
      <c r="P105" s="106">
        <v>10.5106373098887</v>
      </c>
      <c r="Q105" s="106">
        <v>21000.253345157624</v>
      </c>
      <c r="R105" s="106">
        <v>12.214497518401807</v>
      </c>
      <c r="S105" s="106">
        <v>24404.566041766808</v>
      </c>
      <c r="T105" s="106">
        <v>14</v>
      </c>
      <c r="U105" s="106">
        <v>27972</v>
      </c>
      <c r="V105" s="106">
        <v>10.866251410706516</v>
      </c>
      <c r="W105" s="106">
        <v>21710.770318591618</v>
      </c>
      <c r="X105" s="106">
        <v>14.037583828775267</v>
      </c>
      <c r="Y105" s="106">
        <v>28047.092489892984</v>
      </c>
      <c r="Z105" s="106">
        <v>15.865799657813264</v>
      </c>
      <c r="AA105" s="106">
        <v>31699.867716310902</v>
      </c>
      <c r="AB105" s="106">
        <v>40.341722770083102</v>
      </c>
      <c r="AC105" s="106">
        <v>80602.762094626043</v>
      </c>
      <c r="AD105" s="106">
        <v>55</v>
      </c>
      <c r="AE105" s="106">
        <v>109890</v>
      </c>
      <c r="AF105" s="106">
        <v>60</v>
      </c>
      <c r="AG105" s="106">
        <v>119880</v>
      </c>
      <c r="AH105" s="106">
        <v>52.383934999014166</v>
      </c>
      <c r="AI105" s="106">
        <v>104663.1021280303</v>
      </c>
      <c r="AJ105" s="106">
        <v>7</v>
      </c>
      <c r="AK105" s="106">
        <v>13986</v>
      </c>
      <c r="AL105" s="106">
        <v>7.7160803790457315</v>
      </c>
      <c r="AM105" s="106">
        <v>15416.728597333371</v>
      </c>
      <c r="AN105" s="106">
        <v>6.8993804854514726</v>
      </c>
      <c r="AO105" s="106">
        <v>13784.962209932042</v>
      </c>
      <c r="AP105" s="106">
        <v>7</v>
      </c>
      <c r="AQ105" s="106">
        <v>13986</v>
      </c>
      <c r="AR105" s="106">
        <v>26</v>
      </c>
      <c r="AS105" s="106">
        <v>51948</v>
      </c>
      <c r="AT105" s="106">
        <v>46</v>
      </c>
      <c r="AU105" s="106">
        <v>91908</v>
      </c>
      <c r="AV105" s="106">
        <v>44</v>
      </c>
      <c r="AW105" s="106">
        <v>87912</v>
      </c>
      <c r="AX105" s="106">
        <v>34.413111111111114</v>
      </c>
      <c r="AY105" s="106">
        <v>68757.396000000008</v>
      </c>
      <c r="AZ105" s="106">
        <v>19.441541732506007</v>
      </c>
      <c r="BA105" s="106">
        <v>38844.200381547002</v>
      </c>
      <c r="BB105" s="106">
        <v>25.66094182033142</v>
      </c>
      <c r="BC105" s="106">
        <v>51270.56175702218</v>
      </c>
      <c r="BD105" s="106">
        <v>19.665393898911301</v>
      </c>
      <c r="BE105" s="106">
        <v>39291.45701002478</v>
      </c>
      <c r="BF105" s="106">
        <v>27</v>
      </c>
      <c r="BG105" s="106">
        <v>53946</v>
      </c>
      <c r="BH105" s="106">
        <v>44.535670805941074</v>
      </c>
      <c r="BI105" s="106">
        <v>88982.270270270266</v>
      </c>
      <c r="BJ105" s="106">
        <v>39.48548278575084</v>
      </c>
      <c r="BK105" s="106">
        <v>78891.994605930173</v>
      </c>
      <c r="BL105" s="106">
        <v>35.493074991625761</v>
      </c>
      <c r="BM105" s="106">
        <v>70915.163833268278</v>
      </c>
      <c r="BN105" s="106">
        <v>29.328246689536901</v>
      </c>
      <c r="BO105" s="106">
        <v>58597.836885694727</v>
      </c>
      <c r="BP105" s="106">
        <v>24</v>
      </c>
      <c r="BQ105" s="106">
        <v>47952</v>
      </c>
      <c r="BR105" s="106">
        <v>27</v>
      </c>
      <c r="BS105" s="106">
        <v>53946</v>
      </c>
      <c r="BT105" s="106">
        <v>19</v>
      </c>
      <c r="BU105" s="106">
        <v>37962</v>
      </c>
      <c r="BV105" s="106">
        <v>22</v>
      </c>
      <c r="BW105" s="106">
        <v>43956</v>
      </c>
      <c r="BX105" s="106">
        <v>36</v>
      </c>
      <c r="BY105" s="106">
        <v>71928</v>
      </c>
      <c r="BZ105" s="106">
        <v>23</v>
      </c>
      <c r="CA105" s="106">
        <v>45954</v>
      </c>
      <c r="CB105" s="106">
        <v>34.980726999840549</v>
      </c>
      <c r="CC105" s="106">
        <v>69891.492545681424</v>
      </c>
      <c r="CD105" s="106">
        <v>22</v>
      </c>
      <c r="CE105" s="106">
        <v>43956</v>
      </c>
      <c r="CF105" s="106">
        <v>27.539000000000001</v>
      </c>
      <c r="CG105" s="106">
        <v>55022.922000000006</v>
      </c>
      <c r="CH105" s="106">
        <v>19</v>
      </c>
      <c r="CI105" s="106">
        <v>37962</v>
      </c>
      <c r="CJ105" s="106">
        <v>19.33659017934059</v>
      </c>
      <c r="CK105" s="106">
        <v>38634.507178322499</v>
      </c>
      <c r="CL105" s="106">
        <v>31.455896541752914</v>
      </c>
      <c r="CM105" s="106">
        <v>62848.881290422323</v>
      </c>
      <c r="CN105" s="106">
        <v>119</v>
      </c>
      <c r="CO105" s="106">
        <v>237762</v>
      </c>
      <c r="CP105" s="106">
        <v>63</v>
      </c>
      <c r="CQ105" s="106">
        <v>125874</v>
      </c>
      <c r="CR105" s="106">
        <v>67</v>
      </c>
      <c r="CS105" s="106">
        <v>133866</v>
      </c>
      <c r="CT105" s="106">
        <v>80</v>
      </c>
      <c r="CU105" s="106">
        <v>159840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189</v>
      </c>
      <c r="E112" s="106">
        <f>SUM(L$49:L$70)+SUM(N$49:N$70)+SUM(P$49:P$70)+SUM(R$49:R$70)</f>
        <v>274.26595190705308</v>
      </c>
      <c r="F112" s="106">
        <f>SUM(T$49:T$70)+SUM(V$49:V$70)+SUM(X$49:X$70)+SUM(Z$49:Z$70)</f>
        <v>167.43257660748193</v>
      </c>
      <c r="G112" s="106">
        <f>SUM(AB$49:AB$70)+SUM(AD$49:AD$70)+SUM(AF$49:AF$70)+SUM(AH$49:AH$70)</f>
        <v>53.700426895082138</v>
      </c>
      <c r="H112" s="106">
        <f>SUM(AJ$49:AJ$70)+SUM(AL$49:AL$70)+SUM(AN$49:AN$70)+SUM(AP$49:AP$70)</f>
        <v>66.447527881191888</v>
      </c>
      <c r="I112" s="106">
        <f>SUM(AR$49:AR$70)+SUM(AT$49:AT$70)+SUM(AV$49:AV$70)+SUM(AX$49:AX$70)</f>
        <v>88.545022839944238</v>
      </c>
      <c r="J112" s="106">
        <f>SUM(AZ$49:AZ$70)+SUM(BB$49:BB$70)+SUM(BD$49:BD$70)+SUM(BF$49:BF$70)</f>
        <v>488.03107943063958</v>
      </c>
      <c r="K112" s="106">
        <f>SUM(BH$49:BH$70)+SUM(BJ$49:BJ$70)+SUM(BL$49:BL$70)+SUM(BN$49:BN$70)</f>
        <v>71.388891393244535</v>
      </c>
      <c r="L112" s="106">
        <f>SUM(BP$49:BP$70)+SUM(BR$49:BR$70)+SUM(BT$49:BT$70)+SUM(BV$49:BV$70)</f>
        <v>57.132007254687871</v>
      </c>
      <c r="M112" s="106">
        <f>SUM(BX$49:BX$70)+SUM(BZ$49:BZ$70)+SUM(CB$49:CB$70)+SUM(CD$49:CD$70)</f>
        <v>77.128729718346619</v>
      </c>
      <c r="N112" s="106">
        <f>SUM(CF$49:CF$70)+SUM(CH$49:CH$70)+SUM(CJ$49:CJ$70)+SUM(CL$49:CL$70)</f>
        <v>120.40212655596591</v>
      </c>
      <c r="O112" s="106">
        <f>SUM(CN$49:CN$70)+SUM(CP$49:CP$70)+SUM(CR$49:CR$70)+SUM(CT$49:CT$70)</f>
        <v>343.96045555490809</v>
      </c>
    </row>
    <row r="113" spans="2:15" x14ac:dyDescent="0.2">
      <c r="C113" s="105" t="s">
        <v>130</v>
      </c>
      <c r="D113" s="106">
        <f>SUM(D$71:D$86)+SUM(F$71:F$86)+SUM(H$71:H$86)+SUM(J$71:J$86)</f>
        <v>587.57123586153705</v>
      </c>
      <c r="E113" s="106">
        <f>SUM(L$71:L$86)+SUM(N$71:N$86)+SUM(P$71:P$86)+SUM(R$71:R$86)</f>
        <v>315.89864788994078</v>
      </c>
      <c r="F113" s="106">
        <f>SUM(T$71:T$86)+SUM(V$71:V$86)+SUM(X$71:X$86)+SUM(Z$71:Z$86)</f>
        <v>1838.747175887117</v>
      </c>
      <c r="G113" s="106">
        <f>SUM(AB$71:AB$86)+SUM(AD$71:AD$86)+SUM(AF$71:AF$86)+SUM(AH$71:AH$86)</f>
        <v>863.08554265282896</v>
      </c>
      <c r="H113" s="106">
        <f>SUM(AJ$71:AJ$86)+SUM(AL$71:AL$86)+SUM(AN$71:AN$86)+SUM(AP$71:AP$86)</f>
        <v>871.29091326494358</v>
      </c>
      <c r="I113" s="106">
        <f>SUM(AR$71:AR$86)+SUM(AT$71:AT$86)+SUM(AV$71:AV$86)+SUM(AX$71:AX$86)</f>
        <v>1153.5208893256513</v>
      </c>
      <c r="J113" s="106">
        <f>SUM(AZ$71:AZ$86)+SUM(BB$71:BB$86)+SUM(BD$71:BD$86)+SUM(BF$71:BF$86)</f>
        <v>297.5791841401616</v>
      </c>
      <c r="K113" s="106">
        <f>SUM(BH$71:BH$86)+SUM(BJ$71:BJ$86)+SUM(BL$71:BL$86)+SUM(BN$71:BN$86)</f>
        <v>814</v>
      </c>
      <c r="L113" s="106">
        <f>SUM(BP$71:BP$86)+SUM(BR$71:BR$86)+SUM(BT$71:BT$86)+SUM(BV$71:BV$86)</f>
        <v>419.23288809290227</v>
      </c>
      <c r="M113" s="106">
        <f>SUM(BX$71:BX$86)+SUM(BZ$71:BZ$86)+SUM(CB$71:CB$86)+SUM(CD$71:CD$86)</f>
        <v>475.02371223528166</v>
      </c>
      <c r="N113" s="106">
        <f>SUM(CF$71:CF$86)+SUM(CH$71:CH$86)+SUM(CJ$71:CJ$86)+SUM(CL$71:CL$86)</f>
        <v>883.63380340757146</v>
      </c>
      <c r="O113" s="106">
        <f>SUM(CN$71:CN$86)+SUM(CP$71:CP$86)+SUM(CR$71:CR$86)+SUM(CT$71:CT$86)</f>
        <v>321</v>
      </c>
    </row>
    <row r="114" spans="2:15" x14ac:dyDescent="0.2">
      <c r="C114" s="105" t="s">
        <v>131</v>
      </c>
      <c r="D114" s="106">
        <f>SUM(D$87:D$94)+SUM(F$87:F$94)+SUM(H$87:H$94)+SUM(J$87:J$94)</f>
        <v>140.23557531611641</v>
      </c>
      <c r="E114" s="106">
        <f>SUM(L$87:L$94)+SUM(N$87:N$94)+SUM(P$87:P$94)+SUM(R$87:R$94)</f>
        <v>501.71913787075346</v>
      </c>
      <c r="F114" s="106">
        <f>SUM(T$87:T$94)+SUM(V$87:V$94)+SUM(X$87:X$94)+SUM(Z$87:Z$94)</f>
        <v>1166.7815196823335</v>
      </c>
      <c r="G114" s="106">
        <f>SUM(AB$87:AB$94)+SUM(AD$87:AD$94)+SUM(AF$87:AF$94)+SUM(AH$87:AH$94)</f>
        <v>295.5100700963086</v>
      </c>
      <c r="H114" s="106">
        <f>SUM(AJ$87:AJ$94)+SUM(AL$87:AL$94)+SUM(AN$87:AN$94)+SUM(AP$87:AP$94)</f>
        <v>423.97666883584554</v>
      </c>
      <c r="I114" s="106">
        <f>SUM(AR$87:AR$94)+SUM(AT$87:AT$94)+SUM(AV$87:AV$94)+SUM(AX$87:AX$94)</f>
        <v>225.20340685215396</v>
      </c>
      <c r="J114" s="106">
        <f>SUM(AZ$87:AZ$94)+SUM(BB$87:BB$94)+SUM(BD$87:BD$94)+SUM(BF$87:BF$94)</f>
        <v>238.91124068244056</v>
      </c>
      <c r="K114" s="106">
        <f>SUM(BH$87:BH$94)+SUM(BJ$87:BJ$94)+SUM(BL$87:BL$94)+SUM(BN$87:BN$94)</f>
        <v>654.59471625490505</v>
      </c>
      <c r="L114" s="106">
        <f>SUM(BP$87:BP$94)+SUM(BR$87:BR$94)+SUM(BT$87:BT$94)+SUM(BV$87:BV$94)</f>
        <v>1281.1965494017559</v>
      </c>
      <c r="M114" s="106">
        <f>SUM(BX$87:BX$94)+SUM(BZ$87:BZ$94)+SUM(CB$87:CB$94)+SUM(CD$87:CD$94)</f>
        <v>912.62221176804269</v>
      </c>
      <c r="N114" s="106">
        <f>SUM(CF$87:CF$94)+SUM(CH$87:CH$94)+SUM(CJ$87:CJ$94)+SUM(CL$87:CL$94)</f>
        <v>315</v>
      </c>
      <c r="O114" s="106">
        <f>SUM(CN$87:CN$94)+SUM(CP$87:CP$94)+SUM(CR$87:CR$94)+SUM(CT$87:CT$94)</f>
        <v>204.46880458921714</v>
      </c>
    </row>
    <row r="115" spans="2:15" x14ac:dyDescent="0.2">
      <c r="C115" s="105" t="s">
        <v>132</v>
      </c>
      <c r="D115" s="106">
        <f>SUM(D$95:D$105)+SUM(F$95:F$105)+SUM(H$95:H$105)+SUM(J$95:J$105)</f>
        <v>375.67438475187976</v>
      </c>
      <c r="E115" s="106">
        <f>SUM(L$95:L$105)+SUM(N$95:N$105)+SUM(P$95:P$105)+SUM(R$95:R$105)</f>
        <v>581.32741529144425</v>
      </c>
      <c r="F115" s="106">
        <f>SUM(T$95:T$105)+SUM(V$95:V$105)+SUM(X$95:X$105)+SUM(Z$95:Z$105)</f>
        <v>620.92369355249934</v>
      </c>
      <c r="G115" s="106">
        <f>SUM(AB$95:AB$105)+SUM(AD$95:AD$105)+SUM(AF$95:AF$105)+SUM(AH$95:AH$105)</f>
        <v>2367.6379668706336</v>
      </c>
      <c r="H115" s="106">
        <f>SUM(AJ$95:AJ$105)+SUM(AL$95:AL$105)+SUM(AN$95:AN$105)+SUM(AP$95:AP$105)</f>
        <v>303.99647292823141</v>
      </c>
      <c r="I115" s="106">
        <f>SUM(AR$95:AR$105)+SUM(AT$95:AT$105)+SUM(AV$95:AV$105)+SUM(AX$95:AX$105)</f>
        <v>1781.0709980218528</v>
      </c>
      <c r="J115" s="106">
        <f>SUM(AZ$95:AZ$105)+SUM(BB$95:BB$105)+SUM(BD$95:BD$105)+SUM(BF$95:BF$105)</f>
        <v>1078.4227609932841</v>
      </c>
      <c r="K115" s="106">
        <f>SUM(BH$95:BH$105)+SUM(BJ$95:BJ$105)+SUM(BL$95:BL$105)+SUM(BN$95:BN$105)</f>
        <v>1648.8847592347067</v>
      </c>
      <c r="L115" s="106">
        <f>SUM(BP$95:BP$105)+SUM(BR$95:BR$105)+SUM(BT$95:BT$105)+SUM(BV$95:BV$105)</f>
        <v>993.51183733534958</v>
      </c>
      <c r="M115" s="106">
        <f>SUM(BX$95:BX$105)+SUM(BZ$95:BZ$105)+SUM(CB$95:CB$105)+SUM(CD$95:CD$105)</f>
        <v>1227.5458314981229</v>
      </c>
      <c r="N115" s="106">
        <f>SUM(CF$95:CF$105)+SUM(CH$95:CH$105)+SUM(CJ$95:CJ$105)+SUM(CL$95:CL$105)</f>
        <v>1054.2442642373546</v>
      </c>
      <c r="O115" s="106">
        <f>SUM(CN$95:CN$105)+SUM(CP$95:CP$105)+SUM(CR$95:CR$105)+SUM(CT$95:CT$105)</f>
        <v>3632</v>
      </c>
    </row>
    <row r="116" spans="2:15" x14ac:dyDescent="0.2">
      <c r="C116" s="105" t="s">
        <v>278</v>
      </c>
      <c r="D116" s="106">
        <f t="shared" ref="D116:O116" si="0">SUM(D$109:D$115)</f>
        <v>1292.4811959295332</v>
      </c>
      <c r="E116" s="106">
        <f t="shared" si="0"/>
        <v>1673.2111529591916</v>
      </c>
      <c r="F116" s="106">
        <f t="shared" si="0"/>
        <v>3793.8849657294322</v>
      </c>
      <c r="G116" s="106">
        <f t="shared" si="0"/>
        <v>3579.9340065148535</v>
      </c>
      <c r="H116" s="106">
        <f t="shared" si="0"/>
        <v>1665.7115829102127</v>
      </c>
      <c r="I116" s="106">
        <f t="shared" si="0"/>
        <v>3248.3403170396023</v>
      </c>
      <c r="J116" s="106">
        <f t="shared" si="0"/>
        <v>2102.9442652465259</v>
      </c>
      <c r="K116" s="106">
        <f t="shared" si="0"/>
        <v>3188.8683668828562</v>
      </c>
      <c r="L116" s="106">
        <f t="shared" si="0"/>
        <v>2751.0732820846956</v>
      </c>
      <c r="M116" s="106">
        <f t="shared" si="0"/>
        <v>2692.3204852197941</v>
      </c>
      <c r="N116" s="106">
        <f t="shared" si="0"/>
        <v>2373.2801942008919</v>
      </c>
      <c r="O116" s="106">
        <f t="shared" si="0"/>
        <v>4501.4292601441248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706960.70414259518</v>
      </c>
      <c r="E123" s="106">
        <f>E112*pricing!E27*2000</f>
        <v>839781.84064926964</v>
      </c>
      <c r="F123" s="106">
        <f>F112*pricing!F27*2000</f>
        <v>650884.94215647422</v>
      </c>
      <c r="G123" s="106">
        <f>G112*pricing!G27*2000</f>
        <v>359833.22137897753</v>
      </c>
      <c r="H123" s="106">
        <f>H112*pricing!H27*2000</f>
        <v>418633.36584945844</v>
      </c>
      <c r="I123" s="106">
        <f>I112*pricing!I27*2000</f>
        <v>502685.42884243705</v>
      </c>
      <c r="J123" s="106">
        <f>J112*pricing!J27*2000</f>
        <v>1240771.4469849262</v>
      </c>
      <c r="K123" s="106">
        <f>K112*pricing!K27*2000</f>
        <v>462053.58906467626</v>
      </c>
      <c r="L123" s="106">
        <f>L112*pricing!L27*2000</f>
        <v>377765.38023265864</v>
      </c>
      <c r="M123" s="106">
        <f>M112*pricing!M27*2000</f>
        <v>428690.47127162176</v>
      </c>
      <c r="N123" s="106">
        <f>N112*pricing!N27*2000</f>
        <v>628490.28044858633</v>
      </c>
      <c r="O123" s="106">
        <f>O112*pricing!O27*2000</f>
        <v>1058124.0527637149</v>
      </c>
    </row>
    <row r="124" spans="2:15" x14ac:dyDescent="0.2">
      <c r="C124" s="105" t="s">
        <v>130</v>
      </c>
      <c r="D124" s="106">
        <f>D113*pricing!D28*2000</f>
        <v>3000599.5807711515</v>
      </c>
      <c r="E124" s="106">
        <f>E113*pricing!E28*2000</f>
        <v>2230433.1794164176</v>
      </c>
      <c r="F124" s="106">
        <f>F113*pricing!F28*2000</f>
        <v>5263513.2800415009</v>
      </c>
      <c r="G124" s="106">
        <f>G113*pricing!G28*2000</f>
        <v>3444736.1569764093</v>
      </c>
      <c r="H124" s="106">
        <f>H113*pricing!H28*2000</f>
        <v>3592063.5193372169</v>
      </c>
      <c r="I124" s="106">
        <f>I113*pricing!I28*2000</f>
        <v>4158080.5996819809</v>
      </c>
      <c r="J124" s="106">
        <f>J113*pricing!J28*2000</f>
        <v>1954689.1571153784</v>
      </c>
      <c r="K124" s="106">
        <f>K113*pricing!K28*2000</f>
        <v>3197338.9592897603</v>
      </c>
      <c r="L124" s="106">
        <f>L113*pricing!L28*2000</f>
        <v>2385892.2535663634</v>
      </c>
      <c r="M124" s="106">
        <f>M113*pricing!M28*2000</f>
        <v>2806758.7584801582</v>
      </c>
      <c r="N124" s="106">
        <f>N113*pricing!N28*2000</f>
        <v>3373422.0260986788</v>
      </c>
      <c r="O124" s="106">
        <f>O113*pricing!O28*2000</f>
        <v>2022447.6426694184</v>
      </c>
    </row>
    <row r="125" spans="2:15" x14ac:dyDescent="0.2">
      <c r="C125" s="105" t="s">
        <v>131</v>
      </c>
      <c r="D125" s="106">
        <f>D114*pricing!D29*2000</f>
        <v>953452.08339512465</v>
      </c>
      <c r="E125" s="106">
        <f>E114*pricing!E29*2000</f>
        <v>1787758.1296340551</v>
      </c>
      <c r="F125" s="106">
        <f>F114*pricing!F29*2000</f>
        <v>3004803.5662810816</v>
      </c>
      <c r="G125" s="106">
        <f>G114*pricing!G29*2000</f>
        <v>1425242.8488681328</v>
      </c>
      <c r="H125" s="106">
        <f>H114*pricing!H29*2000</f>
        <v>1773737.0772258786</v>
      </c>
      <c r="I125" s="106">
        <f>I114*pricing!I29*2000</f>
        <v>1366937.171799253</v>
      </c>
      <c r="J125" s="106">
        <f>J114*pricing!J29*2000</f>
        <v>1257616.5217250406</v>
      </c>
      <c r="K125" s="106">
        <f>K114*pricing!K29*2000</f>
        <v>2342166.8137966357</v>
      </c>
      <c r="L125" s="106">
        <f>L114*pricing!L29*2000</f>
        <v>3159706.1797746657</v>
      </c>
      <c r="M125" s="106">
        <f>M114*pricing!M29*2000</f>
        <v>2622061.2543966584</v>
      </c>
      <c r="N125" s="106">
        <f>N114*pricing!N29*2000</f>
        <v>1446269.5383996221</v>
      </c>
      <c r="O125" s="106">
        <f>O114*pricing!O29*2000</f>
        <v>1323999.9785153407</v>
      </c>
    </row>
    <row r="126" spans="2:15" x14ac:dyDescent="0.2">
      <c r="C126" s="105" t="s">
        <v>132</v>
      </c>
      <c r="D126" s="106">
        <f>D115*pricing!D30*2000</f>
        <v>2390015.5824951078</v>
      </c>
      <c r="E126" s="106">
        <f>E115*pricing!E30*2000</f>
        <v>3172236.3088968089</v>
      </c>
      <c r="F126" s="106">
        <f>F115*pricing!F30*2000</f>
        <v>3201714.3136350797</v>
      </c>
      <c r="G126" s="106">
        <f>G115*pricing!G30*2000</f>
        <v>6475339.9460721277</v>
      </c>
      <c r="H126" s="106">
        <f>H115*pricing!H30*2000</f>
        <v>2092887.4783685869</v>
      </c>
      <c r="I126" s="106">
        <f>I115*pricing!I30*2000</f>
        <v>5459748.6023551617</v>
      </c>
      <c r="J126" s="106">
        <f>J115*pricing!J30*2000</f>
        <v>4047484.147388156</v>
      </c>
      <c r="K126" s="106">
        <f>K115*pricing!K30*2000</f>
        <v>5508749.2848621076</v>
      </c>
      <c r="L126" s="106">
        <f>L115*pricing!L30*2000</f>
        <v>3861175.3811467877</v>
      </c>
      <c r="M126" s="106">
        <f>M115*pricing!M30*2000</f>
        <v>4523524.2807320813</v>
      </c>
      <c r="N126" s="106">
        <f>N115*pricing!N30*2000</f>
        <v>4236028.3131309208</v>
      </c>
      <c r="O126" s="106">
        <f>O115*pricing!O30*2000</f>
        <v>7319191.3773061959</v>
      </c>
    </row>
    <row r="127" spans="2:15" x14ac:dyDescent="0.2">
      <c r="C127" s="105" t="s">
        <v>278</v>
      </c>
      <c r="D127" s="106">
        <f t="shared" ref="D127:O127" si="1">SUM(D$120:D$126)</f>
        <v>7051027.9508039784</v>
      </c>
      <c r="E127" s="106">
        <f t="shared" si="1"/>
        <v>8030209.4585965509</v>
      </c>
      <c r="F127" s="106">
        <f t="shared" si="1"/>
        <v>12120916.102114135</v>
      </c>
      <c r="G127" s="106">
        <f t="shared" si="1"/>
        <v>11705152.173295647</v>
      </c>
      <c r="H127" s="106">
        <f t="shared" si="1"/>
        <v>7877321.4407811407</v>
      </c>
      <c r="I127" s="106">
        <f t="shared" si="1"/>
        <v>11487451.802678833</v>
      </c>
      <c r="J127" s="106">
        <f t="shared" si="1"/>
        <v>8500561.273213502</v>
      </c>
      <c r="K127" s="106">
        <f t="shared" si="1"/>
        <v>11510308.64701318</v>
      </c>
      <c r="L127" s="106">
        <f t="shared" si="1"/>
        <v>9784539.1947204769</v>
      </c>
      <c r="M127" s="106">
        <f t="shared" si="1"/>
        <v>10381034.764880519</v>
      </c>
      <c r="N127" s="106">
        <f t="shared" si="1"/>
        <v>9684210.1580778081</v>
      </c>
      <c r="O127" s="106">
        <f t="shared" si="1"/>
        <v>11723763.051254671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208566</v>
      </c>
      <c r="E134" s="112">
        <f>SUM(M$49:M$70)+SUM(O$49:O$70)+SUM(Q$49:Q$70)+SUM(S$49:S$70)</f>
        <v>302942.53692246781</v>
      </c>
      <c r="F134" s="112">
        <f>SUM(U$49:U$70)+SUM(W$49:W$70)+SUM(Y$49:Y$70)+SUM(AA$49:AA$70)</f>
        <v>184597.13791874598</v>
      </c>
      <c r="G134" s="112">
        <f>SUM(AC$49:AC$70)+SUM(AE$49:AE$70)+SUM(AG$49:AG$70)+SUM(AI$49:AI$70)</f>
        <v>59313.643956274987</v>
      </c>
      <c r="H134" s="112">
        <f>SUM(AK$49:AK$70)+SUM(AM$49:AM$70)+SUM(AO$49:AO$70)+SUM(AQ$49:AQ$70)</f>
        <v>73313.339239176727</v>
      </c>
      <c r="I134" s="112">
        <f>SUM(AS$49:AS$70)+SUM(AU$49:AU$70)+SUM(AW$49:AW$70)+SUM(AY$49:AY$70)</f>
        <v>97905.662356040775</v>
      </c>
      <c r="J134" s="112">
        <f>SUM(BA$49:BA$70)+SUM(BC$49:BC$70)+SUM(BE$49:BE$70)+SUM(BG$49:BG$70)</f>
        <v>539265.15575830615</v>
      </c>
      <c r="K134" s="112">
        <f>SUM(BI$49:BI$70)+SUM(BK$49:BK$70)+SUM(BM$49:BM$70)+SUM(BO$49:BO$70)</f>
        <v>78684.685128561076</v>
      </c>
      <c r="L134" s="112">
        <f>SUM(BQ$49:BQ$70)+SUM(BS$49:BS$70)+SUM(BU$49:BU$70)+SUM(BW$49:BW$70)</f>
        <v>63054.651104538636</v>
      </c>
      <c r="M134" s="112">
        <f>SUM(BY$49:BY$70)+SUM(CA$49:CA$70)+SUM(CC$49:CC$70)+SUM(CE$49:CE$70)</f>
        <v>85072.262238012612</v>
      </c>
      <c r="N134" s="112">
        <f>SUM(CG$49:CG$70)+SUM(CI$49:CI$70)+SUM(CK$49:CK$70)+SUM(CM$49:CM$70)</f>
        <v>132782.06287006347</v>
      </c>
      <c r="O134" s="112">
        <f>SUM(CO$49:CO$70)+SUM(CQ$49:CQ$70)+SUM(CS$49:CS$70)+SUM(CU$49:CU$70)</f>
        <v>378932.37210885144</v>
      </c>
    </row>
    <row r="135" spans="2:15" x14ac:dyDescent="0.2">
      <c r="C135" s="111" t="s">
        <v>130</v>
      </c>
      <c r="D135" s="112">
        <f>SUM(E$71:E$86)+SUM(G$71:G$86)+SUM(I$71:I$86)+SUM(K$71:K$86)</f>
        <v>328609.41336258117</v>
      </c>
      <c r="E135" s="112">
        <f>SUM(M$71:M$86)+SUM(O$71:O$86)+SUM(Q$71:Q$86)+SUM(S$71:S$86)</f>
        <v>176640.4511958384</v>
      </c>
      <c r="F135" s="112">
        <f>SUM(U$71:U$86)+SUM(W$71:W$86)+SUM(Y$71:Y$86)+SUM(AA$71:AA$86)</f>
        <v>1017933.5591029491</v>
      </c>
      <c r="G135" s="112">
        <f>SUM(AC$71:AC$86)+SUM(AE$71:AE$86)+SUM(AG$71:AG$86)+SUM(AI$71:AI$86)</f>
        <v>482136.67175770662</v>
      </c>
      <c r="H135" s="112">
        <f>SUM(AK$71:AK$86)+SUM(AM$71:AM$86)+SUM(AO$71:AO$86)+SUM(AQ$71:AQ$86)</f>
        <v>487943.50971603347</v>
      </c>
      <c r="I135" s="112">
        <f>SUM(AS$71:AS$86)+SUM(AU$71:AU$86)+SUM(AW$71:AW$86)+SUM(AY$71:AY$86)</f>
        <v>642598.21655965783</v>
      </c>
      <c r="J135" s="112">
        <f>SUM(BA$71:BA$86)+SUM(BC$71:BC$86)+SUM(BE$71:BE$86)+SUM(BG$71:BG$86)</f>
        <v>167691.8826435926</v>
      </c>
      <c r="K135" s="112">
        <f>SUM(BI$71:BI$86)+SUM(BK$71:BK$86)+SUM(BM$71:BM$86)+SUM(BO$71:BO$86)</f>
        <v>454279.19999999995</v>
      </c>
      <c r="L135" s="112">
        <f>SUM(BQ$71:BQ$86)+SUM(BS$71:BS$86)+SUM(BU$71:BU$86)+SUM(BW$71:BW$86)</f>
        <v>234801.91818721994</v>
      </c>
      <c r="M135" s="112">
        <f>SUM(BY$71:BY$86)+SUM(CA$71:CA$86)+SUM(CC$71:CC$86)+SUM(CE$71:CE$86)</f>
        <v>265168.6999907461</v>
      </c>
      <c r="N135" s="112">
        <f>SUM(CG$71:CG$86)+SUM(CI$71:CI$86)+SUM(CK$71:CK$86)+SUM(CM$71:CM$86)</f>
        <v>491538.38650185784</v>
      </c>
      <c r="O135" s="112">
        <f>SUM(CO$71:CO$86)+SUM(CQ$71:CQ$86)+SUM(CS$71:CS$86)+SUM(CU$71:CU$86)</f>
        <v>179727.6</v>
      </c>
    </row>
    <row r="136" spans="2:15" x14ac:dyDescent="0.2">
      <c r="C136" s="111" t="s">
        <v>131</v>
      </c>
      <c r="D136" s="112">
        <f>SUM(E$87:E$94)+SUM(G$87:G$94)+SUM(I$87:I$94)+SUM(K$87:K$94)</f>
        <v>286149.18870987807</v>
      </c>
      <c r="E136" s="112">
        <f>SUM(M$87:M$94)+SUM(O$87:O$94)+SUM(Q$87:Q$94)+SUM(S$87:S$94)</f>
        <v>1020462.274672149</v>
      </c>
      <c r="F136" s="112">
        <f>SUM(U$87:U$94)+SUM(W$87:W$94)+SUM(Y$87:Y$94)+SUM(AA$87:AA$94)</f>
        <v>2358798.0977580124</v>
      </c>
      <c r="G136" s="112">
        <f>SUM(AC$87:AC$94)+SUM(AE$87:AE$94)+SUM(AG$87:AG$94)+SUM(AI$87:AI$94)</f>
        <v>602433.08878402389</v>
      </c>
      <c r="H136" s="112">
        <f>SUM(AK$87:AK$94)+SUM(AM$87:AM$94)+SUM(AO$87:AO$94)+SUM(AQ$87:AQ$94)</f>
        <v>858422.66013658501</v>
      </c>
      <c r="I136" s="112">
        <f>SUM(AS$87:AS$94)+SUM(AU$87:AU$94)+SUM(AW$87:AW$94)+SUM(AY$87:AY$94)</f>
        <v>457679.80778301292</v>
      </c>
      <c r="J136" s="112">
        <f>SUM(BA$87:BA$94)+SUM(BC$87:BC$94)+SUM(BE$87:BE$94)+SUM(BG$87:BG$94)</f>
        <v>485077.01788896899</v>
      </c>
      <c r="K136" s="112">
        <f>SUM(BI$87:BI$94)+SUM(BK$87:BK$94)+SUM(BM$87:BM$94)+SUM(BO$87:BO$94)</f>
        <v>1327274.6176395649</v>
      </c>
      <c r="L136" s="112">
        <f>SUM(BQ$87:BQ$94)+SUM(BS$87:BS$94)+SUM(BU$87:BU$94)+SUM(BW$87:BW$94)</f>
        <v>2599711.1522239246</v>
      </c>
      <c r="M136" s="112">
        <f>SUM(BY$87:BY$94)+SUM(CA$87:CA$94)+SUM(CC$87:CC$94)+SUM(CE$87:CE$94)</f>
        <v>1847748.4861584355</v>
      </c>
      <c r="N136" s="112">
        <f>SUM(CG$87:CG$94)+SUM(CI$87:CI$94)+SUM(CK$87:CK$94)+SUM(CM$87:CM$94)</f>
        <v>639324</v>
      </c>
      <c r="O136" s="112">
        <f>SUM(CO$87:CO$94)+SUM(CQ$87:CQ$94)+SUM(CS$87:CS$94)+SUM(CU$87:CU$94)</f>
        <v>416506.40588310704</v>
      </c>
    </row>
    <row r="137" spans="2:15" x14ac:dyDescent="0.2">
      <c r="C137" s="111" t="s">
        <v>132</v>
      </c>
      <c r="D137" s="112">
        <f>SUM(E$95:E$105)+SUM(G$95:G$105)+SUM(I$95:I$105)+SUM(K$95:K$105)</f>
        <v>722736.31347786821</v>
      </c>
      <c r="E137" s="112">
        <f>SUM(M$95:M$105)+SUM(O$95:O$105)+SUM(Q$95:Q$105)+SUM(S$95:S$105)</f>
        <v>1109004.3757102182</v>
      </c>
      <c r="F137" s="112">
        <f>SUM(U$95:U$105)+SUM(W$95:W$105)+SUM(Y$95:Y$105)+SUM(AA$95:AA$105)</f>
        <v>1187357.0041864673</v>
      </c>
      <c r="G137" s="112">
        <f>SUM(AC$95:AC$105)+SUM(AE$95:AE$105)+SUM(AG$95:AG$105)+SUM(AI$95:AI$105)</f>
        <v>4347993.8911262183</v>
      </c>
      <c r="H137" s="112">
        <f>SUM(AK$95:AK$105)+SUM(AM$95:AM$105)+SUM(AO$95:AO$105)+SUM(AQ$95:AQ$105)</f>
        <v>584068.35778372374</v>
      </c>
      <c r="I137" s="112">
        <f>SUM(AS$95:AS$105)+SUM(AU$95:AU$105)+SUM(AW$95:AW$105)+SUM(AY$95:AY$105)</f>
        <v>3298734.4817823637</v>
      </c>
      <c r="J137" s="112">
        <f>SUM(BA$95:BA$105)+SUM(BC$95:BC$105)+SUM(BE$95:BE$105)+SUM(BG$95:BG$105)</f>
        <v>2028083.0750895271</v>
      </c>
      <c r="K137" s="112">
        <f>SUM(BI$95:BI$105)+SUM(BK$95:BK$105)+SUM(BM$95:BM$105)+SUM(BO$95:BO$105)</f>
        <v>3092430.8856891813</v>
      </c>
      <c r="L137" s="112">
        <f>SUM(BQ$95:BQ$105)+SUM(BS$95:BS$105)+SUM(BU$95:BU$105)+SUM(BW$95:BW$105)</f>
        <v>1856866.6781456694</v>
      </c>
      <c r="M137" s="112">
        <f>SUM(BY$95:BY$105)+SUM(CA$95:CA$105)+SUM(CC$95:CC$105)+SUM(CE$95:CE$105)</f>
        <v>2296247.9722822583</v>
      </c>
      <c r="N137" s="112">
        <f>SUM(CG$95:CG$105)+SUM(CI$95:CI$105)+SUM(CK$95:CK$105)+SUM(CM$95:CM$105)</f>
        <v>1976425.5321935946</v>
      </c>
      <c r="O137" s="112">
        <f>SUM(CO$95:CO$105)+SUM(CQ$95:CQ$105)+SUM(CS$95:CS$105)+SUM(CU$95:CU$105)</f>
        <v>6574124.4000000004</v>
      </c>
    </row>
    <row r="138" spans="2:15" x14ac:dyDescent="0.2">
      <c r="C138" s="111" t="s">
        <v>278</v>
      </c>
      <c r="D138" s="106">
        <f t="shared" ref="D138:O138" si="2">SUM(D$131:D$137)</f>
        <v>1546060.9155503274</v>
      </c>
      <c r="E138" s="106">
        <f t="shared" si="2"/>
        <v>2609049.6385006737</v>
      </c>
      <c r="F138" s="106">
        <f t="shared" si="2"/>
        <v>4748685.7989661749</v>
      </c>
      <c r="G138" s="106">
        <f t="shared" si="2"/>
        <v>5491877.2956242235</v>
      </c>
      <c r="H138" s="106">
        <f t="shared" si="2"/>
        <v>2003747.866875519</v>
      </c>
      <c r="I138" s="106">
        <f t="shared" si="2"/>
        <v>4496918.1684810752</v>
      </c>
      <c r="J138" s="106">
        <f t="shared" si="2"/>
        <v>3220117.131380395</v>
      </c>
      <c r="K138" s="106">
        <f t="shared" si="2"/>
        <v>4952669.3884573076</v>
      </c>
      <c r="L138" s="106">
        <f t="shared" si="2"/>
        <v>4754434.3996613529</v>
      </c>
      <c r="M138" s="106">
        <f t="shared" si="2"/>
        <v>4494237.4206694532</v>
      </c>
      <c r="N138" s="106">
        <f t="shared" si="2"/>
        <v>3240069.981565516</v>
      </c>
      <c r="O138" s="106">
        <f t="shared" si="2"/>
        <v>7549290.7779919589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3</v>
      </c>
      <c r="E6" s="106">
        <v>1735.1999999999998</v>
      </c>
      <c r="F6" s="106">
        <v>3</v>
      </c>
      <c r="G6" s="106">
        <v>1735.1999999999998</v>
      </c>
      <c r="H6" s="106">
        <v>3</v>
      </c>
      <c r="I6" s="106">
        <v>1735.1999999999998</v>
      </c>
      <c r="J6" s="106">
        <v>3</v>
      </c>
      <c r="K6" s="106">
        <v>1735.1999999999998</v>
      </c>
      <c r="L6" s="106">
        <v>3</v>
      </c>
      <c r="M6" s="106">
        <v>1735.1999999999998</v>
      </c>
      <c r="N6" s="106">
        <v>3</v>
      </c>
      <c r="O6" s="106">
        <v>1735.1999999999998</v>
      </c>
      <c r="P6" s="106">
        <v>3</v>
      </c>
      <c r="Q6" s="106">
        <v>1735.1999999999998</v>
      </c>
      <c r="R6" s="106">
        <v>3</v>
      </c>
      <c r="S6" s="106">
        <v>1735.1999999999998</v>
      </c>
      <c r="T6" s="106">
        <v>4</v>
      </c>
      <c r="U6" s="106">
        <v>2313.6</v>
      </c>
      <c r="V6" s="106">
        <v>7</v>
      </c>
      <c r="W6" s="106">
        <v>4048.7999999999997</v>
      </c>
      <c r="X6" s="106">
        <v>6</v>
      </c>
      <c r="Y6" s="106">
        <v>3470.3999999999996</v>
      </c>
      <c r="Z6" s="106">
        <v>6</v>
      </c>
      <c r="AA6" s="106">
        <v>3470.3999999999996</v>
      </c>
      <c r="AB6" s="106">
        <v>25</v>
      </c>
      <c r="AC6" s="106">
        <v>14460</v>
      </c>
      <c r="AD6" s="106">
        <v>23</v>
      </c>
      <c r="AE6" s="106">
        <v>13303.199999999999</v>
      </c>
      <c r="AF6" s="106">
        <v>26</v>
      </c>
      <c r="AG6" s="106">
        <v>15038.4</v>
      </c>
      <c r="AH6" s="106">
        <v>37</v>
      </c>
      <c r="AI6" s="106">
        <v>21400.799999999999</v>
      </c>
      <c r="AJ6" s="106">
        <v>3</v>
      </c>
      <c r="AK6" s="106">
        <v>1735.1999999999998</v>
      </c>
      <c r="AL6" s="106">
        <v>3</v>
      </c>
      <c r="AM6" s="106">
        <v>1735.1999999999998</v>
      </c>
      <c r="AN6" s="106">
        <v>4</v>
      </c>
      <c r="AO6" s="106">
        <v>2313.6</v>
      </c>
      <c r="AP6" s="106">
        <v>3</v>
      </c>
      <c r="AQ6" s="106">
        <v>1735.1999999999998</v>
      </c>
      <c r="AR6" s="106">
        <v>11</v>
      </c>
      <c r="AS6" s="106">
        <v>6362.4</v>
      </c>
      <c r="AT6" s="106">
        <v>10</v>
      </c>
      <c r="AU6" s="106">
        <v>5784</v>
      </c>
      <c r="AV6" s="106">
        <v>12</v>
      </c>
      <c r="AW6" s="106">
        <v>6940.7999999999993</v>
      </c>
      <c r="AX6" s="106">
        <v>11</v>
      </c>
      <c r="AY6" s="106">
        <v>6362.4</v>
      </c>
      <c r="AZ6" s="106">
        <v>5</v>
      </c>
      <c r="BA6" s="106">
        <v>2892</v>
      </c>
      <c r="BB6" s="106">
        <v>5</v>
      </c>
      <c r="BC6" s="106">
        <v>2892</v>
      </c>
      <c r="BD6" s="106">
        <v>6</v>
      </c>
      <c r="BE6" s="106">
        <v>3470.3999999999996</v>
      </c>
      <c r="BF6" s="106">
        <v>6</v>
      </c>
      <c r="BG6" s="106">
        <v>3470.3999999999996</v>
      </c>
      <c r="BH6" s="106">
        <v>7</v>
      </c>
      <c r="BI6" s="106">
        <v>4048.7999999999997</v>
      </c>
      <c r="BJ6" s="106">
        <v>5</v>
      </c>
      <c r="BK6" s="106">
        <v>2892</v>
      </c>
      <c r="BL6" s="106">
        <v>8</v>
      </c>
      <c r="BM6" s="106">
        <v>4627.2</v>
      </c>
      <c r="BN6" s="106">
        <v>8</v>
      </c>
      <c r="BO6" s="106">
        <v>4627.2</v>
      </c>
      <c r="BP6" s="106">
        <v>34</v>
      </c>
      <c r="BQ6" s="106">
        <v>19665.599999999999</v>
      </c>
      <c r="BR6" s="106">
        <v>27</v>
      </c>
      <c r="BS6" s="106">
        <v>15616.8</v>
      </c>
      <c r="BT6" s="106">
        <v>34</v>
      </c>
      <c r="BU6" s="106">
        <v>19665.599999999999</v>
      </c>
      <c r="BV6" s="106">
        <v>27</v>
      </c>
      <c r="BW6" s="106">
        <v>15616.8</v>
      </c>
      <c r="BX6" s="106">
        <v>3</v>
      </c>
      <c r="BY6" s="106">
        <v>1735.1999999999998</v>
      </c>
      <c r="BZ6" s="106">
        <v>4</v>
      </c>
      <c r="CA6" s="106">
        <v>2313.6</v>
      </c>
      <c r="CB6" s="106">
        <v>4</v>
      </c>
      <c r="CC6" s="106">
        <v>2313.6</v>
      </c>
      <c r="CD6" s="106">
        <v>3</v>
      </c>
      <c r="CE6" s="106">
        <v>1735.1999999999998</v>
      </c>
      <c r="CF6" s="106">
        <v>36</v>
      </c>
      <c r="CG6" s="106">
        <v>20822.399999999998</v>
      </c>
      <c r="CH6" s="106">
        <v>31</v>
      </c>
      <c r="CI6" s="106">
        <v>17930.399999999998</v>
      </c>
      <c r="CJ6" s="106">
        <v>29</v>
      </c>
      <c r="CK6" s="106">
        <v>16773.599999999999</v>
      </c>
      <c r="CL6" s="106">
        <v>28</v>
      </c>
      <c r="CM6" s="106">
        <v>16195.199999999999</v>
      </c>
      <c r="CN6" s="106">
        <v>7</v>
      </c>
      <c r="CO6" s="106">
        <v>4048.7999999999997</v>
      </c>
      <c r="CP6" s="106">
        <v>6</v>
      </c>
      <c r="CQ6" s="106">
        <v>3470.3999999999996</v>
      </c>
      <c r="CR6" s="106">
        <v>8</v>
      </c>
      <c r="CS6" s="106">
        <v>4627.2</v>
      </c>
      <c r="CT6" s="106">
        <v>8</v>
      </c>
      <c r="CU6" s="106">
        <v>4627.2</v>
      </c>
    </row>
    <row r="7" spans="1:99" x14ac:dyDescent="0.2">
      <c r="C7" s="105" t="s">
        <v>173</v>
      </c>
      <c r="D7" s="106">
        <v>2</v>
      </c>
      <c r="E7" s="106">
        <v>1576.8</v>
      </c>
      <c r="F7" s="106">
        <v>3</v>
      </c>
      <c r="G7" s="106">
        <v>2365.1999999999998</v>
      </c>
      <c r="H7" s="106">
        <v>3</v>
      </c>
      <c r="I7" s="106">
        <v>2365.1999999999998</v>
      </c>
      <c r="J7" s="106">
        <v>3</v>
      </c>
      <c r="K7" s="106">
        <v>2365.1999999999998</v>
      </c>
      <c r="L7" s="106">
        <v>3</v>
      </c>
      <c r="M7" s="106">
        <v>2365.1999999999998</v>
      </c>
      <c r="N7" s="106">
        <v>3</v>
      </c>
      <c r="O7" s="106">
        <v>2365.1999999999998</v>
      </c>
      <c r="P7" s="106">
        <v>3</v>
      </c>
      <c r="Q7" s="106">
        <v>2365.1999999999998</v>
      </c>
      <c r="R7" s="106">
        <v>3</v>
      </c>
      <c r="S7" s="106">
        <v>2365.1999999999998</v>
      </c>
      <c r="T7" s="106">
        <v>4</v>
      </c>
      <c r="U7" s="106">
        <v>3153.6</v>
      </c>
      <c r="V7" s="106">
        <v>6</v>
      </c>
      <c r="W7" s="106">
        <v>4730.3999999999996</v>
      </c>
      <c r="X7" s="106">
        <v>6</v>
      </c>
      <c r="Y7" s="106">
        <v>4730.3999999999996</v>
      </c>
      <c r="Z7" s="106">
        <v>7</v>
      </c>
      <c r="AA7" s="106">
        <v>5518.8</v>
      </c>
      <c r="AB7" s="106">
        <v>28</v>
      </c>
      <c r="AC7" s="106">
        <v>22075.200000000001</v>
      </c>
      <c r="AD7" s="106">
        <v>21</v>
      </c>
      <c r="AE7" s="106">
        <v>16556.399999999998</v>
      </c>
      <c r="AF7" s="106">
        <v>25</v>
      </c>
      <c r="AG7" s="106">
        <v>19710</v>
      </c>
      <c r="AH7" s="106">
        <v>37</v>
      </c>
      <c r="AI7" s="106">
        <v>29170.799999999999</v>
      </c>
      <c r="AJ7" s="106">
        <v>3</v>
      </c>
      <c r="AK7" s="106">
        <v>2365.1999999999998</v>
      </c>
      <c r="AL7" s="106">
        <v>3</v>
      </c>
      <c r="AM7" s="106">
        <v>2365.1999999999998</v>
      </c>
      <c r="AN7" s="106">
        <v>4</v>
      </c>
      <c r="AO7" s="106">
        <v>3153.6</v>
      </c>
      <c r="AP7" s="106">
        <v>3</v>
      </c>
      <c r="AQ7" s="106">
        <v>2365.1999999999998</v>
      </c>
      <c r="AR7" s="106">
        <v>13</v>
      </c>
      <c r="AS7" s="106">
        <v>10249.199999999999</v>
      </c>
      <c r="AT7" s="106">
        <v>10</v>
      </c>
      <c r="AU7" s="106">
        <v>7884</v>
      </c>
      <c r="AV7" s="106">
        <v>12</v>
      </c>
      <c r="AW7" s="106">
        <v>9460.7999999999993</v>
      </c>
      <c r="AX7" s="106">
        <v>11</v>
      </c>
      <c r="AY7" s="106">
        <v>8672.4</v>
      </c>
      <c r="AZ7" s="106">
        <v>5</v>
      </c>
      <c r="BA7" s="106">
        <v>3942</v>
      </c>
      <c r="BB7" s="106">
        <v>4</v>
      </c>
      <c r="BC7" s="106">
        <v>3153.6</v>
      </c>
      <c r="BD7" s="106">
        <v>6</v>
      </c>
      <c r="BE7" s="106">
        <v>4730.3999999999996</v>
      </c>
      <c r="BF7" s="106">
        <v>5</v>
      </c>
      <c r="BG7" s="106">
        <v>3942</v>
      </c>
      <c r="BH7" s="106">
        <v>7</v>
      </c>
      <c r="BI7" s="106">
        <v>5518.8</v>
      </c>
      <c r="BJ7" s="106">
        <v>5</v>
      </c>
      <c r="BK7" s="106">
        <v>3942</v>
      </c>
      <c r="BL7" s="106">
        <v>9</v>
      </c>
      <c r="BM7" s="106">
        <v>7095.5999999999995</v>
      </c>
      <c r="BN7" s="106">
        <v>7</v>
      </c>
      <c r="BO7" s="106">
        <v>5518.8</v>
      </c>
      <c r="BP7" s="106">
        <v>33</v>
      </c>
      <c r="BQ7" s="106">
        <v>26017.200000000001</v>
      </c>
      <c r="BR7" s="106">
        <v>26</v>
      </c>
      <c r="BS7" s="106">
        <v>20498.399999999998</v>
      </c>
      <c r="BT7" s="106">
        <v>35</v>
      </c>
      <c r="BU7" s="106">
        <v>27594</v>
      </c>
      <c r="BV7" s="106">
        <v>26</v>
      </c>
      <c r="BW7" s="106">
        <v>20498.399999999998</v>
      </c>
      <c r="BX7" s="106">
        <v>3</v>
      </c>
      <c r="BY7" s="106">
        <v>2365.1999999999998</v>
      </c>
      <c r="BZ7" s="106">
        <v>4</v>
      </c>
      <c r="CA7" s="106">
        <v>3153.6</v>
      </c>
      <c r="CB7" s="106">
        <v>4</v>
      </c>
      <c r="CC7" s="106">
        <v>3153.6</v>
      </c>
      <c r="CD7" s="106">
        <v>4</v>
      </c>
      <c r="CE7" s="106">
        <v>3153.6</v>
      </c>
      <c r="CF7" s="106">
        <v>30</v>
      </c>
      <c r="CG7" s="106">
        <v>23652</v>
      </c>
      <c r="CH7" s="106">
        <v>29</v>
      </c>
      <c r="CI7" s="106">
        <v>22863.599999999999</v>
      </c>
      <c r="CJ7" s="106">
        <v>30</v>
      </c>
      <c r="CK7" s="106">
        <v>23652</v>
      </c>
      <c r="CL7" s="106">
        <v>30</v>
      </c>
      <c r="CM7" s="106">
        <v>23652</v>
      </c>
      <c r="CN7" s="106">
        <v>6</v>
      </c>
      <c r="CO7" s="106">
        <v>4730.3999999999996</v>
      </c>
      <c r="CP7" s="106">
        <v>6</v>
      </c>
      <c r="CQ7" s="106">
        <v>4730.3999999999996</v>
      </c>
      <c r="CR7" s="106">
        <v>9</v>
      </c>
      <c r="CS7" s="106">
        <v>7095.5999999999995</v>
      </c>
      <c r="CT7" s="106">
        <v>7</v>
      </c>
      <c r="CU7" s="106">
        <v>5518.8</v>
      </c>
    </row>
    <row r="8" spans="1:99" x14ac:dyDescent="0.2">
      <c r="C8" s="105" t="s">
        <v>174</v>
      </c>
      <c r="D8" s="106">
        <v>3</v>
      </c>
      <c r="E8" s="106">
        <v>928.8</v>
      </c>
      <c r="F8" s="106">
        <v>3</v>
      </c>
      <c r="G8" s="106">
        <v>928.8</v>
      </c>
      <c r="H8" s="106">
        <v>3</v>
      </c>
      <c r="I8" s="106">
        <v>928.8</v>
      </c>
      <c r="J8" s="106">
        <v>3</v>
      </c>
      <c r="K8" s="106">
        <v>928.8</v>
      </c>
      <c r="L8" s="106">
        <v>2</v>
      </c>
      <c r="M8" s="106">
        <v>619.19999999999993</v>
      </c>
      <c r="N8" s="106">
        <v>3</v>
      </c>
      <c r="O8" s="106">
        <v>928.8</v>
      </c>
      <c r="P8" s="106">
        <v>3</v>
      </c>
      <c r="Q8" s="106">
        <v>928.8</v>
      </c>
      <c r="R8" s="106">
        <v>3</v>
      </c>
      <c r="S8" s="106">
        <v>928.8</v>
      </c>
      <c r="T8" s="106">
        <v>4</v>
      </c>
      <c r="U8" s="106">
        <v>1238.3999999999999</v>
      </c>
      <c r="V8" s="106">
        <v>7</v>
      </c>
      <c r="W8" s="106">
        <v>2167.1999999999998</v>
      </c>
      <c r="X8" s="106">
        <v>7</v>
      </c>
      <c r="Y8" s="106">
        <v>2167.1999999999998</v>
      </c>
      <c r="Z8" s="106">
        <v>7</v>
      </c>
      <c r="AA8" s="106">
        <v>2167.1999999999998</v>
      </c>
      <c r="AB8" s="106">
        <v>31</v>
      </c>
      <c r="AC8" s="106">
        <v>9597.5999999999985</v>
      </c>
      <c r="AD8" s="106">
        <v>23</v>
      </c>
      <c r="AE8" s="106">
        <v>7120.7999999999993</v>
      </c>
      <c r="AF8" s="106">
        <v>28</v>
      </c>
      <c r="AG8" s="106">
        <v>8668.7999999999993</v>
      </c>
      <c r="AH8" s="106">
        <v>41</v>
      </c>
      <c r="AI8" s="106">
        <v>12693.599999999999</v>
      </c>
      <c r="AJ8" s="106">
        <v>3</v>
      </c>
      <c r="AK8" s="106">
        <v>928.8</v>
      </c>
      <c r="AL8" s="106">
        <v>3</v>
      </c>
      <c r="AM8" s="106">
        <v>928.8</v>
      </c>
      <c r="AN8" s="106">
        <v>4</v>
      </c>
      <c r="AO8" s="106">
        <v>1238.3999999999999</v>
      </c>
      <c r="AP8" s="106">
        <v>3</v>
      </c>
      <c r="AQ8" s="106">
        <v>928.8</v>
      </c>
      <c r="AR8" s="106">
        <v>14</v>
      </c>
      <c r="AS8" s="106">
        <v>4334.3999999999996</v>
      </c>
      <c r="AT8" s="106">
        <v>9</v>
      </c>
      <c r="AU8" s="106">
        <v>2786.3999999999996</v>
      </c>
      <c r="AV8" s="106">
        <v>11</v>
      </c>
      <c r="AW8" s="106">
        <v>3405.5999999999995</v>
      </c>
      <c r="AX8" s="106">
        <v>11</v>
      </c>
      <c r="AY8" s="106">
        <v>3405.5999999999995</v>
      </c>
      <c r="AZ8" s="106">
        <v>5</v>
      </c>
      <c r="BA8" s="106">
        <v>1547.9999999999998</v>
      </c>
      <c r="BB8" s="106">
        <v>5</v>
      </c>
      <c r="BC8" s="106">
        <v>1547.9999999999998</v>
      </c>
      <c r="BD8" s="106">
        <v>7</v>
      </c>
      <c r="BE8" s="106">
        <v>2167.1999999999998</v>
      </c>
      <c r="BF8" s="106">
        <v>5</v>
      </c>
      <c r="BG8" s="106">
        <v>1547.9999999999998</v>
      </c>
      <c r="BH8" s="106">
        <v>8</v>
      </c>
      <c r="BI8" s="106">
        <v>2476.7999999999997</v>
      </c>
      <c r="BJ8" s="106">
        <v>5</v>
      </c>
      <c r="BK8" s="106">
        <v>1547.9999999999998</v>
      </c>
      <c r="BL8" s="106">
        <v>8</v>
      </c>
      <c r="BM8" s="106">
        <v>2476.7999999999997</v>
      </c>
      <c r="BN8" s="106">
        <v>8</v>
      </c>
      <c r="BO8" s="106">
        <v>2476.7999999999997</v>
      </c>
      <c r="BP8" s="106">
        <v>36</v>
      </c>
      <c r="BQ8" s="106">
        <v>11145.599999999999</v>
      </c>
      <c r="BR8" s="106">
        <v>25</v>
      </c>
      <c r="BS8" s="106">
        <v>7739.9999999999991</v>
      </c>
      <c r="BT8" s="106">
        <v>39</v>
      </c>
      <c r="BU8" s="106">
        <v>12074.399999999998</v>
      </c>
      <c r="BV8" s="106">
        <v>28</v>
      </c>
      <c r="BW8" s="106">
        <v>8668.7999999999993</v>
      </c>
      <c r="BX8" s="106">
        <v>3</v>
      </c>
      <c r="BY8" s="106">
        <v>928.8</v>
      </c>
      <c r="BZ8" s="106">
        <v>4</v>
      </c>
      <c r="CA8" s="106">
        <v>1238.3999999999999</v>
      </c>
      <c r="CB8" s="106">
        <v>4</v>
      </c>
      <c r="CC8" s="106">
        <v>1238.3999999999999</v>
      </c>
      <c r="CD8" s="106">
        <v>4</v>
      </c>
      <c r="CE8" s="106">
        <v>1238.3999999999999</v>
      </c>
      <c r="CF8" s="106">
        <v>37</v>
      </c>
      <c r="CG8" s="106">
        <v>11455.199999999999</v>
      </c>
      <c r="CH8" s="106">
        <v>31</v>
      </c>
      <c r="CI8" s="106">
        <v>9597.5999999999985</v>
      </c>
      <c r="CJ8" s="106">
        <v>32</v>
      </c>
      <c r="CK8" s="106">
        <v>9907.1999999999989</v>
      </c>
      <c r="CL8" s="106">
        <v>31</v>
      </c>
      <c r="CM8" s="106">
        <v>9597.5999999999985</v>
      </c>
      <c r="CN8" s="106">
        <v>7</v>
      </c>
      <c r="CO8" s="106">
        <v>2167.1999999999998</v>
      </c>
      <c r="CP8" s="106">
        <v>7</v>
      </c>
      <c r="CQ8" s="106">
        <v>2167.1999999999998</v>
      </c>
      <c r="CR8" s="106">
        <v>9</v>
      </c>
      <c r="CS8" s="106">
        <v>2786.3999999999996</v>
      </c>
      <c r="CT8" s="106">
        <v>8</v>
      </c>
      <c r="CU8" s="106">
        <v>2476.7999999999997</v>
      </c>
    </row>
    <row r="9" spans="1:99" x14ac:dyDescent="0.2">
      <c r="C9" s="105" t="s">
        <v>175</v>
      </c>
      <c r="D9" s="106">
        <v>3</v>
      </c>
      <c r="E9" s="106">
        <v>2106</v>
      </c>
      <c r="F9" s="106">
        <v>3</v>
      </c>
      <c r="G9" s="106">
        <v>2106</v>
      </c>
      <c r="H9" s="106">
        <v>3</v>
      </c>
      <c r="I9" s="106">
        <v>2106</v>
      </c>
      <c r="J9" s="106">
        <v>3</v>
      </c>
      <c r="K9" s="106">
        <v>2106</v>
      </c>
      <c r="L9" s="106">
        <v>3</v>
      </c>
      <c r="M9" s="106">
        <v>2106</v>
      </c>
      <c r="N9" s="106">
        <v>3</v>
      </c>
      <c r="O9" s="106">
        <v>2106</v>
      </c>
      <c r="P9" s="106">
        <v>3</v>
      </c>
      <c r="Q9" s="106">
        <v>2106</v>
      </c>
      <c r="R9" s="106">
        <v>4</v>
      </c>
      <c r="S9" s="106">
        <v>2808</v>
      </c>
      <c r="T9" s="106">
        <v>4</v>
      </c>
      <c r="U9" s="106">
        <v>2808</v>
      </c>
      <c r="V9" s="106">
        <v>6</v>
      </c>
      <c r="W9" s="106">
        <v>4212</v>
      </c>
      <c r="X9" s="106">
        <v>6</v>
      </c>
      <c r="Y9" s="106">
        <v>4212</v>
      </c>
      <c r="Z9" s="106">
        <v>7</v>
      </c>
      <c r="AA9" s="106">
        <v>4914</v>
      </c>
      <c r="AB9" s="106">
        <v>28</v>
      </c>
      <c r="AC9" s="106">
        <v>19656</v>
      </c>
      <c r="AD9" s="106">
        <v>20</v>
      </c>
      <c r="AE9" s="106">
        <v>14040</v>
      </c>
      <c r="AF9" s="106">
        <v>26</v>
      </c>
      <c r="AG9" s="106">
        <v>18252</v>
      </c>
      <c r="AH9" s="106">
        <v>35</v>
      </c>
      <c r="AI9" s="106">
        <v>24570</v>
      </c>
      <c r="AJ9" s="106">
        <v>3</v>
      </c>
      <c r="AK9" s="106">
        <v>2106</v>
      </c>
      <c r="AL9" s="106">
        <v>3</v>
      </c>
      <c r="AM9" s="106">
        <v>2106</v>
      </c>
      <c r="AN9" s="106">
        <v>4</v>
      </c>
      <c r="AO9" s="106">
        <v>2808</v>
      </c>
      <c r="AP9" s="106">
        <v>3</v>
      </c>
      <c r="AQ9" s="106">
        <v>2106</v>
      </c>
      <c r="AR9" s="106">
        <v>13</v>
      </c>
      <c r="AS9" s="106">
        <v>9126</v>
      </c>
      <c r="AT9" s="106">
        <v>10</v>
      </c>
      <c r="AU9" s="106">
        <v>7020</v>
      </c>
      <c r="AV9" s="106">
        <v>11</v>
      </c>
      <c r="AW9" s="106">
        <v>7722</v>
      </c>
      <c r="AX9" s="106">
        <v>11</v>
      </c>
      <c r="AY9" s="106">
        <v>7722</v>
      </c>
      <c r="AZ9" s="106">
        <v>4</v>
      </c>
      <c r="BA9" s="106">
        <v>2808</v>
      </c>
      <c r="BB9" s="106">
        <v>5</v>
      </c>
      <c r="BC9" s="106">
        <v>3510</v>
      </c>
      <c r="BD9" s="106">
        <v>6</v>
      </c>
      <c r="BE9" s="106">
        <v>4212</v>
      </c>
      <c r="BF9" s="106">
        <v>6</v>
      </c>
      <c r="BG9" s="106">
        <v>4212</v>
      </c>
      <c r="BH9" s="106">
        <v>7</v>
      </c>
      <c r="BI9" s="106">
        <v>4914</v>
      </c>
      <c r="BJ9" s="106">
        <v>5</v>
      </c>
      <c r="BK9" s="106">
        <v>3510</v>
      </c>
      <c r="BL9" s="106">
        <v>9</v>
      </c>
      <c r="BM9" s="106">
        <v>6318</v>
      </c>
      <c r="BN9" s="106">
        <v>7</v>
      </c>
      <c r="BO9" s="106">
        <v>4914</v>
      </c>
      <c r="BP9" s="106">
        <v>37</v>
      </c>
      <c r="BQ9" s="106">
        <v>25974</v>
      </c>
      <c r="BR9" s="106">
        <v>25</v>
      </c>
      <c r="BS9" s="106">
        <v>17550</v>
      </c>
      <c r="BT9" s="106">
        <v>33</v>
      </c>
      <c r="BU9" s="106">
        <v>23166</v>
      </c>
      <c r="BV9" s="106">
        <v>26</v>
      </c>
      <c r="BW9" s="106">
        <v>18252</v>
      </c>
      <c r="BX9" s="106">
        <v>3</v>
      </c>
      <c r="BY9" s="106">
        <v>2106</v>
      </c>
      <c r="BZ9" s="106">
        <v>4</v>
      </c>
      <c r="CA9" s="106">
        <v>2808</v>
      </c>
      <c r="CB9" s="106">
        <v>4</v>
      </c>
      <c r="CC9" s="106">
        <v>2808</v>
      </c>
      <c r="CD9" s="106">
        <v>3</v>
      </c>
      <c r="CE9" s="106">
        <v>2106</v>
      </c>
      <c r="CF9" s="106">
        <v>37</v>
      </c>
      <c r="CG9" s="106">
        <v>25974</v>
      </c>
      <c r="CH9" s="106">
        <v>27</v>
      </c>
      <c r="CI9" s="106">
        <v>18954</v>
      </c>
      <c r="CJ9" s="106">
        <v>31</v>
      </c>
      <c r="CK9" s="106">
        <v>21762</v>
      </c>
      <c r="CL9" s="106">
        <v>30</v>
      </c>
      <c r="CM9" s="106">
        <v>21060</v>
      </c>
      <c r="CN9" s="106">
        <v>7</v>
      </c>
      <c r="CO9" s="106">
        <v>4914</v>
      </c>
      <c r="CP9" s="106">
        <v>7</v>
      </c>
      <c r="CQ9" s="106">
        <v>4914</v>
      </c>
      <c r="CR9" s="106">
        <v>9</v>
      </c>
      <c r="CS9" s="106">
        <v>6318</v>
      </c>
      <c r="CT9" s="106">
        <v>8</v>
      </c>
      <c r="CU9" s="106">
        <v>5616</v>
      </c>
    </row>
    <row r="10" spans="1:99" x14ac:dyDescent="0.2">
      <c r="C10" s="105" t="s">
        <v>176</v>
      </c>
      <c r="D10" s="106">
        <v>3</v>
      </c>
      <c r="E10" s="106">
        <v>1634.3999999999999</v>
      </c>
      <c r="F10" s="106">
        <v>3</v>
      </c>
      <c r="G10" s="106">
        <v>1634.3999999999999</v>
      </c>
      <c r="H10" s="106">
        <v>3</v>
      </c>
      <c r="I10" s="106">
        <v>1634.3999999999999</v>
      </c>
      <c r="J10" s="106">
        <v>3</v>
      </c>
      <c r="K10" s="106">
        <v>1634.3999999999999</v>
      </c>
      <c r="L10" s="106">
        <v>3</v>
      </c>
      <c r="M10" s="106">
        <v>1634.3999999999999</v>
      </c>
      <c r="N10" s="106">
        <v>3</v>
      </c>
      <c r="O10" s="106">
        <v>1634.3999999999999</v>
      </c>
      <c r="P10" s="106">
        <v>3</v>
      </c>
      <c r="Q10" s="106">
        <v>1634.3999999999999</v>
      </c>
      <c r="R10" s="106">
        <v>3</v>
      </c>
      <c r="S10" s="106">
        <v>1634.3999999999999</v>
      </c>
      <c r="T10" s="106">
        <v>4</v>
      </c>
      <c r="U10" s="106">
        <v>2179.1999999999998</v>
      </c>
      <c r="V10" s="106">
        <v>6</v>
      </c>
      <c r="W10" s="106">
        <v>3268.7999999999997</v>
      </c>
      <c r="X10" s="106">
        <v>7</v>
      </c>
      <c r="Y10" s="106">
        <v>3813.5999999999995</v>
      </c>
      <c r="Z10" s="106">
        <v>7</v>
      </c>
      <c r="AA10" s="106">
        <v>3813.5999999999995</v>
      </c>
      <c r="AB10" s="106">
        <v>26</v>
      </c>
      <c r="AC10" s="106">
        <v>14164.8</v>
      </c>
      <c r="AD10" s="106">
        <v>20</v>
      </c>
      <c r="AE10" s="106">
        <v>10896</v>
      </c>
      <c r="AF10" s="106">
        <v>28</v>
      </c>
      <c r="AG10" s="106">
        <v>15254.399999999998</v>
      </c>
      <c r="AH10" s="106">
        <v>36</v>
      </c>
      <c r="AI10" s="106">
        <v>19612.8</v>
      </c>
      <c r="AJ10" s="106">
        <v>3</v>
      </c>
      <c r="AK10" s="106">
        <v>1634.3999999999999</v>
      </c>
      <c r="AL10" s="106">
        <v>3</v>
      </c>
      <c r="AM10" s="106">
        <v>1634.3999999999999</v>
      </c>
      <c r="AN10" s="106">
        <v>4</v>
      </c>
      <c r="AO10" s="106">
        <v>2179.1999999999998</v>
      </c>
      <c r="AP10" s="106">
        <v>3</v>
      </c>
      <c r="AQ10" s="106">
        <v>1634.3999999999999</v>
      </c>
      <c r="AR10" s="106">
        <v>14</v>
      </c>
      <c r="AS10" s="106">
        <v>7627.1999999999989</v>
      </c>
      <c r="AT10" s="106">
        <v>9</v>
      </c>
      <c r="AU10" s="106">
        <v>4903.2</v>
      </c>
      <c r="AV10" s="106">
        <v>12</v>
      </c>
      <c r="AW10" s="106">
        <v>6537.5999999999995</v>
      </c>
      <c r="AX10" s="106">
        <v>12</v>
      </c>
      <c r="AY10" s="106">
        <v>6537.5999999999995</v>
      </c>
      <c r="AZ10" s="106">
        <v>4</v>
      </c>
      <c r="BA10" s="106">
        <v>2179.1999999999998</v>
      </c>
      <c r="BB10" s="106">
        <v>5</v>
      </c>
      <c r="BC10" s="106">
        <v>2724</v>
      </c>
      <c r="BD10" s="106">
        <v>6</v>
      </c>
      <c r="BE10" s="106">
        <v>3268.7999999999997</v>
      </c>
      <c r="BF10" s="106">
        <v>6</v>
      </c>
      <c r="BG10" s="106">
        <v>3268.7999999999997</v>
      </c>
      <c r="BH10" s="106">
        <v>7</v>
      </c>
      <c r="BI10" s="106">
        <v>3813.5999999999995</v>
      </c>
      <c r="BJ10" s="106">
        <v>5</v>
      </c>
      <c r="BK10" s="106">
        <v>2724</v>
      </c>
      <c r="BL10" s="106">
        <v>8</v>
      </c>
      <c r="BM10" s="106">
        <v>4358.3999999999996</v>
      </c>
      <c r="BN10" s="106">
        <v>8</v>
      </c>
      <c r="BO10" s="106">
        <v>4358.3999999999996</v>
      </c>
      <c r="BP10" s="106">
        <v>35</v>
      </c>
      <c r="BQ10" s="106">
        <v>19068</v>
      </c>
      <c r="BR10" s="106">
        <v>25</v>
      </c>
      <c r="BS10" s="106">
        <v>13619.999999999998</v>
      </c>
      <c r="BT10" s="106">
        <v>35</v>
      </c>
      <c r="BU10" s="106">
        <v>19068</v>
      </c>
      <c r="BV10" s="106">
        <v>27</v>
      </c>
      <c r="BW10" s="106">
        <v>14709.599999999999</v>
      </c>
      <c r="BX10" s="106">
        <v>3</v>
      </c>
      <c r="BY10" s="106">
        <v>1634.3999999999999</v>
      </c>
      <c r="BZ10" s="106">
        <v>3</v>
      </c>
      <c r="CA10" s="106">
        <v>1634.3999999999999</v>
      </c>
      <c r="CB10" s="106">
        <v>4</v>
      </c>
      <c r="CC10" s="106">
        <v>2179.1999999999998</v>
      </c>
      <c r="CD10" s="106">
        <v>4</v>
      </c>
      <c r="CE10" s="106">
        <v>2179.1999999999998</v>
      </c>
      <c r="CF10" s="106">
        <v>38</v>
      </c>
      <c r="CG10" s="106">
        <v>20702.399999999998</v>
      </c>
      <c r="CH10" s="106">
        <v>31</v>
      </c>
      <c r="CI10" s="106">
        <v>16888.8</v>
      </c>
      <c r="CJ10" s="106">
        <v>27</v>
      </c>
      <c r="CK10" s="106">
        <v>14709.599999999999</v>
      </c>
      <c r="CL10" s="106">
        <v>33</v>
      </c>
      <c r="CM10" s="106">
        <v>17978.399999999998</v>
      </c>
      <c r="CN10" s="106">
        <v>7</v>
      </c>
      <c r="CO10" s="106">
        <v>3813.5999999999995</v>
      </c>
      <c r="CP10" s="106">
        <v>7</v>
      </c>
      <c r="CQ10" s="106">
        <v>3813.5999999999995</v>
      </c>
      <c r="CR10" s="106">
        <v>8</v>
      </c>
      <c r="CS10" s="106">
        <v>4358.3999999999996</v>
      </c>
      <c r="CT10" s="106">
        <v>8</v>
      </c>
      <c r="CU10" s="106">
        <v>4358.3999999999996</v>
      </c>
    </row>
    <row r="11" spans="1:99" x14ac:dyDescent="0.2">
      <c r="C11" s="105" t="s">
        <v>177</v>
      </c>
      <c r="D11" s="106">
        <v>3</v>
      </c>
      <c r="E11" s="106">
        <v>1598.3999999999999</v>
      </c>
      <c r="F11" s="106">
        <v>3</v>
      </c>
      <c r="G11" s="106">
        <v>1598.3999999999999</v>
      </c>
      <c r="H11" s="106">
        <v>3</v>
      </c>
      <c r="I11" s="106">
        <v>1598.3999999999999</v>
      </c>
      <c r="J11" s="106">
        <v>3</v>
      </c>
      <c r="K11" s="106">
        <v>1598.3999999999999</v>
      </c>
      <c r="L11" s="106">
        <v>3</v>
      </c>
      <c r="M11" s="106">
        <v>1598.3999999999999</v>
      </c>
      <c r="N11" s="106">
        <v>3</v>
      </c>
      <c r="O11" s="106">
        <v>1598.3999999999999</v>
      </c>
      <c r="P11" s="106">
        <v>4</v>
      </c>
      <c r="Q11" s="106">
        <v>2131.1999999999998</v>
      </c>
      <c r="R11" s="106">
        <v>3</v>
      </c>
      <c r="S11" s="106">
        <v>1598.3999999999999</v>
      </c>
      <c r="T11" s="106">
        <v>4</v>
      </c>
      <c r="U11" s="106">
        <v>2131.1999999999998</v>
      </c>
      <c r="V11" s="106">
        <v>7</v>
      </c>
      <c r="W11" s="106">
        <v>3729.5999999999995</v>
      </c>
      <c r="X11" s="106">
        <v>7</v>
      </c>
      <c r="Y11" s="106">
        <v>3729.5999999999995</v>
      </c>
      <c r="Z11" s="106">
        <v>7</v>
      </c>
      <c r="AA11" s="106">
        <v>3729.5999999999995</v>
      </c>
      <c r="AB11" s="106">
        <v>25</v>
      </c>
      <c r="AC11" s="106">
        <v>13319.999999999998</v>
      </c>
      <c r="AD11" s="106">
        <v>22</v>
      </c>
      <c r="AE11" s="106">
        <v>11721.599999999999</v>
      </c>
      <c r="AF11" s="106">
        <v>29</v>
      </c>
      <c r="AG11" s="106">
        <v>15451.199999999999</v>
      </c>
      <c r="AH11" s="106">
        <v>35</v>
      </c>
      <c r="AI11" s="106">
        <v>18648</v>
      </c>
      <c r="AJ11" s="106">
        <v>3</v>
      </c>
      <c r="AK11" s="106">
        <v>1598.3999999999999</v>
      </c>
      <c r="AL11" s="106">
        <v>3</v>
      </c>
      <c r="AM11" s="106">
        <v>1598.3999999999999</v>
      </c>
      <c r="AN11" s="106">
        <v>4</v>
      </c>
      <c r="AO11" s="106">
        <v>2131.1999999999998</v>
      </c>
      <c r="AP11" s="106">
        <v>3</v>
      </c>
      <c r="AQ11" s="106">
        <v>1598.3999999999999</v>
      </c>
      <c r="AR11" s="106">
        <v>13</v>
      </c>
      <c r="AS11" s="106">
        <v>6926.4</v>
      </c>
      <c r="AT11" s="106">
        <v>10</v>
      </c>
      <c r="AU11" s="106">
        <v>5328</v>
      </c>
      <c r="AV11" s="106">
        <v>12</v>
      </c>
      <c r="AW11" s="106">
        <v>6393.5999999999995</v>
      </c>
      <c r="AX11" s="106">
        <v>12</v>
      </c>
      <c r="AY11" s="106">
        <v>6393.5999999999995</v>
      </c>
      <c r="AZ11" s="106">
        <v>5</v>
      </c>
      <c r="BA11" s="106">
        <v>2664</v>
      </c>
      <c r="BB11" s="106">
        <v>5</v>
      </c>
      <c r="BC11" s="106">
        <v>2664</v>
      </c>
      <c r="BD11" s="106">
        <v>6</v>
      </c>
      <c r="BE11" s="106">
        <v>3196.7999999999997</v>
      </c>
      <c r="BF11" s="106">
        <v>6</v>
      </c>
      <c r="BG11" s="106">
        <v>3196.7999999999997</v>
      </c>
      <c r="BH11" s="106">
        <v>7</v>
      </c>
      <c r="BI11" s="106">
        <v>3729.5999999999995</v>
      </c>
      <c r="BJ11" s="106">
        <v>5</v>
      </c>
      <c r="BK11" s="106">
        <v>2664</v>
      </c>
      <c r="BL11" s="106">
        <v>9</v>
      </c>
      <c r="BM11" s="106">
        <v>4795.2</v>
      </c>
      <c r="BN11" s="106">
        <v>7</v>
      </c>
      <c r="BO11" s="106">
        <v>3729.5999999999995</v>
      </c>
      <c r="BP11" s="106">
        <v>36</v>
      </c>
      <c r="BQ11" s="106">
        <v>19180.8</v>
      </c>
      <c r="BR11" s="106">
        <v>28</v>
      </c>
      <c r="BS11" s="106">
        <v>14918.399999999998</v>
      </c>
      <c r="BT11" s="106">
        <v>35</v>
      </c>
      <c r="BU11" s="106">
        <v>18648</v>
      </c>
      <c r="BV11" s="106">
        <v>26</v>
      </c>
      <c r="BW11" s="106">
        <v>13852.8</v>
      </c>
      <c r="BX11" s="106">
        <v>3</v>
      </c>
      <c r="BY11" s="106">
        <v>1598.3999999999999</v>
      </c>
      <c r="BZ11" s="106">
        <v>4</v>
      </c>
      <c r="CA11" s="106">
        <v>2131.1999999999998</v>
      </c>
      <c r="CB11" s="106">
        <v>4</v>
      </c>
      <c r="CC11" s="106">
        <v>2131.1999999999998</v>
      </c>
      <c r="CD11" s="106">
        <v>4</v>
      </c>
      <c r="CE11" s="106">
        <v>2131.1999999999998</v>
      </c>
      <c r="CF11" s="106">
        <v>36</v>
      </c>
      <c r="CG11" s="106">
        <v>19180.8</v>
      </c>
      <c r="CH11" s="106">
        <v>33</v>
      </c>
      <c r="CI11" s="106">
        <v>17582.399999999998</v>
      </c>
      <c r="CJ11" s="106">
        <v>29</v>
      </c>
      <c r="CK11" s="106">
        <v>15451.199999999999</v>
      </c>
      <c r="CL11" s="106">
        <v>33</v>
      </c>
      <c r="CM11" s="106">
        <v>17582.399999999998</v>
      </c>
      <c r="CN11" s="106">
        <v>6</v>
      </c>
      <c r="CO11" s="106">
        <v>3196.7999999999997</v>
      </c>
      <c r="CP11" s="106">
        <v>7</v>
      </c>
      <c r="CQ11" s="106">
        <v>3729.5999999999995</v>
      </c>
      <c r="CR11" s="106">
        <v>9</v>
      </c>
      <c r="CS11" s="106">
        <v>4795.2</v>
      </c>
      <c r="CT11" s="106">
        <v>8</v>
      </c>
      <c r="CU11" s="106">
        <v>4262.3999999999996</v>
      </c>
    </row>
    <row r="12" spans="1:99" x14ac:dyDescent="0.2">
      <c r="C12" s="105" t="s">
        <v>178</v>
      </c>
      <c r="D12" s="106">
        <v>3</v>
      </c>
      <c r="E12" s="106">
        <v>1688.3999999999999</v>
      </c>
      <c r="F12" s="106">
        <v>3</v>
      </c>
      <c r="G12" s="106">
        <v>1688.3999999999999</v>
      </c>
      <c r="H12" s="106">
        <v>3</v>
      </c>
      <c r="I12" s="106">
        <v>1688.3999999999999</v>
      </c>
      <c r="J12" s="106">
        <v>3</v>
      </c>
      <c r="K12" s="106">
        <v>1688.3999999999999</v>
      </c>
      <c r="L12" s="106">
        <v>2</v>
      </c>
      <c r="M12" s="106">
        <v>1125.5999999999999</v>
      </c>
      <c r="N12" s="106">
        <v>3</v>
      </c>
      <c r="O12" s="106">
        <v>1688.3999999999999</v>
      </c>
      <c r="P12" s="106">
        <v>3</v>
      </c>
      <c r="Q12" s="106">
        <v>1688.3999999999999</v>
      </c>
      <c r="R12" s="106">
        <v>4</v>
      </c>
      <c r="S12" s="106">
        <v>2251.1999999999998</v>
      </c>
      <c r="T12" s="106">
        <v>4</v>
      </c>
      <c r="U12" s="106">
        <v>2251.1999999999998</v>
      </c>
      <c r="V12" s="106">
        <v>7</v>
      </c>
      <c r="W12" s="106">
        <v>3939.5999999999995</v>
      </c>
      <c r="X12" s="106">
        <v>7</v>
      </c>
      <c r="Y12" s="106">
        <v>3939.5999999999995</v>
      </c>
      <c r="Z12" s="106">
        <v>7</v>
      </c>
      <c r="AA12" s="106">
        <v>3939.5999999999995</v>
      </c>
      <c r="AB12" s="106">
        <v>27</v>
      </c>
      <c r="AC12" s="106">
        <v>15195.599999999999</v>
      </c>
      <c r="AD12" s="106">
        <v>23</v>
      </c>
      <c r="AE12" s="106">
        <v>12944.4</v>
      </c>
      <c r="AF12" s="106">
        <v>26</v>
      </c>
      <c r="AG12" s="106">
        <v>14632.8</v>
      </c>
      <c r="AH12" s="106">
        <v>37</v>
      </c>
      <c r="AI12" s="106">
        <v>20823.599999999999</v>
      </c>
      <c r="AJ12" s="106">
        <v>3</v>
      </c>
      <c r="AK12" s="106">
        <v>1688.3999999999999</v>
      </c>
      <c r="AL12" s="106">
        <v>3</v>
      </c>
      <c r="AM12" s="106">
        <v>1688.3999999999999</v>
      </c>
      <c r="AN12" s="106">
        <v>4</v>
      </c>
      <c r="AO12" s="106">
        <v>2251.1999999999998</v>
      </c>
      <c r="AP12" s="106">
        <v>3</v>
      </c>
      <c r="AQ12" s="106">
        <v>1688.3999999999999</v>
      </c>
      <c r="AR12" s="106">
        <v>13</v>
      </c>
      <c r="AS12" s="106">
        <v>7316.4</v>
      </c>
      <c r="AT12" s="106">
        <v>9</v>
      </c>
      <c r="AU12" s="106">
        <v>5065.2</v>
      </c>
      <c r="AV12" s="106">
        <v>11</v>
      </c>
      <c r="AW12" s="106">
        <v>6190.7999999999993</v>
      </c>
      <c r="AX12" s="106">
        <v>10</v>
      </c>
      <c r="AY12" s="106">
        <v>5628</v>
      </c>
      <c r="AZ12" s="106">
        <v>5</v>
      </c>
      <c r="BA12" s="106">
        <v>2814</v>
      </c>
      <c r="BB12" s="106">
        <v>5</v>
      </c>
      <c r="BC12" s="106">
        <v>2814</v>
      </c>
      <c r="BD12" s="106">
        <v>6</v>
      </c>
      <c r="BE12" s="106">
        <v>3376.7999999999997</v>
      </c>
      <c r="BF12" s="106">
        <v>6</v>
      </c>
      <c r="BG12" s="106">
        <v>3376.7999999999997</v>
      </c>
      <c r="BH12" s="106">
        <v>7</v>
      </c>
      <c r="BI12" s="106">
        <v>3939.5999999999995</v>
      </c>
      <c r="BJ12" s="106">
        <v>5</v>
      </c>
      <c r="BK12" s="106">
        <v>2814</v>
      </c>
      <c r="BL12" s="106">
        <v>9</v>
      </c>
      <c r="BM12" s="106">
        <v>5065.2</v>
      </c>
      <c r="BN12" s="106">
        <v>7</v>
      </c>
      <c r="BO12" s="106">
        <v>3939.5999999999995</v>
      </c>
      <c r="BP12" s="106">
        <v>36</v>
      </c>
      <c r="BQ12" s="106">
        <v>20260.8</v>
      </c>
      <c r="BR12" s="106">
        <v>27</v>
      </c>
      <c r="BS12" s="106">
        <v>15195.599999999999</v>
      </c>
      <c r="BT12" s="106">
        <v>32</v>
      </c>
      <c r="BU12" s="106">
        <v>18009.599999999999</v>
      </c>
      <c r="BV12" s="106">
        <v>26</v>
      </c>
      <c r="BW12" s="106">
        <v>14632.8</v>
      </c>
      <c r="BX12" s="106">
        <v>3</v>
      </c>
      <c r="BY12" s="106">
        <v>1688.3999999999999</v>
      </c>
      <c r="BZ12" s="106">
        <v>4</v>
      </c>
      <c r="CA12" s="106">
        <v>2251.1999999999998</v>
      </c>
      <c r="CB12" s="106">
        <v>4</v>
      </c>
      <c r="CC12" s="106">
        <v>2251.1999999999998</v>
      </c>
      <c r="CD12" s="106">
        <v>4</v>
      </c>
      <c r="CE12" s="106">
        <v>2251.1999999999998</v>
      </c>
      <c r="CF12" s="106">
        <v>32</v>
      </c>
      <c r="CG12" s="106">
        <v>18009.599999999999</v>
      </c>
      <c r="CH12" s="106">
        <v>27</v>
      </c>
      <c r="CI12" s="106">
        <v>15195.599999999999</v>
      </c>
      <c r="CJ12" s="106">
        <v>27</v>
      </c>
      <c r="CK12" s="106">
        <v>15195.599999999999</v>
      </c>
      <c r="CL12" s="106">
        <v>30</v>
      </c>
      <c r="CM12" s="106">
        <v>16884</v>
      </c>
      <c r="CN12" s="106">
        <v>7</v>
      </c>
      <c r="CO12" s="106">
        <v>3939.5999999999995</v>
      </c>
      <c r="CP12" s="106">
        <v>6</v>
      </c>
      <c r="CQ12" s="106">
        <v>3376.7999999999997</v>
      </c>
      <c r="CR12" s="106">
        <v>9</v>
      </c>
      <c r="CS12" s="106">
        <v>5065.2</v>
      </c>
      <c r="CT12" s="106">
        <v>8</v>
      </c>
      <c r="CU12" s="106">
        <v>4502.3999999999996</v>
      </c>
    </row>
    <row r="13" spans="1:99" x14ac:dyDescent="0.2">
      <c r="C13" s="105" t="s">
        <v>179</v>
      </c>
      <c r="D13" s="106">
        <v>3</v>
      </c>
      <c r="E13" s="106">
        <v>255.60000000000002</v>
      </c>
      <c r="F13" s="106">
        <v>3</v>
      </c>
      <c r="G13" s="106">
        <v>255.60000000000002</v>
      </c>
      <c r="H13" s="106">
        <v>3</v>
      </c>
      <c r="I13" s="106">
        <v>255.60000000000002</v>
      </c>
      <c r="J13" s="106">
        <v>4</v>
      </c>
      <c r="K13" s="106">
        <v>340.8</v>
      </c>
      <c r="L13" s="106">
        <v>3</v>
      </c>
      <c r="M13" s="106">
        <v>255.60000000000002</v>
      </c>
      <c r="N13" s="106">
        <v>3</v>
      </c>
      <c r="O13" s="106">
        <v>255.60000000000002</v>
      </c>
      <c r="P13" s="106">
        <v>3</v>
      </c>
      <c r="Q13" s="106">
        <v>255.60000000000002</v>
      </c>
      <c r="R13" s="106">
        <v>3</v>
      </c>
      <c r="S13" s="106">
        <v>255.60000000000002</v>
      </c>
      <c r="T13" s="106">
        <v>4</v>
      </c>
      <c r="U13" s="106">
        <v>340.8</v>
      </c>
      <c r="V13" s="106">
        <v>7</v>
      </c>
      <c r="W13" s="106">
        <v>596.4</v>
      </c>
      <c r="X13" s="106">
        <v>7</v>
      </c>
      <c r="Y13" s="106">
        <v>596.4</v>
      </c>
      <c r="Z13" s="106">
        <v>7</v>
      </c>
      <c r="AA13" s="106">
        <v>596.4</v>
      </c>
      <c r="AB13" s="106">
        <v>27</v>
      </c>
      <c r="AC13" s="106">
        <v>2300.4</v>
      </c>
      <c r="AD13" s="106">
        <v>26</v>
      </c>
      <c r="AE13" s="106">
        <v>2215.2000000000003</v>
      </c>
      <c r="AF13" s="106">
        <v>28</v>
      </c>
      <c r="AG13" s="106">
        <v>2385.6</v>
      </c>
      <c r="AH13" s="106">
        <v>37</v>
      </c>
      <c r="AI13" s="106">
        <v>3152.4</v>
      </c>
      <c r="AJ13" s="106">
        <v>3</v>
      </c>
      <c r="AK13" s="106">
        <v>255.60000000000002</v>
      </c>
      <c r="AL13" s="106">
        <v>3</v>
      </c>
      <c r="AM13" s="106">
        <v>255.60000000000002</v>
      </c>
      <c r="AN13" s="106">
        <v>4</v>
      </c>
      <c r="AO13" s="106">
        <v>340.8</v>
      </c>
      <c r="AP13" s="106">
        <v>3</v>
      </c>
      <c r="AQ13" s="106">
        <v>255.60000000000002</v>
      </c>
      <c r="AR13" s="106">
        <v>14</v>
      </c>
      <c r="AS13" s="106">
        <v>1192.8</v>
      </c>
      <c r="AT13" s="106">
        <v>10</v>
      </c>
      <c r="AU13" s="106">
        <v>852</v>
      </c>
      <c r="AV13" s="106">
        <v>12</v>
      </c>
      <c r="AW13" s="106">
        <v>1022.4000000000001</v>
      </c>
      <c r="AX13" s="106">
        <v>13</v>
      </c>
      <c r="AY13" s="106">
        <v>1107.6000000000001</v>
      </c>
      <c r="AZ13" s="106">
        <v>4</v>
      </c>
      <c r="BA13" s="106">
        <v>340.8</v>
      </c>
      <c r="BB13" s="106">
        <v>5</v>
      </c>
      <c r="BC13" s="106">
        <v>426</v>
      </c>
      <c r="BD13" s="106">
        <v>6</v>
      </c>
      <c r="BE13" s="106">
        <v>511.20000000000005</v>
      </c>
      <c r="BF13" s="106">
        <v>6</v>
      </c>
      <c r="BG13" s="106">
        <v>511.20000000000005</v>
      </c>
      <c r="BH13" s="106">
        <v>8</v>
      </c>
      <c r="BI13" s="106">
        <v>681.6</v>
      </c>
      <c r="BJ13" s="106">
        <v>5</v>
      </c>
      <c r="BK13" s="106">
        <v>426</v>
      </c>
      <c r="BL13" s="106">
        <v>10</v>
      </c>
      <c r="BM13" s="106">
        <v>852</v>
      </c>
      <c r="BN13" s="106">
        <v>8</v>
      </c>
      <c r="BO13" s="106">
        <v>681.6</v>
      </c>
      <c r="BP13" s="106">
        <v>39</v>
      </c>
      <c r="BQ13" s="106">
        <v>3322.8</v>
      </c>
      <c r="BR13" s="106">
        <v>30</v>
      </c>
      <c r="BS13" s="106">
        <v>2556</v>
      </c>
      <c r="BT13" s="106">
        <v>39</v>
      </c>
      <c r="BU13" s="106">
        <v>3322.8</v>
      </c>
      <c r="BV13" s="106">
        <v>28</v>
      </c>
      <c r="BW13" s="106">
        <v>2385.6</v>
      </c>
      <c r="BX13" s="106">
        <v>3</v>
      </c>
      <c r="BY13" s="106">
        <v>255.60000000000002</v>
      </c>
      <c r="BZ13" s="106">
        <v>4</v>
      </c>
      <c r="CA13" s="106">
        <v>340.8</v>
      </c>
      <c r="CB13" s="106">
        <v>4</v>
      </c>
      <c r="CC13" s="106">
        <v>340.8</v>
      </c>
      <c r="CD13" s="106">
        <v>4</v>
      </c>
      <c r="CE13" s="106">
        <v>340.8</v>
      </c>
      <c r="CF13" s="106">
        <v>35</v>
      </c>
      <c r="CG13" s="106">
        <v>2982</v>
      </c>
      <c r="CH13" s="106">
        <v>33</v>
      </c>
      <c r="CI13" s="106">
        <v>2811.6</v>
      </c>
      <c r="CJ13" s="106">
        <v>29</v>
      </c>
      <c r="CK13" s="106">
        <v>2470.8000000000002</v>
      </c>
      <c r="CL13" s="106">
        <v>34</v>
      </c>
      <c r="CM13" s="106">
        <v>2896.8</v>
      </c>
      <c r="CN13" s="106">
        <v>7</v>
      </c>
      <c r="CO13" s="106">
        <v>596.4</v>
      </c>
      <c r="CP13" s="106">
        <v>7</v>
      </c>
      <c r="CQ13" s="106">
        <v>596.4</v>
      </c>
      <c r="CR13" s="106">
        <v>10</v>
      </c>
      <c r="CS13" s="106">
        <v>852</v>
      </c>
      <c r="CT13" s="106">
        <v>9</v>
      </c>
      <c r="CU13" s="106">
        <v>766.80000000000007</v>
      </c>
    </row>
    <row r="14" spans="1:99" x14ac:dyDescent="0.2">
      <c r="C14" s="105" t="s">
        <v>180</v>
      </c>
      <c r="D14" s="106">
        <v>3</v>
      </c>
      <c r="E14" s="106">
        <v>1465.1999999999998</v>
      </c>
      <c r="F14" s="106">
        <v>3</v>
      </c>
      <c r="G14" s="106">
        <v>1465.1999999999998</v>
      </c>
      <c r="H14" s="106">
        <v>3</v>
      </c>
      <c r="I14" s="106">
        <v>1465.1999999999998</v>
      </c>
      <c r="J14" s="106">
        <v>3</v>
      </c>
      <c r="K14" s="106">
        <v>1465.1999999999998</v>
      </c>
      <c r="L14" s="106">
        <v>3</v>
      </c>
      <c r="M14" s="106">
        <v>1465.1999999999998</v>
      </c>
      <c r="N14" s="106">
        <v>3</v>
      </c>
      <c r="O14" s="106">
        <v>1465.1999999999998</v>
      </c>
      <c r="P14" s="106">
        <v>3</v>
      </c>
      <c r="Q14" s="106">
        <v>1465.1999999999998</v>
      </c>
      <c r="R14" s="106">
        <v>3</v>
      </c>
      <c r="S14" s="106">
        <v>1465.1999999999998</v>
      </c>
      <c r="T14" s="106">
        <v>4</v>
      </c>
      <c r="U14" s="106">
        <v>1953.6</v>
      </c>
      <c r="V14" s="106">
        <v>7</v>
      </c>
      <c r="W14" s="106">
        <v>3418.7999999999997</v>
      </c>
      <c r="X14" s="106">
        <v>7</v>
      </c>
      <c r="Y14" s="106">
        <v>3418.7999999999997</v>
      </c>
      <c r="Z14" s="106">
        <v>6</v>
      </c>
      <c r="AA14" s="106">
        <v>2930.3999999999996</v>
      </c>
      <c r="AB14" s="106">
        <v>26</v>
      </c>
      <c r="AC14" s="106">
        <v>12698.4</v>
      </c>
      <c r="AD14" s="106">
        <v>22</v>
      </c>
      <c r="AE14" s="106">
        <v>10744.8</v>
      </c>
      <c r="AF14" s="106">
        <v>29</v>
      </c>
      <c r="AG14" s="106">
        <v>14163.599999999999</v>
      </c>
      <c r="AH14" s="106">
        <v>35</v>
      </c>
      <c r="AI14" s="106">
        <v>17094</v>
      </c>
      <c r="AJ14" s="106">
        <v>3</v>
      </c>
      <c r="AK14" s="106">
        <v>1465.1999999999998</v>
      </c>
      <c r="AL14" s="106">
        <v>3</v>
      </c>
      <c r="AM14" s="106">
        <v>1465.1999999999998</v>
      </c>
      <c r="AN14" s="106">
        <v>4</v>
      </c>
      <c r="AO14" s="106">
        <v>1953.6</v>
      </c>
      <c r="AP14" s="106">
        <v>3</v>
      </c>
      <c r="AQ14" s="106">
        <v>1465.1999999999998</v>
      </c>
      <c r="AR14" s="106">
        <v>12</v>
      </c>
      <c r="AS14" s="106">
        <v>5860.7999999999993</v>
      </c>
      <c r="AT14" s="106">
        <v>11</v>
      </c>
      <c r="AU14" s="106">
        <v>5372.4</v>
      </c>
      <c r="AV14" s="106">
        <v>11</v>
      </c>
      <c r="AW14" s="106">
        <v>5372.4</v>
      </c>
      <c r="AX14" s="106">
        <v>11</v>
      </c>
      <c r="AY14" s="106">
        <v>5372.4</v>
      </c>
      <c r="AZ14" s="106">
        <v>4</v>
      </c>
      <c r="BA14" s="106">
        <v>1953.6</v>
      </c>
      <c r="BB14" s="106">
        <v>5</v>
      </c>
      <c r="BC14" s="106">
        <v>2442</v>
      </c>
      <c r="BD14" s="106">
        <v>6</v>
      </c>
      <c r="BE14" s="106">
        <v>2930.3999999999996</v>
      </c>
      <c r="BF14" s="106">
        <v>6</v>
      </c>
      <c r="BG14" s="106">
        <v>2930.3999999999996</v>
      </c>
      <c r="BH14" s="106">
        <v>7</v>
      </c>
      <c r="BI14" s="106">
        <v>3418.7999999999997</v>
      </c>
      <c r="BJ14" s="106">
        <v>5</v>
      </c>
      <c r="BK14" s="106">
        <v>2442</v>
      </c>
      <c r="BL14" s="106">
        <v>9</v>
      </c>
      <c r="BM14" s="106">
        <v>4395.5999999999995</v>
      </c>
      <c r="BN14" s="106">
        <v>8</v>
      </c>
      <c r="BO14" s="106">
        <v>3907.2</v>
      </c>
      <c r="BP14" s="106">
        <v>34</v>
      </c>
      <c r="BQ14" s="106">
        <v>16605.599999999999</v>
      </c>
      <c r="BR14" s="106">
        <v>26</v>
      </c>
      <c r="BS14" s="106">
        <v>12698.4</v>
      </c>
      <c r="BT14" s="106">
        <v>36</v>
      </c>
      <c r="BU14" s="106">
        <v>17582.399999999998</v>
      </c>
      <c r="BV14" s="106">
        <v>29</v>
      </c>
      <c r="BW14" s="106">
        <v>14163.599999999999</v>
      </c>
      <c r="BX14" s="106">
        <v>3</v>
      </c>
      <c r="BY14" s="106">
        <v>1465.1999999999998</v>
      </c>
      <c r="BZ14" s="106">
        <v>4</v>
      </c>
      <c r="CA14" s="106">
        <v>1953.6</v>
      </c>
      <c r="CB14" s="106">
        <v>4</v>
      </c>
      <c r="CC14" s="106">
        <v>1953.6</v>
      </c>
      <c r="CD14" s="106">
        <v>4</v>
      </c>
      <c r="CE14" s="106">
        <v>1953.6</v>
      </c>
      <c r="CF14" s="106">
        <v>36</v>
      </c>
      <c r="CG14" s="106">
        <v>17582.399999999998</v>
      </c>
      <c r="CH14" s="106">
        <v>28</v>
      </c>
      <c r="CI14" s="106">
        <v>13675.199999999999</v>
      </c>
      <c r="CJ14" s="106">
        <v>30</v>
      </c>
      <c r="CK14" s="106">
        <v>14652</v>
      </c>
      <c r="CL14" s="106">
        <v>29</v>
      </c>
      <c r="CM14" s="106">
        <v>14163.599999999999</v>
      </c>
      <c r="CN14" s="106">
        <v>7</v>
      </c>
      <c r="CO14" s="106">
        <v>3418.7999999999997</v>
      </c>
      <c r="CP14" s="106">
        <v>6</v>
      </c>
      <c r="CQ14" s="106">
        <v>2930.3999999999996</v>
      </c>
      <c r="CR14" s="106">
        <v>9</v>
      </c>
      <c r="CS14" s="106">
        <v>4395.5999999999995</v>
      </c>
      <c r="CT14" s="106">
        <v>8</v>
      </c>
      <c r="CU14" s="106">
        <v>3907.2</v>
      </c>
    </row>
    <row r="15" spans="1:99" x14ac:dyDescent="0.2">
      <c r="C15" s="105" t="s">
        <v>181</v>
      </c>
      <c r="D15" s="106">
        <v>3</v>
      </c>
      <c r="E15" s="106">
        <v>2289.6</v>
      </c>
      <c r="F15" s="106">
        <v>2</v>
      </c>
      <c r="G15" s="106">
        <v>1526.3999999999999</v>
      </c>
      <c r="H15" s="106">
        <v>3</v>
      </c>
      <c r="I15" s="106">
        <v>2289.6</v>
      </c>
      <c r="J15" s="106">
        <v>3</v>
      </c>
      <c r="K15" s="106">
        <v>2289.6</v>
      </c>
      <c r="L15" s="106">
        <v>2</v>
      </c>
      <c r="M15" s="106">
        <v>1526.3999999999999</v>
      </c>
      <c r="N15" s="106">
        <v>3</v>
      </c>
      <c r="O15" s="106">
        <v>2289.6</v>
      </c>
      <c r="P15" s="106">
        <v>3</v>
      </c>
      <c r="Q15" s="106">
        <v>2289.6</v>
      </c>
      <c r="R15" s="106">
        <v>3</v>
      </c>
      <c r="S15" s="106">
        <v>2289.6</v>
      </c>
      <c r="T15" s="106">
        <v>4</v>
      </c>
      <c r="U15" s="106">
        <v>3052.7999999999997</v>
      </c>
      <c r="V15" s="106">
        <v>6</v>
      </c>
      <c r="W15" s="106">
        <v>4579.2</v>
      </c>
      <c r="X15" s="106">
        <v>7</v>
      </c>
      <c r="Y15" s="106">
        <v>5342.4</v>
      </c>
      <c r="Z15" s="106">
        <v>7</v>
      </c>
      <c r="AA15" s="106">
        <v>5342.4</v>
      </c>
      <c r="AB15" s="106">
        <v>25</v>
      </c>
      <c r="AC15" s="106">
        <v>19080</v>
      </c>
      <c r="AD15" s="106">
        <v>20</v>
      </c>
      <c r="AE15" s="106">
        <v>15263.999999999998</v>
      </c>
      <c r="AF15" s="106">
        <v>25</v>
      </c>
      <c r="AG15" s="106">
        <v>19080</v>
      </c>
      <c r="AH15" s="106">
        <v>38</v>
      </c>
      <c r="AI15" s="106">
        <v>29001.599999999999</v>
      </c>
      <c r="AJ15" s="106">
        <v>3</v>
      </c>
      <c r="AK15" s="106">
        <v>2289.6</v>
      </c>
      <c r="AL15" s="106">
        <v>3</v>
      </c>
      <c r="AM15" s="106">
        <v>2289.6</v>
      </c>
      <c r="AN15" s="106">
        <v>4</v>
      </c>
      <c r="AO15" s="106">
        <v>3052.7999999999997</v>
      </c>
      <c r="AP15" s="106">
        <v>3</v>
      </c>
      <c r="AQ15" s="106">
        <v>2289.6</v>
      </c>
      <c r="AR15" s="106">
        <v>12</v>
      </c>
      <c r="AS15" s="106">
        <v>9158.4</v>
      </c>
      <c r="AT15" s="106">
        <v>10</v>
      </c>
      <c r="AU15" s="106">
        <v>7631.9999999999991</v>
      </c>
      <c r="AV15" s="106">
        <v>12</v>
      </c>
      <c r="AW15" s="106">
        <v>9158.4</v>
      </c>
      <c r="AX15" s="106">
        <v>11</v>
      </c>
      <c r="AY15" s="106">
        <v>8395.1999999999989</v>
      </c>
      <c r="AZ15" s="106">
        <v>4</v>
      </c>
      <c r="BA15" s="106">
        <v>3052.7999999999997</v>
      </c>
      <c r="BB15" s="106">
        <v>5</v>
      </c>
      <c r="BC15" s="106">
        <v>3815.9999999999995</v>
      </c>
      <c r="BD15" s="106">
        <v>7</v>
      </c>
      <c r="BE15" s="106">
        <v>5342.4</v>
      </c>
      <c r="BF15" s="106">
        <v>5</v>
      </c>
      <c r="BG15" s="106">
        <v>3815.9999999999995</v>
      </c>
      <c r="BH15" s="106">
        <v>8</v>
      </c>
      <c r="BI15" s="106">
        <v>6105.5999999999995</v>
      </c>
      <c r="BJ15" s="106">
        <v>5</v>
      </c>
      <c r="BK15" s="106">
        <v>3815.9999999999995</v>
      </c>
      <c r="BL15" s="106">
        <v>9</v>
      </c>
      <c r="BM15" s="106">
        <v>6868.7999999999993</v>
      </c>
      <c r="BN15" s="106">
        <v>8</v>
      </c>
      <c r="BO15" s="106">
        <v>6105.5999999999995</v>
      </c>
      <c r="BP15" s="106">
        <v>30</v>
      </c>
      <c r="BQ15" s="106">
        <v>22895.999999999996</v>
      </c>
      <c r="BR15" s="106">
        <v>24</v>
      </c>
      <c r="BS15" s="106">
        <v>18316.8</v>
      </c>
      <c r="BT15" s="106">
        <v>31</v>
      </c>
      <c r="BU15" s="106">
        <v>23659.199999999997</v>
      </c>
      <c r="BV15" s="106">
        <v>28</v>
      </c>
      <c r="BW15" s="106">
        <v>21369.599999999999</v>
      </c>
      <c r="BX15" s="106">
        <v>3</v>
      </c>
      <c r="BY15" s="106">
        <v>2289.6</v>
      </c>
      <c r="BZ15" s="106">
        <v>4</v>
      </c>
      <c r="CA15" s="106">
        <v>3052.7999999999997</v>
      </c>
      <c r="CB15" s="106">
        <v>4</v>
      </c>
      <c r="CC15" s="106">
        <v>3052.7999999999997</v>
      </c>
      <c r="CD15" s="106">
        <v>3</v>
      </c>
      <c r="CE15" s="106">
        <v>2289.6</v>
      </c>
      <c r="CF15" s="106">
        <v>37</v>
      </c>
      <c r="CG15" s="106">
        <v>28238.399999999998</v>
      </c>
      <c r="CH15" s="106">
        <v>31</v>
      </c>
      <c r="CI15" s="106">
        <v>23659.199999999997</v>
      </c>
      <c r="CJ15" s="106">
        <v>30</v>
      </c>
      <c r="CK15" s="106">
        <v>22895.999999999996</v>
      </c>
      <c r="CL15" s="106">
        <v>31</v>
      </c>
      <c r="CM15" s="106">
        <v>23659.199999999997</v>
      </c>
      <c r="CN15" s="106">
        <v>7</v>
      </c>
      <c r="CO15" s="106">
        <v>5342.4</v>
      </c>
      <c r="CP15" s="106">
        <v>6</v>
      </c>
      <c r="CQ15" s="106">
        <v>4579.2</v>
      </c>
      <c r="CR15" s="106">
        <v>9</v>
      </c>
      <c r="CS15" s="106">
        <v>6868.7999999999993</v>
      </c>
      <c r="CT15" s="106">
        <v>7</v>
      </c>
      <c r="CU15" s="106">
        <v>5342.4</v>
      </c>
    </row>
    <row r="16" spans="1:99" x14ac:dyDescent="0.2">
      <c r="C16" s="105" t="s">
        <v>182</v>
      </c>
      <c r="D16" s="106">
        <v>2</v>
      </c>
      <c r="E16" s="106">
        <v>681.6</v>
      </c>
      <c r="F16" s="106">
        <v>3</v>
      </c>
      <c r="G16" s="106">
        <v>1022.4000000000001</v>
      </c>
      <c r="H16" s="106">
        <v>3</v>
      </c>
      <c r="I16" s="106">
        <v>1022.4000000000001</v>
      </c>
      <c r="J16" s="106">
        <v>3</v>
      </c>
      <c r="K16" s="106">
        <v>1022.4000000000001</v>
      </c>
      <c r="L16" s="106">
        <v>2</v>
      </c>
      <c r="M16" s="106">
        <v>681.6</v>
      </c>
      <c r="N16" s="106">
        <v>3</v>
      </c>
      <c r="O16" s="106">
        <v>1022.4000000000001</v>
      </c>
      <c r="P16" s="106">
        <v>3</v>
      </c>
      <c r="Q16" s="106">
        <v>1022.4000000000001</v>
      </c>
      <c r="R16" s="106">
        <v>4</v>
      </c>
      <c r="S16" s="106">
        <v>1363.2</v>
      </c>
      <c r="T16" s="106">
        <v>4</v>
      </c>
      <c r="U16" s="106">
        <v>1363.2</v>
      </c>
      <c r="V16" s="106">
        <v>7</v>
      </c>
      <c r="W16" s="106">
        <v>2385.6</v>
      </c>
      <c r="X16" s="106">
        <v>7</v>
      </c>
      <c r="Y16" s="106">
        <v>2385.6</v>
      </c>
      <c r="Z16" s="106">
        <v>7</v>
      </c>
      <c r="AA16" s="106">
        <v>2385.6</v>
      </c>
      <c r="AB16" s="106">
        <v>29</v>
      </c>
      <c r="AC16" s="106">
        <v>9883.2000000000007</v>
      </c>
      <c r="AD16" s="106">
        <v>24</v>
      </c>
      <c r="AE16" s="106">
        <v>8179.2000000000007</v>
      </c>
      <c r="AF16" s="106">
        <v>26</v>
      </c>
      <c r="AG16" s="106">
        <v>8860.8000000000011</v>
      </c>
      <c r="AH16" s="106">
        <v>40</v>
      </c>
      <c r="AI16" s="106">
        <v>13632</v>
      </c>
      <c r="AJ16" s="106">
        <v>4</v>
      </c>
      <c r="AK16" s="106">
        <v>1363.2</v>
      </c>
      <c r="AL16" s="106">
        <v>3</v>
      </c>
      <c r="AM16" s="106">
        <v>1022.4000000000001</v>
      </c>
      <c r="AN16" s="106">
        <v>4</v>
      </c>
      <c r="AO16" s="106">
        <v>1363.2</v>
      </c>
      <c r="AP16" s="106">
        <v>3</v>
      </c>
      <c r="AQ16" s="106">
        <v>1022.4000000000001</v>
      </c>
      <c r="AR16" s="106">
        <v>13</v>
      </c>
      <c r="AS16" s="106">
        <v>4430.4000000000005</v>
      </c>
      <c r="AT16" s="106">
        <v>10</v>
      </c>
      <c r="AU16" s="106">
        <v>3408</v>
      </c>
      <c r="AV16" s="106">
        <v>12</v>
      </c>
      <c r="AW16" s="106">
        <v>4089.6000000000004</v>
      </c>
      <c r="AX16" s="106">
        <v>12</v>
      </c>
      <c r="AY16" s="106">
        <v>4089.6000000000004</v>
      </c>
      <c r="AZ16" s="106">
        <v>4</v>
      </c>
      <c r="BA16" s="106">
        <v>1363.2</v>
      </c>
      <c r="BB16" s="106">
        <v>5</v>
      </c>
      <c r="BC16" s="106">
        <v>1704</v>
      </c>
      <c r="BD16" s="106">
        <v>6</v>
      </c>
      <c r="BE16" s="106">
        <v>2044.8000000000002</v>
      </c>
      <c r="BF16" s="106">
        <v>6</v>
      </c>
      <c r="BG16" s="106">
        <v>2044.8000000000002</v>
      </c>
      <c r="BH16" s="106">
        <v>8</v>
      </c>
      <c r="BI16" s="106">
        <v>2726.4</v>
      </c>
      <c r="BJ16" s="106">
        <v>5</v>
      </c>
      <c r="BK16" s="106">
        <v>1704</v>
      </c>
      <c r="BL16" s="106">
        <v>8</v>
      </c>
      <c r="BM16" s="106">
        <v>2726.4</v>
      </c>
      <c r="BN16" s="106">
        <v>8</v>
      </c>
      <c r="BO16" s="106">
        <v>2726.4</v>
      </c>
      <c r="BP16" s="106">
        <v>39</v>
      </c>
      <c r="BQ16" s="106">
        <v>13291.2</v>
      </c>
      <c r="BR16" s="106">
        <v>27</v>
      </c>
      <c r="BS16" s="106">
        <v>9201.6</v>
      </c>
      <c r="BT16" s="106">
        <v>34</v>
      </c>
      <c r="BU16" s="106">
        <v>11587.2</v>
      </c>
      <c r="BV16" s="106">
        <v>28</v>
      </c>
      <c r="BW16" s="106">
        <v>9542.4</v>
      </c>
      <c r="BX16" s="106">
        <v>3</v>
      </c>
      <c r="BY16" s="106">
        <v>1022.4000000000001</v>
      </c>
      <c r="BZ16" s="106">
        <v>4</v>
      </c>
      <c r="CA16" s="106">
        <v>1363.2</v>
      </c>
      <c r="CB16" s="106">
        <v>4</v>
      </c>
      <c r="CC16" s="106">
        <v>1363.2</v>
      </c>
      <c r="CD16" s="106">
        <v>4</v>
      </c>
      <c r="CE16" s="106">
        <v>1363.2</v>
      </c>
      <c r="CF16" s="106">
        <v>36</v>
      </c>
      <c r="CG16" s="106">
        <v>12268.800000000001</v>
      </c>
      <c r="CH16" s="106">
        <v>33</v>
      </c>
      <c r="CI16" s="106">
        <v>11246.4</v>
      </c>
      <c r="CJ16" s="106">
        <v>32</v>
      </c>
      <c r="CK16" s="106">
        <v>10905.6</v>
      </c>
      <c r="CL16" s="106">
        <v>33</v>
      </c>
      <c r="CM16" s="106">
        <v>11246.4</v>
      </c>
      <c r="CN16" s="106">
        <v>7</v>
      </c>
      <c r="CO16" s="106">
        <v>2385.6</v>
      </c>
      <c r="CP16" s="106">
        <v>6</v>
      </c>
      <c r="CQ16" s="106">
        <v>2044.8000000000002</v>
      </c>
      <c r="CR16" s="106">
        <v>9</v>
      </c>
      <c r="CS16" s="106">
        <v>3067.2000000000003</v>
      </c>
      <c r="CT16" s="106">
        <v>7</v>
      </c>
      <c r="CU16" s="106">
        <v>2385.6</v>
      </c>
    </row>
    <row r="17" spans="2:99" x14ac:dyDescent="0.2">
      <c r="C17" s="105" t="s">
        <v>183</v>
      </c>
      <c r="D17" s="106">
        <v>2</v>
      </c>
      <c r="E17" s="106">
        <v>844.8</v>
      </c>
      <c r="F17" s="106">
        <v>3</v>
      </c>
      <c r="G17" s="106">
        <v>1267.1999999999998</v>
      </c>
      <c r="H17" s="106">
        <v>3</v>
      </c>
      <c r="I17" s="106">
        <v>1267.1999999999998</v>
      </c>
      <c r="J17" s="106">
        <v>3</v>
      </c>
      <c r="K17" s="106">
        <v>1267.1999999999998</v>
      </c>
      <c r="L17" s="106">
        <v>3</v>
      </c>
      <c r="M17" s="106">
        <v>1267.1999999999998</v>
      </c>
      <c r="N17" s="106">
        <v>3</v>
      </c>
      <c r="O17" s="106">
        <v>1267.1999999999998</v>
      </c>
      <c r="P17" s="106">
        <v>3</v>
      </c>
      <c r="Q17" s="106">
        <v>1267.1999999999998</v>
      </c>
      <c r="R17" s="106">
        <v>4</v>
      </c>
      <c r="S17" s="106">
        <v>1689.6</v>
      </c>
      <c r="T17" s="106">
        <v>4</v>
      </c>
      <c r="U17" s="106">
        <v>1689.6</v>
      </c>
      <c r="V17" s="106">
        <v>6</v>
      </c>
      <c r="W17" s="106">
        <v>2534.3999999999996</v>
      </c>
      <c r="X17" s="106">
        <v>6</v>
      </c>
      <c r="Y17" s="106">
        <v>2534.3999999999996</v>
      </c>
      <c r="Z17" s="106">
        <v>7</v>
      </c>
      <c r="AA17" s="106">
        <v>2956.7999999999997</v>
      </c>
      <c r="AB17" s="106">
        <v>28</v>
      </c>
      <c r="AC17" s="106">
        <v>11827.199999999999</v>
      </c>
      <c r="AD17" s="106">
        <v>21</v>
      </c>
      <c r="AE17" s="106">
        <v>8870.4</v>
      </c>
      <c r="AF17" s="106">
        <v>27</v>
      </c>
      <c r="AG17" s="106">
        <v>11404.8</v>
      </c>
      <c r="AH17" s="106">
        <v>36</v>
      </c>
      <c r="AI17" s="106">
        <v>15206.4</v>
      </c>
      <c r="AJ17" s="106">
        <v>3</v>
      </c>
      <c r="AK17" s="106">
        <v>1267.1999999999998</v>
      </c>
      <c r="AL17" s="106">
        <v>3</v>
      </c>
      <c r="AM17" s="106">
        <v>1267.1999999999998</v>
      </c>
      <c r="AN17" s="106">
        <v>4</v>
      </c>
      <c r="AO17" s="106">
        <v>1689.6</v>
      </c>
      <c r="AP17" s="106">
        <v>3</v>
      </c>
      <c r="AQ17" s="106">
        <v>1267.1999999999998</v>
      </c>
      <c r="AR17" s="106">
        <v>13</v>
      </c>
      <c r="AS17" s="106">
        <v>5491.2</v>
      </c>
      <c r="AT17" s="106">
        <v>10</v>
      </c>
      <c r="AU17" s="106">
        <v>4224</v>
      </c>
      <c r="AV17" s="106">
        <v>10</v>
      </c>
      <c r="AW17" s="106">
        <v>4224</v>
      </c>
      <c r="AX17" s="106">
        <v>11</v>
      </c>
      <c r="AY17" s="106">
        <v>4646.3999999999996</v>
      </c>
      <c r="AZ17" s="106">
        <v>5</v>
      </c>
      <c r="BA17" s="106">
        <v>2112</v>
      </c>
      <c r="BB17" s="106">
        <v>5</v>
      </c>
      <c r="BC17" s="106">
        <v>2112</v>
      </c>
      <c r="BD17" s="106">
        <v>7</v>
      </c>
      <c r="BE17" s="106">
        <v>2956.7999999999997</v>
      </c>
      <c r="BF17" s="106">
        <v>6</v>
      </c>
      <c r="BG17" s="106">
        <v>2534.3999999999996</v>
      </c>
      <c r="BH17" s="106">
        <v>7</v>
      </c>
      <c r="BI17" s="106">
        <v>2956.7999999999997</v>
      </c>
      <c r="BJ17" s="106">
        <v>5</v>
      </c>
      <c r="BK17" s="106">
        <v>2112</v>
      </c>
      <c r="BL17" s="106">
        <v>10</v>
      </c>
      <c r="BM17" s="106">
        <v>4224</v>
      </c>
      <c r="BN17" s="106">
        <v>8</v>
      </c>
      <c r="BO17" s="106">
        <v>3379.2</v>
      </c>
      <c r="BP17" s="106">
        <v>36</v>
      </c>
      <c r="BQ17" s="106">
        <v>15206.4</v>
      </c>
      <c r="BR17" s="106">
        <v>26</v>
      </c>
      <c r="BS17" s="106">
        <v>10982.4</v>
      </c>
      <c r="BT17" s="106">
        <v>37</v>
      </c>
      <c r="BU17" s="106">
        <v>15628.8</v>
      </c>
      <c r="BV17" s="106">
        <v>27</v>
      </c>
      <c r="BW17" s="106">
        <v>11404.8</v>
      </c>
      <c r="BX17" s="106">
        <v>3</v>
      </c>
      <c r="BY17" s="106">
        <v>1267.1999999999998</v>
      </c>
      <c r="BZ17" s="106">
        <v>4</v>
      </c>
      <c r="CA17" s="106">
        <v>1689.6</v>
      </c>
      <c r="CB17" s="106">
        <v>4</v>
      </c>
      <c r="CC17" s="106">
        <v>1689.6</v>
      </c>
      <c r="CD17" s="106">
        <v>4</v>
      </c>
      <c r="CE17" s="106">
        <v>1689.6</v>
      </c>
      <c r="CF17" s="106">
        <v>36</v>
      </c>
      <c r="CG17" s="106">
        <v>15206.4</v>
      </c>
      <c r="CH17" s="106">
        <v>32</v>
      </c>
      <c r="CI17" s="106">
        <v>13516.8</v>
      </c>
      <c r="CJ17" s="106">
        <v>33</v>
      </c>
      <c r="CK17" s="106">
        <v>13939.199999999999</v>
      </c>
      <c r="CL17" s="106">
        <v>31</v>
      </c>
      <c r="CM17" s="106">
        <v>13094.4</v>
      </c>
      <c r="CN17" s="106">
        <v>7</v>
      </c>
      <c r="CO17" s="106">
        <v>2956.7999999999997</v>
      </c>
      <c r="CP17" s="106">
        <v>7</v>
      </c>
      <c r="CQ17" s="106">
        <v>2956.7999999999997</v>
      </c>
      <c r="CR17" s="106">
        <v>9</v>
      </c>
      <c r="CS17" s="106">
        <v>3801.6</v>
      </c>
      <c r="CT17" s="106">
        <v>9</v>
      </c>
      <c r="CU17" s="106">
        <v>3801.6</v>
      </c>
    </row>
    <row r="18" spans="2:99" x14ac:dyDescent="0.2">
      <c r="C18" s="105" t="s">
        <v>184</v>
      </c>
      <c r="D18" s="106">
        <v>2</v>
      </c>
      <c r="E18" s="106">
        <v>1305.5999999999999</v>
      </c>
      <c r="F18" s="106">
        <v>3</v>
      </c>
      <c r="G18" s="106">
        <v>1958.3999999999999</v>
      </c>
      <c r="H18" s="106">
        <v>3</v>
      </c>
      <c r="I18" s="106">
        <v>1958.3999999999999</v>
      </c>
      <c r="J18" s="106">
        <v>3</v>
      </c>
      <c r="K18" s="106">
        <v>1958.3999999999999</v>
      </c>
      <c r="L18" s="106">
        <v>3</v>
      </c>
      <c r="M18" s="106">
        <v>1958.3999999999999</v>
      </c>
      <c r="N18" s="106">
        <v>3</v>
      </c>
      <c r="O18" s="106">
        <v>1958.3999999999999</v>
      </c>
      <c r="P18" s="106">
        <v>4</v>
      </c>
      <c r="Q18" s="106">
        <v>2611.1999999999998</v>
      </c>
      <c r="R18" s="106">
        <v>4</v>
      </c>
      <c r="S18" s="106">
        <v>2611.1999999999998</v>
      </c>
      <c r="T18" s="106">
        <v>4</v>
      </c>
      <c r="U18" s="106">
        <v>2611.1999999999998</v>
      </c>
      <c r="V18" s="106">
        <v>6</v>
      </c>
      <c r="W18" s="106">
        <v>3916.7999999999997</v>
      </c>
      <c r="X18" s="106">
        <v>6</v>
      </c>
      <c r="Y18" s="106">
        <v>3916.7999999999997</v>
      </c>
      <c r="Z18" s="106">
        <v>7</v>
      </c>
      <c r="AA18" s="106">
        <v>4569.5999999999995</v>
      </c>
      <c r="AB18" s="106">
        <v>26</v>
      </c>
      <c r="AC18" s="106">
        <v>16972.8</v>
      </c>
      <c r="AD18" s="106">
        <v>20</v>
      </c>
      <c r="AE18" s="106">
        <v>13056</v>
      </c>
      <c r="AF18" s="106">
        <v>26</v>
      </c>
      <c r="AG18" s="106">
        <v>16972.8</v>
      </c>
      <c r="AH18" s="106">
        <v>37</v>
      </c>
      <c r="AI18" s="106">
        <v>24153.599999999999</v>
      </c>
      <c r="AJ18" s="106">
        <v>3</v>
      </c>
      <c r="AK18" s="106">
        <v>1958.3999999999999</v>
      </c>
      <c r="AL18" s="106">
        <v>3</v>
      </c>
      <c r="AM18" s="106">
        <v>1958.3999999999999</v>
      </c>
      <c r="AN18" s="106">
        <v>4</v>
      </c>
      <c r="AO18" s="106">
        <v>2611.1999999999998</v>
      </c>
      <c r="AP18" s="106">
        <v>3</v>
      </c>
      <c r="AQ18" s="106">
        <v>1958.3999999999999</v>
      </c>
      <c r="AR18" s="106">
        <v>13</v>
      </c>
      <c r="AS18" s="106">
        <v>8486.4</v>
      </c>
      <c r="AT18" s="106">
        <v>10</v>
      </c>
      <c r="AU18" s="106">
        <v>6528</v>
      </c>
      <c r="AV18" s="106">
        <v>11</v>
      </c>
      <c r="AW18" s="106">
        <v>7180.7999999999993</v>
      </c>
      <c r="AX18" s="106">
        <v>10</v>
      </c>
      <c r="AY18" s="106">
        <v>6528</v>
      </c>
      <c r="AZ18" s="106">
        <v>5</v>
      </c>
      <c r="BA18" s="106">
        <v>3264</v>
      </c>
      <c r="BB18" s="106">
        <v>4</v>
      </c>
      <c r="BC18" s="106">
        <v>2611.1999999999998</v>
      </c>
      <c r="BD18" s="106">
        <v>7</v>
      </c>
      <c r="BE18" s="106">
        <v>4569.5999999999995</v>
      </c>
      <c r="BF18" s="106">
        <v>6</v>
      </c>
      <c r="BG18" s="106">
        <v>3916.7999999999997</v>
      </c>
      <c r="BH18" s="106">
        <v>7</v>
      </c>
      <c r="BI18" s="106">
        <v>4569.5999999999995</v>
      </c>
      <c r="BJ18" s="106">
        <v>5</v>
      </c>
      <c r="BK18" s="106">
        <v>3264</v>
      </c>
      <c r="BL18" s="106">
        <v>8</v>
      </c>
      <c r="BM18" s="106">
        <v>5222.3999999999996</v>
      </c>
      <c r="BN18" s="106">
        <v>7</v>
      </c>
      <c r="BO18" s="106">
        <v>4569.5999999999995</v>
      </c>
      <c r="BP18" s="106">
        <v>37</v>
      </c>
      <c r="BQ18" s="106">
        <v>24153.599999999999</v>
      </c>
      <c r="BR18" s="106">
        <v>28</v>
      </c>
      <c r="BS18" s="106">
        <v>18278.399999999998</v>
      </c>
      <c r="BT18" s="106">
        <v>31</v>
      </c>
      <c r="BU18" s="106">
        <v>20236.8</v>
      </c>
      <c r="BV18" s="106">
        <v>27</v>
      </c>
      <c r="BW18" s="106">
        <v>17625.599999999999</v>
      </c>
      <c r="BX18" s="106">
        <v>3</v>
      </c>
      <c r="BY18" s="106">
        <v>1958.3999999999999</v>
      </c>
      <c r="BZ18" s="106">
        <v>3</v>
      </c>
      <c r="CA18" s="106">
        <v>1958.3999999999999</v>
      </c>
      <c r="CB18" s="106">
        <v>4</v>
      </c>
      <c r="CC18" s="106">
        <v>2611.1999999999998</v>
      </c>
      <c r="CD18" s="106">
        <v>3</v>
      </c>
      <c r="CE18" s="106">
        <v>1958.3999999999999</v>
      </c>
      <c r="CF18" s="106">
        <v>34</v>
      </c>
      <c r="CG18" s="106">
        <v>22195.199999999997</v>
      </c>
      <c r="CH18" s="106">
        <v>31</v>
      </c>
      <c r="CI18" s="106">
        <v>20236.8</v>
      </c>
      <c r="CJ18" s="106">
        <v>28</v>
      </c>
      <c r="CK18" s="106">
        <v>18278.399999999998</v>
      </c>
      <c r="CL18" s="106">
        <v>27</v>
      </c>
      <c r="CM18" s="106">
        <v>17625.599999999999</v>
      </c>
      <c r="CN18" s="106">
        <v>7</v>
      </c>
      <c r="CO18" s="106">
        <v>4569.5999999999995</v>
      </c>
      <c r="CP18" s="106">
        <v>7</v>
      </c>
      <c r="CQ18" s="106">
        <v>4569.5999999999995</v>
      </c>
      <c r="CR18" s="106">
        <v>9</v>
      </c>
      <c r="CS18" s="106">
        <v>5875.2</v>
      </c>
      <c r="CT18" s="106">
        <v>7</v>
      </c>
      <c r="CU18" s="106">
        <v>4569.5999999999995</v>
      </c>
    </row>
    <row r="19" spans="2:99" x14ac:dyDescent="0.2">
      <c r="C19" s="105" t="s">
        <v>185</v>
      </c>
      <c r="D19" s="106">
        <v>3</v>
      </c>
      <c r="E19" s="106">
        <v>990</v>
      </c>
      <c r="F19" s="106">
        <v>2</v>
      </c>
      <c r="G19" s="106">
        <v>660</v>
      </c>
      <c r="H19" s="106">
        <v>3</v>
      </c>
      <c r="I19" s="106">
        <v>990</v>
      </c>
      <c r="J19" s="106">
        <v>4</v>
      </c>
      <c r="K19" s="106">
        <v>1320</v>
      </c>
      <c r="L19" s="106">
        <v>3</v>
      </c>
      <c r="M19" s="106">
        <v>990</v>
      </c>
      <c r="N19" s="106">
        <v>3</v>
      </c>
      <c r="O19" s="106">
        <v>990</v>
      </c>
      <c r="P19" s="106">
        <v>4</v>
      </c>
      <c r="Q19" s="106">
        <v>1320</v>
      </c>
      <c r="R19" s="106">
        <v>4</v>
      </c>
      <c r="S19" s="106">
        <v>1320</v>
      </c>
      <c r="T19" s="106">
        <v>4</v>
      </c>
      <c r="U19" s="106">
        <v>1320</v>
      </c>
      <c r="V19" s="106">
        <v>6</v>
      </c>
      <c r="W19" s="106">
        <v>1980</v>
      </c>
      <c r="X19" s="106">
        <v>7</v>
      </c>
      <c r="Y19" s="106">
        <v>2310</v>
      </c>
      <c r="Z19" s="106">
        <v>7</v>
      </c>
      <c r="AA19" s="106">
        <v>2310</v>
      </c>
      <c r="AB19" s="106">
        <v>29</v>
      </c>
      <c r="AC19" s="106">
        <v>9570</v>
      </c>
      <c r="AD19" s="106">
        <v>22</v>
      </c>
      <c r="AE19" s="106">
        <v>7260</v>
      </c>
      <c r="AF19" s="106">
        <v>28</v>
      </c>
      <c r="AG19" s="106">
        <v>9240</v>
      </c>
      <c r="AH19" s="106">
        <v>41</v>
      </c>
      <c r="AI19" s="106">
        <v>13530</v>
      </c>
      <c r="AJ19" s="106">
        <v>3</v>
      </c>
      <c r="AK19" s="106">
        <v>990</v>
      </c>
      <c r="AL19" s="106">
        <v>3</v>
      </c>
      <c r="AM19" s="106">
        <v>990</v>
      </c>
      <c r="AN19" s="106">
        <v>4</v>
      </c>
      <c r="AO19" s="106">
        <v>1320</v>
      </c>
      <c r="AP19" s="106">
        <v>3</v>
      </c>
      <c r="AQ19" s="106">
        <v>990</v>
      </c>
      <c r="AR19" s="106">
        <v>13</v>
      </c>
      <c r="AS19" s="106">
        <v>4290</v>
      </c>
      <c r="AT19" s="106">
        <v>11</v>
      </c>
      <c r="AU19" s="106">
        <v>3630</v>
      </c>
      <c r="AV19" s="106">
        <v>12</v>
      </c>
      <c r="AW19" s="106">
        <v>3960</v>
      </c>
      <c r="AX19" s="106">
        <v>11</v>
      </c>
      <c r="AY19" s="106">
        <v>3630</v>
      </c>
      <c r="AZ19" s="106">
        <v>5</v>
      </c>
      <c r="BA19" s="106">
        <v>1650</v>
      </c>
      <c r="BB19" s="106">
        <v>5</v>
      </c>
      <c r="BC19" s="106">
        <v>1650</v>
      </c>
      <c r="BD19" s="106">
        <v>7</v>
      </c>
      <c r="BE19" s="106">
        <v>2310</v>
      </c>
      <c r="BF19" s="106">
        <v>6</v>
      </c>
      <c r="BG19" s="106">
        <v>1980</v>
      </c>
      <c r="BH19" s="106">
        <v>8</v>
      </c>
      <c r="BI19" s="106">
        <v>2640</v>
      </c>
      <c r="BJ19" s="106">
        <v>5</v>
      </c>
      <c r="BK19" s="106">
        <v>1650</v>
      </c>
      <c r="BL19" s="106">
        <v>8</v>
      </c>
      <c r="BM19" s="106">
        <v>2640</v>
      </c>
      <c r="BN19" s="106">
        <v>8</v>
      </c>
      <c r="BO19" s="106">
        <v>2640</v>
      </c>
      <c r="BP19" s="106">
        <v>37</v>
      </c>
      <c r="BQ19" s="106">
        <v>12210</v>
      </c>
      <c r="BR19" s="106">
        <v>26</v>
      </c>
      <c r="BS19" s="106">
        <v>8580</v>
      </c>
      <c r="BT19" s="106">
        <v>32</v>
      </c>
      <c r="BU19" s="106">
        <v>10560</v>
      </c>
      <c r="BV19" s="106">
        <v>29</v>
      </c>
      <c r="BW19" s="106">
        <v>9570</v>
      </c>
      <c r="BX19" s="106">
        <v>3</v>
      </c>
      <c r="BY19" s="106">
        <v>990</v>
      </c>
      <c r="BZ19" s="106">
        <v>4</v>
      </c>
      <c r="CA19" s="106">
        <v>1320</v>
      </c>
      <c r="CB19" s="106">
        <v>4</v>
      </c>
      <c r="CC19" s="106">
        <v>1320</v>
      </c>
      <c r="CD19" s="106">
        <v>4</v>
      </c>
      <c r="CE19" s="106">
        <v>1320</v>
      </c>
      <c r="CF19" s="106">
        <v>36</v>
      </c>
      <c r="CG19" s="106">
        <v>11880</v>
      </c>
      <c r="CH19" s="106">
        <v>34</v>
      </c>
      <c r="CI19" s="106">
        <v>11220</v>
      </c>
      <c r="CJ19" s="106">
        <v>31</v>
      </c>
      <c r="CK19" s="106">
        <v>10230</v>
      </c>
      <c r="CL19" s="106">
        <v>33</v>
      </c>
      <c r="CM19" s="106">
        <v>10890</v>
      </c>
      <c r="CN19" s="106">
        <v>7</v>
      </c>
      <c r="CO19" s="106">
        <v>2310</v>
      </c>
      <c r="CP19" s="106">
        <v>7</v>
      </c>
      <c r="CQ19" s="106">
        <v>2310</v>
      </c>
      <c r="CR19" s="106">
        <v>9</v>
      </c>
      <c r="CS19" s="106">
        <v>2970</v>
      </c>
      <c r="CT19" s="106">
        <v>8</v>
      </c>
      <c r="CU19" s="106">
        <v>2640</v>
      </c>
    </row>
    <row r="20" spans="2:99" x14ac:dyDescent="0.2">
      <c r="B20" s="105" t="s">
        <v>127</v>
      </c>
      <c r="C20" s="105" t="s">
        <v>186</v>
      </c>
      <c r="D20" s="106">
        <v>2</v>
      </c>
      <c r="E20" s="106">
        <v>573.6</v>
      </c>
      <c r="F20" s="106">
        <v>2</v>
      </c>
      <c r="G20" s="106">
        <v>573.6</v>
      </c>
      <c r="H20" s="106">
        <v>2</v>
      </c>
      <c r="I20" s="106">
        <v>573.6</v>
      </c>
      <c r="J20" s="106">
        <v>2</v>
      </c>
      <c r="K20" s="106">
        <v>573.6</v>
      </c>
      <c r="L20" s="106">
        <v>26</v>
      </c>
      <c r="M20" s="106">
        <v>7456.8</v>
      </c>
      <c r="N20" s="106">
        <v>17</v>
      </c>
      <c r="O20" s="106">
        <v>4875.6000000000004</v>
      </c>
      <c r="P20" s="106">
        <v>16</v>
      </c>
      <c r="Q20" s="106">
        <v>4588.8</v>
      </c>
      <c r="R20" s="106">
        <v>20</v>
      </c>
      <c r="S20" s="106">
        <v>5736</v>
      </c>
      <c r="T20" s="106">
        <v>3</v>
      </c>
      <c r="U20" s="106">
        <v>860.40000000000009</v>
      </c>
      <c r="V20" s="106">
        <v>4</v>
      </c>
      <c r="W20" s="106">
        <v>1147.2</v>
      </c>
      <c r="X20" s="106">
        <v>5</v>
      </c>
      <c r="Y20" s="106">
        <v>1434</v>
      </c>
      <c r="Z20" s="106">
        <v>4</v>
      </c>
      <c r="AA20" s="106">
        <v>1147.2</v>
      </c>
      <c r="AB20" s="106">
        <v>3</v>
      </c>
      <c r="AC20" s="106">
        <v>860.40000000000009</v>
      </c>
      <c r="AD20" s="106">
        <v>3</v>
      </c>
      <c r="AE20" s="106">
        <v>860.40000000000009</v>
      </c>
      <c r="AF20" s="106">
        <v>3</v>
      </c>
      <c r="AG20" s="106">
        <v>860.40000000000009</v>
      </c>
      <c r="AH20" s="106">
        <v>3</v>
      </c>
      <c r="AI20" s="106">
        <v>860.40000000000009</v>
      </c>
      <c r="AJ20" s="106">
        <v>16</v>
      </c>
      <c r="AK20" s="106">
        <v>4588.8</v>
      </c>
      <c r="AL20" s="106">
        <v>12</v>
      </c>
      <c r="AM20" s="106">
        <v>3441.6000000000004</v>
      </c>
      <c r="AN20" s="106">
        <v>13</v>
      </c>
      <c r="AO20" s="106">
        <v>3728.4</v>
      </c>
      <c r="AP20" s="106">
        <v>13</v>
      </c>
      <c r="AQ20" s="106">
        <v>3728.4</v>
      </c>
      <c r="AR20" s="106">
        <v>21</v>
      </c>
      <c r="AS20" s="106">
        <v>6022.8</v>
      </c>
      <c r="AT20" s="106">
        <v>38</v>
      </c>
      <c r="AU20" s="106">
        <v>10898.4</v>
      </c>
      <c r="AV20" s="106">
        <v>22</v>
      </c>
      <c r="AW20" s="106">
        <v>6309.6</v>
      </c>
      <c r="AX20" s="106">
        <v>27</v>
      </c>
      <c r="AY20" s="106">
        <v>7743.6</v>
      </c>
      <c r="AZ20" s="106">
        <v>3</v>
      </c>
      <c r="BA20" s="106">
        <v>860.40000000000009</v>
      </c>
      <c r="BB20" s="106">
        <v>3</v>
      </c>
      <c r="BC20" s="106">
        <v>860.40000000000009</v>
      </c>
      <c r="BD20" s="106">
        <v>4</v>
      </c>
      <c r="BE20" s="106">
        <v>1147.2</v>
      </c>
      <c r="BF20" s="106">
        <v>3</v>
      </c>
      <c r="BG20" s="106">
        <v>860.40000000000009</v>
      </c>
      <c r="BH20" s="106">
        <v>12</v>
      </c>
      <c r="BI20" s="106">
        <v>3441.6000000000004</v>
      </c>
      <c r="BJ20" s="106">
        <v>10</v>
      </c>
      <c r="BK20" s="106">
        <v>2868</v>
      </c>
      <c r="BL20" s="106">
        <v>11</v>
      </c>
      <c r="BM20" s="106">
        <v>3154.8</v>
      </c>
      <c r="BN20" s="106">
        <v>11</v>
      </c>
      <c r="BO20" s="106">
        <v>3154.8</v>
      </c>
      <c r="BP20" s="106">
        <v>3</v>
      </c>
      <c r="BQ20" s="106">
        <v>860.40000000000009</v>
      </c>
      <c r="BR20" s="106">
        <v>3</v>
      </c>
      <c r="BS20" s="106">
        <v>860.40000000000009</v>
      </c>
      <c r="BT20" s="106">
        <v>3</v>
      </c>
      <c r="BU20" s="106">
        <v>860.40000000000009</v>
      </c>
      <c r="BV20" s="106">
        <v>2</v>
      </c>
      <c r="BW20" s="106">
        <v>573.6</v>
      </c>
      <c r="BX20" s="106">
        <v>19</v>
      </c>
      <c r="BY20" s="106">
        <v>5449.2</v>
      </c>
      <c r="BZ20" s="106">
        <v>21</v>
      </c>
      <c r="CA20" s="106">
        <v>6022.8</v>
      </c>
      <c r="CB20" s="106">
        <v>20</v>
      </c>
      <c r="CC20" s="106">
        <v>5736</v>
      </c>
      <c r="CD20" s="106">
        <v>24</v>
      </c>
      <c r="CE20" s="106">
        <v>6883.2000000000007</v>
      </c>
      <c r="CF20" s="106">
        <v>35</v>
      </c>
      <c r="CG20" s="106">
        <v>10038</v>
      </c>
      <c r="CH20" s="106">
        <v>25</v>
      </c>
      <c r="CI20" s="106">
        <v>7170</v>
      </c>
      <c r="CJ20" s="106">
        <v>23</v>
      </c>
      <c r="CK20" s="106">
        <v>6596.4000000000005</v>
      </c>
      <c r="CL20" s="106">
        <v>23</v>
      </c>
      <c r="CM20" s="106">
        <v>6596.4000000000005</v>
      </c>
      <c r="CN20" s="106">
        <v>28</v>
      </c>
      <c r="CO20" s="106">
        <v>8030.4000000000005</v>
      </c>
      <c r="CP20" s="106">
        <v>16</v>
      </c>
      <c r="CQ20" s="106">
        <v>4588.8</v>
      </c>
      <c r="CR20" s="106">
        <v>19</v>
      </c>
      <c r="CS20" s="106">
        <v>5449.2</v>
      </c>
      <c r="CT20" s="106">
        <v>28</v>
      </c>
      <c r="CU20" s="106">
        <v>8030.4000000000005</v>
      </c>
    </row>
    <row r="21" spans="2:99" x14ac:dyDescent="0.2">
      <c r="C21" s="105" t="s">
        <v>187</v>
      </c>
      <c r="D21" s="106">
        <v>2</v>
      </c>
      <c r="E21" s="106">
        <v>124.8</v>
      </c>
      <c r="F21" s="106">
        <v>3</v>
      </c>
      <c r="G21" s="106">
        <v>187.2</v>
      </c>
      <c r="H21" s="106">
        <v>3</v>
      </c>
      <c r="I21" s="106">
        <v>187.2</v>
      </c>
      <c r="J21" s="106">
        <v>2</v>
      </c>
      <c r="K21" s="106">
        <v>124.8</v>
      </c>
      <c r="L21" s="106">
        <v>28</v>
      </c>
      <c r="M21" s="106">
        <v>1747.2</v>
      </c>
      <c r="N21" s="106">
        <v>18</v>
      </c>
      <c r="O21" s="106">
        <v>1123.2</v>
      </c>
      <c r="P21" s="106">
        <v>18</v>
      </c>
      <c r="Q21" s="106">
        <v>1123.2</v>
      </c>
      <c r="R21" s="106">
        <v>24</v>
      </c>
      <c r="S21" s="106">
        <v>1497.6</v>
      </c>
      <c r="T21" s="106">
        <v>4</v>
      </c>
      <c r="U21" s="106">
        <v>249.6</v>
      </c>
      <c r="V21" s="106">
        <v>4</v>
      </c>
      <c r="W21" s="106">
        <v>249.6</v>
      </c>
      <c r="X21" s="106">
        <v>5</v>
      </c>
      <c r="Y21" s="106">
        <v>312</v>
      </c>
      <c r="Z21" s="106">
        <v>4</v>
      </c>
      <c r="AA21" s="106">
        <v>249.6</v>
      </c>
      <c r="AB21" s="106">
        <v>3</v>
      </c>
      <c r="AC21" s="106">
        <v>187.2</v>
      </c>
      <c r="AD21" s="106">
        <v>3</v>
      </c>
      <c r="AE21" s="106">
        <v>187.2</v>
      </c>
      <c r="AF21" s="106">
        <v>3</v>
      </c>
      <c r="AG21" s="106">
        <v>187.2</v>
      </c>
      <c r="AH21" s="106">
        <v>3</v>
      </c>
      <c r="AI21" s="106">
        <v>187.2</v>
      </c>
      <c r="AJ21" s="106">
        <v>15</v>
      </c>
      <c r="AK21" s="106">
        <v>936</v>
      </c>
      <c r="AL21" s="106">
        <v>14</v>
      </c>
      <c r="AM21" s="106">
        <v>873.6</v>
      </c>
      <c r="AN21" s="106">
        <v>11</v>
      </c>
      <c r="AO21" s="106">
        <v>686.4</v>
      </c>
      <c r="AP21" s="106">
        <v>12</v>
      </c>
      <c r="AQ21" s="106">
        <v>748.8</v>
      </c>
      <c r="AR21" s="106">
        <v>23</v>
      </c>
      <c r="AS21" s="106">
        <v>1435.2</v>
      </c>
      <c r="AT21" s="106">
        <v>42</v>
      </c>
      <c r="AU21" s="106">
        <v>2620.7999999999997</v>
      </c>
      <c r="AV21" s="106">
        <v>23</v>
      </c>
      <c r="AW21" s="106">
        <v>1435.2</v>
      </c>
      <c r="AX21" s="106">
        <v>29</v>
      </c>
      <c r="AY21" s="106">
        <v>1809.6</v>
      </c>
      <c r="AZ21" s="106">
        <v>4</v>
      </c>
      <c r="BA21" s="106">
        <v>249.6</v>
      </c>
      <c r="BB21" s="106">
        <v>3</v>
      </c>
      <c r="BC21" s="106">
        <v>187.2</v>
      </c>
      <c r="BD21" s="106">
        <v>3</v>
      </c>
      <c r="BE21" s="106">
        <v>187.2</v>
      </c>
      <c r="BF21" s="106">
        <v>3</v>
      </c>
      <c r="BG21" s="106">
        <v>187.2</v>
      </c>
      <c r="BH21" s="106">
        <v>12</v>
      </c>
      <c r="BI21" s="106">
        <v>748.8</v>
      </c>
      <c r="BJ21" s="106">
        <v>10</v>
      </c>
      <c r="BK21" s="106">
        <v>624</v>
      </c>
      <c r="BL21" s="106">
        <v>11</v>
      </c>
      <c r="BM21" s="106">
        <v>686.4</v>
      </c>
      <c r="BN21" s="106">
        <v>10</v>
      </c>
      <c r="BO21" s="106">
        <v>624</v>
      </c>
      <c r="BP21" s="106">
        <v>3</v>
      </c>
      <c r="BQ21" s="106">
        <v>187.2</v>
      </c>
      <c r="BR21" s="106">
        <v>3</v>
      </c>
      <c r="BS21" s="106">
        <v>187.2</v>
      </c>
      <c r="BT21" s="106">
        <v>4</v>
      </c>
      <c r="BU21" s="106">
        <v>249.6</v>
      </c>
      <c r="BV21" s="106">
        <v>3</v>
      </c>
      <c r="BW21" s="106">
        <v>187.2</v>
      </c>
      <c r="BX21" s="106">
        <v>17</v>
      </c>
      <c r="BY21" s="106">
        <v>1060.8</v>
      </c>
      <c r="BZ21" s="106">
        <v>24</v>
      </c>
      <c r="CA21" s="106">
        <v>1497.6</v>
      </c>
      <c r="CB21" s="106">
        <v>19</v>
      </c>
      <c r="CC21" s="106">
        <v>1185.5999999999999</v>
      </c>
      <c r="CD21" s="106">
        <v>25</v>
      </c>
      <c r="CE21" s="106">
        <v>1560</v>
      </c>
      <c r="CF21" s="106">
        <v>33</v>
      </c>
      <c r="CG21" s="106">
        <v>2059.1999999999998</v>
      </c>
      <c r="CH21" s="106">
        <v>24</v>
      </c>
      <c r="CI21" s="106">
        <v>1497.6</v>
      </c>
      <c r="CJ21" s="106">
        <v>25</v>
      </c>
      <c r="CK21" s="106">
        <v>1560</v>
      </c>
      <c r="CL21" s="106">
        <v>26</v>
      </c>
      <c r="CM21" s="106">
        <v>1622.3999999999999</v>
      </c>
      <c r="CN21" s="106">
        <v>31</v>
      </c>
      <c r="CO21" s="106">
        <v>1934.3999999999999</v>
      </c>
      <c r="CP21" s="106">
        <v>18</v>
      </c>
      <c r="CQ21" s="106">
        <v>1123.2</v>
      </c>
      <c r="CR21" s="106">
        <v>21</v>
      </c>
      <c r="CS21" s="106">
        <v>1310.3999999999999</v>
      </c>
      <c r="CT21" s="106">
        <v>27</v>
      </c>
      <c r="CU21" s="106">
        <v>1684.8</v>
      </c>
    </row>
    <row r="22" spans="2:99" x14ac:dyDescent="0.2">
      <c r="C22" s="105" t="s">
        <v>188</v>
      </c>
      <c r="D22" s="106">
        <v>2</v>
      </c>
      <c r="E22" s="106">
        <v>374.4</v>
      </c>
      <c r="F22" s="106">
        <v>3</v>
      </c>
      <c r="G22" s="106">
        <v>561.59999999999991</v>
      </c>
      <c r="H22" s="106">
        <v>2</v>
      </c>
      <c r="I22" s="106">
        <v>374.4</v>
      </c>
      <c r="J22" s="106">
        <v>2</v>
      </c>
      <c r="K22" s="106">
        <v>374.4</v>
      </c>
      <c r="L22" s="106">
        <v>25</v>
      </c>
      <c r="M22" s="106">
        <v>4680</v>
      </c>
      <c r="N22" s="106">
        <v>16</v>
      </c>
      <c r="O22" s="106">
        <v>2995.2</v>
      </c>
      <c r="P22" s="106">
        <v>17</v>
      </c>
      <c r="Q22" s="106">
        <v>3182.3999999999996</v>
      </c>
      <c r="R22" s="106">
        <v>20</v>
      </c>
      <c r="S22" s="106">
        <v>3744</v>
      </c>
      <c r="T22" s="106">
        <v>3</v>
      </c>
      <c r="U22" s="106">
        <v>561.59999999999991</v>
      </c>
      <c r="V22" s="106">
        <v>4</v>
      </c>
      <c r="W22" s="106">
        <v>748.8</v>
      </c>
      <c r="X22" s="106">
        <v>4</v>
      </c>
      <c r="Y22" s="106">
        <v>748.8</v>
      </c>
      <c r="Z22" s="106">
        <v>5</v>
      </c>
      <c r="AA22" s="106">
        <v>936</v>
      </c>
      <c r="AB22" s="106">
        <v>3</v>
      </c>
      <c r="AC22" s="106">
        <v>561.59999999999991</v>
      </c>
      <c r="AD22" s="106">
        <v>4</v>
      </c>
      <c r="AE22" s="106">
        <v>748.8</v>
      </c>
      <c r="AF22" s="106">
        <v>3</v>
      </c>
      <c r="AG22" s="106">
        <v>561.59999999999991</v>
      </c>
      <c r="AH22" s="106">
        <v>4</v>
      </c>
      <c r="AI22" s="106">
        <v>748.8</v>
      </c>
      <c r="AJ22" s="106">
        <v>15</v>
      </c>
      <c r="AK22" s="106">
        <v>2808</v>
      </c>
      <c r="AL22" s="106">
        <v>11</v>
      </c>
      <c r="AM22" s="106">
        <v>2059.1999999999998</v>
      </c>
      <c r="AN22" s="106">
        <v>12</v>
      </c>
      <c r="AO22" s="106">
        <v>2246.3999999999996</v>
      </c>
      <c r="AP22" s="106">
        <v>15</v>
      </c>
      <c r="AQ22" s="106">
        <v>2808</v>
      </c>
      <c r="AR22" s="106">
        <v>21</v>
      </c>
      <c r="AS22" s="106">
        <v>3931.2</v>
      </c>
      <c r="AT22" s="106">
        <v>35</v>
      </c>
      <c r="AU22" s="106">
        <v>6552</v>
      </c>
      <c r="AV22" s="106">
        <v>25</v>
      </c>
      <c r="AW22" s="106">
        <v>4680</v>
      </c>
      <c r="AX22" s="106">
        <v>27</v>
      </c>
      <c r="AY22" s="106">
        <v>5054.3999999999996</v>
      </c>
      <c r="AZ22" s="106">
        <v>3</v>
      </c>
      <c r="BA22" s="106">
        <v>561.59999999999991</v>
      </c>
      <c r="BB22" s="106">
        <v>3</v>
      </c>
      <c r="BC22" s="106">
        <v>561.59999999999991</v>
      </c>
      <c r="BD22" s="106">
        <v>3</v>
      </c>
      <c r="BE22" s="106">
        <v>561.59999999999991</v>
      </c>
      <c r="BF22" s="106">
        <v>3</v>
      </c>
      <c r="BG22" s="106">
        <v>561.59999999999991</v>
      </c>
      <c r="BH22" s="106">
        <v>13</v>
      </c>
      <c r="BI22" s="106">
        <v>2433.6</v>
      </c>
      <c r="BJ22" s="106">
        <v>10</v>
      </c>
      <c r="BK22" s="106">
        <v>1872</v>
      </c>
      <c r="BL22" s="106">
        <v>12</v>
      </c>
      <c r="BM22" s="106">
        <v>2246.3999999999996</v>
      </c>
      <c r="BN22" s="106">
        <v>10</v>
      </c>
      <c r="BO22" s="106">
        <v>1872</v>
      </c>
      <c r="BP22" s="106">
        <v>3</v>
      </c>
      <c r="BQ22" s="106">
        <v>561.59999999999991</v>
      </c>
      <c r="BR22" s="106">
        <v>3</v>
      </c>
      <c r="BS22" s="106">
        <v>561.59999999999991</v>
      </c>
      <c r="BT22" s="106">
        <v>3</v>
      </c>
      <c r="BU22" s="106">
        <v>561.59999999999991</v>
      </c>
      <c r="BV22" s="106">
        <v>2</v>
      </c>
      <c r="BW22" s="106">
        <v>374.4</v>
      </c>
      <c r="BX22" s="106">
        <v>17</v>
      </c>
      <c r="BY22" s="106">
        <v>3182.3999999999996</v>
      </c>
      <c r="BZ22" s="106">
        <v>22</v>
      </c>
      <c r="CA22" s="106">
        <v>4118.3999999999996</v>
      </c>
      <c r="CB22" s="106">
        <v>20</v>
      </c>
      <c r="CC22" s="106">
        <v>3744</v>
      </c>
      <c r="CD22" s="106">
        <v>26</v>
      </c>
      <c r="CE22" s="106">
        <v>4867.2</v>
      </c>
      <c r="CF22" s="106">
        <v>34</v>
      </c>
      <c r="CG22" s="106">
        <v>6364.7999999999993</v>
      </c>
      <c r="CH22" s="106">
        <v>22</v>
      </c>
      <c r="CI22" s="106">
        <v>4118.3999999999996</v>
      </c>
      <c r="CJ22" s="106">
        <v>24</v>
      </c>
      <c r="CK22" s="106">
        <v>4492.7999999999993</v>
      </c>
      <c r="CL22" s="106">
        <v>28</v>
      </c>
      <c r="CM22" s="106">
        <v>5241.5999999999995</v>
      </c>
      <c r="CN22" s="106">
        <v>28</v>
      </c>
      <c r="CO22" s="106">
        <v>5241.5999999999995</v>
      </c>
      <c r="CP22" s="106">
        <v>18</v>
      </c>
      <c r="CQ22" s="106">
        <v>3369.6</v>
      </c>
      <c r="CR22" s="106">
        <v>20</v>
      </c>
      <c r="CS22" s="106">
        <v>3744</v>
      </c>
      <c r="CT22" s="106">
        <v>24</v>
      </c>
      <c r="CU22" s="106">
        <v>4492.7999999999993</v>
      </c>
    </row>
    <row r="23" spans="2:99" x14ac:dyDescent="0.2">
      <c r="C23" s="105" t="s">
        <v>189</v>
      </c>
      <c r="D23" s="106">
        <v>2</v>
      </c>
      <c r="E23" s="106">
        <v>588</v>
      </c>
      <c r="F23" s="106">
        <v>3</v>
      </c>
      <c r="G23" s="106">
        <v>882</v>
      </c>
      <c r="H23" s="106">
        <v>3</v>
      </c>
      <c r="I23" s="106">
        <v>882</v>
      </c>
      <c r="J23" s="106">
        <v>2</v>
      </c>
      <c r="K23" s="106">
        <v>588</v>
      </c>
      <c r="L23" s="106">
        <v>25</v>
      </c>
      <c r="M23" s="106">
        <v>7350</v>
      </c>
      <c r="N23" s="106">
        <v>15</v>
      </c>
      <c r="O23" s="106">
        <v>4410</v>
      </c>
      <c r="P23" s="106">
        <v>16</v>
      </c>
      <c r="Q23" s="106">
        <v>4704</v>
      </c>
      <c r="R23" s="106">
        <v>21</v>
      </c>
      <c r="S23" s="106">
        <v>6174</v>
      </c>
      <c r="T23" s="106">
        <v>3</v>
      </c>
      <c r="U23" s="106">
        <v>882</v>
      </c>
      <c r="V23" s="106">
        <v>4</v>
      </c>
      <c r="W23" s="106">
        <v>1176</v>
      </c>
      <c r="X23" s="106">
        <v>4</v>
      </c>
      <c r="Y23" s="106">
        <v>1176</v>
      </c>
      <c r="Z23" s="106">
        <v>4</v>
      </c>
      <c r="AA23" s="106">
        <v>1176</v>
      </c>
      <c r="AB23" s="106">
        <v>3</v>
      </c>
      <c r="AC23" s="106">
        <v>882</v>
      </c>
      <c r="AD23" s="106">
        <v>3</v>
      </c>
      <c r="AE23" s="106">
        <v>882</v>
      </c>
      <c r="AF23" s="106">
        <v>3</v>
      </c>
      <c r="AG23" s="106">
        <v>882</v>
      </c>
      <c r="AH23" s="106">
        <v>3</v>
      </c>
      <c r="AI23" s="106">
        <v>882</v>
      </c>
      <c r="AJ23" s="106">
        <v>13</v>
      </c>
      <c r="AK23" s="106">
        <v>3822</v>
      </c>
      <c r="AL23" s="106">
        <v>13</v>
      </c>
      <c r="AM23" s="106">
        <v>3822</v>
      </c>
      <c r="AN23" s="106">
        <v>12</v>
      </c>
      <c r="AO23" s="106">
        <v>3528</v>
      </c>
      <c r="AP23" s="106">
        <v>14</v>
      </c>
      <c r="AQ23" s="106">
        <v>4116</v>
      </c>
      <c r="AR23" s="106">
        <v>21</v>
      </c>
      <c r="AS23" s="106">
        <v>6174</v>
      </c>
      <c r="AT23" s="106">
        <v>34</v>
      </c>
      <c r="AU23" s="106">
        <v>9996</v>
      </c>
      <c r="AV23" s="106">
        <v>23</v>
      </c>
      <c r="AW23" s="106">
        <v>6762</v>
      </c>
      <c r="AX23" s="106">
        <v>25</v>
      </c>
      <c r="AY23" s="106">
        <v>7350</v>
      </c>
      <c r="AZ23" s="106">
        <v>3</v>
      </c>
      <c r="BA23" s="106">
        <v>882</v>
      </c>
      <c r="BB23" s="106">
        <v>3</v>
      </c>
      <c r="BC23" s="106">
        <v>882</v>
      </c>
      <c r="BD23" s="106">
        <v>4</v>
      </c>
      <c r="BE23" s="106">
        <v>1176</v>
      </c>
      <c r="BF23" s="106">
        <v>2</v>
      </c>
      <c r="BG23" s="106">
        <v>588</v>
      </c>
      <c r="BH23" s="106">
        <v>13</v>
      </c>
      <c r="BI23" s="106">
        <v>3822</v>
      </c>
      <c r="BJ23" s="106">
        <v>9</v>
      </c>
      <c r="BK23" s="106">
        <v>2646</v>
      </c>
      <c r="BL23" s="106">
        <v>11</v>
      </c>
      <c r="BM23" s="106">
        <v>3234</v>
      </c>
      <c r="BN23" s="106">
        <v>10</v>
      </c>
      <c r="BO23" s="106">
        <v>2940</v>
      </c>
      <c r="BP23" s="106">
        <v>3</v>
      </c>
      <c r="BQ23" s="106">
        <v>882</v>
      </c>
      <c r="BR23" s="106">
        <v>3</v>
      </c>
      <c r="BS23" s="106">
        <v>882</v>
      </c>
      <c r="BT23" s="106">
        <v>4</v>
      </c>
      <c r="BU23" s="106">
        <v>1176</v>
      </c>
      <c r="BV23" s="106">
        <v>2</v>
      </c>
      <c r="BW23" s="106">
        <v>588</v>
      </c>
      <c r="BX23" s="106">
        <v>20</v>
      </c>
      <c r="BY23" s="106">
        <v>5880</v>
      </c>
      <c r="BZ23" s="106">
        <v>24</v>
      </c>
      <c r="CA23" s="106">
        <v>7056</v>
      </c>
      <c r="CB23" s="106">
        <v>17</v>
      </c>
      <c r="CC23" s="106">
        <v>4998</v>
      </c>
      <c r="CD23" s="106">
        <v>27</v>
      </c>
      <c r="CE23" s="106">
        <v>7938</v>
      </c>
      <c r="CF23" s="106">
        <v>32</v>
      </c>
      <c r="CG23" s="106">
        <v>9408</v>
      </c>
      <c r="CH23" s="106">
        <v>24</v>
      </c>
      <c r="CI23" s="106">
        <v>7056</v>
      </c>
      <c r="CJ23" s="106">
        <v>21</v>
      </c>
      <c r="CK23" s="106">
        <v>6174</v>
      </c>
      <c r="CL23" s="106">
        <v>25</v>
      </c>
      <c r="CM23" s="106">
        <v>7350</v>
      </c>
      <c r="CN23" s="106">
        <v>25</v>
      </c>
      <c r="CO23" s="106">
        <v>7350</v>
      </c>
      <c r="CP23" s="106">
        <v>16</v>
      </c>
      <c r="CQ23" s="106">
        <v>4704</v>
      </c>
      <c r="CR23" s="106">
        <v>22</v>
      </c>
      <c r="CS23" s="106">
        <v>6468</v>
      </c>
      <c r="CT23" s="106">
        <v>24</v>
      </c>
      <c r="CU23" s="106">
        <v>7056</v>
      </c>
    </row>
    <row r="24" spans="2:99" x14ac:dyDescent="0.2">
      <c r="C24" s="105" t="s">
        <v>190</v>
      </c>
      <c r="D24" s="106">
        <v>2</v>
      </c>
      <c r="E24" s="106">
        <v>734.4</v>
      </c>
      <c r="F24" s="106">
        <v>2</v>
      </c>
      <c r="G24" s="106">
        <v>734.4</v>
      </c>
      <c r="H24" s="106">
        <v>2</v>
      </c>
      <c r="I24" s="106">
        <v>734.4</v>
      </c>
      <c r="J24" s="106">
        <v>2</v>
      </c>
      <c r="K24" s="106">
        <v>734.4</v>
      </c>
      <c r="L24" s="106">
        <v>22</v>
      </c>
      <c r="M24" s="106">
        <v>8078.4</v>
      </c>
      <c r="N24" s="106">
        <v>16</v>
      </c>
      <c r="O24" s="106">
        <v>5875.2</v>
      </c>
      <c r="P24" s="106">
        <v>17</v>
      </c>
      <c r="Q24" s="106">
        <v>6242.4</v>
      </c>
      <c r="R24" s="106">
        <v>20</v>
      </c>
      <c r="S24" s="106">
        <v>7344</v>
      </c>
      <c r="T24" s="106">
        <v>3</v>
      </c>
      <c r="U24" s="106">
        <v>1101.5999999999999</v>
      </c>
      <c r="V24" s="106">
        <v>4</v>
      </c>
      <c r="W24" s="106">
        <v>1468.8</v>
      </c>
      <c r="X24" s="106">
        <v>4</v>
      </c>
      <c r="Y24" s="106">
        <v>1468.8</v>
      </c>
      <c r="Z24" s="106">
        <v>4</v>
      </c>
      <c r="AA24" s="106">
        <v>1468.8</v>
      </c>
      <c r="AB24" s="106">
        <v>3</v>
      </c>
      <c r="AC24" s="106">
        <v>1101.5999999999999</v>
      </c>
      <c r="AD24" s="106">
        <v>4</v>
      </c>
      <c r="AE24" s="106">
        <v>1468.8</v>
      </c>
      <c r="AF24" s="106">
        <v>3</v>
      </c>
      <c r="AG24" s="106">
        <v>1101.5999999999999</v>
      </c>
      <c r="AH24" s="106">
        <v>3</v>
      </c>
      <c r="AI24" s="106">
        <v>1101.5999999999999</v>
      </c>
      <c r="AJ24" s="106">
        <v>14</v>
      </c>
      <c r="AK24" s="106">
        <v>5140.8</v>
      </c>
      <c r="AL24" s="106">
        <v>11</v>
      </c>
      <c r="AM24" s="106">
        <v>4039.2</v>
      </c>
      <c r="AN24" s="106">
        <v>12</v>
      </c>
      <c r="AO24" s="106">
        <v>4406.3999999999996</v>
      </c>
      <c r="AP24" s="106">
        <v>14</v>
      </c>
      <c r="AQ24" s="106">
        <v>5140.8</v>
      </c>
      <c r="AR24" s="106">
        <v>21</v>
      </c>
      <c r="AS24" s="106">
        <v>7711.2</v>
      </c>
      <c r="AT24" s="106">
        <v>37</v>
      </c>
      <c r="AU24" s="106">
        <v>13586.4</v>
      </c>
      <c r="AV24" s="106">
        <v>24</v>
      </c>
      <c r="AW24" s="106">
        <v>8812.7999999999993</v>
      </c>
      <c r="AX24" s="106">
        <v>27</v>
      </c>
      <c r="AY24" s="106">
        <v>9914.4</v>
      </c>
      <c r="AZ24" s="106">
        <v>3</v>
      </c>
      <c r="BA24" s="106">
        <v>1101.5999999999999</v>
      </c>
      <c r="BB24" s="106">
        <v>3</v>
      </c>
      <c r="BC24" s="106">
        <v>1101.5999999999999</v>
      </c>
      <c r="BD24" s="106">
        <v>4</v>
      </c>
      <c r="BE24" s="106">
        <v>1468.8</v>
      </c>
      <c r="BF24" s="106">
        <v>3</v>
      </c>
      <c r="BG24" s="106">
        <v>1101.5999999999999</v>
      </c>
      <c r="BH24" s="106">
        <v>11</v>
      </c>
      <c r="BI24" s="106">
        <v>4039.2</v>
      </c>
      <c r="BJ24" s="106">
        <v>9</v>
      </c>
      <c r="BK24" s="106">
        <v>3304.7999999999997</v>
      </c>
      <c r="BL24" s="106">
        <v>12</v>
      </c>
      <c r="BM24" s="106">
        <v>4406.3999999999996</v>
      </c>
      <c r="BN24" s="106">
        <v>11</v>
      </c>
      <c r="BO24" s="106">
        <v>4039.2</v>
      </c>
      <c r="BP24" s="106">
        <v>3</v>
      </c>
      <c r="BQ24" s="106">
        <v>1101.5999999999999</v>
      </c>
      <c r="BR24" s="106">
        <v>3</v>
      </c>
      <c r="BS24" s="106">
        <v>1101.5999999999999</v>
      </c>
      <c r="BT24" s="106">
        <v>3</v>
      </c>
      <c r="BU24" s="106">
        <v>1101.5999999999999</v>
      </c>
      <c r="BV24" s="106">
        <v>3</v>
      </c>
      <c r="BW24" s="106">
        <v>1101.5999999999999</v>
      </c>
      <c r="BX24" s="106">
        <v>18</v>
      </c>
      <c r="BY24" s="106">
        <v>6609.5999999999995</v>
      </c>
      <c r="BZ24" s="106">
        <v>24</v>
      </c>
      <c r="CA24" s="106">
        <v>8812.7999999999993</v>
      </c>
      <c r="CB24" s="106">
        <v>20</v>
      </c>
      <c r="CC24" s="106">
        <v>7344</v>
      </c>
      <c r="CD24" s="106">
        <v>27</v>
      </c>
      <c r="CE24" s="106">
        <v>9914.4</v>
      </c>
      <c r="CF24" s="106">
        <v>35</v>
      </c>
      <c r="CG24" s="106">
        <v>12852</v>
      </c>
      <c r="CH24" s="106">
        <v>21</v>
      </c>
      <c r="CI24" s="106">
        <v>7711.2</v>
      </c>
      <c r="CJ24" s="106">
        <v>23</v>
      </c>
      <c r="CK24" s="106">
        <v>8445.6</v>
      </c>
      <c r="CL24" s="106">
        <v>26</v>
      </c>
      <c r="CM24" s="106">
        <v>9547.1999999999989</v>
      </c>
      <c r="CN24" s="106">
        <v>26</v>
      </c>
      <c r="CO24" s="106">
        <v>9547.1999999999989</v>
      </c>
      <c r="CP24" s="106">
        <v>16</v>
      </c>
      <c r="CQ24" s="106">
        <v>5875.2</v>
      </c>
      <c r="CR24" s="106">
        <v>21</v>
      </c>
      <c r="CS24" s="106">
        <v>7711.2</v>
      </c>
      <c r="CT24" s="106">
        <v>24</v>
      </c>
      <c r="CU24" s="106">
        <v>8812.7999999999993</v>
      </c>
    </row>
    <row r="25" spans="2:99" x14ac:dyDescent="0.2">
      <c r="C25" s="105" t="s">
        <v>191</v>
      </c>
      <c r="D25" s="106">
        <v>2</v>
      </c>
      <c r="E25" s="106">
        <v>1060.8</v>
      </c>
      <c r="F25" s="106">
        <v>3</v>
      </c>
      <c r="G25" s="106">
        <v>1591.1999999999998</v>
      </c>
      <c r="H25" s="106">
        <v>3</v>
      </c>
      <c r="I25" s="106">
        <v>1591.1999999999998</v>
      </c>
      <c r="J25" s="106">
        <v>2</v>
      </c>
      <c r="K25" s="106">
        <v>1060.8</v>
      </c>
      <c r="L25" s="106">
        <v>23</v>
      </c>
      <c r="M25" s="106">
        <v>12199.199999999999</v>
      </c>
      <c r="N25" s="106">
        <v>16</v>
      </c>
      <c r="O25" s="106">
        <v>8486.4</v>
      </c>
      <c r="P25" s="106">
        <v>16</v>
      </c>
      <c r="Q25" s="106">
        <v>8486.4</v>
      </c>
      <c r="R25" s="106">
        <v>21</v>
      </c>
      <c r="S25" s="106">
        <v>11138.4</v>
      </c>
      <c r="T25" s="106">
        <v>3</v>
      </c>
      <c r="U25" s="106">
        <v>1591.1999999999998</v>
      </c>
      <c r="V25" s="106">
        <v>4</v>
      </c>
      <c r="W25" s="106">
        <v>2121.6</v>
      </c>
      <c r="X25" s="106">
        <v>4</v>
      </c>
      <c r="Y25" s="106">
        <v>2121.6</v>
      </c>
      <c r="Z25" s="106">
        <v>4</v>
      </c>
      <c r="AA25" s="106">
        <v>2121.6</v>
      </c>
      <c r="AB25" s="106">
        <v>3</v>
      </c>
      <c r="AC25" s="106">
        <v>1591.1999999999998</v>
      </c>
      <c r="AD25" s="106">
        <v>4</v>
      </c>
      <c r="AE25" s="106">
        <v>2121.6</v>
      </c>
      <c r="AF25" s="106">
        <v>3</v>
      </c>
      <c r="AG25" s="106">
        <v>1591.1999999999998</v>
      </c>
      <c r="AH25" s="106">
        <v>3</v>
      </c>
      <c r="AI25" s="106">
        <v>1591.1999999999998</v>
      </c>
      <c r="AJ25" s="106">
        <v>13</v>
      </c>
      <c r="AK25" s="106">
        <v>6895.2</v>
      </c>
      <c r="AL25" s="106">
        <v>11</v>
      </c>
      <c r="AM25" s="106">
        <v>5834.4</v>
      </c>
      <c r="AN25" s="106">
        <v>11</v>
      </c>
      <c r="AO25" s="106">
        <v>5834.4</v>
      </c>
      <c r="AP25" s="106">
        <v>14</v>
      </c>
      <c r="AQ25" s="106">
        <v>7425.5999999999995</v>
      </c>
      <c r="AR25" s="106">
        <v>22</v>
      </c>
      <c r="AS25" s="106">
        <v>11668.8</v>
      </c>
      <c r="AT25" s="106">
        <v>32</v>
      </c>
      <c r="AU25" s="106">
        <v>16972.8</v>
      </c>
      <c r="AV25" s="106">
        <v>20</v>
      </c>
      <c r="AW25" s="106">
        <v>10608</v>
      </c>
      <c r="AX25" s="106">
        <v>24</v>
      </c>
      <c r="AY25" s="106">
        <v>12729.599999999999</v>
      </c>
      <c r="AZ25" s="106">
        <v>3</v>
      </c>
      <c r="BA25" s="106">
        <v>1591.1999999999998</v>
      </c>
      <c r="BB25" s="106">
        <v>3</v>
      </c>
      <c r="BC25" s="106">
        <v>1591.1999999999998</v>
      </c>
      <c r="BD25" s="106">
        <v>4</v>
      </c>
      <c r="BE25" s="106">
        <v>2121.6</v>
      </c>
      <c r="BF25" s="106">
        <v>3</v>
      </c>
      <c r="BG25" s="106">
        <v>1591.1999999999998</v>
      </c>
      <c r="BH25" s="106">
        <v>11</v>
      </c>
      <c r="BI25" s="106">
        <v>5834.4</v>
      </c>
      <c r="BJ25" s="106">
        <v>9</v>
      </c>
      <c r="BK25" s="106">
        <v>4773.5999999999995</v>
      </c>
      <c r="BL25" s="106">
        <v>12</v>
      </c>
      <c r="BM25" s="106">
        <v>6364.7999999999993</v>
      </c>
      <c r="BN25" s="106">
        <v>9</v>
      </c>
      <c r="BO25" s="106">
        <v>4773.5999999999995</v>
      </c>
      <c r="BP25" s="106">
        <v>3</v>
      </c>
      <c r="BQ25" s="106">
        <v>1591.1999999999998</v>
      </c>
      <c r="BR25" s="106">
        <v>3</v>
      </c>
      <c r="BS25" s="106">
        <v>1591.1999999999998</v>
      </c>
      <c r="BT25" s="106">
        <v>4</v>
      </c>
      <c r="BU25" s="106">
        <v>2121.6</v>
      </c>
      <c r="BV25" s="106">
        <v>3</v>
      </c>
      <c r="BW25" s="106">
        <v>1591.1999999999998</v>
      </c>
      <c r="BX25" s="106">
        <v>18</v>
      </c>
      <c r="BY25" s="106">
        <v>9547.1999999999989</v>
      </c>
      <c r="BZ25" s="106">
        <v>21</v>
      </c>
      <c r="CA25" s="106">
        <v>11138.4</v>
      </c>
      <c r="CB25" s="106">
        <v>18</v>
      </c>
      <c r="CC25" s="106">
        <v>9547.1999999999989</v>
      </c>
      <c r="CD25" s="106">
        <v>24</v>
      </c>
      <c r="CE25" s="106">
        <v>12729.599999999999</v>
      </c>
      <c r="CF25" s="106">
        <v>30</v>
      </c>
      <c r="CG25" s="106">
        <v>15912</v>
      </c>
      <c r="CH25" s="106">
        <v>20</v>
      </c>
      <c r="CI25" s="106">
        <v>10608</v>
      </c>
      <c r="CJ25" s="106">
        <v>21</v>
      </c>
      <c r="CK25" s="106">
        <v>11138.4</v>
      </c>
      <c r="CL25" s="106">
        <v>25</v>
      </c>
      <c r="CM25" s="106">
        <v>13260</v>
      </c>
      <c r="CN25" s="106">
        <v>27</v>
      </c>
      <c r="CO25" s="106">
        <v>14320.8</v>
      </c>
      <c r="CP25" s="106">
        <v>16</v>
      </c>
      <c r="CQ25" s="106">
        <v>8486.4</v>
      </c>
      <c r="CR25" s="106">
        <v>21</v>
      </c>
      <c r="CS25" s="106">
        <v>11138.4</v>
      </c>
      <c r="CT25" s="106">
        <v>25</v>
      </c>
      <c r="CU25" s="106">
        <v>13260</v>
      </c>
    </row>
    <row r="26" spans="2:99" x14ac:dyDescent="0.2">
      <c r="C26" s="105" t="s">
        <v>192</v>
      </c>
      <c r="D26" s="106">
        <v>2</v>
      </c>
      <c r="E26" s="106">
        <v>972</v>
      </c>
      <c r="F26" s="106">
        <v>3</v>
      </c>
      <c r="G26" s="106">
        <v>1458</v>
      </c>
      <c r="H26" s="106">
        <v>3</v>
      </c>
      <c r="I26" s="106">
        <v>1458</v>
      </c>
      <c r="J26" s="106">
        <v>2</v>
      </c>
      <c r="K26" s="106">
        <v>972</v>
      </c>
      <c r="L26" s="106">
        <v>22</v>
      </c>
      <c r="M26" s="106">
        <v>10692</v>
      </c>
      <c r="N26" s="106">
        <v>16</v>
      </c>
      <c r="O26" s="106">
        <v>7776</v>
      </c>
      <c r="P26" s="106">
        <v>17</v>
      </c>
      <c r="Q26" s="106">
        <v>8262</v>
      </c>
      <c r="R26" s="106">
        <v>19</v>
      </c>
      <c r="S26" s="106">
        <v>9234</v>
      </c>
      <c r="T26" s="106">
        <v>3</v>
      </c>
      <c r="U26" s="106">
        <v>1458</v>
      </c>
      <c r="V26" s="106">
        <v>4</v>
      </c>
      <c r="W26" s="106">
        <v>1944</v>
      </c>
      <c r="X26" s="106">
        <v>5</v>
      </c>
      <c r="Y26" s="106">
        <v>2430</v>
      </c>
      <c r="Z26" s="106">
        <v>4</v>
      </c>
      <c r="AA26" s="106">
        <v>1944</v>
      </c>
      <c r="AB26" s="106">
        <v>3</v>
      </c>
      <c r="AC26" s="106">
        <v>1458</v>
      </c>
      <c r="AD26" s="106">
        <v>3</v>
      </c>
      <c r="AE26" s="106">
        <v>1458</v>
      </c>
      <c r="AF26" s="106">
        <v>3</v>
      </c>
      <c r="AG26" s="106">
        <v>1458</v>
      </c>
      <c r="AH26" s="106">
        <v>4</v>
      </c>
      <c r="AI26" s="106">
        <v>1944</v>
      </c>
      <c r="AJ26" s="106">
        <v>16</v>
      </c>
      <c r="AK26" s="106">
        <v>7776</v>
      </c>
      <c r="AL26" s="106">
        <v>12</v>
      </c>
      <c r="AM26" s="106">
        <v>5832</v>
      </c>
      <c r="AN26" s="106">
        <v>13</v>
      </c>
      <c r="AO26" s="106">
        <v>6318</v>
      </c>
      <c r="AP26" s="106">
        <v>13</v>
      </c>
      <c r="AQ26" s="106">
        <v>6318</v>
      </c>
      <c r="AR26" s="106">
        <v>23</v>
      </c>
      <c r="AS26" s="106">
        <v>11178</v>
      </c>
      <c r="AT26" s="106">
        <v>38</v>
      </c>
      <c r="AU26" s="106">
        <v>18468</v>
      </c>
      <c r="AV26" s="106">
        <v>22</v>
      </c>
      <c r="AW26" s="106">
        <v>10692</v>
      </c>
      <c r="AX26" s="106">
        <v>26</v>
      </c>
      <c r="AY26" s="106">
        <v>12636</v>
      </c>
      <c r="AZ26" s="106">
        <v>3</v>
      </c>
      <c r="BA26" s="106">
        <v>1458</v>
      </c>
      <c r="BB26" s="106">
        <v>3</v>
      </c>
      <c r="BC26" s="106">
        <v>1458</v>
      </c>
      <c r="BD26" s="106">
        <v>4</v>
      </c>
      <c r="BE26" s="106">
        <v>1944</v>
      </c>
      <c r="BF26" s="106">
        <v>2</v>
      </c>
      <c r="BG26" s="106">
        <v>972</v>
      </c>
      <c r="BH26" s="106">
        <v>13</v>
      </c>
      <c r="BI26" s="106">
        <v>6318</v>
      </c>
      <c r="BJ26" s="106">
        <v>10</v>
      </c>
      <c r="BK26" s="106">
        <v>4860</v>
      </c>
      <c r="BL26" s="106">
        <v>12</v>
      </c>
      <c r="BM26" s="106">
        <v>5832</v>
      </c>
      <c r="BN26" s="106">
        <v>10</v>
      </c>
      <c r="BO26" s="106">
        <v>4860</v>
      </c>
      <c r="BP26" s="106">
        <v>3</v>
      </c>
      <c r="BQ26" s="106">
        <v>1458</v>
      </c>
      <c r="BR26" s="106">
        <v>3</v>
      </c>
      <c r="BS26" s="106">
        <v>1458</v>
      </c>
      <c r="BT26" s="106">
        <v>3</v>
      </c>
      <c r="BU26" s="106">
        <v>1458</v>
      </c>
      <c r="BV26" s="106">
        <v>2</v>
      </c>
      <c r="BW26" s="106">
        <v>972</v>
      </c>
      <c r="BX26" s="106">
        <v>16</v>
      </c>
      <c r="BY26" s="106">
        <v>7776</v>
      </c>
      <c r="BZ26" s="106">
        <v>21</v>
      </c>
      <c r="CA26" s="106">
        <v>10206</v>
      </c>
      <c r="CB26" s="106">
        <v>17</v>
      </c>
      <c r="CC26" s="106">
        <v>8262</v>
      </c>
      <c r="CD26" s="106">
        <v>27</v>
      </c>
      <c r="CE26" s="106">
        <v>13122</v>
      </c>
      <c r="CF26" s="106">
        <v>33</v>
      </c>
      <c r="CG26" s="106">
        <v>16038</v>
      </c>
      <c r="CH26" s="106">
        <v>20</v>
      </c>
      <c r="CI26" s="106">
        <v>9720</v>
      </c>
      <c r="CJ26" s="106">
        <v>23</v>
      </c>
      <c r="CK26" s="106">
        <v>11178</v>
      </c>
      <c r="CL26" s="106">
        <v>24</v>
      </c>
      <c r="CM26" s="106">
        <v>11664</v>
      </c>
      <c r="CN26" s="106">
        <v>28</v>
      </c>
      <c r="CO26" s="106">
        <v>13608</v>
      </c>
      <c r="CP26" s="106">
        <v>15</v>
      </c>
      <c r="CQ26" s="106">
        <v>7290</v>
      </c>
      <c r="CR26" s="106">
        <v>18</v>
      </c>
      <c r="CS26" s="106">
        <v>8748</v>
      </c>
      <c r="CT26" s="106">
        <v>24</v>
      </c>
      <c r="CU26" s="106">
        <v>11664</v>
      </c>
    </row>
    <row r="27" spans="2:99" x14ac:dyDescent="0.2">
      <c r="C27" s="105" t="s">
        <v>193</v>
      </c>
      <c r="D27" s="106">
        <v>2</v>
      </c>
      <c r="E27" s="106">
        <v>854.4</v>
      </c>
      <c r="F27" s="106">
        <v>3</v>
      </c>
      <c r="G27" s="106">
        <v>1281.5999999999999</v>
      </c>
      <c r="H27" s="106">
        <v>2</v>
      </c>
      <c r="I27" s="106">
        <v>854.4</v>
      </c>
      <c r="J27" s="106">
        <v>2</v>
      </c>
      <c r="K27" s="106">
        <v>854.4</v>
      </c>
      <c r="L27" s="106">
        <v>24</v>
      </c>
      <c r="M27" s="106">
        <v>10252.799999999999</v>
      </c>
      <c r="N27" s="106">
        <v>15</v>
      </c>
      <c r="O27" s="106">
        <v>6408</v>
      </c>
      <c r="P27" s="106">
        <v>15</v>
      </c>
      <c r="Q27" s="106">
        <v>6408</v>
      </c>
      <c r="R27" s="106">
        <v>23</v>
      </c>
      <c r="S27" s="106">
        <v>9825.6</v>
      </c>
      <c r="T27" s="106">
        <v>3</v>
      </c>
      <c r="U27" s="106">
        <v>1281.5999999999999</v>
      </c>
      <c r="V27" s="106">
        <v>4</v>
      </c>
      <c r="W27" s="106">
        <v>1708.8</v>
      </c>
      <c r="X27" s="106">
        <v>5</v>
      </c>
      <c r="Y27" s="106">
        <v>2136</v>
      </c>
      <c r="Z27" s="106">
        <v>4</v>
      </c>
      <c r="AA27" s="106">
        <v>1708.8</v>
      </c>
      <c r="AB27" s="106">
        <v>3</v>
      </c>
      <c r="AC27" s="106">
        <v>1281.5999999999999</v>
      </c>
      <c r="AD27" s="106">
        <v>3</v>
      </c>
      <c r="AE27" s="106">
        <v>1281.5999999999999</v>
      </c>
      <c r="AF27" s="106">
        <v>3</v>
      </c>
      <c r="AG27" s="106">
        <v>1281.5999999999999</v>
      </c>
      <c r="AH27" s="106">
        <v>4</v>
      </c>
      <c r="AI27" s="106">
        <v>1708.8</v>
      </c>
      <c r="AJ27" s="106">
        <v>14</v>
      </c>
      <c r="AK27" s="106">
        <v>5980.8</v>
      </c>
      <c r="AL27" s="106">
        <v>11</v>
      </c>
      <c r="AM27" s="106">
        <v>4699.2</v>
      </c>
      <c r="AN27" s="106">
        <v>12</v>
      </c>
      <c r="AO27" s="106">
        <v>5126.3999999999996</v>
      </c>
      <c r="AP27" s="106">
        <v>13</v>
      </c>
      <c r="AQ27" s="106">
        <v>5553.5999999999995</v>
      </c>
      <c r="AR27" s="106">
        <v>24</v>
      </c>
      <c r="AS27" s="106">
        <v>10252.799999999999</v>
      </c>
      <c r="AT27" s="106">
        <v>35</v>
      </c>
      <c r="AU27" s="106">
        <v>14952</v>
      </c>
      <c r="AV27" s="106">
        <v>20</v>
      </c>
      <c r="AW27" s="106">
        <v>8544</v>
      </c>
      <c r="AX27" s="106">
        <v>28</v>
      </c>
      <c r="AY27" s="106">
        <v>11961.6</v>
      </c>
      <c r="AZ27" s="106">
        <v>3</v>
      </c>
      <c r="BA27" s="106">
        <v>1281.5999999999999</v>
      </c>
      <c r="BB27" s="106">
        <v>3</v>
      </c>
      <c r="BC27" s="106">
        <v>1281.5999999999999</v>
      </c>
      <c r="BD27" s="106">
        <v>3</v>
      </c>
      <c r="BE27" s="106">
        <v>1281.5999999999999</v>
      </c>
      <c r="BF27" s="106">
        <v>3</v>
      </c>
      <c r="BG27" s="106">
        <v>1281.5999999999999</v>
      </c>
      <c r="BH27" s="106">
        <v>11</v>
      </c>
      <c r="BI27" s="106">
        <v>4699.2</v>
      </c>
      <c r="BJ27" s="106">
        <v>9</v>
      </c>
      <c r="BK27" s="106">
        <v>3844.7999999999997</v>
      </c>
      <c r="BL27" s="106">
        <v>11</v>
      </c>
      <c r="BM27" s="106">
        <v>4699.2</v>
      </c>
      <c r="BN27" s="106">
        <v>11</v>
      </c>
      <c r="BO27" s="106">
        <v>4699.2</v>
      </c>
      <c r="BP27" s="106">
        <v>3</v>
      </c>
      <c r="BQ27" s="106">
        <v>1281.5999999999999</v>
      </c>
      <c r="BR27" s="106">
        <v>3</v>
      </c>
      <c r="BS27" s="106">
        <v>1281.5999999999999</v>
      </c>
      <c r="BT27" s="106">
        <v>4</v>
      </c>
      <c r="BU27" s="106">
        <v>1708.8</v>
      </c>
      <c r="BV27" s="106">
        <v>2</v>
      </c>
      <c r="BW27" s="106">
        <v>854.4</v>
      </c>
      <c r="BX27" s="106">
        <v>17</v>
      </c>
      <c r="BY27" s="106">
        <v>7262.4</v>
      </c>
      <c r="BZ27" s="106">
        <v>25</v>
      </c>
      <c r="CA27" s="106">
        <v>10680</v>
      </c>
      <c r="CB27" s="106">
        <v>18</v>
      </c>
      <c r="CC27" s="106">
        <v>7689.5999999999995</v>
      </c>
      <c r="CD27" s="106">
        <v>24</v>
      </c>
      <c r="CE27" s="106">
        <v>10252.799999999999</v>
      </c>
      <c r="CF27" s="106">
        <v>29</v>
      </c>
      <c r="CG27" s="106">
        <v>12388.8</v>
      </c>
      <c r="CH27" s="106">
        <v>22</v>
      </c>
      <c r="CI27" s="106">
        <v>9398.4</v>
      </c>
      <c r="CJ27" s="106">
        <v>19</v>
      </c>
      <c r="CK27" s="106">
        <v>8116.8</v>
      </c>
      <c r="CL27" s="106">
        <v>23</v>
      </c>
      <c r="CM27" s="106">
        <v>9825.6</v>
      </c>
      <c r="CN27" s="106">
        <v>25</v>
      </c>
      <c r="CO27" s="106">
        <v>10680</v>
      </c>
      <c r="CP27" s="106">
        <v>16</v>
      </c>
      <c r="CQ27" s="106">
        <v>6835.2</v>
      </c>
      <c r="CR27" s="106">
        <v>21</v>
      </c>
      <c r="CS27" s="106">
        <v>8971.1999999999989</v>
      </c>
      <c r="CT27" s="106">
        <v>23</v>
      </c>
      <c r="CU27" s="106">
        <v>9825.6</v>
      </c>
    </row>
    <row r="28" spans="2:99" x14ac:dyDescent="0.2">
      <c r="C28" s="105" t="s">
        <v>194</v>
      </c>
      <c r="D28" s="106">
        <v>2</v>
      </c>
      <c r="E28" s="106">
        <v>1476</v>
      </c>
      <c r="F28" s="106">
        <v>2</v>
      </c>
      <c r="G28" s="106">
        <v>1476</v>
      </c>
      <c r="H28" s="106">
        <v>2</v>
      </c>
      <c r="I28" s="106">
        <v>1476</v>
      </c>
      <c r="J28" s="106">
        <v>2</v>
      </c>
      <c r="K28" s="106">
        <v>1476</v>
      </c>
      <c r="L28" s="106">
        <v>21</v>
      </c>
      <c r="M28" s="106">
        <v>15498</v>
      </c>
      <c r="N28" s="106">
        <v>14</v>
      </c>
      <c r="O28" s="106">
        <v>10332</v>
      </c>
      <c r="P28" s="106">
        <v>14</v>
      </c>
      <c r="Q28" s="106">
        <v>10332</v>
      </c>
      <c r="R28" s="106">
        <v>20</v>
      </c>
      <c r="S28" s="106">
        <v>14760</v>
      </c>
      <c r="T28" s="106">
        <v>3</v>
      </c>
      <c r="U28" s="106">
        <v>2214</v>
      </c>
      <c r="V28" s="106">
        <v>4</v>
      </c>
      <c r="W28" s="106">
        <v>2952</v>
      </c>
      <c r="X28" s="106">
        <v>4</v>
      </c>
      <c r="Y28" s="106">
        <v>2952</v>
      </c>
      <c r="Z28" s="106">
        <v>4</v>
      </c>
      <c r="AA28" s="106">
        <v>2952</v>
      </c>
      <c r="AB28" s="106">
        <v>3</v>
      </c>
      <c r="AC28" s="106">
        <v>2214</v>
      </c>
      <c r="AD28" s="106">
        <v>3</v>
      </c>
      <c r="AE28" s="106">
        <v>2214</v>
      </c>
      <c r="AF28" s="106">
        <v>2</v>
      </c>
      <c r="AG28" s="106">
        <v>1476</v>
      </c>
      <c r="AH28" s="106">
        <v>3</v>
      </c>
      <c r="AI28" s="106">
        <v>2214</v>
      </c>
      <c r="AJ28" s="106">
        <v>13</v>
      </c>
      <c r="AK28" s="106">
        <v>9594</v>
      </c>
      <c r="AL28" s="106">
        <v>12</v>
      </c>
      <c r="AM28" s="106">
        <v>8856</v>
      </c>
      <c r="AN28" s="106">
        <v>11</v>
      </c>
      <c r="AO28" s="106">
        <v>8118</v>
      </c>
      <c r="AP28" s="106">
        <v>12</v>
      </c>
      <c r="AQ28" s="106">
        <v>8856</v>
      </c>
      <c r="AR28" s="106">
        <v>19</v>
      </c>
      <c r="AS28" s="106">
        <v>14022</v>
      </c>
      <c r="AT28" s="106">
        <v>36</v>
      </c>
      <c r="AU28" s="106">
        <v>26568</v>
      </c>
      <c r="AV28" s="106">
        <v>21</v>
      </c>
      <c r="AW28" s="106">
        <v>15498</v>
      </c>
      <c r="AX28" s="106">
        <v>23</v>
      </c>
      <c r="AY28" s="106">
        <v>16974</v>
      </c>
      <c r="AZ28" s="106">
        <v>3</v>
      </c>
      <c r="BA28" s="106">
        <v>2214</v>
      </c>
      <c r="BB28" s="106">
        <v>3</v>
      </c>
      <c r="BC28" s="106">
        <v>2214</v>
      </c>
      <c r="BD28" s="106">
        <v>3</v>
      </c>
      <c r="BE28" s="106">
        <v>2214</v>
      </c>
      <c r="BF28" s="106">
        <v>3</v>
      </c>
      <c r="BG28" s="106">
        <v>2214</v>
      </c>
      <c r="BH28" s="106">
        <v>11</v>
      </c>
      <c r="BI28" s="106">
        <v>8118</v>
      </c>
      <c r="BJ28" s="106">
        <v>8</v>
      </c>
      <c r="BK28" s="106">
        <v>5904</v>
      </c>
      <c r="BL28" s="106">
        <v>11</v>
      </c>
      <c r="BM28" s="106">
        <v>8118</v>
      </c>
      <c r="BN28" s="106">
        <v>10</v>
      </c>
      <c r="BO28" s="106">
        <v>7380</v>
      </c>
      <c r="BP28" s="106">
        <v>3</v>
      </c>
      <c r="BQ28" s="106">
        <v>2214</v>
      </c>
      <c r="BR28" s="106">
        <v>3</v>
      </c>
      <c r="BS28" s="106">
        <v>2214</v>
      </c>
      <c r="BT28" s="106">
        <v>3</v>
      </c>
      <c r="BU28" s="106">
        <v>2214</v>
      </c>
      <c r="BV28" s="106">
        <v>2</v>
      </c>
      <c r="BW28" s="106">
        <v>1476</v>
      </c>
      <c r="BX28" s="106">
        <v>17</v>
      </c>
      <c r="BY28" s="106">
        <v>12546</v>
      </c>
      <c r="BZ28" s="106">
        <v>21</v>
      </c>
      <c r="CA28" s="106">
        <v>15498</v>
      </c>
      <c r="CB28" s="106">
        <v>19</v>
      </c>
      <c r="CC28" s="106">
        <v>14022</v>
      </c>
      <c r="CD28" s="106">
        <v>24</v>
      </c>
      <c r="CE28" s="106">
        <v>17712</v>
      </c>
      <c r="CF28" s="106">
        <v>29</v>
      </c>
      <c r="CG28" s="106">
        <v>21402</v>
      </c>
      <c r="CH28" s="106">
        <v>22</v>
      </c>
      <c r="CI28" s="106">
        <v>16236</v>
      </c>
      <c r="CJ28" s="106">
        <v>18</v>
      </c>
      <c r="CK28" s="106">
        <v>13284</v>
      </c>
      <c r="CL28" s="106">
        <v>23</v>
      </c>
      <c r="CM28" s="106">
        <v>16974</v>
      </c>
      <c r="CN28" s="106">
        <v>27</v>
      </c>
      <c r="CO28" s="106">
        <v>19926</v>
      </c>
      <c r="CP28" s="106">
        <v>17</v>
      </c>
      <c r="CQ28" s="106">
        <v>12546</v>
      </c>
      <c r="CR28" s="106">
        <v>18</v>
      </c>
      <c r="CS28" s="106">
        <v>13284</v>
      </c>
      <c r="CT28" s="106">
        <v>24</v>
      </c>
      <c r="CU28" s="106">
        <v>17712</v>
      </c>
    </row>
    <row r="29" spans="2:99" x14ac:dyDescent="0.2">
      <c r="C29" s="105" t="s">
        <v>195</v>
      </c>
      <c r="D29" s="106">
        <v>2</v>
      </c>
      <c r="E29" s="106">
        <v>676.8</v>
      </c>
      <c r="F29" s="106">
        <v>2</v>
      </c>
      <c r="G29" s="106">
        <v>676.8</v>
      </c>
      <c r="H29" s="106">
        <v>2</v>
      </c>
      <c r="I29" s="106">
        <v>676.8</v>
      </c>
      <c r="J29" s="106">
        <v>2</v>
      </c>
      <c r="K29" s="106">
        <v>676.8</v>
      </c>
      <c r="L29" s="106">
        <v>24</v>
      </c>
      <c r="M29" s="106">
        <v>8121.5999999999995</v>
      </c>
      <c r="N29" s="106">
        <v>17</v>
      </c>
      <c r="O29" s="106">
        <v>5752.7999999999993</v>
      </c>
      <c r="P29" s="106">
        <v>16</v>
      </c>
      <c r="Q29" s="106">
        <v>5414.4</v>
      </c>
      <c r="R29" s="106">
        <v>23</v>
      </c>
      <c r="S29" s="106">
        <v>7783.2</v>
      </c>
      <c r="T29" s="106">
        <v>3</v>
      </c>
      <c r="U29" s="106">
        <v>1015.1999999999999</v>
      </c>
      <c r="V29" s="106">
        <v>4</v>
      </c>
      <c r="W29" s="106">
        <v>1353.6</v>
      </c>
      <c r="X29" s="106">
        <v>4</v>
      </c>
      <c r="Y29" s="106">
        <v>1353.6</v>
      </c>
      <c r="Z29" s="106">
        <v>4</v>
      </c>
      <c r="AA29" s="106">
        <v>1353.6</v>
      </c>
      <c r="AB29" s="106">
        <v>3</v>
      </c>
      <c r="AC29" s="106">
        <v>1015.1999999999999</v>
      </c>
      <c r="AD29" s="106">
        <v>3</v>
      </c>
      <c r="AE29" s="106">
        <v>1015.1999999999999</v>
      </c>
      <c r="AF29" s="106">
        <v>3</v>
      </c>
      <c r="AG29" s="106">
        <v>1015.1999999999999</v>
      </c>
      <c r="AH29" s="106">
        <v>4</v>
      </c>
      <c r="AI29" s="106">
        <v>1353.6</v>
      </c>
      <c r="AJ29" s="106">
        <v>15</v>
      </c>
      <c r="AK29" s="106">
        <v>5076</v>
      </c>
      <c r="AL29" s="106">
        <v>12</v>
      </c>
      <c r="AM29" s="106">
        <v>4060.7999999999997</v>
      </c>
      <c r="AN29" s="106">
        <v>12</v>
      </c>
      <c r="AO29" s="106">
        <v>4060.7999999999997</v>
      </c>
      <c r="AP29" s="106">
        <v>14</v>
      </c>
      <c r="AQ29" s="106">
        <v>4737.5999999999995</v>
      </c>
      <c r="AR29" s="106">
        <v>24</v>
      </c>
      <c r="AS29" s="106">
        <v>8121.5999999999995</v>
      </c>
      <c r="AT29" s="106">
        <v>34</v>
      </c>
      <c r="AU29" s="106">
        <v>11505.599999999999</v>
      </c>
      <c r="AV29" s="106">
        <v>23</v>
      </c>
      <c r="AW29" s="106">
        <v>7783.2</v>
      </c>
      <c r="AX29" s="106">
        <v>27</v>
      </c>
      <c r="AY29" s="106">
        <v>9136.7999999999993</v>
      </c>
      <c r="AZ29" s="106">
        <v>3</v>
      </c>
      <c r="BA29" s="106">
        <v>1015.1999999999999</v>
      </c>
      <c r="BB29" s="106">
        <v>3</v>
      </c>
      <c r="BC29" s="106">
        <v>1015.1999999999999</v>
      </c>
      <c r="BD29" s="106">
        <v>3</v>
      </c>
      <c r="BE29" s="106">
        <v>1015.1999999999999</v>
      </c>
      <c r="BF29" s="106">
        <v>3</v>
      </c>
      <c r="BG29" s="106">
        <v>1015.1999999999999</v>
      </c>
      <c r="BH29" s="106">
        <v>13</v>
      </c>
      <c r="BI29" s="106">
        <v>4399.2</v>
      </c>
      <c r="BJ29" s="106">
        <v>9</v>
      </c>
      <c r="BK29" s="106">
        <v>3045.6</v>
      </c>
      <c r="BL29" s="106">
        <v>11</v>
      </c>
      <c r="BM29" s="106">
        <v>3722.3999999999996</v>
      </c>
      <c r="BN29" s="106">
        <v>11</v>
      </c>
      <c r="BO29" s="106">
        <v>3722.3999999999996</v>
      </c>
      <c r="BP29" s="106">
        <v>3</v>
      </c>
      <c r="BQ29" s="106">
        <v>1015.1999999999999</v>
      </c>
      <c r="BR29" s="106">
        <v>3</v>
      </c>
      <c r="BS29" s="106">
        <v>1015.1999999999999</v>
      </c>
      <c r="BT29" s="106">
        <v>3</v>
      </c>
      <c r="BU29" s="106">
        <v>1015.1999999999999</v>
      </c>
      <c r="BV29" s="106">
        <v>2</v>
      </c>
      <c r="BW29" s="106">
        <v>676.8</v>
      </c>
      <c r="BX29" s="106">
        <v>18</v>
      </c>
      <c r="BY29" s="106">
        <v>6091.2</v>
      </c>
      <c r="BZ29" s="106">
        <v>22</v>
      </c>
      <c r="CA29" s="106">
        <v>7444.7999999999993</v>
      </c>
      <c r="CB29" s="106">
        <v>18</v>
      </c>
      <c r="CC29" s="106">
        <v>6091.2</v>
      </c>
      <c r="CD29" s="106">
        <v>26</v>
      </c>
      <c r="CE29" s="106">
        <v>8798.4</v>
      </c>
      <c r="CF29" s="106">
        <v>35</v>
      </c>
      <c r="CG29" s="106">
        <v>11844</v>
      </c>
      <c r="CH29" s="106">
        <v>20</v>
      </c>
      <c r="CI29" s="106">
        <v>6768</v>
      </c>
      <c r="CJ29" s="106">
        <v>22</v>
      </c>
      <c r="CK29" s="106">
        <v>7444.7999999999993</v>
      </c>
      <c r="CL29" s="106">
        <v>23</v>
      </c>
      <c r="CM29" s="106">
        <v>7783.2</v>
      </c>
      <c r="CN29" s="106">
        <v>25</v>
      </c>
      <c r="CO29" s="106">
        <v>8460</v>
      </c>
      <c r="CP29" s="106">
        <v>16</v>
      </c>
      <c r="CQ29" s="106">
        <v>5414.4</v>
      </c>
      <c r="CR29" s="106">
        <v>20</v>
      </c>
      <c r="CS29" s="106">
        <v>6768</v>
      </c>
      <c r="CT29" s="106">
        <v>28</v>
      </c>
      <c r="CU29" s="106">
        <v>9475.1999999999989</v>
      </c>
    </row>
    <row r="30" spans="2:99" x14ac:dyDescent="0.2">
      <c r="C30" s="105" t="s">
        <v>196</v>
      </c>
      <c r="D30" s="106">
        <v>2</v>
      </c>
      <c r="E30" s="106">
        <v>278.39999999999998</v>
      </c>
      <c r="F30" s="106">
        <v>2</v>
      </c>
      <c r="G30" s="106">
        <v>278.39999999999998</v>
      </c>
      <c r="H30" s="106">
        <v>3</v>
      </c>
      <c r="I30" s="106">
        <v>417.59999999999997</v>
      </c>
      <c r="J30" s="106">
        <v>2</v>
      </c>
      <c r="K30" s="106">
        <v>278.39999999999998</v>
      </c>
      <c r="L30" s="106">
        <v>24</v>
      </c>
      <c r="M30" s="106">
        <v>3340.7999999999997</v>
      </c>
      <c r="N30" s="106">
        <v>17</v>
      </c>
      <c r="O30" s="106">
        <v>2366.3999999999996</v>
      </c>
      <c r="P30" s="106">
        <v>17</v>
      </c>
      <c r="Q30" s="106">
        <v>2366.3999999999996</v>
      </c>
      <c r="R30" s="106">
        <v>20</v>
      </c>
      <c r="S30" s="106">
        <v>2784</v>
      </c>
      <c r="T30" s="106">
        <v>3</v>
      </c>
      <c r="U30" s="106">
        <v>417.59999999999997</v>
      </c>
      <c r="V30" s="106">
        <v>4</v>
      </c>
      <c r="W30" s="106">
        <v>556.79999999999995</v>
      </c>
      <c r="X30" s="106">
        <v>5</v>
      </c>
      <c r="Y30" s="106">
        <v>696</v>
      </c>
      <c r="Z30" s="106">
        <v>4</v>
      </c>
      <c r="AA30" s="106">
        <v>556.79999999999995</v>
      </c>
      <c r="AB30" s="106">
        <v>3</v>
      </c>
      <c r="AC30" s="106">
        <v>417.59999999999997</v>
      </c>
      <c r="AD30" s="106">
        <v>4</v>
      </c>
      <c r="AE30" s="106">
        <v>556.79999999999995</v>
      </c>
      <c r="AF30" s="106">
        <v>3</v>
      </c>
      <c r="AG30" s="106">
        <v>417.59999999999997</v>
      </c>
      <c r="AH30" s="106">
        <v>3</v>
      </c>
      <c r="AI30" s="106">
        <v>417.59999999999997</v>
      </c>
      <c r="AJ30" s="106">
        <v>14</v>
      </c>
      <c r="AK30" s="106">
        <v>1948.7999999999997</v>
      </c>
      <c r="AL30" s="106">
        <v>13</v>
      </c>
      <c r="AM30" s="106">
        <v>1809.6</v>
      </c>
      <c r="AN30" s="106">
        <v>12</v>
      </c>
      <c r="AO30" s="106">
        <v>1670.3999999999999</v>
      </c>
      <c r="AP30" s="106">
        <v>15</v>
      </c>
      <c r="AQ30" s="106">
        <v>2088</v>
      </c>
      <c r="AR30" s="106">
        <v>23</v>
      </c>
      <c r="AS30" s="106">
        <v>3201.6</v>
      </c>
      <c r="AT30" s="106">
        <v>40</v>
      </c>
      <c r="AU30" s="106">
        <v>5568</v>
      </c>
      <c r="AV30" s="106">
        <v>23</v>
      </c>
      <c r="AW30" s="106">
        <v>3201.6</v>
      </c>
      <c r="AX30" s="106">
        <v>26</v>
      </c>
      <c r="AY30" s="106">
        <v>3619.2</v>
      </c>
      <c r="AZ30" s="106">
        <v>3</v>
      </c>
      <c r="BA30" s="106">
        <v>417.59999999999997</v>
      </c>
      <c r="BB30" s="106">
        <v>3</v>
      </c>
      <c r="BC30" s="106">
        <v>417.59999999999997</v>
      </c>
      <c r="BD30" s="106">
        <v>4</v>
      </c>
      <c r="BE30" s="106">
        <v>556.79999999999995</v>
      </c>
      <c r="BF30" s="106">
        <v>3</v>
      </c>
      <c r="BG30" s="106">
        <v>417.59999999999997</v>
      </c>
      <c r="BH30" s="106">
        <v>13</v>
      </c>
      <c r="BI30" s="106">
        <v>1809.6</v>
      </c>
      <c r="BJ30" s="106">
        <v>9</v>
      </c>
      <c r="BK30" s="106">
        <v>1252.8</v>
      </c>
      <c r="BL30" s="106">
        <v>13</v>
      </c>
      <c r="BM30" s="106">
        <v>1809.6</v>
      </c>
      <c r="BN30" s="106">
        <v>10</v>
      </c>
      <c r="BO30" s="106">
        <v>1392</v>
      </c>
      <c r="BP30" s="106">
        <v>3</v>
      </c>
      <c r="BQ30" s="106">
        <v>417.59999999999997</v>
      </c>
      <c r="BR30" s="106">
        <v>3</v>
      </c>
      <c r="BS30" s="106">
        <v>417.59999999999997</v>
      </c>
      <c r="BT30" s="106">
        <v>4</v>
      </c>
      <c r="BU30" s="106">
        <v>556.79999999999995</v>
      </c>
      <c r="BV30" s="106">
        <v>2</v>
      </c>
      <c r="BW30" s="106">
        <v>278.39999999999998</v>
      </c>
      <c r="BX30" s="106">
        <v>20</v>
      </c>
      <c r="BY30" s="106">
        <v>2784</v>
      </c>
      <c r="BZ30" s="106">
        <v>25</v>
      </c>
      <c r="CA30" s="106">
        <v>3479.9999999999995</v>
      </c>
      <c r="CB30" s="106">
        <v>18</v>
      </c>
      <c r="CC30" s="106">
        <v>2505.6</v>
      </c>
      <c r="CD30" s="106">
        <v>28</v>
      </c>
      <c r="CE30" s="106">
        <v>3897.5999999999995</v>
      </c>
      <c r="CF30" s="106">
        <v>36</v>
      </c>
      <c r="CG30" s="106">
        <v>5011.2</v>
      </c>
      <c r="CH30" s="106">
        <v>23</v>
      </c>
      <c r="CI30" s="106">
        <v>3201.6</v>
      </c>
      <c r="CJ30" s="106">
        <v>21</v>
      </c>
      <c r="CK30" s="106">
        <v>2923.2</v>
      </c>
      <c r="CL30" s="106">
        <v>24</v>
      </c>
      <c r="CM30" s="106">
        <v>3340.7999999999997</v>
      </c>
      <c r="CN30" s="106">
        <v>26</v>
      </c>
      <c r="CO30" s="106">
        <v>3619.2</v>
      </c>
      <c r="CP30" s="106">
        <v>18</v>
      </c>
      <c r="CQ30" s="106">
        <v>2505.6</v>
      </c>
      <c r="CR30" s="106">
        <v>21</v>
      </c>
      <c r="CS30" s="106">
        <v>2923.2</v>
      </c>
      <c r="CT30" s="106">
        <v>24</v>
      </c>
      <c r="CU30" s="106">
        <v>3340.7999999999997</v>
      </c>
    </row>
    <row r="31" spans="2:99" x14ac:dyDescent="0.2">
      <c r="C31" s="105" t="s">
        <v>197</v>
      </c>
      <c r="D31" s="106">
        <v>2</v>
      </c>
      <c r="E31" s="106">
        <v>681.6</v>
      </c>
      <c r="F31" s="106">
        <v>2</v>
      </c>
      <c r="G31" s="106">
        <v>681.6</v>
      </c>
      <c r="H31" s="106">
        <v>2</v>
      </c>
      <c r="I31" s="106">
        <v>681.6</v>
      </c>
      <c r="J31" s="106">
        <v>3</v>
      </c>
      <c r="K31" s="106">
        <v>1022.4000000000001</v>
      </c>
      <c r="L31" s="106">
        <v>23</v>
      </c>
      <c r="M31" s="106">
        <v>7838.4000000000005</v>
      </c>
      <c r="N31" s="106">
        <v>17</v>
      </c>
      <c r="O31" s="106">
        <v>5793.6</v>
      </c>
      <c r="P31" s="106">
        <v>16</v>
      </c>
      <c r="Q31" s="106">
        <v>5452.8</v>
      </c>
      <c r="R31" s="106">
        <v>21</v>
      </c>
      <c r="S31" s="106">
        <v>7156.8</v>
      </c>
      <c r="T31" s="106">
        <v>4</v>
      </c>
      <c r="U31" s="106">
        <v>1363.2</v>
      </c>
      <c r="V31" s="106">
        <v>4</v>
      </c>
      <c r="W31" s="106">
        <v>1363.2</v>
      </c>
      <c r="X31" s="106">
        <v>5</v>
      </c>
      <c r="Y31" s="106">
        <v>1704</v>
      </c>
      <c r="Z31" s="106">
        <v>4</v>
      </c>
      <c r="AA31" s="106">
        <v>1363.2</v>
      </c>
      <c r="AB31" s="106">
        <v>3</v>
      </c>
      <c r="AC31" s="106">
        <v>1022.4000000000001</v>
      </c>
      <c r="AD31" s="106">
        <v>3</v>
      </c>
      <c r="AE31" s="106">
        <v>1022.4000000000001</v>
      </c>
      <c r="AF31" s="106">
        <v>3</v>
      </c>
      <c r="AG31" s="106">
        <v>1022.4000000000001</v>
      </c>
      <c r="AH31" s="106">
        <v>4</v>
      </c>
      <c r="AI31" s="106">
        <v>1363.2</v>
      </c>
      <c r="AJ31" s="106">
        <v>14</v>
      </c>
      <c r="AK31" s="106">
        <v>4771.2</v>
      </c>
      <c r="AL31" s="106">
        <v>13</v>
      </c>
      <c r="AM31" s="106">
        <v>4430.4000000000005</v>
      </c>
      <c r="AN31" s="106">
        <v>11</v>
      </c>
      <c r="AO31" s="106">
        <v>3748.8</v>
      </c>
      <c r="AP31" s="106">
        <v>12</v>
      </c>
      <c r="AQ31" s="106">
        <v>4089.6000000000004</v>
      </c>
      <c r="AR31" s="106">
        <v>21</v>
      </c>
      <c r="AS31" s="106">
        <v>7156.8</v>
      </c>
      <c r="AT31" s="106">
        <v>37</v>
      </c>
      <c r="AU31" s="106">
        <v>12609.6</v>
      </c>
      <c r="AV31" s="106">
        <v>24</v>
      </c>
      <c r="AW31" s="106">
        <v>8179.2000000000007</v>
      </c>
      <c r="AX31" s="106">
        <v>25</v>
      </c>
      <c r="AY31" s="106">
        <v>8520</v>
      </c>
      <c r="AZ31" s="106">
        <v>3</v>
      </c>
      <c r="BA31" s="106">
        <v>1022.4000000000001</v>
      </c>
      <c r="BB31" s="106">
        <v>3</v>
      </c>
      <c r="BC31" s="106">
        <v>1022.4000000000001</v>
      </c>
      <c r="BD31" s="106">
        <v>4</v>
      </c>
      <c r="BE31" s="106">
        <v>1363.2</v>
      </c>
      <c r="BF31" s="106">
        <v>3</v>
      </c>
      <c r="BG31" s="106">
        <v>1022.4000000000001</v>
      </c>
      <c r="BH31" s="106">
        <v>11</v>
      </c>
      <c r="BI31" s="106">
        <v>3748.8</v>
      </c>
      <c r="BJ31" s="106">
        <v>9</v>
      </c>
      <c r="BK31" s="106">
        <v>3067.2000000000003</v>
      </c>
      <c r="BL31" s="106">
        <v>12</v>
      </c>
      <c r="BM31" s="106">
        <v>4089.6000000000004</v>
      </c>
      <c r="BN31" s="106">
        <v>12</v>
      </c>
      <c r="BO31" s="106">
        <v>4089.6000000000004</v>
      </c>
      <c r="BP31" s="106">
        <v>3</v>
      </c>
      <c r="BQ31" s="106">
        <v>1022.4000000000001</v>
      </c>
      <c r="BR31" s="106">
        <v>3</v>
      </c>
      <c r="BS31" s="106">
        <v>1022.4000000000001</v>
      </c>
      <c r="BT31" s="106">
        <v>4</v>
      </c>
      <c r="BU31" s="106">
        <v>1363.2</v>
      </c>
      <c r="BV31" s="106">
        <v>2</v>
      </c>
      <c r="BW31" s="106">
        <v>681.6</v>
      </c>
      <c r="BX31" s="106">
        <v>19</v>
      </c>
      <c r="BY31" s="106">
        <v>6475.2</v>
      </c>
      <c r="BZ31" s="106">
        <v>23</v>
      </c>
      <c r="CA31" s="106">
        <v>7838.4000000000005</v>
      </c>
      <c r="CB31" s="106">
        <v>20</v>
      </c>
      <c r="CC31" s="106">
        <v>6816</v>
      </c>
      <c r="CD31" s="106">
        <v>26</v>
      </c>
      <c r="CE31" s="106">
        <v>8860.8000000000011</v>
      </c>
      <c r="CF31" s="106">
        <v>30</v>
      </c>
      <c r="CG31" s="106">
        <v>10224</v>
      </c>
      <c r="CH31" s="106">
        <v>21</v>
      </c>
      <c r="CI31" s="106">
        <v>7156.8</v>
      </c>
      <c r="CJ31" s="106">
        <v>21</v>
      </c>
      <c r="CK31" s="106">
        <v>7156.8</v>
      </c>
      <c r="CL31" s="106">
        <v>22</v>
      </c>
      <c r="CM31" s="106">
        <v>7497.6</v>
      </c>
      <c r="CN31" s="106">
        <v>29</v>
      </c>
      <c r="CO31" s="106">
        <v>9883.2000000000007</v>
      </c>
      <c r="CP31" s="106">
        <v>17</v>
      </c>
      <c r="CQ31" s="106">
        <v>5793.6</v>
      </c>
      <c r="CR31" s="106">
        <v>21</v>
      </c>
      <c r="CS31" s="106">
        <v>7156.8</v>
      </c>
      <c r="CT31" s="106">
        <v>26</v>
      </c>
      <c r="CU31" s="106">
        <v>8860.8000000000011</v>
      </c>
    </row>
    <row r="32" spans="2:99" x14ac:dyDescent="0.2">
      <c r="C32" s="105" t="s">
        <v>198</v>
      </c>
      <c r="D32" s="106">
        <v>2</v>
      </c>
      <c r="E32" s="106">
        <v>1680</v>
      </c>
      <c r="F32" s="106">
        <v>2</v>
      </c>
      <c r="G32" s="106">
        <v>1680</v>
      </c>
      <c r="H32" s="106">
        <v>2</v>
      </c>
      <c r="I32" s="106">
        <v>1680</v>
      </c>
      <c r="J32" s="106">
        <v>2</v>
      </c>
      <c r="K32" s="106">
        <v>1680</v>
      </c>
      <c r="L32" s="106">
        <v>24</v>
      </c>
      <c r="M32" s="106">
        <v>20160</v>
      </c>
      <c r="N32" s="106">
        <v>16</v>
      </c>
      <c r="O32" s="106">
        <v>13440</v>
      </c>
      <c r="P32" s="106">
        <v>14</v>
      </c>
      <c r="Q32" s="106">
        <v>11760</v>
      </c>
      <c r="R32" s="106">
        <v>18</v>
      </c>
      <c r="S32" s="106">
        <v>15120</v>
      </c>
      <c r="T32" s="106">
        <v>3</v>
      </c>
      <c r="U32" s="106">
        <v>2520</v>
      </c>
      <c r="V32" s="106">
        <v>4</v>
      </c>
      <c r="W32" s="106">
        <v>3360</v>
      </c>
      <c r="X32" s="106">
        <v>4</v>
      </c>
      <c r="Y32" s="106">
        <v>3360</v>
      </c>
      <c r="Z32" s="106">
        <v>4</v>
      </c>
      <c r="AA32" s="106">
        <v>3360</v>
      </c>
      <c r="AB32" s="106">
        <v>3</v>
      </c>
      <c r="AC32" s="106">
        <v>2520</v>
      </c>
      <c r="AD32" s="106">
        <v>3</v>
      </c>
      <c r="AE32" s="106">
        <v>2520</v>
      </c>
      <c r="AF32" s="106">
        <v>3</v>
      </c>
      <c r="AG32" s="106">
        <v>2520</v>
      </c>
      <c r="AH32" s="106">
        <v>4</v>
      </c>
      <c r="AI32" s="106">
        <v>3360</v>
      </c>
      <c r="AJ32" s="106">
        <v>14</v>
      </c>
      <c r="AK32" s="106">
        <v>11760</v>
      </c>
      <c r="AL32" s="106">
        <v>11</v>
      </c>
      <c r="AM32" s="106">
        <v>9240</v>
      </c>
      <c r="AN32" s="106">
        <v>12</v>
      </c>
      <c r="AO32" s="106">
        <v>10080</v>
      </c>
      <c r="AP32" s="106">
        <v>12</v>
      </c>
      <c r="AQ32" s="106">
        <v>10080</v>
      </c>
      <c r="AR32" s="106">
        <v>20</v>
      </c>
      <c r="AS32" s="106">
        <v>16800</v>
      </c>
      <c r="AT32" s="106">
        <v>35</v>
      </c>
      <c r="AU32" s="106">
        <v>29400</v>
      </c>
      <c r="AV32" s="106">
        <v>21</v>
      </c>
      <c r="AW32" s="106">
        <v>17640</v>
      </c>
      <c r="AX32" s="106">
        <v>24</v>
      </c>
      <c r="AY32" s="106">
        <v>20160</v>
      </c>
      <c r="AZ32" s="106">
        <v>3</v>
      </c>
      <c r="BA32" s="106">
        <v>2520</v>
      </c>
      <c r="BB32" s="106">
        <v>3</v>
      </c>
      <c r="BC32" s="106">
        <v>2520</v>
      </c>
      <c r="BD32" s="106">
        <v>3</v>
      </c>
      <c r="BE32" s="106">
        <v>2520</v>
      </c>
      <c r="BF32" s="106">
        <v>3</v>
      </c>
      <c r="BG32" s="106">
        <v>2520</v>
      </c>
      <c r="BH32" s="106">
        <v>10</v>
      </c>
      <c r="BI32" s="106">
        <v>8400</v>
      </c>
      <c r="BJ32" s="106">
        <v>9</v>
      </c>
      <c r="BK32" s="106">
        <v>7560</v>
      </c>
      <c r="BL32" s="106">
        <v>10</v>
      </c>
      <c r="BM32" s="106">
        <v>8400</v>
      </c>
      <c r="BN32" s="106">
        <v>10</v>
      </c>
      <c r="BO32" s="106">
        <v>8400</v>
      </c>
      <c r="BP32" s="106">
        <v>3</v>
      </c>
      <c r="BQ32" s="106">
        <v>2520</v>
      </c>
      <c r="BR32" s="106">
        <v>3</v>
      </c>
      <c r="BS32" s="106">
        <v>2520</v>
      </c>
      <c r="BT32" s="106">
        <v>3</v>
      </c>
      <c r="BU32" s="106">
        <v>2520</v>
      </c>
      <c r="BV32" s="106">
        <v>2</v>
      </c>
      <c r="BW32" s="106">
        <v>1680</v>
      </c>
      <c r="BX32" s="106">
        <v>16</v>
      </c>
      <c r="BY32" s="106">
        <v>13440</v>
      </c>
      <c r="BZ32" s="106">
        <v>20</v>
      </c>
      <c r="CA32" s="106">
        <v>16800</v>
      </c>
      <c r="CB32" s="106">
        <v>17</v>
      </c>
      <c r="CC32" s="106">
        <v>14280</v>
      </c>
      <c r="CD32" s="106">
        <v>22</v>
      </c>
      <c r="CE32" s="106">
        <v>18480</v>
      </c>
      <c r="CF32" s="106">
        <v>32</v>
      </c>
      <c r="CG32" s="106">
        <v>26880</v>
      </c>
      <c r="CH32" s="106">
        <v>19</v>
      </c>
      <c r="CI32" s="106">
        <v>15960</v>
      </c>
      <c r="CJ32" s="106">
        <v>22</v>
      </c>
      <c r="CK32" s="106">
        <v>18480</v>
      </c>
      <c r="CL32" s="106">
        <v>21</v>
      </c>
      <c r="CM32" s="106">
        <v>17640</v>
      </c>
      <c r="CN32" s="106">
        <v>27</v>
      </c>
      <c r="CO32" s="106">
        <v>22680</v>
      </c>
      <c r="CP32" s="106">
        <v>14</v>
      </c>
      <c r="CQ32" s="106">
        <v>11760</v>
      </c>
      <c r="CR32" s="106">
        <v>20</v>
      </c>
      <c r="CS32" s="106">
        <v>16800</v>
      </c>
      <c r="CT32" s="106">
        <v>26</v>
      </c>
      <c r="CU32" s="106">
        <v>21840</v>
      </c>
    </row>
    <row r="33" spans="2:99" x14ac:dyDescent="0.2">
      <c r="C33" s="105" t="s">
        <v>199</v>
      </c>
      <c r="D33" s="106">
        <v>2</v>
      </c>
      <c r="E33" s="106">
        <v>948</v>
      </c>
      <c r="F33" s="106">
        <v>2</v>
      </c>
      <c r="G33" s="106">
        <v>948</v>
      </c>
      <c r="H33" s="106">
        <v>2</v>
      </c>
      <c r="I33" s="106">
        <v>948</v>
      </c>
      <c r="J33" s="106">
        <v>2</v>
      </c>
      <c r="K33" s="106">
        <v>948</v>
      </c>
      <c r="L33" s="106">
        <v>25</v>
      </c>
      <c r="M33" s="106">
        <v>11850</v>
      </c>
      <c r="N33" s="106">
        <v>15</v>
      </c>
      <c r="O33" s="106">
        <v>7110</v>
      </c>
      <c r="P33" s="106">
        <v>15</v>
      </c>
      <c r="Q33" s="106">
        <v>7110</v>
      </c>
      <c r="R33" s="106">
        <v>19</v>
      </c>
      <c r="S33" s="106">
        <v>9006</v>
      </c>
      <c r="T33" s="106">
        <v>3</v>
      </c>
      <c r="U33" s="106">
        <v>1422</v>
      </c>
      <c r="V33" s="106">
        <v>4</v>
      </c>
      <c r="W33" s="106">
        <v>1896</v>
      </c>
      <c r="X33" s="106">
        <v>4</v>
      </c>
      <c r="Y33" s="106">
        <v>1896</v>
      </c>
      <c r="Z33" s="106">
        <v>5</v>
      </c>
      <c r="AA33" s="106">
        <v>2370</v>
      </c>
      <c r="AB33" s="106">
        <v>3</v>
      </c>
      <c r="AC33" s="106">
        <v>1422</v>
      </c>
      <c r="AD33" s="106">
        <v>3</v>
      </c>
      <c r="AE33" s="106">
        <v>1422</v>
      </c>
      <c r="AF33" s="106">
        <v>3</v>
      </c>
      <c r="AG33" s="106">
        <v>1422</v>
      </c>
      <c r="AH33" s="106">
        <v>3</v>
      </c>
      <c r="AI33" s="106">
        <v>1422</v>
      </c>
      <c r="AJ33" s="106">
        <v>14</v>
      </c>
      <c r="AK33" s="106">
        <v>6636</v>
      </c>
      <c r="AL33" s="106">
        <v>11</v>
      </c>
      <c r="AM33" s="106">
        <v>5214</v>
      </c>
      <c r="AN33" s="106">
        <v>11</v>
      </c>
      <c r="AO33" s="106">
        <v>5214</v>
      </c>
      <c r="AP33" s="106">
        <v>12</v>
      </c>
      <c r="AQ33" s="106">
        <v>5688</v>
      </c>
      <c r="AR33" s="106">
        <v>22</v>
      </c>
      <c r="AS33" s="106">
        <v>10428</v>
      </c>
      <c r="AT33" s="106">
        <v>36</v>
      </c>
      <c r="AU33" s="106">
        <v>17064</v>
      </c>
      <c r="AV33" s="106">
        <v>20</v>
      </c>
      <c r="AW33" s="106">
        <v>9480</v>
      </c>
      <c r="AX33" s="106">
        <v>24</v>
      </c>
      <c r="AY33" s="106">
        <v>11376</v>
      </c>
      <c r="AZ33" s="106">
        <v>3</v>
      </c>
      <c r="BA33" s="106">
        <v>1422</v>
      </c>
      <c r="BB33" s="106">
        <v>2</v>
      </c>
      <c r="BC33" s="106">
        <v>948</v>
      </c>
      <c r="BD33" s="106">
        <v>3</v>
      </c>
      <c r="BE33" s="106">
        <v>1422</v>
      </c>
      <c r="BF33" s="106">
        <v>3</v>
      </c>
      <c r="BG33" s="106">
        <v>1422</v>
      </c>
      <c r="BH33" s="106">
        <v>12</v>
      </c>
      <c r="BI33" s="106">
        <v>5688</v>
      </c>
      <c r="BJ33" s="106">
        <v>8</v>
      </c>
      <c r="BK33" s="106">
        <v>3792</v>
      </c>
      <c r="BL33" s="106">
        <v>11</v>
      </c>
      <c r="BM33" s="106">
        <v>5214</v>
      </c>
      <c r="BN33" s="106">
        <v>11</v>
      </c>
      <c r="BO33" s="106">
        <v>5214</v>
      </c>
      <c r="BP33" s="106">
        <v>3</v>
      </c>
      <c r="BQ33" s="106">
        <v>1422</v>
      </c>
      <c r="BR33" s="106">
        <v>3</v>
      </c>
      <c r="BS33" s="106">
        <v>1422</v>
      </c>
      <c r="BT33" s="106">
        <v>4</v>
      </c>
      <c r="BU33" s="106">
        <v>1896</v>
      </c>
      <c r="BV33" s="106">
        <v>3</v>
      </c>
      <c r="BW33" s="106">
        <v>1422</v>
      </c>
      <c r="BX33" s="106">
        <v>16</v>
      </c>
      <c r="BY33" s="106">
        <v>7584</v>
      </c>
      <c r="BZ33" s="106">
        <v>24</v>
      </c>
      <c r="CA33" s="106">
        <v>11376</v>
      </c>
      <c r="CB33" s="106">
        <v>18</v>
      </c>
      <c r="CC33" s="106">
        <v>8532</v>
      </c>
      <c r="CD33" s="106">
        <v>24</v>
      </c>
      <c r="CE33" s="106">
        <v>11376</v>
      </c>
      <c r="CF33" s="106">
        <v>32</v>
      </c>
      <c r="CG33" s="106">
        <v>15168</v>
      </c>
      <c r="CH33" s="106">
        <v>22</v>
      </c>
      <c r="CI33" s="106">
        <v>10428</v>
      </c>
      <c r="CJ33" s="106">
        <v>20</v>
      </c>
      <c r="CK33" s="106">
        <v>9480</v>
      </c>
      <c r="CL33" s="106">
        <v>23</v>
      </c>
      <c r="CM33" s="106">
        <v>10902</v>
      </c>
      <c r="CN33" s="106">
        <v>25</v>
      </c>
      <c r="CO33" s="106">
        <v>11850</v>
      </c>
      <c r="CP33" s="106">
        <v>14</v>
      </c>
      <c r="CQ33" s="106">
        <v>6636</v>
      </c>
      <c r="CR33" s="106">
        <v>19</v>
      </c>
      <c r="CS33" s="106">
        <v>9006</v>
      </c>
      <c r="CT33" s="106">
        <v>25</v>
      </c>
      <c r="CU33" s="106">
        <v>11850</v>
      </c>
    </row>
    <row r="34" spans="2:99" x14ac:dyDescent="0.2">
      <c r="C34" s="105" t="s">
        <v>200</v>
      </c>
      <c r="D34" s="106">
        <v>2</v>
      </c>
      <c r="E34" s="106">
        <v>1096.8</v>
      </c>
      <c r="F34" s="106">
        <v>3</v>
      </c>
      <c r="G34" s="106">
        <v>1645.1999999999998</v>
      </c>
      <c r="H34" s="106">
        <v>2</v>
      </c>
      <c r="I34" s="106">
        <v>1096.8</v>
      </c>
      <c r="J34" s="106">
        <v>2</v>
      </c>
      <c r="K34" s="106">
        <v>1096.8</v>
      </c>
      <c r="L34" s="106">
        <v>21</v>
      </c>
      <c r="M34" s="106">
        <v>11516.4</v>
      </c>
      <c r="N34" s="106">
        <v>14</v>
      </c>
      <c r="O34" s="106">
        <v>7677.5999999999995</v>
      </c>
      <c r="P34" s="106">
        <v>16</v>
      </c>
      <c r="Q34" s="106">
        <v>8774.4</v>
      </c>
      <c r="R34" s="106">
        <v>22</v>
      </c>
      <c r="S34" s="106">
        <v>12064.8</v>
      </c>
      <c r="T34" s="106">
        <v>3</v>
      </c>
      <c r="U34" s="106">
        <v>1645.1999999999998</v>
      </c>
      <c r="V34" s="106">
        <v>4</v>
      </c>
      <c r="W34" s="106">
        <v>2193.6</v>
      </c>
      <c r="X34" s="106">
        <v>4</v>
      </c>
      <c r="Y34" s="106">
        <v>2193.6</v>
      </c>
      <c r="Z34" s="106">
        <v>4</v>
      </c>
      <c r="AA34" s="106">
        <v>2193.6</v>
      </c>
      <c r="AB34" s="106">
        <v>3</v>
      </c>
      <c r="AC34" s="106">
        <v>1645.1999999999998</v>
      </c>
      <c r="AD34" s="106">
        <v>3</v>
      </c>
      <c r="AE34" s="106">
        <v>1645.1999999999998</v>
      </c>
      <c r="AF34" s="106">
        <v>3</v>
      </c>
      <c r="AG34" s="106">
        <v>1645.1999999999998</v>
      </c>
      <c r="AH34" s="106">
        <v>4</v>
      </c>
      <c r="AI34" s="106">
        <v>2193.6</v>
      </c>
      <c r="AJ34" s="106">
        <v>13</v>
      </c>
      <c r="AK34" s="106">
        <v>7129.2</v>
      </c>
      <c r="AL34" s="106">
        <v>12</v>
      </c>
      <c r="AM34" s="106">
        <v>6580.7999999999993</v>
      </c>
      <c r="AN34" s="106">
        <v>12</v>
      </c>
      <c r="AO34" s="106">
        <v>6580.7999999999993</v>
      </c>
      <c r="AP34" s="106">
        <v>13</v>
      </c>
      <c r="AQ34" s="106">
        <v>7129.2</v>
      </c>
      <c r="AR34" s="106">
        <v>24</v>
      </c>
      <c r="AS34" s="106">
        <v>13161.599999999999</v>
      </c>
      <c r="AT34" s="106">
        <v>36</v>
      </c>
      <c r="AU34" s="106">
        <v>19742.399999999998</v>
      </c>
      <c r="AV34" s="106">
        <v>21</v>
      </c>
      <c r="AW34" s="106">
        <v>11516.4</v>
      </c>
      <c r="AX34" s="106">
        <v>28</v>
      </c>
      <c r="AY34" s="106">
        <v>15355.199999999999</v>
      </c>
      <c r="AZ34" s="106">
        <v>3</v>
      </c>
      <c r="BA34" s="106">
        <v>1645.1999999999998</v>
      </c>
      <c r="BB34" s="106">
        <v>3</v>
      </c>
      <c r="BC34" s="106">
        <v>1645.1999999999998</v>
      </c>
      <c r="BD34" s="106">
        <v>3</v>
      </c>
      <c r="BE34" s="106">
        <v>1645.1999999999998</v>
      </c>
      <c r="BF34" s="106">
        <v>3</v>
      </c>
      <c r="BG34" s="106">
        <v>1645.1999999999998</v>
      </c>
      <c r="BH34" s="106">
        <v>12</v>
      </c>
      <c r="BI34" s="106">
        <v>6580.7999999999993</v>
      </c>
      <c r="BJ34" s="106">
        <v>9</v>
      </c>
      <c r="BK34" s="106">
        <v>4935.5999999999995</v>
      </c>
      <c r="BL34" s="106">
        <v>12</v>
      </c>
      <c r="BM34" s="106">
        <v>6580.7999999999993</v>
      </c>
      <c r="BN34" s="106">
        <v>10</v>
      </c>
      <c r="BO34" s="106">
        <v>5484</v>
      </c>
      <c r="BP34" s="106">
        <v>3</v>
      </c>
      <c r="BQ34" s="106">
        <v>1645.1999999999998</v>
      </c>
      <c r="BR34" s="106">
        <v>3</v>
      </c>
      <c r="BS34" s="106">
        <v>1645.1999999999998</v>
      </c>
      <c r="BT34" s="106">
        <v>4</v>
      </c>
      <c r="BU34" s="106">
        <v>2193.6</v>
      </c>
      <c r="BV34" s="106">
        <v>2</v>
      </c>
      <c r="BW34" s="106">
        <v>1096.8</v>
      </c>
      <c r="BX34" s="106">
        <v>18</v>
      </c>
      <c r="BY34" s="106">
        <v>9871.1999999999989</v>
      </c>
      <c r="BZ34" s="106">
        <v>24</v>
      </c>
      <c r="CA34" s="106">
        <v>13161.599999999999</v>
      </c>
      <c r="CB34" s="106">
        <v>17</v>
      </c>
      <c r="CC34" s="106">
        <v>9322.7999999999993</v>
      </c>
      <c r="CD34" s="106">
        <v>26</v>
      </c>
      <c r="CE34" s="106">
        <v>14258.4</v>
      </c>
      <c r="CF34" s="106">
        <v>30</v>
      </c>
      <c r="CG34" s="106">
        <v>16452</v>
      </c>
      <c r="CH34" s="106">
        <v>22</v>
      </c>
      <c r="CI34" s="106">
        <v>12064.8</v>
      </c>
      <c r="CJ34" s="106">
        <v>20</v>
      </c>
      <c r="CK34" s="106">
        <v>10968</v>
      </c>
      <c r="CL34" s="106">
        <v>26</v>
      </c>
      <c r="CM34" s="106">
        <v>14258.4</v>
      </c>
      <c r="CN34" s="106">
        <v>24</v>
      </c>
      <c r="CO34" s="106">
        <v>13161.599999999999</v>
      </c>
      <c r="CP34" s="106">
        <v>17</v>
      </c>
      <c r="CQ34" s="106">
        <v>9322.7999999999993</v>
      </c>
      <c r="CR34" s="106">
        <v>20</v>
      </c>
      <c r="CS34" s="106">
        <v>10968</v>
      </c>
      <c r="CT34" s="106">
        <v>24</v>
      </c>
      <c r="CU34" s="106">
        <v>13161.599999999999</v>
      </c>
    </row>
    <row r="35" spans="2:99" x14ac:dyDescent="0.2">
      <c r="C35" s="105" t="s">
        <v>201</v>
      </c>
      <c r="D35" s="106">
        <v>2</v>
      </c>
      <c r="E35" s="106">
        <v>1005.5999999999998</v>
      </c>
      <c r="F35" s="106">
        <v>3</v>
      </c>
      <c r="G35" s="106">
        <v>1508.3999999999996</v>
      </c>
      <c r="H35" s="106">
        <v>3</v>
      </c>
      <c r="I35" s="106">
        <v>1508.3999999999996</v>
      </c>
      <c r="J35" s="106">
        <v>2</v>
      </c>
      <c r="K35" s="106">
        <v>1005.5999999999998</v>
      </c>
      <c r="L35" s="106">
        <v>23</v>
      </c>
      <c r="M35" s="106">
        <v>11564.399999999998</v>
      </c>
      <c r="N35" s="106">
        <v>16</v>
      </c>
      <c r="O35" s="106">
        <v>8044.7999999999984</v>
      </c>
      <c r="P35" s="106">
        <v>15</v>
      </c>
      <c r="Q35" s="106">
        <v>7541.9999999999982</v>
      </c>
      <c r="R35" s="106">
        <v>22</v>
      </c>
      <c r="S35" s="106">
        <v>11061.599999999999</v>
      </c>
      <c r="T35" s="106">
        <v>3</v>
      </c>
      <c r="U35" s="106">
        <v>1508.3999999999996</v>
      </c>
      <c r="V35" s="106">
        <v>4</v>
      </c>
      <c r="W35" s="106">
        <v>2011.1999999999996</v>
      </c>
      <c r="X35" s="106">
        <v>5</v>
      </c>
      <c r="Y35" s="106">
        <v>2513.9999999999995</v>
      </c>
      <c r="Z35" s="106">
        <v>4</v>
      </c>
      <c r="AA35" s="106">
        <v>2011.1999999999996</v>
      </c>
      <c r="AB35" s="106">
        <v>3</v>
      </c>
      <c r="AC35" s="106">
        <v>1508.3999999999996</v>
      </c>
      <c r="AD35" s="106">
        <v>3</v>
      </c>
      <c r="AE35" s="106">
        <v>1508.3999999999996</v>
      </c>
      <c r="AF35" s="106">
        <v>3</v>
      </c>
      <c r="AG35" s="106">
        <v>1508.3999999999996</v>
      </c>
      <c r="AH35" s="106">
        <v>3</v>
      </c>
      <c r="AI35" s="106">
        <v>1508.3999999999996</v>
      </c>
      <c r="AJ35" s="106">
        <v>15</v>
      </c>
      <c r="AK35" s="106">
        <v>7541.9999999999982</v>
      </c>
      <c r="AL35" s="106">
        <v>12</v>
      </c>
      <c r="AM35" s="106">
        <v>6033.5999999999985</v>
      </c>
      <c r="AN35" s="106">
        <v>12</v>
      </c>
      <c r="AO35" s="106">
        <v>6033.5999999999985</v>
      </c>
      <c r="AP35" s="106">
        <v>13</v>
      </c>
      <c r="AQ35" s="106">
        <v>6536.3999999999987</v>
      </c>
      <c r="AR35" s="106">
        <v>23</v>
      </c>
      <c r="AS35" s="106">
        <v>11564.399999999998</v>
      </c>
      <c r="AT35" s="106">
        <v>35</v>
      </c>
      <c r="AU35" s="106">
        <v>17597.999999999996</v>
      </c>
      <c r="AV35" s="106">
        <v>23</v>
      </c>
      <c r="AW35" s="106">
        <v>11564.399999999998</v>
      </c>
      <c r="AX35" s="106">
        <v>24</v>
      </c>
      <c r="AY35" s="106">
        <v>12067.199999999997</v>
      </c>
      <c r="AZ35" s="106">
        <v>3</v>
      </c>
      <c r="BA35" s="106">
        <v>1508.3999999999996</v>
      </c>
      <c r="BB35" s="106">
        <v>3</v>
      </c>
      <c r="BC35" s="106">
        <v>1508.3999999999996</v>
      </c>
      <c r="BD35" s="106">
        <v>4</v>
      </c>
      <c r="BE35" s="106">
        <v>2011.1999999999996</v>
      </c>
      <c r="BF35" s="106">
        <v>2</v>
      </c>
      <c r="BG35" s="106">
        <v>1005.5999999999998</v>
      </c>
      <c r="BH35" s="106">
        <v>12</v>
      </c>
      <c r="BI35" s="106">
        <v>6033.5999999999985</v>
      </c>
      <c r="BJ35" s="106">
        <v>9</v>
      </c>
      <c r="BK35" s="106">
        <v>4525.1999999999989</v>
      </c>
      <c r="BL35" s="106">
        <v>12</v>
      </c>
      <c r="BM35" s="106">
        <v>6033.5999999999985</v>
      </c>
      <c r="BN35" s="106">
        <v>11</v>
      </c>
      <c r="BO35" s="106">
        <v>5530.7999999999993</v>
      </c>
      <c r="BP35" s="106">
        <v>3</v>
      </c>
      <c r="BQ35" s="106">
        <v>1508.3999999999996</v>
      </c>
      <c r="BR35" s="106">
        <v>3</v>
      </c>
      <c r="BS35" s="106">
        <v>1508.3999999999996</v>
      </c>
      <c r="BT35" s="106">
        <v>4</v>
      </c>
      <c r="BU35" s="106">
        <v>2011.1999999999996</v>
      </c>
      <c r="BV35" s="106">
        <v>2</v>
      </c>
      <c r="BW35" s="106">
        <v>1005.5999999999998</v>
      </c>
      <c r="BX35" s="106">
        <v>19</v>
      </c>
      <c r="BY35" s="106">
        <v>9553.1999999999989</v>
      </c>
      <c r="BZ35" s="106">
        <v>24</v>
      </c>
      <c r="CA35" s="106">
        <v>12067.199999999997</v>
      </c>
      <c r="CB35" s="106">
        <v>19</v>
      </c>
      <c r="CC35" s="106">
        <v>9553.1999999999989</v>
      </c>
      <c r="CD35" s="106">
        <v>22</v>
      </c>
      <c r="CE35" s="106">
        <v>11061.599999999999</v>
      </c>
      <c r="CF35" s="106">
        <v>34</v>
      </c>
      <c r="CG35" s="106">
        <v>17095.199999999997</v>
      </c>
      <c r="CH35" s="106">
        <v>21</v>
      </c>
      <c r="CI35" s="106">
        <v>10558.799999999997</v>
      </c>
      <c r="CJ35" s="106">
        <v>19</v>
      </c>
      <c r="CK35" s="106">
        <v>9553.1999999999989</v>
      </c>
      <c r="CL35" s="106">
        <v>24</v>
      </c>
      <c r="CM35" s="106">
        <v>12067.199999999997</v>
      </c>
      <c r="CN35" s="106">
        <v>26</v>
      </c>
      <c r="CO35" s="106">
        <v>13072.799999999997</v>
      </c>
      <c r="CP35" s="106">
        <v>16</v>
      </c>
      <c r="CQ35" s="106">
        <v>8044.7999999999984</v>
      </c>
      <c r="CR35" s="106">
        <v>19</v>
      </c>
      <c r="CS35" s="106">
        <v>9553.1999999999989</v>
      </c>
      <c r="CT35" s="106">
        <v>23</v>
      </c>
      <c r="CU35" s="106">
        <v>11564.399999999998</v>
      </c>
    </row>
    <row r="36" spans="2:99" x14ac:dyDescent="0.2">
      <c r="C36" s="105" t="s">
        <v>202</v>
      </c>
      <c r="D36" s="106">
        <v>2</v>
      </c>
      <c r="E36" s="106">
        <v>1521.6</v>
      </c>
      <c r="F36" s="106">
        <v>3</v>
      </c>
      <c r="G36" s="106">
        <v>2282.3999999999996</v>
      </c>
      <c r="H36" s="106">
        <v>2</v>
      </c>
      <c r="I36" s="106">
        <v>1521.6</v>
      </c>
      <c r="J36" s="106">
        <v>2</v>
      </c>
      <c r="K36" s="106">
        <v>1521.6</v>
      </c>
      <c r="L36" s="106">
        <v>23</v>
      </c>
      <c r="M36" s="106">
        <v>17498.399999999998</v>
      </c>
      <c r="N36" s="106">
        <v>14</v>
      </c>
      <c r="O36" s="106">
        <v>10651.199999999999</v>
      </c>
      <c r="P36" s="106">
        <v>16</v>
      </c>
      <c r="Q36" s="106">
        <v>12172.8</v>
      </c>
      <c r="R36" s="106">
        <v>21</v>
      </c>
      <c r="S36" s="106">
        <v>15976.8</v>
      </c>
      <c r="T36" s="106">
        <v>3</v>
      </c>
      <c r="U36" s="106">
        <v>2282.3999999999996</v>
      </c>
      <c r="V36" s="106">
        <v>4</v>
      </c>
      <c r="W36" s="106">
        <v>3043.2</v>
      </c>
      <c r="X36" s="106">
        <v>4</v>
      </c>
      <c r="Y36" s="106">
        <v>3043.2</v>
      </c>
      <c r="Z36" s="106">
        <v>4</v>
      </c>
      <c r="AA36" s="106">
        <v>3043.2</v>
      </c>
      <c r="AB36" s="106">
        <v>3</v>
      </c>
      <c r="AC36" s="106">
        <v>2282.3999999999996</v>
      </c>
      <c r="AD36" s="106">
        <v>4</v>
      </c>
      <c r="AE36" s="106">
        <v>3043.2</v>
      </c>
      <c r="AF36" s="106">
        <v>3</v>
      </c>
      <c r="AG36" s="106">
        <v>2282.3999999999996</v>
      </c>
      <c r="AH36" s="106">
        <v>3</v>
      </c>
      <c r="AI36" s="106">
        <v>2282.3999999999996</v>
      </c>
      <c r="AJ36" s="106">
        <v>14</v>
      </c>
      <c r="AK36" s="106">
        <v>10651.199999999999</v>
      </c>
      <c r="AL36" s="106">
        <v>12</v>
      </c>
      <c r="AM36" s="106">
        <v>9129.5999999999985</v>
      </c>
      <c r="AN36" s="106">
        <v>11</v>
      </c>
      <c r="AO36" s="106">
        <v>8368.7999999999993</v>
      </c>
      <c r="AP36" s="106">
        <v>12</v>
      </c>
      <c r="AQ36" s="106">
        <v>9129.5999999999985</v>
      </c>
      <c r="AR36" s="106">
        <v>21</v>
      </c>
      <c r="AS36" s="106">
        <v>15976.8</v>
      </c>
      <c r="AT36" s="106">
        <v>33</v>
      </c>
      <c r="AU36" s="106">
        <v>25106.399999999998</v>
      </c>
      <c r="AV36" s="106">
        <v>21</v>
      </c>
      <c r="AW36" s="106">
        <v>15976.8</v>
      </c>
      <c r="AX36" s="106">
        <v>26</v>
      </c>
      <c r="AY36" s="106">
        <v>19780.8</v>
      </c>
      <c r="AZ36" s="106">
        <v>3</v>
      </c>
      <c r="BA36" s="106">
        <v>2282.3999999999996</v>
      </c>
      <c r="BB36" s="106">
        <v>2</v>
      </c>
      <c r="BC36" s="106">
        <v>1521.6</v>
      </c>
      <c r="BD36" s="106">
        <v>3</v>
      </c>
      <c r="BE36" s="106">
        <v>2282.3999999999996</v>
      </c>
      <c r="BF36" s="106">
        <v>2</v>
      </c>
      <c r="BG36" s="106">
        <v>1521.6</v>
      </c>
      <c r="BH36" s="106">
        <v>11</v>
      </c>
      <c r="BI36" s="106">
        <v>8368.7999999999993</v>
      </c>
      <c r="BJ36" s="106">
        <v>8</v>
      </c>
      <c r="BK36" s="106">
        <v>6086.4</v>
      </c>
      <c r="BL36" s="106">
        <v>12</v>
      </c>
      <c r="BM36" s="106">
        <v>9129.5999999999985</v>
      </c>
      <c r="BN36" s="106">
        <v>9</v>
      </c>
      <c r="BO36" s="106">
        <v>6847.2</v>
      </c>
      <c r="BP36" s="106">
        <v>3</v>
      </c>
      <c r="BQ36" s="106">
        <v>2282.3999999999996</v>
      </c>
      <c r="BR36" s="106">
        <v>3</v>
      </c>
      <c r="BS36" s="106">
        <v>2282.3999999999996</v>
      </c>
      <c r="BT36" s="106">
        <v>4</v>
      </c>
      <c r="BU36" s="106">
        <v>3043.2</v>
      </c>
      <c r="BV36" s="106">
        <v>2</v>
      </c>
      <c r="BW36" s="106">
        <v>1521.6</v>
      </c>
      <c r="BX36" s="106">
        <v>17</v>
      </c>
      <c r="BY36" s="106">
        <v>12933.599999999999</v>
      </c>
      <c r="BZ36" s="106">
        <v>22</v>
      </c>
      <c r="CA36" s="106">
        <v>16737.599999999999</v>
      </c>
      <c r="CB36" s="106">
        <v>19</v>
      </c>
      <c r="CC36" s="106">
        <v>14455.199999999999</v>
      </c>
      <c r="CD36" s="106">
        <v>23</v>
      </c>
      <c r="CE36" s="106">
        <v>17498.399999999998</v>
      </c>
      <c r="CF36" s="106">
        <v>32</v>
      </c>
      <c r="CG36" s="106">
        <v>24345.599999999999</v>
      </c>
      <c r="CH36" s="106">
        <v>22</v>
      </c>
      <c r="CI36" s="106">
        <v>16737.599999999999</v>
      </c>
      <c r="CJ36" s="106">
        <v>19</v>
      </c>
      <c r="CK36" s="106">
        <v>14455.199999999999</v>
      </c>
      <c r="CL36" s="106">
        <v>24</v>
      </c>
      <c r="CM36" s="106">
        <v>18259.199999999997</v>
      </c>
      <c r="CN36" s="106">
        <v>28</v>
      </c>
      <c r="CO36" s="106">
        <v>21302.399999999998</v>
      </c>
      <c r="CP36" s="106">
        <v>16</v>
      </c>
      <c r="CQ36" s="106">
        <v>12172.8</v>
      </c>
      <c r="CR36" s="106">
        <v>18</v>
      </c>
      <c r="CS36" s="106">
        <v>13694.4</v>
      </c>
      <c r="CT36" s="106">
        <v>22</v>
      </c>
      <c r="CU36" s="106">
        <v>16737.599999999999</v>
      </c>
    </row>
    <row r="37" spans="2:99" x14ac:dyDescent="0.2">
      <c r="B37" s="105" t="s">
        <v>128</v>
      </c>
      <c r="C37" s="105" t="s">
        <v>203</v>
      </c>
      <c r="D37" s="106">
        <v>16</v>
      </c>
      <c r="E37" s="106">
        <v>13766.4</v>
      </c>
      <c r="F37" s="106">
        <v>10</v>
      </c>
      <c r="G37" s="106">
        <v>8604</v>
      </c>
      <c r="H37" s="106">
        <v>9</v>
      </c>
      <c r="I37" s="106">
        <v>7743.5999999999995</v>
      </c>
      <c r="J37" s="106">
        <v>16</v>
      </c>
      <c r="K37" s="106">
        <v>13766.4</v>
      </c>
      <c r="L37" s="106">
        <v>69</v>
      </c>
      <c r="M37" s="106">
        <v>59367.6</v>
      </c>
      <c r="N37" s="106">
        <v>83</v>
      </c>
      <c r="O37" s="106">
        <v>71413.2</v>
      </c>
      <c r="P37" s="106">
        <v>72</v>
      </c>
      <c r="Q37" s="106">
        <v>61948.799999999996</v>
      </c>
      <c r="R37" s="106">
        <v>65</v>
      </c>
      <c r="S37" s="106">
        <v>55926</v>
      </c>
      <c r="T37" s="106">
        <v>6</v>
      </c>
      <c r="U37" s="106">
        <v>5162.3999999999996</v>
      </c>
      <c r="V37" s="106">
        <v>4</v>
      </c>
      <c r="W37" s="106">
        <v>3441.6</v>
      </c>
      <c r="X37" s="106">
        <v>5</v>
      </c>
      <c r="Y37" s="106">
        <v>4302</v>
      </c>
      <c r="Z37" s="106">
        <v>6</v>
      </c>
      <c r="AA37" s="106">
        <v>5162.3999999999996</v>
      </c>
      <c r="AB37" s="106">
        <v>71</v>
      </c>
      <c r="AC37" s="106">
        <v>61088.4</v>
      </c>
      <c r="AD37" s="106">
        <v>62</v>
      </c>
      <c r="AE37" s="106">
        <v>53344.799999999996</v>
      </c>
      <c r="AF37" s="106">
        <v>50</v>
      </c>
      <c r="AG37" s="106">
        <v>43020</v>
      </c>
      <c r="AH37" s="106">
        <v>66</v>
      </c>
      <c r="AI37" s="106">
        <v>56786.400000000001</v>
      </c>
      <c r="AJ37" s="106">
        <v>42</v>
      </c>
      <c r="AK37" s="106">
        <v>36136.799999999996</v>
      </c>
      <c r="AL37" s="106">
        <v>56</v>
      </c>
      <c r="AM37" s="106">
        <v>48182.400000000001</v>
      </c>
      <c r="AN37" s="106">
        <v>57</v>
      </c>
      <c r="AO37" s="106">
        <v>49042.799999999996</v>
      </c>
      <c r="AP37" s="106">
        <v>44</v>
      </c>
      <c r="AQ37" s="106">
        <v>37857.599999999999</v>
      </c>
      <c r="AR37" s="106">
        <v>20</v>
      </c>
      <c r="AS37" s="106">
        <v>17208</v>
      </c>
      <c r="AT37" s="106">
        <v>21</v>
      </c>
      <c r="AU37" s="106">
        <v>18068.399999999998</v>
      </c>
      <c r="AV37" s="106">
        <v>19</v>
      </c>
      <c r="AW37" s="106">
        <v>16347.6</v>
      </c>
      <c r="AX37" s="106">
        <v>21</v>
      </c>
      <c r="AY37" s="106">
        <v>18068.399999999998</v>
      </c>
      <c r="AZ37" s="106">
        <v>7</v>
      </c>
      <c r="BA37" s="106">
        <v>6022.8</v>
      </c>
      <c r="BB37" s="106">
        <v>5</v>
      </c>
      <c r="BC37" s="106">
        <v>4302</v>
      </c>
      <c r="BD37" s="106">
        <v>7</v>
      </c>
      <c r="BE37" s="106">
        <v>6022.8</v>
      </c>
      <c r="BF37" s="106">
        <v>5</v>
      </c>
      <c r="BG37" s="106">
        <v>4302</v>
      </c>
      <c r="BH37" s="106">
        <v>50</v>
      </c>
      <c r="BI37" s="106">
        <v>43020</v>
      </c>
      <c r="BJ37" s="106">
        <v>67</v>
      </c>
      <c r="BK37" s="106">
        <v>57646.799999999996</v>
      </c>
      <c r="BL37" s="106">
        <v>61</v>
      </c>
      <c r="BM37" s="106">
        <v>52484.4</v>
      </c>
      <c r="BN37" s="106">
        <v>57</v>
      </c>
      <c r="BO37" s="106">
        <v>49042.799999999996</v>
      </c>
      <c r="BP37" s="106">
        <v>38</v>
      </c>
      <c r="BQ37" s="106">
        <v>32695.200000000001</v>
      </c>
      <c r="BR37" s="106">
        <v>25</v>
      </c>
      <c r="BS37" s="106">
        <v>21510</v>
      </c>
      <c r="BT37" s="106">
        <v>29</v>
      </c>
      <c r="BU37" s="106">
        <v>24951.599999999999</v>
      </c>
      <c r="BV37" s="106">
        <v>35</v>
      </c>
      <c r="BW37" s="106">
        <v>30114</v>
      </c>
      <c r="BX37" s="106">
        <v>10</v>
      </c>
      <c r="BY37" s="106">
        <v>8604</v>
      </c>
      <c r="BZ37" s="106">
        <v>10</v>
      </c>
      <c r="CA37" s="106">
        <v>8604</v>
      </c>
      <c r="CB37" s="106">
        <v>12</v>
      </c>
      <c r="CC37" s="106">
        <v>10324.799999999999</v>
      </c>
      <c r="CD37" s="106">
        <v>7</v>
      </c>
      <c r="CE37" s="106">
        <v>6022.8</v>
      </c>
      <c r="CF37" s="106">
        <v>5</v>
      </c>
      <c r="CG37" s="106">
        <v>4302</v>
      </c>
      <c r="CH37" s="106">
        <v>4</v>
      </c>
      <c r="CI37" s="106">
        <v>3441.6</v>
      </c>
      <c r="CJ37" s="106">
        <v>4</v>
      </c>
      <c r="CK37" s="106">
        <v>3441.6</v>
      </c>
      <c r="CL37" s="106">
        <v>4</v>
      </c>
      <c r="CM37" s="106">
        <v>3441.6</v>
      </c>
      <c r="CN37" s="106">
        <v>8</v>
      </c>
      <c r="CO37" s="106">
        <v>6883.2</v>
      </c>
      <c r="CP37" s="106">
        <v>5</v>
      </c>
      <c r="CQ37" s="106">
        <v>4302</v>
      </c>
      <c r="CR37" s="106">
        <v>6</v>
      </c>
      <c r="CS37" s="106">
        <v>5162.3999999999996</v>
      </c>
      <c r="CT37" s="106">
        <v>6</v>
      </c>
      <c r="CU37" s="106">
        <v>5162.3999999999996</v>
      </c>
    </row>
    <row r="38" spans="2:99" x14ac:dyDescent="0.2">
      <c r="C38" s="105" t="s">
        <v>204</v>
      </c>
      <c r="D38" s="106">
        <v>14</v>
      </c>
      <c r="E38" s="106">
        <v>17388</v>
      </c>
      <c r="F38" s="106">
        <v>9</v>
      </c>
      <c r="G38" s="106">
        <v>11178</v>
      </c>
      <c r="H38" s="106">
        <v>9</v>
      </c>
      <c r="I38" s="106">
        <v>11178</v>
      </c>
      <c r="J38" s="106">
        <v>15</v>
      </c>
      <c r="K38" s="106">
        <v>18630</v>
      </c>
      <c r="L38" s="106">
        <v>71</v>
      </c>
      <c r="M38" s="106">
        <v>88182</v>
      </c>
      <c r="N38" s="106">
        <v>90</v>
      </c>
      <c r="O38" s="106">
        <v>111780</v>
      </c>
      <c r="P38" s="106">
        <v>59</v>
      </c>
      <c r="Q38" s="106">
        <v>73278</v>
      </c>
      <c r="R38" s="106">
        <v>67</v>
      </c>
      <c r="S38" s="106">
        <v>83214</v>
      </c>
      <c r="T38" s="106">
        <v>6</v>
      </c>
      <c r="U38" s="106">
        <v>7452</v>
      </c>
      <c r="V38" s="106">
        <v>4</v>
      </c>
      <c r="W38" s="106">
        <v>4968</v>
      </c>
      <c r="X38" s="106">
        <v>4</v>
      </c>
      <c r="Y38" s="106">
        <v>4968</v>
      </c>
      <c r="Z38" s="106">
        <v>5</v>
      </c>
      <c r="AA38" s="106">
        <v>6210</v>
      </c>
      <c r="AB38" s="106">
        <v>70</v>
      </c>
      <c r="AC38" s="106">
        <v>86940</v>
      </c>
      <c r="AD38" s="106">
        <v>55</v>
      </c>
      <c r="AE38" s="106">
        <v>68310</v>
      </c>
      <c r="AF38" s="106">
        <v>51</v>
      </c>
      <c r="AG38" s="106">
        <v>63342</v>
      </c>
      <c r="AH38" s="106">
        <v>67</v>
      </c>
      <c r="AI38" s="106">
        <v>83214</v>
      </c>
      <c r="AJ38" s="106">
        <v>42</v>
      </c>
      <c r="AK38" s="106">
        <v>52164</v>
      </c>
      <c r="AL38" s="106">
        <v>49</v>
      </c>
      <c r="AM38" s="106">
        <v>60858</v>
      </c>
      <c r="AN38" s="106">
        <v>52</v>
      </c>
      <c r="AO38" s="106">
        <v>64584</v>
      </c>
      <c r="AP38" s="106">
        <v>39</v>
      </c>
      <c r="AQ38" s="106">
        <v>48438</v>
      </c>
      <c r="AR38" s="106">
        <v>17</v>
      </c>
      <c r="AS38" s="106">
        <v>21114</v>
      </c>
      <c r="AT38" s="106">
        <v>19</v>
      </c>
      <c r="AU38" s="106">
        <v>23598</v>
      </c>
      <c r="AV38" s="106">
        <v>17</v>
      </c>
      <c r="AW38" s="106">
        <v>21114</v>
      </c>
      <c r="AX38" s="106">
        <v>19</v>
      </c>
      <c r="AY38" s="106">
        <v>23598</v>
      </c>
      <c r="AZ38" s="106">
        <v>7</v>
      </c>
      <c r="BA38" s="106">
        <v>8694</v>
      </c>
      <c r="BB38" s="106">
        <v>4</v>
      </c>
      <c r="BC38" s="106">
        <v>4968</v>
      </c>
      <c r="BD38" s="106">
        <v>7</v>
      </c>
      <c r="BE38" s="106">
        <v>8694</v>
      </c>
      <c r="BF38" s="106">
        <v>5</v>
      </c>
      <c r="BG38" s="106">
        <v>6210</v>
      </c>
      <c r="BH38" s="106">
        <v>46</v>
      </c>
      <c r="BI38" s="106">
        <v>57132</v>
      </c>
      <c r="BJ38" s="106">
        <v>61</v>
      </c>
      <c r="BK38" s="106">
        <v>75762</v>
      </c>
      <c r="BL38" s="106">
        <v>67</v>
      </c>
      <c r="BM38" s="106">
        <v>83214</v>
      </c>
      <c r="BN38" s="106">
        <v>51</v>
      </c>
      <c r="BO38" s="106">
        <v>63342</v>
      </c>
      <c r="BP38" s="106">
        <v>36</v>
      </c>
      <c r="BQ38" s="106">
        <v>44712</v>
      </c>
      <c r="BR38" s="106">
        <v>21</v>
      </c>
      <c r="BS38" s="106">
        <v>26082</v>
      </c>
      <c r="BT38" s="106">
        <v>32</v>
      </c>
      <c r="BU38" s="106">
        <v>39744</v>
      </c>
      <c r="BV38" s="106">
        <v>30</v>
      </c>
      <c r="BW38" s="106">
        <v>37260</v>
      </c>
      <c r="BX38" s="106">
        <v>10</v>
      </c>
      <c r="BY38" s="106">
        <v>12420</v>
      </c>
      <c r="BZ38" s="106">
        <v>11</v>
      </c>
      <c r="CA38" s="106">
        <v>13662</v>
      </c>
      <c r="CB38" s="106">
        <v>10</v>
      </c>
      <c r="CC38" s="106">
        <v>12420</v>
      </c>
      <c r="CD38" s="106">
        <v>8</v>
      </c>
      <c r="CE38" s="106">
        <v>9936</v>
      </c>
      <c r="CF38" s="106">
        <v>5</v>
      </c>
      <c r="CG38" s="106">
        <v>6210</v>
      </c>
      <c r="CH38" s="106">
        <v>4</v>
      </c>
      <c r="CI38" s="106">
        <v>4968</v>
      </c>
      <c r="CJ38" s="106">
        <v>4</v>
      </c>
      <c r="CK38" s="106">
        <v>4968</v>
      </c>
      <c r="CL38" s="106">
        <v>5</v>
      </c>
      <c r="CM38" s="106">
        <v>6210</v>
      </c>
      <c r="CN38" s="106">
        <v>8</v>
      </c>
      <c r="CO38" s="106">
        <v>9936</v>
      </c>
      <c r="CP38" s="106">
        <v>4</v>
      </c>
      <c r="CQ38" s="106">
        <v>4968</v>
      </c>
      <c r="CR38" s="106">
        <v>6</v>
      </c>
      <c r="CS38" s="106">
        <v>7452</v>
      </c>
      <c r="CT38" s="106">
        <v>6</v>
      </c>
      <c r="CU38" s="106">
        <v>7452</v>
      </c>
    </row>
    <row r="39" spans="2:99" x14ac:dyDescent="0.2">
      <c r="C39" s="105" t="s">
        <v>205</v>
      </c>
      <c r="D39" s="106">
        <v>13</v>
      </c>
      <c r="E39" s="106">
        <v>18501.600000000002</v>
      </c>
      <c r="F39" s="106">
        <v>9</v>
      </c>
      <c r="G39" s="106">
        <v>12808.800000000001</v>
      </c>
      <c r="H39" s="106">
        <v>9</v>
      </c>
      <c r="I39" s="106">
        <v>12808.800000000001</v>
      </c>
      <c r="J39" s="106">
        <v>15</v>
      </c>
      <c r="K39" s="106">
        <v>21348</v>
      </c>
      <c r="L39" s="106">
        <v>65</v>
      </c>
      <c r="M39" s="106">
        <v>92508</v>
      </c>
      <c r="N39" s="106">
        <v>86</v>
      </c>
      <c r="O39" s="106">
        <v>122395.2</v>
      </c>
      <c r="P39" s="106">
        <v>64</v>
      </c>
      <c r="Q39" s="106">
        <v>91084.800000000003</v>
      </c>
      <c r="R39" s="106">
        <v>64</v>
      </c>
      <c r="S39" s="106">
        <v>91084.800000000003</v>
      </c>
      <c r="T39" s="106">
        <v>5</v>
      </c>
      <c r="U39" s="106">
        <v>7116</v>
      </c>
      <c r="V39" s="106">
        <v>4</v>
      </c>
      <c r="W39" s="106">
        <v>5692.8</v>
      </c>
      <c r="X39" s="106">
        <v>4</v>
      </c>
      <c r="Y39" s="106">
        <v>5692.8</v>
      </c>
      <c r="Z39" s="106">
        <v>5</v>
      </c>
      <c r="AA39" s="106">
        <v>7116</v>
      </c>
      <c r="AB39" s="106">
        <v>59</v>
      </c>
      <c r="AC39" s="106">
        <v>83968.8</v>
      </c>
      <c r="AD39" s="106">
        <v>56</v>
      </c>
      <c r="AE39" s="106">
        <v>79699.199999999997</v>
      </c>
      <c r="AF39" s="106">
        <v>47</v>
      </c>
      <c r="AG39" s="106">
        <v>66890.400000000009</v>
      </c>
      <c r="AH39" s="106">
        <v>65</v>
      </c>
      <c r="AI39" s="106">
        <v>92508</v>
      </c>
      <c r="AJ39" s="106">
        <v>35</v>
      </c>
      <c r="AK39" s="106">
        <v>49812</v>
      </c>
      <c r="AL39" s="106">
        <v>46</v>
      </c>
      <c r="AM39" s="106">
        <v>65467.200000000004</v>
      </c>
      <c r="AN39" s="106">
        <v>44</v>
      </c>
      <c r="AO39" s="106">
        <v>62620.800000000003</v>
      </c>
      <c r="AP39" s="106">
        <v>36</v>
      </c>
      <c r="AQ39" s="106">
        <v>51235.200000000004</v>
      </c>
      <c r="AR39" s="106">
        <v>18</v>
      </c>
      <c r="AS39" s="106">
        <v>25617.600000000002</v>
      </c>
      <c r="AT39" s="106">
        <v>19</v>
      </c>
      <c r="AU39" s="106">
        <v>27040.799999999999</v>
      </c>
      <c r="AV39" s="106">
        <v>17</v>
      </c>
      <c r="AW39" s="106">
        <v>24194.400000000001</v>
      </c>
      <c r="AX39" s="106">
        <v>20</v>
      </c>
      <c r="AY39" s="106">
        <v>28464</v>
      </c>
      <c r="AZ39" s="106">
        <v>6</v>
      </c>
      <c r="BA39" s="106">
        <v>8539.2000000000007</v>
      </c>
      <c r="BB39" s="106">
        <v>4</v>
      </c>
      <c r="BC39" s="106">
        <v>5692.8</v>
      </c>
      <c r="BD39" s="106">
        <v>7</v>
      </c>
      <c r="BE39" s="106">
        <v>9962.4</v>
      </c>
      <c r="BF39" s="106">
        <v>5</v>
      </c>
      <c r="BG39" s="106">
        <v>7116</v>
      </c>
      <c r="BH39" s="106">
        <v>46</v>
      </c>
      <c r="BI39" s="106">
        <v>65467.200000000004</v>
      </c>
      <c r="BJ39" s="106">
        <v>63</v>
      </c>
      <c r="BK39" s="106">
        <v>89661.6</v>
      </c>
      <c r="BL39" s="106">
        <v>55</v>
      </c>
      <c r="BM39" s="106">
        <v>78276</v>
      </c>
      <c r="BN39" s="106">
        <v>51</v>
      </c>
      <c r="BO39" s="106">
        <v>72583.199999999997</v>
      </c>
      <c r="BP39" s="106">
        <v>39</v>
      </c>
      <c r="BQ39" s="106">
        <v>55504.800000000003</v>
      </c>
      <c r="BR39" s="106">
        <v>20</v>
      </c>
      <c r="BS39" s="106">
        <v>28464</v>
      </c>
      <c r="BT39" s="106">
        <v>31</v>
      </c>
      <c r="BU39" s="106">
        <v>44119.200000000004</v>
      </c>
      <c r="BV39" s="106">
        <v>32</v>
      </c>
      <c r="BW39" s="106">
        <v>45542.400000000001</v>
      </c>
      <c r="BX39" s="106">
        <v>9</v>
      </c>
      <c r="BY39" s="106">
        <v>12808.800000000001</v>
      </c>
      <c r="BZ39" s="106">
        <v>10</v>
      </c>
      <c r="CA39" s="106">
        <v>14232</v>
      </c>
      <c r="CB39" s="106">
        <v>11</v>
      </c>
      <c r="CC39" s="106">
        <v>15655.2</v>
      </c>
      <c r="CD39" s="106">
        <v>7</v>
      </c>
      <c r="CE39" s="106">
        <v>9962.4</v>
      </c>
      <c r="CF39" s="106">
        <v>5</v>
      </c>
      <c r="CG39" s="106">
        <v>7116</v>
      </c>
      <c r="CH39" s="106">
        <v>4</v>
      </c>
      <c r="CI39" s="106">
        <v>5692.8</v>
      </c>
      <c r="CJ39" s="106">
        <v>4</v>
      </c>
      <c r="CK39" s="106">
        <v>5692.8</v>
      </c>
      <c r="CL39" s="106">
        <v>5</v>
      </c>
      <c r="CM39" s="106">
        <v>7116</v>
      </c>
      <c r="CN39" s="106">
        <v>7</v>
      </c>
      <c r="CO39" s="106">
        <v>9962.4</v>
      </c>
      <c r="CP39" s="106">
        <v>4</v>
      </c>
      <c r="CQ39" s="106">
        <v>5692.8</v>
      </c>
      <c r="CR39" s="106">
        <v>5</v>
      </c>
      <c r="CS39" s="106">
        <v>7116</v>
      </c>
      <c r="CT39" s="106">
        <v>6</v>
      </c>
      <c r="CU39" s="106">
        <v>8539.2000000000007</v>
      </c>
    </row>
    <row r="40" spans="2:99" x14ac:dyDescent="0.2">
      <c r="C40" s="105" t="s">
        <v>206</v>
      </c>
      <c r="D40" s="106">
        <v>14</v>
      </c>
      <c r="E40" s="106">
        <v>10147.199999999999</v>
      </c>
      <c r="F40" s="106">
        <v>10</v>
      </c>
      <c r="G40" s="106">
        <v>7248</v>
      </c>
      <c r="H40" s="106">
        <v>10</v>
      </c>
      <c r="I40" s="106">
        <v>7248</v>
      </c>
      <c r="J40" s="106">
        <v>15</v>
      </c>
      <c r="K40" s="106">
        <v>10872</v>
      </c>
      <c r="L40" s="106">
        <v>80</v>
      </c>
      <c r="M40" s="106">
        <v>57984</v>
      </c>
      <c r="N40" s="106">
        <v>88</v>
      </c>
      <c r="O40" s="106">
        <v>63782.399999999994</v>
      </c>
      <c r="P40" s="106">
        <v>70</v>
      </c>
      <c r="Q40" s="106">
        <v>50736</v>
      </c>
      <c r="R40" s="106">
        <v>68</v>
      </c>
      <c r="S40" s="106">
        <v>49286.399999999994</v>
      </c>
      <c r="T40" s="106">
        <v>6</v>
      </c>
      <c r="U40" s="106">
        <v>4348.7999999999993</v>
      </c>
      <c r="V40" s="106">
        <v>4</v>
      </c>
      <c r="W40" s="106">
        <v>2899.2</v>
      </c>
      <c r="X40" s="106">
        <v>4</v>
      </c>
      <c r="Y40" s="106">
        <v>2899.2</v>
      </c>
      <c r="Z40" s="106">
        <v>6</v>
      </c>
      <c r="AA40" s="106">
        <v>4348.7999999999993</v>
      </c>
      <c r="AB40" s="106">
        <v>81</v>
      </c>
      <c r="AC40" s="106">
        <v>58708.799999999996</v>
      </c>
      <c r="AD40" s="106">
        <v>63</v>
      </c>
      <c r="AE40" s="106">
        <v>45662.399999999994</v>
      </c>
      <c r="AF40" s="106">
        <v>54</v>
      </c>
      <c r="AG40" s="106">
        <v>39139.199999999997</v>
      </c>
      <c r="AH40" s="106">
        <v>73</v>
      </c>
      <c r="AI40" s="106">
        <v>52910.399999999994</v>
      </c>
      <c r="AJ40" s="106">
        <v>45</v>
      </c>
      <c r="AK40" s="106">
        <v>32615.999999999996</v>
      </c>
      <c r="AL40" s="106">
        <v>60</v>
      </c>
      <c r="AM40" s="106">
        <v>43488</v>
      </c>
      <c r="AN40" s="106">
        <v>56</v>
      </c>
      <c r="AO40" s="106">
        <v>40588.799999999996</v>
      </c>
      <c r="AP40" s="106">
        <v>45</v>
      </c>
      <c r="AQ40" s="106">
        <v>32615.999999999996</v>
      </c>
      <c r="AR40" s="106">
        <v>20</v>
      </c>
      <c r="AS40" s="106">
        <v>14496</v>
      </c>
      <c r="AT40" s="106">
        <v>21</v>
      </c>
      <c r="AU40" s="106">
        <v>15220.8</v>
      </c>
      <c r="AV40" s="106">
        <v>19</v>
      </c>
      <c r="AW40" s="106">
        <v>13771.199999999999</v>
      </c>
      <c r="AX40" s="106">
        <v>21</v>
      </c>
      <c r="AY40" s="106">
        <v>15220.8</v>
      </c>
      <c r="AZ40" s="106">
        <v>7</v>
      </c>
      <c r="BA40" s="106">
        <v>5073.5999999999995</v>
      </c>
      <c r="BB40" s="106">
        <v>5</v>
      </c>
      <c r="BC40" s="106">
        <v>3624</v>
      </c>
      <c r="BD40" s="106">
        <v>8</v>
      </c>
      <c r="BE40" s="106">
        <v>5798.4</v>
      </c>
      <c r="BF40" s="106">
        <v>5</v>
      </c>
      <c r="BG40" s="106">
        <v>3624</v>
      </c>
      <c r="BH40" s="106">
        <v>59</v>
      </c>
      <c r="BI40" s="106">
        <v>42763.199999999997</v>
      </c>
      <c r="BJ40" s="106">
        <v>70</v>
      </c>
      <c r="BK40" s="106">
        <v>50736</v>
      </c>
      <c r="BL40" s="106">
        <v>66</v>
      </c>
      <c r="BM40" s="106">
        <v>47836.799999999996</v>
      </c>
      <c r="BN40" s="106">
        <v>63</v>
      </c>
      <c r="BO40" s="106">
        <v>45662.399999999994</v>
      </c>
      <c r="BP40" s="106">
        <v>41</v>
      </c>
      <c r="BQ40" s="106">
        <v>29716.799999999999</v>
      </c>
      <c r="BR40" s="106">
        <v>25</v>
      </c>
      <c r="BS40" s="106">
        <v>18120</v>
      </c>
      <c r="BT40" s="106">
        <v>35</v>
      </c>
      <c r="BU40" s="106">
        <v>25368</v>
      </c>
      <c r="BV40" s="106">
        <v>31</v>
      </c>
      <c r="BW40" s="106">
        <v>22468.799999999999</v>
      </c>
      <c r="BX40" s="106">
        <v>10</v>
      </c>
      <c r="BY40" s="106">
        <v>7248</v>
      </c>
      <c r="BZ40" s="106">
        <v>12</v>
      </c>
      <c r="CA40" s="106">
        <v>8697.5999999999985</v>
      </c>
      <c r="CB40" s="106">
        <v>13</v>
      </c>
      <c r="CC40" s="106">
        <v>9422.4</v>
      </c>
      <c r="CD40" s="106">
        <v>7</v>
      </c>
      <c r="CE40" s="106">
        <v>5073.5999999999995</v>
      </c>
      <c r="CF40" s="106">
        <v>6</v>
      </c>
      <c r="CG40" s="106">
        <v>4348.7999999999993</v>
      </c>
      <c r="CH40" s="106">
        <v>4</v>
      </c>
      <c r="CI40" s="106">
        <v>2899.2</v>
      </c>
      <c r="CJ40" s="106">
        <v>5</v>
      </c>
      <c r="CK40" s="106">
        <v>3624</v>
      </c>
      <c r="CL40" s="106">
        <v>5</v>
      </c>
      <c r="CM40" s="106">
        <v>3624</v>
      </c>
      <c r="CN40" s="106">
        <v>8</v>
      </c>
      <c r="CO40" s="106">
        <v>5798.4</v>
      </c>
      <c r="CP40" s="106">
        <v>5</v>
      </c>
      <c r="CQ40" s="106">
        <v>3624</v>
      </c>
      <c r="CR40" s="106">
        <v>7</v>
      </c>
      <c r="CS40" s="106">
        <v>5073.5999999999995</v>
      </c>
      <c r="CT40" s="106">
        <v>7</v>
      </c>
      <c r="CU40" s="106">
        <v>5073.5999999999995</v>
      </c>
    </row>
    <row r="41" spans="2:99" x14ac:dyDescent="0.2">
      <c r="C41" s="105" t="s">
        <v>207</v>
      </c>
      <c r="D41" s="106">
        <v>14</v>
      </c>
      <c r="E41" s="106">
        <v>9240</v>
      </c>
      <c r="F41" s="106">
        <v>10</v>
      </c>
      <c r="G41" s="106">
        <v>6600</v>
      </c>
      <c r="H41" s="106">
        <v>11</v>
      </c>
      <c r="I41" s="106">
        <v>7260</v>
      </c>
      <c r="J41" s="106">
        <v>16</v>
      </c>
      <c r="K41" s="106">
        <v>10560</v>
      </c>
      <c r="L41" s="106">
        <v>78</v>
      </c>
      <c r="M41" s="106">
        <v>51480</v>
      </c>
      <c r="N41" s="106">
        <v>95</v>
      </c>
      <c r="O41" s="106">
        <v>62700</v>
      </c>
      <c r="P41" s="106">
        <v>77</v>
      </c>
      <c r="Q41" s="106">
        <v>50820</v>
      </c>
      <c r="R41" s="106">
        <v>70</v>
      </c>
      <c r="S41" s="106">
        <v>46200</v>
      </c>
      <c r="T41" s="106">
        <v>6</v>
      </c>
      <c r="U41" s="106">
        <v>3960</v>
      </c>
      <c r="V41" s="106">
        <v>4</v>
      </c>
      <c r="W41" s="106">
        <v>2640</v>
      </c>
      <c r="X41" s="106">
        <v>4</v>
      </c>
      <c r="Y41" s="106">
        <v>2640</v>
      </c>
      <c r="Z41" s="106">
        <v>6</v>
      </c>
      <c r="AA41" s="106">
        <v>3960</v>
      </c>
      <c r="AB41" s="106">
        <v>84</v>
      </c>
      <c r="AC41" s="106">
        <v>55440</v>
      </c>
      <c r="AD41" s="106">
        <v>66</v>
      </c>
      <c r="AE41" s="106">
        <v>43560</v>
      </c>
      <c r="AF41" s="106">
        <v>57</v>
      </c>
      <c r="AG41" s="106">
        <v>37620</v>
      </c>
      <c r="AH41" s="106">
        <v>76</v>
      </c>
      <c r="AI41" s="106">
        <v>50160</v>
      </c>
      <c r="AJ41" s="106">
        <v>49</v>
      </c>
      <c r="AK41" s="106">
        <v>32340</v>
      </c>
      <c r="AL41" s="106">
        <v>54</v>
      </c>
      <c r="AM41" s="106">
        <v>35640</v>
      </c>
      <c r="AN41" s="106">
        <v>54</v>
      </c>
      <c r="AO41" s="106">
        <v>35640</v>
      </c>
      <c r="AP41" s="106">
        <v>46</v>
      </c>
      <c r="AQ41" s="106">
        <v>30360</v>
      </c>
      <c r="AR41" s="106">
        <v>20</v>
      </c>
      <c r="AS41" s="106">
        <v>13200</v>
      </c>
      <c r="AT41" s="106">
        <v>18</v>
      </c>
      <c r="AU41" s="106">
        <v>11880</v>
      </c>
      <c r="AV41" s="106">
        <v>19</v>
      </c>
      <c r="AW41" s="106">
        <v>12540</v>
      </c>
      <c r="AX41" s="106">
        <v>20</v>
      </c>
      <c r="AY41" s="106">
        <v>13200</v>
      </c>
      <c r="AZ41" s="106">
        <v>6</v>
      </c>
      <c r="BA41" s="106">
        <v>3960</v>
      </c>
      <c r="BB41" s="106">
        <v>5</v>
      </c>
      <c r="BC41" s="106">
        <v>3300</v>
      </c>
      <c r="BD41" s="106">
        <v>7</v>
      </c>
      <c r="BE41" s="106">
        <v>4620</v>
      </c>
      <c r="BF41" s="106">
        <v>5</v>
      </c>
      <c r="BG41" s="106">
        <v>3300</v>
      </c>
      <c r="BH41" s="106">
        <v>58</v>
      </c>
      <c r="BI41" s="106">
        <v>38280</v>
      </c>
      <c r="BJ41" s="106">
        <v>70</v>
      </c>
      <c r="BK41" s="106">
        <v>46200</v>
      </c>
      <c r="BL41" s="106">
        <v>64</v>
      </c>
      <c r="BM41" s="106">
        <v>42240</v>
      </c>
      <c r="BN41" s="106">
        <v>55</v>
      </c>
      <c r="BO41" s="106">
        <v>36300</v>
      </c>
      <c r="BP41" s="106">
        <v>41</v>
      </c>
      <c r="BQ41" s="106">
        <v>27060</v>
      </c>
      <c r="BR41" s="106">
        <v>24</v>
      </c>
      <c r="BS41" s="106">
        <v>15840</v>
      </c>
      <c r="BT41" s="106">
        <v>34</v>
      </c>
      <c r="BU41" s="106">
        <v>22440</v>
      </c>
      <c r="BV41" s="106">
        <v>36</v>
      </c>
      <c r="BW41" s="106">
        <v>23760</v>
      </c>
      <c r="BX41" s="106">
        <v>11</v>
      </c>
      <c r="BY41" s="106">
        <v>7260</v>
      </c>
      <c r="BZ41" s="106">
        <v>10</v>
      </c>
      <c r="CA41" s="106">
        <v>6600</v>
      </c>
      <c r="CB41" s="106">
        <v>11</v>
      </c>
      <c r="CC41" s="106">
        <v>7260</v>
      </c>
      <c r="CD41" s="106">
        <v>7</v>
      </c>
      <c r="CE41" s="106">
        <v>4620</v>
      </c>
      <c r="CF41" s="106">
        <v>5</v>
      </c>
      <c r="CG41" s="106">
        <v>3300</v>
      </c>
      <c r="CH41" s="106">
        <v>4</v>
      </c>
      <c r="CI41" s="106">
        <v>2640</v>
      </c>
      <c r="CJ41" s="106">
        <v>5</v>
      </c>
      <c r="CK41" s="106">
        <v>3300</v>
      </c>
      <c r="CL41" s="106">
        <v>5</v>
      </c>
      <c r="CM41" s="106">
        <v>3300</v>
      </c>
      <c r="CN41" s="106">
        <v>8</v>
      </c>
      <c r="CO41" s="106">
        <v>5280</v>
      </c>
      <c r="CP41" s="106">
        <v>4</v>
      </c>
      <c r="CQ41" s="106">
        <v>2640</v>
      </c>
      <c r="CR41" s="106">
        <v>6</v>
      </c>
      <c r="CS41" s="106">
        <v>3960</v>
      </c>
      <c r="CT41" s="106">
        <v>6</v>
      </c>
      <c r="CU41" s="106">
        <v>3960</v>
      </c>
    </row>
    <row r="42" spans="2:99" x14ac:dyDescent="0.2">
      <c r="C42" s="105" t="s">
        <v>208</v>
      </c>
      <c r="D42" s="106">
        <v>13</v>
      </c>
      <c r="E42" s="106">
        <v>10998</v>
      </c>
      <c r="F42" s="106">
        <v>10</v>
      </c>
      <c r="G42" s="106">
        <v>8460</v>
      </c>
      <c r="H42" s="106">
        <v>9</v>
      </c>
      <c r="I42" s="106">
        <v>7614</v>
      </c>
      <c r="J42" s="106">
        <v>15</v>
      </c>
      <c r="K42" s="106">
        <v>12690</v>
      </c>
      <c r="L42" s="106">
        <v>74</v>
      </c>
      <c r="M42" s="106">
        <v>62604</v>
      </c>
      <c r="N42" s="106">
        <v>94</v>
      </c>
      <c r="O42" s="106">
        <v>79524</v>
      </c>
      <c r="P42" s="106">
        <v>67</v>
      </c>
      <c r="Q42" s="106">
        <v>56682</v>
      </c>
      <c r="R42" s="106">
        <v>69</v>
      </c>
      <c r="S42" s="106">
        <v>58374</v>
      </c>
      <c r="T42" s="106">
        <v>6</v>
      </c>
      <c r="U42" s="106">
        <v>5076</v>
      </c>
      <c r="V42" s="106">
        <v>4</v>
      </c>
      <c r="W42" s="106">
        <v>3384</v>
      </c>
      <c r="X42" s="106">
        <v>4</v>
      </c>
      <c r="Y42" s="106">
        <v>3384</v>
      </c>
      <c r="Z42" s="106">
        <v>6</v>
      </c>
      <c r="AA42" s="106">
        <v>5076</v>
      </c>
      <c r="AB42" s="106">
        <v>70</v>
      </c>
      <c r="AC42" s="106">
        <v>59220</v>
      </c>
      <c r="AD42" s="106">
        <v>63</v>
      </c>
      <c r="AE42" s="106">
        <v>53298</v>
      </c>
      <c r="AF42" s="106">
        <v>53</v>
      </c>
      <c r="AG42" s="106">
        <v>44838</v>
      </c>
      <c r="AH42" s="106">
        <v>64</v>
      </c>
      <c r="AI42" s="106">
        <v>54144</v>
      </c>
      <c r="AJ42" s="106">
        <v>39</v>
      </c>
      <c r="AK42" s="106">
        <v>32994</v>
      </c>
      <c r="AL42" s="106">
        <v>60</v>
      </c>
      <c r="AM42" s="106">
        <v>50760</v>
      </c>
      <c r="AN42" s="106">
        <v>56</v>
      </c>
      <c r="AO42" s="106">
        <v>47376</v>
      </c>
      <c r="AP42" s="106">
        <v>39</v>
      </c>
      <c r="AQ42" s="106">
        <v>32994</v>
      </c>
      <c r="AR42" s="106">
        <v>18</v>
      </c>
      <c r="AS42" s="106">
        <v>15228</v>
      </c>
      <c r="AT42" s="106">
        <v>18</v>
      </c>
      <c r="AU42" s="106">
        <v>15228</v>
      </c>
      <c r="AV42" s="106">
        <v>20</v>
      </c>
      <c r="AW42" s="106">
        <v>16920</v>
      </c>
      <c r="AX42" s="106">
        <v>21</v>
      </c>
      <c r="AY42" s="106">
        <v>17766</v>
      </c>
      <c r="AZ42" s="106">
        <v>6</v>
      </c>
      <c r="BA42" s="106">
        <v>5076</v>
      </c>
      <c r="BB42" s="106">
        <v>4</v>
      </c>
      <c r="BC42" s="106">
        <v>3384</v>
      </c>
      <c r="BD42" s="106">
        <v>7</v>
      </c>
      <c r="BE42" s="106">
        <v>5922</v>
      </c>
      <c r="BF42" s="106">
        <v>5</v>
      </c>
      <c r="BG42" s="106">
        <v>4230</v>
      </c>
      <c r="BH42" s="106">
        <v>56</v>
      </c>
      <c r="BI42" s="106">
        <v>47376</v>
      </c>
      <c r="BJ42" s="106">
        <v>76</v>
      </c>
      <c r="BK42" s="106">
        <v>64296</v>
      </c>
      <c r="BL42" s="106">
        <v>70</v>
      </c>
      <c r="BM42" s="106">
        <v>59220</v>
      </c>
      <c r="BN42" s="106">
        <v>53</v>
      </c>
      <c r="BO42" s="106">
        <v>44838</v>
      </c>
      <c r="BP42" s="106">
        <v>43</v>
      </c>
      <c r="BQ42" s="106">
        <v>36378</v>
      </c>
      <c r="BR42" s="106">
        <v>26</v>
      </c>
      <c r="BS42" s="106">
        <v>21996</v>
      </c>
      <c r="BT42" s="106">
        <v>32</v>
      </c>
      <c r="BU42" s="106">
        <v>27072</v>
      </c>
      <c r="BV42" s="106">
        <v>33</v>
      </c>
      <c r="BW42" s="106">
        <v>27918</v>
      </c>
      <c r="BX42" s="106">
        <v>10</v>
      </c>
      <c r="BY42" s="106">
        <v>8460</v>
      </c>
      <c r="BZ42" s="106">
        <v>12</v>
      </c>
      <c r="CA42" s="106">
        <v>10152</v>
      </c>
      <c r="CB42" s="106">
        <v>12</v>
      </c>
      <c r="CC42" s="106">
        <v>10152</v>
      </c>
      <c r="CD42" s="106">
        <v>8</v>
      </c>
      <c r="CE42" s="106">
        <v>6768</v>
      </c>
      <c r="CF42" s="106">
        <v>6</v>
      </c>
      <c r="CG42" s="106">
        <v>5076</v>
      </c>
      <c r="CH42" s="106">
        <v>4</v>
      </c>
      <c r="CI42" s="106">
        <v>3384</v>
      </c>
      <c r="CJ42" s="106">
        <v>4</v>
      </c>
      <c r="CK42" s="106">
        <v>3384</v>
      </c>
      <c r="CL42" s="106">
        <v>5</v>
      </c>
      <c r="CM42" s="106">
        <v>4230</v>
      </c>
      <c r="CN42" s="106">
        <v>7</v>
      </c>
      <c r="CO42" s="106">
        <v>5922</v>
      </c>
      <c r="CP42" s="106">
        <v>4</v>
      </c>
      <c r="CQ42" s="106">
        <v>3384</v>
      </c>
      <c r="CR42" s="106">
        <v>6</v>
      </c>
      <c r="CS42" s="106">
        <v>5076</v>
      </c>
      <c r="CT42" s="106">
        <v>6</v>
      </c>
      <c r="CU42" s="106">
        <v>5076</v>
      </c>
    </row>
    <row r="43" spans="2:99" x14ac:dyDescent="0.2">
      <c r="C43" s="105" t="s">
        <v>209</v>
      </c>
      <c r="D43" s="106">
        <v>15</v>
      </c>
      <c r="E43" s="106">
        <v>15336</v>
      </c>
      <c r="F43" s="106">
        <v>10</v>
      </c>
      <c r="G43" s="106">
        <v>10224</v>
      </c>
      <c r="H43" s="106">
        <v>10</v>
      </c>
      <c r="I43" s="106">
        <v>10224</v>
      </c>
      <c r="J43" s="106">
        <v>16</v>
      </c>
      <c r="K43" s="106">
        <v>16358.4</v>
      </c>
      <c r="L43" s="106">
        <v>69</v>
      </c>
      <c r="M43" s="106">
        <v>70545.599999999991</v>
      </c>
      <c r="N43" s="106">
        <v>85</v>
      </c>
      <c r="O43" s="106">
        <v>86904</v>
      </c>
      <c r="P43" s="106">
        <v>69</v>
      </c>
      <c r="Q43" s="106">
        <v>70545.599999999991</v>
      </c>
      <c r="R43" s="106">
        <v>62</v>
      </c>
      <c r="S43" s="106">
        <v>63388.799999999996</v>
      </c>
      <c r="T43" s="106">
        <v>6</v>
      </c>
      <c r="U43" s="106">
        <v>6134.4</v>
      </c>
      <c r="V43" s="106">
        <v>4</v>
      </c>
      <c r="W43" s="106">
        <v>4089.6</v>
      </c>
      <c r="X43" s="106">
        <v>4</v>
      </c>
      <c r="Y43" s="106">
        <v>4089.6</v>
      </c>
      <c r="Z43" s="106">
        <v>6</v>
      </c>
      <c r="AA43" s="106">
        <v>6134.4</v>
      </c>
      <c r="AB43" s="106">
        <v>77</v>
      </c>
      <c r="AC43" s="106">
        <v>78724.800000000003</v>
      </c>
      <c r="AD43" s="106">
        <v>62</v>
      </c>
      <c r="AE43" s="106">
        <v>63388.799999999996</v>
      </c>
      <c r="AF43" s="106">
        <v>49</v>
      </c>
      <c r="AG43" s="106">
        <v>50097.599999999999</v>
      </c>
      <c r="AH43" s="106">
        <v>66</v>
      </c>
      <c r="AI43" s="106">
        <v>67478.399999999994</v>
      </c>
      <c r="AJ43" s="106">
        <v>44</v>
      </c>
      <c r="AK43" s="106">
        <v>44985.599999999999</v>
      </c>
      <c r="AL43" s="106">
        <v>49</v>
      </c>
      <c r="AM43" s="106">
        <v>50097.599999999999</v>
      </c>
      <c r="AN43" s="106">
        <v>53</v>
      </c>
      <c r="AO43" s="106">
        <v>54187.199999999997</v>
      </c>
      <c r="AP43" s="106">
        <v>43</v>
      </c>
      <c r="AQ43" s="106">
        <v>43963.199999999997</v>
      </c>
      <c r="AR43" s="106">
        <v>17</v>
      </c>
      <c r="AS43" s="106">
        <v>17380.8</v>
      </c>
      <c r="AT43" s="106">
        <v>20</v>
      </c>
      <c r="AU43" s="106">
        <v>20448</v>
      </c>
      <c r="AV43" s="106">
        <v>19</v>
      </c>
      <c r="AW43" s="106">
        <v>19425.599999999999</v>
      </c>
      <c r="AX43" s="106">
        <v>19</v>
      </c>
      <c r="AY43" s="106">
        <v>19425.599999999999</v>
      </c>
      <c r="AZ43" s="106">
        <v>7</v>
      </c>
      <c r="BA43" s="106">
        <v>7156.8</v>
      </c>
      <c r="BB43" s="106">
        <v>5</v>
      </c>
      <c r="BC43" s="106">
        <v>5112</v>
      </c>
      <c r="BD43" s="106">
        <v>8</v>
      </c>
      <c r="BE43" s="106">
        <v>8179.2</v>
      </c>
      <c r="BF43" s="106">
        <v>5</v>
      </c>
      <c r="BG43" s="106">
        <v>5112</v>
      </c>
      <c r="BH43" s="106">
        <v>57</v>
      </c>
      <c r="BI43" s="106">
        <v>58276.799999999996</v>
      </c>
      <c r="BJ43" s="106">
        <v>62</v>
      </c>
      <c r="BK43" s="106">
        <v>63388.799999999996</v>
      </c>
      <c r="BL43" s="106">
        <v>60</v>
      </c>
      <c r="BM43" s="106">
        <v>61344</v>
      </c>
      <c r="BN43" s="106">
        <v>59</v>
      </c>
      <c r="BO43" s="106">
        <v>60321.599999999999</v>
      </c>
      <c r="BP43" s="106">
        <v>44</v>
      </c>
      <c r="BQ43" s="106">
        <v>44985.599999999999</v>
      </c>
      <c r="BR43" s="106">
        <v>25</v>
      </c>
      <c r="BS43" s="106">
        <v>25560</v>
      </c>
      <c r="BT43" s="106">
        <v>28</v>
      </c>
      <c r="BU43" s="106">
        <v>28627.200000000001</v>
      </c>
      <c r="BV43" s="106">
        <v>29</v>
      </c>
      <c r="BW43" s="106">
        <v>29649.599999999999</v>
      </c>
      <c r="BX43" s="106">
        <v>9</v>
      </c>
      <c r="BY43" s="106">
        <v>9201.6</v>
      </c>
      <c r="BZ43" s="106">
        <v>11</v>
      </c>
      <c r="CA43" s="106">
        <v>11246.4</v>
      </c>
      <c r="CB43" s="106">
        <v>11</v>
      </c>
      <c r="CC43" s="106">
        <v>11246.4</v>
      </c>
      <c r="CD43" s="106">
        <v>7</v>
      </c>
      <c r="CE43" s="106">
        <v>7156.8</v>
      </c>
      <c r="CF43" s="106">
        <v>5</v>
      </c>
      <c r="CG43" s="106">
        <v>5112</v>
      </c>
      <c r="CH43" s="106">
        <v>4</v>
      </c>
      <c r="CI43" s="106">
        <v>4089.6</v>
      </c>
      <c r="CJ43" s="106">
        <v>4</v>
      </c>
      <c r="CK43" s="106">
        <v>4089.6</v>
      </c>
      <c r="CL43" s="106">
        <v>5</v>
      </c>
      <c r="CM43" s="106">
        <v>5112</v>
      </c>
      <c r="CN43" s="106">
        <v>8</v>
      </c>
      <c r="CO43" s="106">
        <v>8179.2</v>
      </c>
      <c r="CP43" s="106">
        <v>4</v>
      </c>
      <c r="CQ43" s="106">
        <v>4089.6</v>
      </c>
      <c r="CR43" s="106">
        <v>7</v>
      </c>
      <c r="CS43" s="106">
        <v>7156.8</v>
      </c>
      <c r="CT43" s="106">
        <v>6</v>
      </c>
      <c r="CU43" s="106">
        <v>6134.4</v>
      </c>
    </row>
    <row r="44" spans="2:99" x14ac:dyDescent="0.2">
      <c r="C44" s="105" t="s">
        <v>210</v>
      </c>
      <c r="D44" s="106">
        <v>15</v>
      </c>
      <c r="E44" s="106">
        <v>15336</v>
      </c>
      <c r="F44" s="106">
        <v>10</v>
      </c>
      <c r="G44" s="106">
        <v>10224</v>
      </c>
      <c r="H44" s="106">
        <v>11</v>
      </c>
      <c r="I44" s="106">
        <v>11246.4</v>
      </c>
      <c r="J44" s="106">
        <v>13</v>
      </c>
      <c r="K44" s="106">
        <v>13291.199999999999</v>
      </c>
      <c r="L44" s="106">
        <v>64</v>
      </c>
      <c r="M44" s="106">
        <v>65433.599999999999</v>
      </c>
      <c r="N44" s="106">
        <v>88</v>
      </c>
      <c r="O44" s="106">
        <v>89971.199999999997</v>
      </c>
      <c r="P44" s="106">
        <v>68</v>
      </c>
      <c r="Q44" s="106">
        <v>69523.199999999997</v>
      </c>
      <c r="R44" s="106">
        <v>64</v>
      </c>
      <c r="S44" s="106">
        <v>65433.599999999999</v>
      </c>
      <c r="T44" s="106">
        <v>6</v>
      </c>
      <c r="U44" s="106">
        <v>6134.4</v>
      </c>
      <c r="V44" s="106">
        <v>4</v>
      </c>
      <c r="W44" s="106">
        <v>4089.6</v>
      </c>
      <c r="X44" s="106">
        <v>4</v>
      </c>
      <c r="Y44" s="106">
        <v>4089.6</v>
      </c>
      <c r="Z44" s="106">
        <v>5</v>
      </c>
      <c r="AA44" s="106">
        <v>5112</v>
      </c>
      <c r="AB44" s="106">
        <v>65</v>
      </c>
      <c r="AC44" s="106">
        <v>66456</v>
      </c>
      <c r="AD44" s="106">
        <v>63</v>
      </c>
      <c r="AE44" s="106">
        <v>64411.199999999997</v>
      </c>
      <c r="AF44" s="106">
        <v>52</v>
      </c>
      <c r="AG44" s="106">
        <v>53164.799999999996</v>
      </c>
      <c r="AH44" s="106">
        <v>67</v>
      </c>
      <c r="AI44" s="106">
        <v>68500.800000000003</v>
      </c>
      <c r="AJ44" s="106">
        <v>43</v>
      </c>
      <c r="AK44" s="106">
        <v>43963.199999999997</v>
      </c>
      <c r="AL44" s="106">
        <v>53</v>
      </c>
      <c r="AM44" s="106">
        <v>54187.199999999997</v>
      </c>
      <c r="AN44" s="106">
        <v>57</v>
      </c>
      <c r="AO44" s="106">
        <v>58276.799999999996</v>
      </c>
      <c r="AP44" s="106">
        <v>40</v>
      </c>
      <c r="AQ44" s="106">
        <v>40896</v>
      </c>
      <c r="AR44" s="106">
        <v>17</v>
      </c>
      <c r="AS44" s="106">
        <v>17380.8</v>
      </c>
      <c r="AT44" s="106">
        <v>19</v>
      </c>
      <c r="AU44" s="106">
        <v>19425.599999999999</v>
      </c>
      <c r="AV44" s="106">
        <v>18</v>
      </c>
      <c r="AW44" s="106">
        <v>18403.2</v>
      </c>
      <c r="AX44" s="106">
        <v>22</v>
      </c>
      <c r="AY44" s="106">
        <v>22492.799999999999</v>
      </c>
      <c r="AZ44" s="106">
        <v>6</v>
      </c>
      <c r="BA44" s="106">
        <v>6134.4</v>
      </c>
      <c r="BB44" s="106">
        <v>4</v>
      </c>
      <c r="BC44" s="106">
        <v>4089.6</v>
      </c>
      <c r="BD44" s="106">
        <v>7</v>
      </c>
      <c r="BE44" s="106">
        <v>7156.8</v>
      </c>
      <c r="BF44" s="106">
        <v>5</v>
      </c>
      <c r="BG44" s="106">
        <v>5112</v>
      </c>
      <c r="BH44" s="106">
        <v>54</v>
      </c>
      <c r="BI44" s="106">
        <v>55209.599999999999</v>
      </c>
      <c r="BJ44" s="106">
        <v>66</v>
      </c>
      <c r="BK44" s="106">
        <v>67478.399999999994</v>
      </c>
      <c r="BL44" s="106">
        <v>70</v>
      </c>
      <c r="BM44" s="106">
        <v>71568</v>
      </c>
      <c r="BN44" s="106">
        <v>58</v>
      </c>
      <c r="BO44" s="106">
        <v>59299.199999999997</v>
      </c>
      <c r="BP44" s="106">
        <v>44</v>
      </c>
      <c r="BQ44" s="106">
        <v>44985.599999999999</v>
      </c>
      <c r="BR44" s="106">
        <v>23</v>
      </c>
      <c r="BS44" s="106">
        <v>23515.200000000001</v>
      </c>
      <c r="BT44" s="106">
        <v>32</v>
      </c>
      <c r="BU44" s="106">
        <v>32716.799999999999</v>
      </c>
      <c r="BV44" s="106">
        <v>34</v>
      </c>
      <c r="BW44" s="106">
        <v>34761.599999999999</v>
      </c>
      <c r="BX44" s="106">
        <v>11</v>
      </c>
      <c r="BY44" s="106">
        <v>11246.4</v>
      </c>
      <c r="BZ44" s="106">
        <v>10</v>
      </c>
      <c r="CA44" s="106">
        <v>10224</v>
      </c>
      <c r="CB44" s="106">
        <v>12</v>
      </c>
      <c r="CC44" s="106">
        <v>12268.8</v>
      </c>
      <c r="CD44" s="106">
        <v>8</v>
      </c>
      <c r="CE44" s="106">
        <v>8179.2</v>
      </c>
      <c r="CF44" s="106">
        <v>5</v>
      </c>
      <c r="CG44" s="106">
        <v>5112</v>
      </c>
      <c r="CH44" s="106">
        <v>4</v>
      </c>
      <c r="CI44" s="106">
        <v>4089.6</v>
      </c>
      <c r="CJ44" s="106">
        <v>5</v>
      </c>
      <c r="CK44" s="106">
        <v>5112</v>
      </c>
      <c r="CL44" s="106">
        <v>4</v>
      </c>
      <c r="CM44" s="106">
        <v>4089.6</v>
      </c>
      <c r="CN44" s="106">
        <v>8</v>
      </c>
      <c r="CO44" s="106">
        <v>8179.2</v>
      </c>
      <c r="CP44" s="106">
        <v>4</v>
      </c>
      <c r="CQ44" s="106">
        <v>4089.6</v>
      </c>
      <c r="CR44" s="106">
        <v>7</v>
      </c>
      <c r="CS44" s="106">
        <v>7156.8</v>
      </c>
      <c r="CT44" s="106">
        <v>6</v>
      </c>
      <c r="CU44" s="106">
        <v>6134.4</v>
      </c>
    </row>
    <row r="45" spans="2:99" x14ac:dyDescent="0.2">
      <c r="C45" s="105" t="s">
        <v>211</v>
      </c>
      <c r="D45" s="106">
        <v>14</v>
      </c>
      <c r="E45" s="106">
        <v>17488.8</v>
      </c>
      <c r="F45" s="106">
        <v>10</v>
      </c>
      <c r="G45" s="106">
        <v>12492</v>
      </c>
      <c r="H45" s="106">
        <v>9</v>
      </c>
      <c r="I45" s="106">
        <v>11242.800000000001</v>
      </c>
      <c r="J45" s="106">
        <v>14</v>
      </c>
      <c r="K45" s="106">
        <v>17488.8</v>
      </c>
      <c r="L45" s="106">
        <v>71</v>
      </c>
      <c r="M45" s="106">
        <v>88693.2</v>
      </c>
      <c r="N45" s="106">
        <v>80</v>
      </c>
      <c r="O45" s="106">
        <v>99936</v>
      </c>
      <c r="P45" s="106">
        <v>69</v>
      </c>
      <c r="Q45" s="106">
        <v>86194.8</v>
      </c>
      <c r="R45" s="106">
        <v>64</v>
      </c>
      <c r="S45" s="106">
        <v>79948.800000000003</v>
      </c>
      <c r="T45" s="106">
        <v>5</v>
      </c>
      <c r="U45" s="106">
        <v>6246</v>
      </c>
      <c r="V45" s="106">
        <v>4</v>
      </c>
      <c r="W45" s="106">
        <v>4996.8</v>
      </c>
      <c r="X45" s="106">
        <v>4</v>
      </c>
      <c r="Y45" s="106">
        <v>4996.8</v>
      </c>
      <c r="Z45" s="106">
        <v>6</v>
      </c>
      <c r="AA45" s="106">
        <v>7495.2000000000007</v>
      </c>
      <c r="AB45" s="106">
        <v>69</v>
      </c>
      <c r="AC45" s="106">
        <v>86194.8</v>
      </c>
      <c r="AD45" s="106">
        <v>62</v>
      </c>
      <c r="AE45" s="106">
        <v>77450.400000000009</v>
      </c>
      <c r="AF45" s="106">
        <v>43</v>
      </c>
      <c r="AG45" s="106">
        <v>53715.6</v>
      </c>
      <c r="AH45" s="106">
        <v>65</v>
      </c>
      <c r="AI45" s="106">
        <v>81198</v>
      </c>
      <c r="AJ45" s="106">
        <v>37</v>
      </c>
      <c r="AK45" s="106">
        <v>46220.4</v>
      </c>
      <c r="AL45" s="106">
        <v>53</v>
      </c>
      <c r="AM45" s="106">
        <v>66207.600000000006</v>
      </c>
      <c r="AN45" s="106">
        <v>52</v>
      </c>
      <c r="AO45" s="106">
        <v>64958.400000000001</v>
      </c>
      <c r="AP45" s="106">
        <v>36</v>
      </c>
      <c r="AQ45" s="106">
        <v>44971.200000000004</v>
      </c>
      <c r="AR45" s="106">
        <v>16</v>
      </c>
      <c r="AS45" s="106">
        <v>19987.2</v>
      </c>
      <c r="AT45" s="106">
        <v>20</v>
      </c>
      <c r="AU45" s="106">
        <v>24984</v>
      </c>
      <c r="AV45" s="106">
        <v>16</v>
      </c>
      <c r="AW45" s="106">
        <v>19987.2</v>
      </c>
      <c r="AX45" s="106">
        <v>19</v>
      </c>
      <c r="AY45" s="106">
        <v>23734.799999999999</v>
      </c>
      <c r="AZ45" s="106">
        <v>7</v>
      </c>
      <c r="BA45" s="106">
        <v>8744.4</v>
      </c>
      <c r="BB45" s="106">
        <v>5</v>
      </c>
      <c r="BC45" s="106">
        <v>6246</v>
      </c>
      <c r="BD45" s="106">
        <v>7</v>
      </c>
      <c r="BE45" s="106">
        <v>8744.4</v>
      </c>
      <c r="BF45" s="106">
        <v>6</v>
      </c>
      <c r="BG45" s="106">
        <v>7495.2000000000007</v>
      </c>
      <c r="BH45" s="106">
        <v>50</v>
      </c>
      <c r="BI45" s="106">
        <v>62460</v>
      </c>
      <c r="BJ45" s="106">
        <v>59</v>
      </c>
      <c r="BK45" s="106">
        <v>73702.8</v>
      </c>
      <c r="BL45" s="106">
        <v>60</v>
      </c>
      <c r="BM45" s="106">
        <v>74952</v>
      </c>
      <c r="BN45" s="106">
        <v>53</v>
      </c>
      <c r="BO45" s="106">
        <v>66207.600000000006</v>
      </c>
      <c r="BP45" s="106">
        <v>43</v>
      </c>
      <c r="BQ45" s="106">
        <v>53715.6</v>
      </c>
      <c r="BR45" s="106">
        <v>24</v>
      </c>
      <c r="BS45" s="106">
        <v>29980.800000000003</v>
      </c>
      <c r="BT45" s="106">
        <v>31</v>
      </c>
      <c r="BU45" s="106">
        <v>38725.200000000004</v>
      </c>
      <c r="BV45" s="106">
        <v>32</v>
      </c>
      <c r="BW45" s="106">
        <v>39974.400000000001</v>
      </c>
      <c r="BX45" s="106">
        <v>9</v>
      </c>
      <c r="BY45" s="106">
        <v>11242.800000000001</v>
      </c>
      <c r="BZ45" s="106">
        <v>9</v>
      </c>
      <c r="CA45" s="106">
        <v>11242.800000000001</v>
      </c>
      <c r="CB45" s="106">
        <v>12</v>
      </c>
      <c r="CC45" s="106">
        <v>14990.400000000001</v>
      </c>
      <c r="CD45" s="106">
        <v>7</v>
      </c>
      <c r="CE45" s="106">
        <v>8744.4</v>
      </c>
      <c r="CF45" s="106">
        <v>5</v>
      </c>
      <c r="CG45" s="106">
        <v>6246</v>
      </c>
      <c r="CH45" s="106">
        <v>4</v>
      </c>
      <c r="CI45" s="106">
        <v>4996.8</v>
      </c>
      <c r="CJ45" s="106">
        <v>4</v>
      </c>
      <c r="CK45" s="106">
        <v>4996.8</v>
      </c>
      <c r="CL45" s="106">
        <v>5</v>
      </c>
      <c r="CM45" s="106">
        <v>6246</v>
      </c>
      <c r="CN45" s="106">
        <v>8</v>
      </c>
      <c r="CO45" s="106">
        <v>9993.6</v>
      </c>
      <c r="CP45" s="106">
        <v>4</v>
      </c>
      <c r="CQ45" s="106">
        <v>4996.8</v>
      </c>
      <c r="CR45" s="106">
        <v>6</v>
      </c>
      <c r="CS45" s="106">
        <v>7495.2000000000007</v>
      </c>
      <c r="CT45" s="106">
        <v>5</v>
      </c>
      <c r="CU45" s="106">
        <v>6246</v>
      </c>
    </row>
    <row r="46" spans="2:99" x14ac:dyDescent="0.2">
      <c r="C46" s="105" t="s">
        <v>212</v>
      </c>
      <c r="D46" s="106">
        <v>15</v>
      </c>
      <c r="E46" s="106">
        <v>18180</v>
      </c>
      <c r="F46" s="106">
        <v>10</v>
      </c>
      <c r="G46" s="106">
        <v>12120</v>
      </c>
      <c r="H46" s="106">
        <v>10</v>
      </c>
      <c r="I46" s="106">
        <v>12120</v>
      </c>
      <c r="J46" s="106">
        <v>14</v>
      </c>
      <c r="K46" s="106">
        <v>16968</v>
      </c>
      <c r="L46" s="106">
        <v>61</v>
      </c>
      <c r="M46" s="106">
        <v>73932</v>
      </c>
      <c r="N46" s="106">
        <v>84</v>
      </c>
      <c r="O46" s="106">
        <v>101808</v>
      </c>
      <c r="P46" s="106">
        <v>62</v>
      </c>
      <c r="Q46" s="106">
        <v>75144</v>
      </c>
      <c r="R46" s="106">
        <v>64</v>
      </c>
      <c r="S46" s="106">
        <v>77568</v>
      </c>
      <c r="T46" s="106">
        <v>6</v>
      </c>
      <c r="U46" s="106">
        <v>7272</v>
      </c>
      <c r="V46" s="106">
        <v>4</v>
      </c>
      <c r="W46" s="106">
        <v>4848</v>
      </c>
      <c r="X46" s="106">
        <v>4</v>
      </c>
      <c r="Y46" s="106">
        <v>4848</v>
      </c>
      <c r="Z46" s="106">
        <v>5</v>
      </c>
      <c r="AA46" s="106">
        <v>6060</v>
      </c>
      <c r="AB46" s="106">
        <v>70</v>
      </c>
      <c r="AC46" s="106">
        <v>84840</v>
      </c>
      <c r="AD46" s="106">
        <v>56</v>
      </c>
      <c r="AE46" s="106">
        <v>67872</v>
      </c>
      <c r="AF46" s="106">
        <v>49</v>
      </c>
      <c r="AG46" s="106">
        <v>59388</v>
      </c>
      <c r="AH46" s="106">
        <v>70</v>
      </c>
      <c r="AI46" s="106">
        <v>84840</v>
      </c>
      <c r="AJ46" s="106">
        <v>40</v>
      </c>
      <c r="AK46" s="106">
        <v>48480</v>
      </c>
      <c r="AL46" s="106">
        <v>47</v>
      </c>
      <c r="AM46" s="106">
        <v>56964</v>
      </c>
      <c r="AN46" s="106">
        <v>47</v>
      </c>
      <c r="AO46" s="106">
        <v>56964</v>
      </c>
      <c r="AP46" s="106">
        <v>41</v>
      </c>
      <c r="AQ46" s="106">
        <v>49692</v>
      </c>
      <c r="AR46" s="106">
        <v>17</v>
      </c>
      <c r="AS46" s="106">
        <v>20604</v>
      </c>
      <c r="AT46" s="106">
        <v>18</v>
      </c>
      <c r="AU46" s="106">
        <v>21816</v>
      </c>
      <c r="AV46" s="106">
        <v>17</v>
      </c>
      <c r="AW46" s="106">
        <v>20604</v>
      </c>
      <c r="AX46" s="106">
        <v>19</v>
      </c>
      <c r="AY46" s="106">
        <v>23028</v>
      </c>
      <c r="AZ46" s="106">
        <v>6</v>
      </c>
      <c r="BA46" s="106">
        <v>7272</v>
      </c>
      <c r="BB46" s="106">
        <v>4</v>
      </c>
      <c r="BC46" s="106">
        <v>4848</v>
      </c>
      <c r="BD46" s="106">
        <v>7</v>
      </c>
      <c r="BE46" s="106">
        <v>8484</v>
      </c>
      <c r="BF46" s="106">
        <v>5</v>
      </c>
      <c r="BG46" s="106">
        <v>6060</v>
      </c>
      <c r="BH46" s="106">
        <v>54</v>
      </c>
      <c r="BI46" s="106">
        <v>65448</v>
      </c>
      <c r="BJ46" s="106">
        <v>67</v>
      </c>
      <c r="BK46" s="106">
        <v>81204</v>
      </c>
      <c r="BL46" s="106">
        <v>62</v>
      </c>
      <c r="BM46" s="106">
        <v>75144</v>
      </c>
      <c r="BN46" s="106">
        <v>49</v>
      </c>
      <c r="BO46" s="106">
        <v>59388</v>
      </c>
      <c r="BP46" s="106">
        <v>37</v>
      </c>
      <c r="BQ46" s="106">
        <v>44844</v>
      </c>
      <c r="BR46" s="106">
        <v>23</v>
      </c>
      <c r="BS46" s="106">
        <v>27876</v>
      </c>
      <c r="BT46" s="106">
        <v>32</v>
      </c>
      <c r="BU46" s="106">
        <v>38784</v>
      </c>
      <c r="BV46" s="106">
        <v>30</v>
      </c>
      <c r="BW46" s="106">
        <v>36360</v>
      </c>
      <c r="BX46" s="106">
        <v>10</v>
      </c>
      <c r="BY46" s="106">
        <v>12120</v>
      </c>
      <c r="BZ46" s="106">
        <v>10</v>
      </c>
      <c r="CA46" s="106">
        <v>12120</v>
      </c>
      <c r="CB46" s="106">
        <v>11</v>
      </c>
      <c r="CC46" s="106">
        <v>13332</v>
      </c>
      <c r="CD46" s="106">
        <v>8</v>
      </c>
      <c r="CE46" s="106">
        <v>9696</v>
      </c>
      <c r="CF46" s="106">
        <v>5</v>
      </c>
      <c r="CG46" s="106">
        <v>6060</v>
      </c>
      <c r="CH46" s="106">
        <v>4</v>
      </c>
      <c r="CI46" s="106">
        <v>4848</v>
      </c>
      <c r="CJ46" s="106">
        <v>5</v>
      </c>
      <c r="CK46" s="106">
        <v>6060</v>
      </c>
      <c r="CL46" s="106">
        <v>5</v>
      </c>
      <c r="CM46" s="106">
        <v>6060</v>
      </c>
      <c r="CN46" s="106">
        <v>8</v>
      </c>
      <c r="CO46" s="106">
        <v>9696</v>
      </c>
      <c r="CP46" s="106">
        <v>4</v>
      </c>
      <c r="CQ46" s="106">
        <v>4848</v>
      </c>
      <c r="CR46" s="106">
        <v>6</v>
      </c>
      <c r="CS46" s="106">
        <v>7272</v>
      </c>
      <c r="CT46" s="106">
        <v>6</v>
      </c>
      <c r="CU46" s="106">
        <v>7272</v>
      </c>
    </row>
    <row r="47" spans="2:99" x14ac:dyDescent="0.2">
      <c r="C47" s="105" t="s">
        <v>213</v>
      </c>
      <c r="D47" s="106">
        <v>14</v>
      </c>
      <c r="E47" s="106">
        <v>21386.399999999998</v>
      </c>
      <c r="F47" s="106">
        <v>8</v>
      </c>
      <c r="G47" s="106">
        <v>12220.8</v>
      </c>
      <c r="H47" s="106">
        <v>10</v>
      </c>
      <c r="I47" s="106">
        <v>15276</v>
      </c>
      <c r="J47" s="106">
        <v>13</v>
      </c>
      <c r="K47" s="106">
        <v>19858.8</v>
      </c>
      <c r="L47" s="106">
        <v>62</v>
      </c>
      <c r="M47" s="106">
        <v>94711.2</v>
      </c>
      <c r="N47" s="106">
        <v>78</v>
      </c>
      <c r="O47" s="106">
        <v>119152.79999999999</v>
      </c>
      <c r="P47" s="106">
        <v>63</v>
      </c>
      <c r="Q47" s="106">
        <v>96238.799999999988</v>
      </c>
      <c r="R47" s="106">
        <v>66</v>
      </c>
      <c r="S47" s="106">
        <v>100821.59999999999</v>
      </c>
      <c r="T47" s="106">
        <v>6</v>
      </c>
      <c r="U47" s="106">
        <v>9165.5999999999985</v>
      </c>
      <c r="V47" s="106">
        <v>4</v>
      </c>
      <c r="W47" s="106">
        <v>6110.4</v>
      </c>
      <c r="X47" s="106">
        <v>4</v>
      </c>
      <c r="Y47" s="106">
        <v>6110.4</v>
      </c>
      <c r="Z47" s="106">
        <v>5</v>
      </c>
      <c r="AA47" s="106">
        <v>7638</v>
      </c>
      <c r="AB47" s="106">
        <v>60</v>
      </c>
      <c r="AC47" s="106">
        <v>91656</v>
      </c>
      <c r="AD47" s="106">
        <v>58</v>
      </c>
      <c r="AE47" s="106">
        <v>88600.799999999988</v>
      </c>
      <c r="AF47" s="106">
        <v>43</v>
      </c>
      <c r="AG47" s="106">
        <v>65686.8</v>
      </c>
      <c r="AH47" s="106">
        <v>62</v>
      </c>
      <c r="AI47" s="106">
        <v>94711.2</v>
      </c>
      <c r="AJ47" s="106">
        <v>35</v>
      </c>
      <c r="AK47" s="106">
        <v>53466</v>
      </c>
      <c r="AL47" s="106">
        <v>45</v>
      </c>
      <c r="AM47" s="106">
        <v>68742</v>
      </c>
      <c r="AN47" s="106">
        <v>47</v>
      </c>
      <c r="AO47" s="106">
        <v>71797.2</v>
      </c>
      <c r="AP47" s="106">
        <v>35</v>
      </c>
      <c r="AQ47" s="106">
        <v>53466</v>
      </c>
      <c r="AR47" s="106">
        <v>15</v>
      </c>
      <c r="AS47" s="106">
        <v>22914</v>
      </c>
      <c r="AT47" s="106">
        <v>18</v>
      </c>
      <c r="AU47" s="106">
        <v>27496.799999999999</v>
      </c>
      <c r="AV47" s="106">
        <v>17</v>
      </c>
      <c r="AW47" s="106">
        <v>25969.199999999997</v>
      </c>
      <c r="AX47" s="106">
        <v>21</v>
      </c>
      <c r="AY47" s="106">
        <v>32079.599999999999</v>
      </c>
      <c r="AZ47" s="106">
        <v>6</v>
      </c>
      <c r="BA47" s="106">
        <v>9165.5999999999985</v>
      </c>
      <c r="BB47" s="106">
        <v>4</v>
      </c>
      <c r="BC47" s="106">
        <v>6110.4</v>
      </c>
      <c r="BD47" s="106">
        <v>7</v>
      </c>
      <c r="BE47" s="106">
        <v>10693.199999999999</v>
      </c>
      <c r="BF47" s="106">
        <v>5</v>
      </c>
      <c r="BG47" s="106">
        <v>7638</v>
      </c>
      <c r="BH47" s="106">
        <v>50</v>
      </c>
      <c r="BI47" s="106">
        <v>76380</v>
      </c>
      <c r="BJ47" s="106">
        <v>57</v>
      </c>
      <c r="BK47" s="106">
        <v>87073.2</v>
      </c>
      <c r="BL47" s="106">
        <v>55</v>
      </c>
      <c r="BM47" s="106">
        <v>84018</v>
      </c>
      <c r="BN47" s="106">
        <v>51</v>
      </c>
      <c r="BO47" s="106">
        <v>77907.599999999991</v>
      </c>
      <c r="BP47" s="106">
        <v>39</v>
      </c>
      <c r="BQ47" s="106">
        <v>59576.399999999994</v>
      </c>
      <c r="BR47" s="106">
        <v>24</v>
      </c>
      <c r="BS47" s="106">
        <v>36662.399999999994</v>
      </c>
      <c r="BT47" s="106">
        <v>26</v>
      </c>
      <c r="BU47" s="106">
        <v>39717.599999999999</v>
      </c>
      <c r="BV47" s="106">
        <v>32</v>
      </c>
      <c r="BW47" s="106">
        <v>48883.199999999997</v>
      </c>
      <c r="BX47" s="106">
        <v>9</v>
      </c>
      <c r="BY47" s="106">
        <v>13748.4</v>
      </c>
      <c r="BZ47" s="106">
        <v>10</v>
      </c>
      <c r="CA47" s="106">
        <v>15276</v>
      </c>
      <c r="CB47" s="106">
        <v>10</v>
      </c>
      <c r="CC47" s="106">
        <v>15276</v>
      </c>
      <c r="CD47" s="106">
        <v>7</v>
      </c>
      <c r="CE47" s="106">
        <v>10693.199999999999</v>
      </c>
      <c r="CF47" s="106">
        <v>5</v>
      </c>
      <c r="CG47" s="106">
        <v>7638</v>
      </c>
      <c r="CH47" s="106">
        <v>4</v>
      </c>
      <c r="CI47" s="106">
        <v>6110.4</v>
      </c>
      <c r="CJ47" s="106">
        <v>4</v>
      </c>
      <c r="CK47" s="106">
        <v>6110.4</v>
      </c>
      <c r="CL47" s="106">
        <v>4</v>
      </c>
      <c r="CM47" s="106">
        <v>6110.4</v>
      </c>
      <c r="CN47" s="106">
        <v>7</v>
      </c>
      <c r="CO47" s="106">
        <v>10693.199999999999</v>
      </c>
      <c r="CP47" s="106">
        <v>4</v>
      </c>
      <c r="CQ47" s="106">
        <v>6110.4</v>
      </c>
      <c r="CR47" s="106">
        <v>6</v>
      </c>
      <c r="CS47" s="106">
        <v>9165.5999999999985</v>
      </c>
      <c r="CT47" s="106">
        <v>6</v>
      </c>
      <c r="CU47" s="106">
        <v>9165.5999999999985</v>
      </c>
    </row>
    <row r="48" spans="2:99" x14ac:dyDescent="0.2">
      <c r="C48" s="105" t="s">
        <v>214</v>
      </c>
      <c r="D48" s="106">
        <v>13</v>
      </c>
      <c r="E48" s="106">
        <v>11278.800000000001</v>
      </c>
      <c r="F48" s="106">
        <v>11</v>
      </c>
      <c r="G48" s="106">
        <v>9543.6</v>
      </c>
      <c r="H48" s="106">
        <v>9</v>
      </c>
      <c r="I48" s="106">
        <v>7808.4000000000005</v>
      </c>
      <c r="J48" s="106">
        <v>16</v>
      </c>
      <c r="K48" s="106">
        <v>13881.6</v>
      </c>
      <c r="L48" s="106">
        <v>66</v>
      </c>
      <c r="M48" s="106">
        <v>57261.599999999999</v>
      </c>
      <c r="N48" s="106">
        <v>92</v>
      </c>
      <c r="O48" s="106">
        <v>79819.199999999997</v>
      </c>
      <c r="P48" s="106">
        <v>76</v>
      </c>
      <c r="Q48" s="106">
        <v>65937.600000000006</v>
      </c>
      <c r="R48" s="106">
        <v>70</v>
      </c>
      <c r="S48" s="106">
        <v>60732</v>
      </c>
      <c r="T48" s="106">
        <v>5</v>
      </c>
      <c r="U48" s="106">
        <v>4338</v>
      </c>
      <c r="V48" s="106">
        <v>4</v>
      </c>
      <c r="W48" s="106">
        <v>3470.4</v>
      </c>
      <c r="X48" s="106">
        <v>4</v>
      </c>
      <c r="Y48" s="106">
        <v>3470.4</v>
      </c>
      <c r="Z48" s="106">
        <v>5</v>
      </c>
      <c r="AA48" s="106">
        <v>4338</v>
      </c>
      <c r="AB48" s="106">
        <v>69</v>
      </c>
      <c r="AC48" s="106">
        <v>59864.4</v>
      </c>
      <c r="AD48" s="106">
        <v>63</v>
      </c>
      <c r="AE48" s="106">
        <v>54658.8</v>
      </c>
      <c r="AF48" s="106">
        <v>51</v>
      </c>
      <c r="AG48" s="106">
        <v>44247.6</v>
      </c>
      <c r="AH48" s="106">
        <v>70</v>
      </c>
      <c r="AI48" s="106">
        <v>60732</v>
      </c>
      <c r="AJ48" s="106">
        <v>41</v>
      </c>
      <c r="AK48" s="106">
        <v>35571.599999999999</v>
      </c>
      <c r="AL48" s="106">
        <v>58</v>
      </c>
      <c r="AM48" s="106">
        <v>50320.800000000003</v>
      </c>
      <c r="AN48" s="106">
        <v>56</v>
      </c>
      <c r="AO48" s="106">
        <v>48585.599999999999</v>
      </c>
      <c r="AP48" s="106">
        <v>40</v>
      </c>
      <c r="AQ48" s="106">
        <v>34704</v>
      </c>
      <c r="AR48" s="106">
        <v>17</v>
      </c>
      <c r="AS48" s="106">
        <v>14749.2</v>
      </c>
      <c r="AT48" s="106">
        <v>21</v>
      </c>
      <c r="AU48" s="106">
        <v>18219.600000000002</v>
      </c>
      <c r="AV48" s="106">
        <v>17</v>
      </c>
      <c r="AW48" s="106">
        <v>14749.2</v>
      </c>
      <c r="AX48" s="106">
        <v>23</v>
      </c>
      <c r="AY48" s="106">
        <v>19954.8</v>
      </c>
      <c r="AZ48" s="106">
        <v>7</v>
      </c>
      <c r="BA48" s="106">
        <v>6073.2</v>
      </c>
      <c r="BB48" s="106">
        <v>5</v>
      </c>
      <c r="BC48" s="106">
        <v>4338</v>
      </c>
      <c r="BD48" s="106">
        <v>7</v>
      </c>
      <c r="BE48" s="106">
        <v>6073.2</v>
      </c>
      <c r="BF48" s="106">
        <v>6</v>
      </c>
      <c r="BG48" s="106">
        <v>5205.6000000000004</v>
      </c>
      <c r="BH48" s="106">
        <v>59</v>
      </c>
      <c r="BI48" s="106">
        <v>51188.4</v>
      </c>
      <c r="BJ48" s="106">
        <v>72</v>
      </c>
      <c r="BK48" s="106">
        <v>62467.200000000004</v>
      </c>
      <c r="BL48" s="106">
        <v>71</v>
      </c>
      <c r="BM48" s="106">
        <v>61599.6</v>
      </c>
      <c r="BN48" s="106">
        <v>60</v>
      </c>
      <c r="BO48" s="106">
        <v>52056</v>
      </c>
      <c r="BP48" s="106">
        <v>42</v>
      </c>
      <c r="BQ48" s="106">
        <v>36439.200000000004</v>
      </c>
      <c r="BR48" s="106">
        <v>25</v>
      </c>
      <c r="BS48" s="106">
        <v>21690</v>
      </c>
      <c r="BT48" s="106">
        <v>29</v>
      </c>
      <c r="BU48" s="106">
        <v>25160.400000000001</v>
      </c>
      <c r="BV48" s="106">
        <v>33</v>
      </c>
      <c r="BW48" s="106">
        <v>28630.799999999999</v>
      </c>
      <c r="BX48" s="106">
        <v>10</v>
      </c>
      <c r="BY48" s="106">
        <v>8676</v>
      </c>
      <c r="BZ48" s="106">
        <v>11</v>
      </c>
      <c r="CA48" s="106">
        <v>9543.6</v>
      </c>
      <c r="CB48" s="106">
        <v>13</v>
      </c>
      <c r="CC48" s="106">
        <v>11278.800000000001</v>
      </c>
      <c r="CD48" s="106">
        <v>8</v>
      </c>
      <c r="CE48" s="106">
        <v>6940.8</v>
      </c>
      <c r="CF48" s="106">
        <v>6</v>
      </c>
      <c r="CG48" s="106">
        <v>5205.6000000000004</v>
      </c>
      <c r="CH48" s="106">
        <v>5</v>
      </c>
      <c r="CI48" s="106">
        <v>4338</v>
      </c>
      <c r="CJ48" s="106">
        <v>5</v>
      </c>
      <c r="CK48" s="106">
        <v>4338</v>
      </c>
      <c r="CL48" s="106">
        <v>4</v>
      </c>
      <c r="CM48" s="106">
        <v>3470.4</v>
      </c>
      <c r="CN48" s="106">
        <v>9</v>
      </c>
      <c r="CO48" s="106">
        <v>7808.4000000000005</v>
      </c>
      <c r="CP48" s="106">
        <v>4</v>
      </c>
      <c r="CQ48" s="106">
        <v>3470.4</v>
      </c>
      <c r="CR48" s="106">
        <v>7</v>
      </c>
      <c r="CS48" s="106">
        <v>6073.2</v>
      </c>
      <c r="CT48" s="106">
        <v>6</v>
      </c>
      <c r="CU48" s="106">
        <v>5205.6000000000004</v>
      </c>
    </row>
    <row r="49" spans="2:99" x14ac:dyDescent="0.2">
      <c r="B49" s="105" t="s">
        <v>129</v>
      </c>
      <c r="C49" s="105" t="s">
        <v>215</v>
      </c>
      <c r="D49" s="106">
        <v>5</v>
      </c>
      <c r="E49" s="106">
        <v>4926</v>
      </c>
      <c r="F49" s="106">
        <v>7</v>
      </c>
      <c r="G49" s="106">
        <v>6896.4</v>
      </c>
      <c r="H49" s="106">
        <v>6</v>
      </c>
      <c r="I49" s="106">
        <v>5911.2</v>
      </c>
      <c r="J49" s="106">
        <v>5</v>
      </c>
      <c r="K49" s="106">
        <v>4926</v>
      </c>
      <c r="L49" s="106">
        <v>35.461743925179185</v>
      </c>
      <c r="M49" s="106">
        <v>34936.910115086532</v>
      </c>
      <c r="N49" s="106">
        <v>26</v>
      </c>
      <c r="O49" s="106">
        <v>25615.199999999997</v>
      </c>
      <c r="P49" s="106">
        <v>35.245105908746574</v>
      </c>
      <c r="Q49" s="106">
        <v>34723.478341297123</v>
      </c>
      <c r="R49" s="106">
        <v>28.39541779668896</v>
      </c>
      <c r="S49" s="106">
        <v>27975.165613297962</v>
      </c>
      <c r="T49" s="106">
        <v>2</v>
      </c>
      <c r="U49" s="106">
        <v>1970.3999999999999</v>
      </c>
      <c r="V49" s="106">
        <v>4.2228359893380913</v>
      </c>
      <c r="W49" s="106">
        <v>4160.3380166958877</v>
      </c>
      <c r="X49" s="106">
        <v>5.1261926278240191</v>
      </c>
      <c r="Y49" s="106">
        <v>5050.3249769322229</v>
      </c>
      <c r="Z49" s="106">
        <v>4.1527881749082232</v>
      </c>
      <c r="AA49" s="106">
        <v>4091.3269099195813</v>
      </c>
      <c r="AB49" s="106">
        <v>7.1898459833795014</v>
      </c>
      <c r="AC49" s="106">
        <v>7083.4362628254839</v>
      </c>
      <c r="AD49" s="106">
        <v>7</v>
      </c>
      <c r="AE49" s="106">
        <v>6896.4</v>
      </c>
      <c r="AF49" s="106">
        <v>6.3993083031075386</v>
      </c>
      <c r="AG49" s="106">
        <v>6304.5985402215465</v>
      </c>
      <c r="AH49" s="106">
        <v>8.2687544993099156</v>
      </c>
      <c r="AI49" s="106">
        <v>8146.376932720128</v>
      </c>
      <c r="AJ49" s="106">
        <v>5</v>
      </c>
      <c r="AK49" s="106">
        <v>4926</v>
      </c>
      <c r="AL49" s="106">
        <v>7.6137831820391986</v>
      </c>
      <c r="AM49" s="106">
        <v>7501.0991909450177</v>
      </c>
      <c r="AN49" s="106">
        <v>8.8619062985576615</v>
      </c>
      <c r="AO49" s="106">
        <v>8730.7500853390084</v>
      </c>
      <c r="AP49" s="106">
        <v>7</v>
      </c>
      <c r="AQ49" s="106">
        <v>6896.4</v>
      </c>
      <c r="AR49" s="106">
        <v>4</v>
      </c>
      <c r="AS49" s="106">
        <v>3940.7999999999997</v>
      </c>
      <c r="AT49" s="106">
        <v>3.4268104879216792</v>
      </c>
      <c r="AU49" s="106">
        <v>3376.0936927004382</v>
      </c>
      <c r="AV49" s="106">
        <v>4.2566554098504454</v>
      </c>
      <c r="AW49" s="106">
        <v>4193.6569097846586</v>
      </c>
      <c r="AX49" s="106">
        <v>4.1836049382716052</v>
      </c>
      <c r="AY49" s="106">
        <v>4121.6875851851855</v>
      </c>
      <c r="AZ49" s="106">
        <v>8.4415417325060051</v>
      </c>
      <c r="BA49" s="106">
        <v>8316.6069148649149</v>
      </c>
      <c r="BB49" s="106">
        <v>10</v>
      </c>
      <c r="BC49" s="106">
        <v>9852</v>
      </c>
      <c r="BD49" s="106">
        <v>5.5703376276382564</v>
      </c>
      <c r="BE49" s="106">
        <v>5487.8966307492101</v>
      </c>
      <c r="BF49" s="106">
        <v>4</v>
      </c>
      <c r="BG49" s="106">
        <v>3940.7999999999997</v>
      </c>
      <c r="BH49" s="106">
        <v>3.4642480318155995</v>
      </c>
      <c r="BI49" s="106">
        <v>3412.9771609447284</v>
      </c>
      <c r="BJ49" s="106">
        <v>4.4643748385442805</v>
      </c>
      <c r="BK49" s="106">
        <v>4398.3020909338247</v>
      </c>
      <c r="BL49" s="106">
        <v>4.3698062437193235</v>
      </c>
      <c r="BM49" s="106">
        <v>4305.1331113122769</v>
      </c>
      <c r="BN49" s="106">
        <v>5.449179680418915</v>
      </c>
      <c r="BO49" s="106">
        <v>5368.5318211487147</v>
      </c>
      <c r="BP49" s="106">
        <v>2.4321371010709147</v>
      </c>
      <c r="BQ49" s="106">
        <v>2396.1414719750651</v>
      </c>
      <c r="BR49" s="106">
        <v>3.4105340113903626</v>
      </c>
      <c r="BS49" s="106">
        <v>3360.0581080217848</v>
      </c>
      <c r="BT49" s="106">
        <v>3</v>
      </c>
      <c r="BU49" s="106">
        <v>2955.6</v>
      </c>
      <c r="BV49" s="106">
        <v>3.282209635931935</v>
      </c>
      <c r="BW49" s="106">
        <v>3233.632933320142</v>
      </c>
      <c r="BX49" s="106">
        <v>43</v>
      </c>
      <c r="BY49" s="106">
        <v>42363.6</v>
      </c>
      <c r="BZ49" s="106">
        <v>63</v>
      </c>
      <c r="CA49" s="106">
        <v>62067.6</v>
      </c>
      <c r="CB49" s="106">
        <v>47</v>
      </c>
      <c r="CC49" s="106">
        <v>46304.399999999994</v>
      </c>
      <c r="CD49" s="106">
        <v>58.395891109917308</v>
      </c>
      <c r="CE49" s="106">
        <v>57531.631921490531</v>
      </c>
      <c r="CF49" s="106">
        <v>21.808499999999999</v>
      </c>
      <c r="CG49" s="106">
        <v>21485.734199999999</v>
      </c>
      <c r="CH49" s="106">
        <v>19</v>
      </c>
      <c r="CI49" s="106">
        <v>18718.8</v>
      </c>
      <c r="CJ49" s="106">
        <v>19.538544286944944</v>
      </c>
      <c r="CK49" s="106">
        <v>19249.373831498157</v>
      </c>
      <c r="CL49" s="106">
        <v>25.781536928719284</v>
      </c>
      <c r="CM49" s="106">
        <v>25399.970182174238</v>
      </c>
      <c r="CN49" s="106">
        <v>3.6818975843158586</v>
      </c>
      <c r="CO49" s="106">
        <v>3627.4055000679837</v>
      </c>
      <c r="CP49" s="106">
        <v>4</v>
      </c>
      <c r="CQ49" s="106">
        <v>3940.7999999999997</v>
      </c>
      <c r="CR49" s="106">
        <v>3</v>
      </c>
      <c r="CS49" s="106">
        <v>2955.6</v>
      </c>
      <c r="CT49" s="106">
        <v>2</v>
      </c>
      <c r="CU49" s="106">
        <v>1970.3999999999999</v>
      </c>
    </row>
    <row r="50" spans="2:99" x14ac:dyDescent="0.2">
      <c r="C50" s="105" t="s">
        <v>216</v>
      </c>
      <c r="D50" s="106">
        <v>5</v>
      </c>
      <c r="E50" s="106">
        <v>1410</v>
      </c>
      <c r="F50" s="106">
        <v>6</v>
      </c>
      <c r="G50" s="106">
        <v>1692</v>
      </c>
      <c r="H50" s="106">
        <v>6</v>
      </c>
      <c r="I50" s="106">
        <v>1692</v>
      </c>
      <c r="J50" s="106">
        <v>6</v>
      </c>
      <c r="K50" s="106">
        <v>1692</v>
      </c>
      <c r="L50" s="106">
        <v>43</v>
      </c>
      <c r="M50" s="106">
        <v>12126</v>
      </c>
      <c r="N50" s="106">
        <v>30</v>
      </c>
      <c r="O50" s="106">
        <v>8460</v>
      </c>
      <c r="P50" s="106">
        <v>40</v>
      </c>
      <c r="Q50" s="106">
        <v>11280</v>
      </c>
      <c r="R50" s="106">
        <v>37</v>
      </c>
      <c r="S50" s="106">
        <v>10434</v>
      </c>
      <c r="T50" s="106">
        <v>3</v>
      </c>
      <c r="U50" s="106">
        <v>846</v>
      </c>
      <c r="V50" s="106">
        <v>4</v>
      </c>
      <c r="W50" s="106">
        <v>1128</v>
      </c>
      <c r="X50" s="106">
        <v>5</v>
      </c>
      <c r="Y50" s="106">
        <v>1410</v>
      </c>
      <c r="Z50" s="106">
        <v>5</v>
      </c>
      <c r="AA50" s="106">
        <v>1410</v>
      </c>
      <c r="AB50" s="106">
        <v>7</v>
      </c>
      <c r="AC50" s="106">
        <v>1974</v>
      </c>
      <c r="AD50" s="106">
        <v>8</v>
      </c>
      <c r="AE50" s="106">
        <v>2256</v>
      </c>
      <c r="AF50" s="106">
        <v>7</v>
      </c>
      <c r="AG50" s="106">
        <v>1974</v>
      </c>
      <c r="AH50" s="106">
        <v>8</v>
      </c>
      <c r="AI50" s="106">
        <v>2256</v>
      </c>
      <c r="AJ50" s="106">
        <v>6</v>
      </c>
      <c r="AK50" s="106">
        <v>1692</v>
      </c>
      <c r="AL50" s="106">
        <v>7</v>
      </c>
      <c r="AM50" s="106">
        <v>1974</v>
      </c>
      <c r="AN50" s="106">
        <v>8</v>
      </c>
      <c r="AO50" s="106">
        <v>2256</v>
      </c>
      <c r="AP50" s="106">
        <v>7</v>
      </c>
      <c r="AQ50" s="106">
        <v>1974</v>
      </c>
      <c r="AR50" s="106">
        <v>4</v>
      </c>
      <c r="AS50" s="106">
        <v>1128</v>
      </c>
      <c r="AT50" s="106">
        <v>3</v>
      </c>
      <c r="AU50" s="106">
        <v>846</v>
      </c>
      <c r="AV50" s="106">
        <v>4</v>
      </c>
      <c r="AW50" s="106">
        <v>1128</v>
      </c>
      <c r="AX50" s="106">
        <v>5</v>
      </c>
      <c r="AY50" s="106">
        <v>1410</v>
      </c>
      <c r="AZ50" s="106">
        <v>9</v>
      </c>
      <c r="BA50" s="106">
        <v>2538</v>
      </c>
      <c r="BB50" s="106">
        <v>10</v>
      </c>
      <c r="BC50" s="106">
        <v>2820</v>
      </c>
      <c r="BD50" s="106">
        <v>5</v>
      </c>
      <c r="BE50" s="106">
        <v>1410</v>
      </c>
      <c r="BF50" s="106">
        <v>5</v>
      </c>
      <c r="BG50" s="106">
        <v>1410</v>
      </c>
      <c r="BH50" s="106">
        <v>3</v>
      </c>
      <c r="BI50" s="106">
        <v>846</v>
      </c>
      <c r="BJ50" s="106">
        <v>4</v>
      </c>
      <c r="BK50" s="106">
        <v>1128</v>
      </c>
      <c r="BL50" s="106">
        <v>5</v>
      </c>
      <c r="BM50" s="106">
        <v>1410</v>
      </c>
      <c r="BN50" s="106">
        <v>5</v>
      </c>
      <c r="BO50" s="106">
        <v>1410</v>
      </c>
      <c r="BP50" s="106">
        <v>2</v>
      </c>
      <c r="BQ50" s="106">
        <v>564</v>
      </c>
      <c r="BR50" s="106">
        <v>3</v>
      </c>
      <c r="BS50" s="106">
        <v>846</v>
      </c>
      <c r="BT50" s="106">
        <v>3</v>
      </c>
      <c r="BU50" s="106">
        <v>846</v>
      </c>
      <c r="BV50" s="106">
        <v>3</v>
      </c>
      <c r="BW50" s="106">
        <v>846</v>
      </c>
      <c r="BX50" s="106">
        <v>55</v>
      </c>
      <c r="BY50" s="106">
        <v>15510</v>
      </c>
      <c r="BZ50" s="106">
        <v>66</v>
      </c>
      <c r="CA50" s="106">
        <v>18612</v>
      </c>
      <c r="CB50" s="106">
        <v>55</v>
      </c>
      <c r="CC50" s="106">
        <v>15510</v>
      </c>
      <c r="CD50" s="106">
        <v>65</v>
      </c>
      <c r="CE50" s="106">
        <v>18330</v>
      </c>
      <c r="CF50" s="106">
        <v>22</v>
      </c>
      <c r="CG50" s="106">
        <v>6204</v>
      </c>
      <c r="CH50" s="106">
        <v>18</v>
      </c>
      <c r="CI50" s="106">
        <v>5076</v>
      </c>
      <c r="CJ50" s="106">
        <v>20</v>
      </c>
      <c r="CK50" s="106">
        <v>5640</v>
      </c>
      <c r="CL50" s="106">
        <v>31</v>
      </c>
      <c r="CM50" s="106">
        <v>8742</v>
      </c>
      <c r="CN50" s="106">
        <v>4</v>
      </c>
      <c r="CO50" s="106">
        <v>1128</v>
      </c>
      <c r="CP50" s="106">
        <v>4</v>
      </c>
      <c r="CQ50" s="106">
        <v>1128</v>
      </c>
      <c r="CR50" s="106">
        <v>4</v>
      </c>
      <c r="CS50" s="106">
        <v>1128</v>
      </c>
      <c r="CT50" s="106">
        <v>2</v>
      </c>
      <c r="CU50" s="106">
        <v>564</v>
      </c>
    </row>
    <row r="51" spans="2:99" x14ac:dyDescent="0.2">
      <c r="C51" s="105" t="s">
        <v>217</v>
      </c>
      <c r="D51" s="106">
        <v>5</v>
      </c>
      <c r="E51" s="106">
        <v>4272</v>
      </c>
      <c r="F51" s="106">
        <v>6</v>
      </c>
      <c r="G51" s="106">
        <v>5126.3999999999996</v>
      </c>
      <c r="H51" s="106">
        <v>6</v>
      </c>
      <c r="I51" s="106">
        <v>5126.3999999999996</v>
      </c>
      <c r="J51" s="106">
        <v>5</v>
      </c>
      <c r="K51" s="106">
        <v>4272</v>
      </c>
      <c r="L51" s="106">
        <v>39</v>
      </c>
      <c r="M51" s="106">
        <v>33321.599999999999</v>
      </c>
      <c r="N51" s="106">
        <v>27</v>
      </c>
      <c r="O51" s="106">
        <v>23068.799999999999</v>
      </c>
      <c r="P51" s="106">
        <v>33</v>
      </c>
      <c r="Q51" s="106">
        <v>28195.200000000001</v>
      </c>
      <c r="R51" s="106">
        <v>31</v>
      </c>
      <c r="S51" s="106">
        <v>26486.399999999998</v>
      </c>
      <c r="T51" s="106">
        <v>3</v>
      </c>
      <c r="U51" s="106">
        <v>2563.1999999999998</v>
      </c>
      <c r="V51" s="106">
        <v>4</v>
      </c>
      <c r="W51" s="106">
        <v>3417.6</v>
      </c>
      <c r="X51" s="106">
        <v>5</v>
      </c>
      <c r="Y51" s="106">
        <v>4272</v>
      </c>
      <c r="Z51" s="106">
        <v>4</v>
      </c>
      <c r="AA51" s="106">
        <v>3417.6</v>
      </c>
      <c r="AB51" s="106">
        <v>7</v>
      </c>
      <c r="AC51" s="106">
        <v>5980.8</v>
      </c>
      <c r="AD51" s="106">
        <v>8</v>
      </c>
      <c r="AE51" s="106">
        <v>6835.2</v>
      </c>
      <c r="AF51" s="106">
        <v>6</v>
      </c>
      <c r="AG51" s="106">
        <v>5126.3999999999996</v>
      </c>
      <c r="AH51" s="106">
        <v>8</v>
      </c>
      <c r="AI51" s="106">
        <v>6835.2</v>
      </c>
      <c r="AJ51" s="106">
        <v>6</v>
      </c>
      <c r="AK51" s="106">
        <v>5126.3999999999996</v>
      </c>
      <c r="AL51" s="106">
        <v>6</v>
      </c>
      <c r="AM51" s="106">
        <v>5126.3999999999996</v>
      </c>
      <c r="AN51" s="106">
        <v>9</v>
      </c>
      <c r="AO51" s="106">
        <v>7689.5999999999995</v>
      </c>
      <c r="AP51" s="106">
        <v>6</v>
      </c>
      <c r="AQ51" s="106">
        <v>5126.3999999999996</v>
      </c>
      <c r="AR51" s="106">
        <v>4</v>
      </c>
      <c r="AS51" s="106">
        <v>3417.6</v>
      </c>
      <c r="AT51" s="106">
        <v>3</v>
      </c>
      <c r="AU51" s="106">
        <v>2563.1999999999998</v>
      </c>
      <c r="AV51" s="106">
        <v>4</v>
      </c>
      <c r="AW51" s="106">
        <v>3417.6</v>
      </c>
      <c r="AX51" s="106">
        <v>4</v>
      </c>
      <c r="AY51" s="106">
        <v>3417.6</v>
      </c>
      <c r="AZ51" s="106">
        <v>8</v>
      </c>
      <c r="BA51" s="106">
        <v>6835.2</v>
      </c>
      <c r="BB51" s="106">
        <v>9</v>
      </c>
      <c r="BC51" s="106">
        <v>7689.5999999999995</v>
      </c>
      <c r="BD51" s="106">
        <v>5</v>
      </c>
      <c r="BE51" s="106">
        <v>4272</v>
      </c>
      <c r="BF51" s="106">
        <v>5</v>
      </c>
      <c r="BG51" s="106">
        <v>4272</v>
      </c>
      <c r="BH51" s="106">
        <v>3</v>
      </c>
      <c r="BI51" s="106">
        <v>2563.1999999999998</v>
      </c>
      <c r="BJ51" s="106">
        <v>4</v>
      </c>
      <c r="BK51" s="106">
        <v>3417.6</v>
      </c>
      <c r="BL51" s="106">
        <v>4</v>
      </c>
      <c r="BM51" s="106">
        <v>3417.6</v>
      </c>
      <c r="BN51" s="106">
        <v>4</v>
      </c>
      <c r="BO51" s="106">
        <v>3417.6</v>
      </c>
      <c r="BP51" s="106">
        <v>2</v>
      </c>
      <c r="BQ51" s="106">
        <v>1708.8</v>
      </c>
      <c r="BR51" s="106">
        <v>3</v>
      </c>
      <c r="BS51" s="106">
        <v>2563.1999999999998</v>
      </c>
      <c r="BT51" s="106">
        <v>3</v>
      </c>
      <c r="BU51" s="106">
        <v>2563.1999999999998</v>
      </c>
      <c r="BV51" s="106">
        <v>3</v>
      </c>
      <c r="BW51" s="106">
        <v>2563.1999999999998</v>
      </c>
      <c r="BX51" s="106">
        <v>48</v>
      </c>
      <c r="BY51" s="106">
        <v>41011.199999999997</v>
      </c>
      <c r="BZ51" s="106">
        <v>56</v>
      </c>
      <c r="CA51" s="106">
        <v>47846.400000000001</v>
      </c>
      <c r="CB51" s="106">
        <v>49</v>
      </c>
      <c r="CC51" s="106">
        <v>41865.599999999999</v>
      </c>
      <c r="CD51" s="106">
        <v>56</v>
      </c>
      <c r="CE51" s="106">
        <v>47846.400000000001</v>
      </c>
      <c r="CF51" s="106">
        <v>18</v>
      </c>
      <c r="CG51" s="106">
        <v>15379.199999999999</v>
      </c>
      <c r="CH51" s="106">
        <v>19</v>
      </c>
      <c r="CI51" s="106">
        <v>16233.6</v>
      </c>
      <c r="CJ51" s="106">
        <v>19</v>
      </c>
      <c r="CK51" s="106">
        <v>16233.6</v>
      </c>
      <c r="CL51" s="106">
        <v>24</v>
      </c>
      <c r="CM51" s="106">
        <v>20505.599999999999</v>
      </c>
      <c r="CN51" s="106">
        <v>4</v>
      </c>
      <c r="CO51" s="106">
        <v>3417.6</v>
      </c>
      <c r="CP51" s="106">
        <v>4</v>
      </c>
      <c r="CQ51" s="106">
        <v>3417.6</v>
      </c>
      <c r="CR51" s="106">
        <v>4</v>
      </c>
      <c r="CS51" s="106">
        <v>3417.6</v>
      </c>
      <c r="CT51" s="106">
        <v>3</v>
      </c>
      <c r="CU51" s="106">
        <v>2563.1999999999998</v>
      </c>
    </row>
    <row r="52" spans="2:99" x14ac:dyDescent="0.2">
      <c r="C52" s="105" t="s">
        <v>218</v>
      </c>
      <c r="D52" s="106">
        <v>6</v>
      </c>
      <c r="E52" s="106">
        <v>3240</v>
      </c>
      <c r="F52" s="106">
        <v>7</v>
      </c>
      <c r="G52" s="106">
        <v>3780</v>
      </c>
      <c r="H52" s="106">
        <v>5</v>
      </c>
      <c r="I52" s="106">
        <v>2700</v>
      </c>
      <c r="J52" s="106">
        <v>6</v>
      </c>
      <c r="K52" s="106">
        <v>3240</v>
      </c>
      <c r="L52" s="106">
        <v>40</v>
      </c>
      <c r="M52" s="106">
        <v>21600</v>
      </c>
      <c r="N52" s="106">
        <v>28</v>
      </c>
      <c r="O52" s="106">
        <v>15120</v>
      </c>
      <c r="P52" s="106">
        <v>37</v>
      </c>
      <c r="Q52" s="106">
        <v>19980</v>
      </c>
      <c r="R52" s="106">
        <v>36</v>
      </c>
      <c r="S52" s="106">
        <v>19440</v>
      </c>
      <c r="T52" s="106">
        <v>3</v>
      </c>
      <c r="U52" s="106">
        <v>1620</v>
      </c>
      <c r="V52" s="106">
        <v>4</v>
      </c>
      <c r="W52" s="106">
        <v>2160</v>
      </c>
      <c r="X52" s="106">
        <v>5</v>
      </c>
      <c r="Y52" s="106">
        <v>2700</v>
      </c>
      <c r="Z52" s="106">
        <v>5</v>
      </c>
      <c r="AA52" s="106">
        <v>2700</v>
      </c>
      <c r="AB52" s="106">
        <v>8</v>
      </c>
      <c r="AC52" s="106">
        <v>4320</v>
      </c>
      <c r="AD52" s="106">
        <v>7</v>
      </c>
      <c r="AE52" s="106">
        <v>3780</v>
      </c>
      <c r="AF52" s="106">
        <v>7</v>
      </c>
      <c r="AG52" s="106">
        <v>3780</v>
      </c>
      <c r="AH52" s="106">
        <v>9</v>
      </c>
      <c r="AI52" s="106">
        <v>4860</v>
      </c>
      <c r="AJ52" s="106">
        <v>6</v>
      </c>
      <c r="AK52" s="106">
        <v>3240</v>
      </c>
      <c r="AL52" s="106">
        <v>7</v>
      </c>
      <c r="AM52" s="106">
        <v>3780</v>
      </c>
      <c r="AN52" s="106">
        <v>9</v>
      </c>
      <c r="AO52" s="106">
        <v>4860</v>
      </c>
      <c r="AP52" s="106">
        <v>6</v>
      </c>
      <c r="AQ52" s="106">
        <v>3240</v>
      </c>
      <c r="AR52" s="106">
        <v>4</v>
      </c>
      <c r="AS52" s="106">
        <v>2160</v>
      </c>
      <c r="AT52" s="106">
        <v>3</v>
      </c>
      <c r="AU52" s="106">
        <v>1620</v>
      </c>
      <c r="AV52" s="106">
        <v>4</v>
      </c>
      <c r="AW52" s="106">
        <v>2160</v>
      </c>
      <c r="AX52" s="106">
        <v>4</v>
      </c>
      <c r="AY52" s="106">
        <v>2160</v>
      </c>
      <c r="AZ52" s="106">
        <v>10</v>
      </c>
      <c r="BA52" s="106">
        <v>5400</v>
      </c>
      <c r="BB52" s="106">
        <v>10</v>
      </c>
      <c r="BC52" s="106">
        <v>5400</v>
      </c>
      <c r="BD52" s="106">
        <v>6</v>
      </c>
      <c r="BE52" s="106">
        <v>3240</v>
      </c>
      <c r="BF52" s="106">
        <v>5</v>
      </c>
      <c r="BG52" s="106">
        <v>2700</v>
      </c>
      <c r="BH52" s="106">
        <v>3</v>
      </c>
      <c r="BI52" s="106">
        <v>1620</v>
      </c>
      <c r="BJ52" s="106">
        <v>4</v>
      </c>
      <c r="BK52" s="106">
        <v>2160</v>
      </c>
      <c r="BL52" s="106">
        <v>4</v>
      </c>
      <c r="BM52" s="106">
        <v>2160</v>
      </c>
      <c r="BN52" s="106">
        <v>4</v>
      </c>
      <c r="BO52" s="106">
        <v>2160</v>
      </c>
      <c r="BP52" s="106">
        <v>2</v>
      </c>
      <c r="BQ52" s="106">
        <v>1080</v>
      </c>
      <c r="BR52" s="106">
        <v>3</v>
      </c>
      <c r="BS52" s="106">
        <v>1620</v>
      </c>
      <c r="BT52" s="106">
        <v>3</v>
      </c>
      <c r="BU52" s="106">
        <v>1620</v>
      </c>
      <c r="BV52" s="106">
        <v>3</v>
      </c>
      <c r="BW52" s="106">
        <v>1620</v>
      </c>
      <c r="BX52" s="106">
        <v>52</v>
      </c>
      <c r="BY52" s="106">
        <v>28080</v>
      </c>
      <c r="BZ52" s="106">
        <v>69</v>
      </c>
      <c r="CA52" s="106">
        <v>37260</v>
      </c>
      <c r="CB52" s="106">
        <v>56</v>
      </c>
      <c r="CC52" s="106">
        <v>30240</v>
      </c>
      <c r="CD52" s="106">
        <v>64</v>
      </c>
      <c r="CE52" s="106">
        <v>34560</v>
      </c>
      <c r="CF52" s="106">
        <v>20</v>
      </c>
      <c r="CG52" s="106">
        <v>10800</v>
      </c>
      <c r="CH52" s="106">
        <v>17</v>
      </c>
      <c r="CI52" s="106">
        <v>9180</v>
      </c>
      <c r="CJ52" s="106">
        <v>20</v>
      </c>
      <c r="CK52" s="106">
        <v>10800</v>
      </c>
      <c r="CL52" s="106">
        <v>26</v>
      </c>
      <c r="CM52" s="106">
        <v>14040</v>
      </c>
      <c r="CN52" s="106">
        <v>4</v>
      </c>
      <c r="CO52" s="106">
        <v>2160</v>
      </c>
      <c r="CP52" s="106">
        <v>4</v>
      </c>
      <c r="CQ52" s="106">
        <v>2160</v>
      </c>
      <c r="CR52" s="106">
        <v>3</v>
      </c>
      <c r="CS52" s="106">
        <v>1620</v>
      </c>
      <c r="CT52" s="106">
        <v>2</v>
      </c>
      <c r="CU52" s="106">
        <v>1080</v>
      </c>
    </row>
    <row r="53" spans="2:99" x14ac:dyDescent="0.2">
      <c r="C53" s="105" t="s">
        <v>219</v>
      </c>
      <c r="D53" s="106">
        <v>5</v>
      </c>
      <c r="E53" s="106">
        <v>2034</v>
      </c>
      <c r="F53" s="106">
        <v>7</v>
      </c>
      <c r="G53" s="106">
        <v>2847.6</v>
      </c>
      <c r="H53" s="106">
        <v>6</v>
      </c>
      <c r="I53" s="106">
        <v>2440.8000000000002</v>
      </c>
      <c r="J53" s="106">
        <v>5</v>
      </c>
      <c r="K53" s="106">
        <v>2034</v>
      </c>
      <c r="L53" s="106">
        <v>41</v>
      </c>
      <c r="M53" s="106">
        <v>16678.8</v>
      </c>
      <c r="N53" s="106">
        <v>30</v>
      </c>
      <c r="O53" s="106">
        <v>12204</v>
      </c>
      <c r="P53" s="106">
        <v>37</v>
      </c>
      <c r="Q53" s="106">
        <v>15051.6</v>
      </c>
      <c r="R53" s="106">
        <v>34</v>
      </c>
      <c r="S53" s="106">
        <v>13831.2</v>
      </c>
      <c r="T53" s="106">
        <v>3</v>
      </c>
      <c r="U53" s="106">
        <v>1220.4000000000001</v>
      </c>
      <c r="V53" s="106">
        <v>4</v>
      </c>
      <c r="W53" s="106">
        <v>1627.2</v>
      </c>
      <c r="X53" s="106">
        <v>5</v>
      </c>
      <c r="Y53" s="106">
        <v>2034</v>
      </c>
      <c r="Z53" s="106">
        <v>5</v>
      </c>
      <c r="AA53" s="106">
        <v>2034</v>
      </c>
      <c r="AB53" s="106">
        <v>7</v>
      </c>
      <c r="AC53" s="106">
        <v>2847.6</v>
      </c>
      <c r="AD53" s="106">
        <v>7</v>
      </c>
      <c r="AE53" s="106">
        <v>2847.6</v>
      </c>
      <c r="AF53" s="106">
        <v>6</v>
      </c>
      <c r="AG53" s="106">
        <v>2440.8000000000002</v>
      </c>
      <c r="AH53" s="106">
        <v>8</v>
      </c>
      <c r="AI53" s="106">
        <v>3254.4</v>
      </c>
      <c r="AJ53" s="106">
        <v>5</v>
      </c>
      <c r="AK53" s="106">
        <v>2034</v>
      </c>
      <c r="AL53" s="106">
        <v>7</v>
      </c>
      <c r="AM53" s="106">
        <v>2847.6</v>
      </c>
      <c r="AN53" s="106">
        <v>10</v>
      </c>
      <c r="AO53" s="106">
        <v>4068</v>
      </c>
      <c r="AP53" s="106">
        <v>7</v>
      </c>
      <c r="AQ53" s="106">
        <v>2847.6</v>
      </c>
      <c r="AR53" s="106">
        <v>5</v>
      </c>
      <c r="AS53" s="106">
        <v>2034</v>
      </c>
      <c r="AT53" s="106">
        <v>3</v>
      </c>
      <c r="AU53" s="106">
        <v>1220.4000000000001</v>
      </c>
      <c r="AV53" s="106">
        <v>4</v>
      </c>
      <c r="AW53" s="106">
        <v>1627.2</v>
      </c>
      <c r="AX53" s="106">
        <v>4</v>
      </c>
      <c r="AY53" s="106">
        <v>1627.2</v>
      </c>
      <c r="AZ53" s="106">
        <v>8</v>
      </c>
      <c r="BA53" s="106">
        <v>3254.4</v>
      </c>
      <c r="BB53" s="106">
        <v>9</v>
      </c>
      <c r="BC53" s="106">
        <v>3661.2000000000003</v>
      </c>
      <c r="BD53" s="106">
        <v>6</v>
      </c>
      <c r="BE53" s="106">
        <v>2440.8000000000002</v>
      </c>
      <c r="BF53" s="106">
        <v>6</v>
      </c>
      <c r="BG53" s="106">
        <v>2440.8000000000002</v>
      </c>
      <c r="BH53" s="106">
        <v>4</v>
      </c>
      <c r="BI53" s="106">
        <v>1627.2</v>
      </c>
      <c r="BJ53" s="106">
        <v>4</v>
      </c>
      <c r="BK53" s="106">
        <v>1627.2</v>
      </c>
      <c r="BL53" s="106">
        <v>4</v>
      </c>
      <c r="BM53" s="106">
        <v>1627.2</v>
      </c>
      <c r="BN53" s="106">
        <v>5</v>
      </c>
      <c r="BO53" s="106">
        <v>2034</v>
      </c>
      <c r="BP53" s="106">
        <v>2</v>
      </c>
      <c r="BQ53" s="106">
        <v>813.6</v>
      </c>
      <c r="BR53" s="106">
        <v>3</v>
      </c>
      <c r="BS53" s="106">
        <v>1220.4000000000001</v>
      </c>
      <c r="BT53" s="106">
        <v>4</v>
      </c>
      <c r="BU53" s="106">
        <v>1627.2</v>
      </c>
      <c r="BV53" s="106">
        <v>3</v>
      </c>
      <c r="BW53" s="106">
        <v>1220.4000000000001</v>
      </c>
      <c r="BX53" s="106">
        <v>56</v>
      </c>
      <c r="BY53" s="106">
        <v>22780.799999999999</v>
      </c>
      <c r="BZ53" s="106">
        <v>69</v>
      </c>
      <c r="CA53" s="106">
        <v>28069.200000000001</v>
      </c>
      <c r="CB53" s="106">
        <v>55</v>
      </c>
      <c r="CC53" s="106">
        <v>22374</v>
      </c>
      <c r="CD53" s="106">
        <v>62</v>
      </c>
      <c r="CE53" s="106">
        <v>25221.600000000002</v>
      </c>
      <c r="CF53" s="106">
        <v>23</v>
      </c>
      <c r="CG53" s="106">
        <v>9356.4</v>
      </c>
      <c r="CH53" s="106">
        <v>19</v>
      </c>
      <c r="CI53" s="106">
        <v>7729.2</v>
      </c>
      <c r="CJ53" s="106">
        <v>22</v>
      </c>
      <c r="CK53" s="106">
        <v>8949.6</v>
      </c>
      <c r="CL53" s="106">
        <v>29</v>
      </c>
      <c r="CM53" s="106">
        <v>11797.2</v>
      </c>
      <c r="CN53" s="106">
        <v>4</v>
      </c>
      <c r="CO53" s="106">
        <v>1627.2</v>
      </c>
      <c r="CP53" s="106">
        <v>3</v>
      </c>
      <c r="CQ53" s="106">
        <v>1220.4000000000001</v>
      </c>
      <c r="CR53" s="106">
        <v>3</v>
      </c>
      <c r="CS53" s="106">
        <v>1220.4000000000001</v>
      </c>
      <c r="CT53" s="106">
        <v>3</v>
      </c>
      <c r="CU53" s="106">
        <v>1220.4000000000001</v>
      </c>
    </row>
    <row r="54" spans="2:99" x14ac:dyDescent="0.2">
      <c r="C54" s="105" t="s">
        <v>220</v>
      </c>
      <c r="D54" s="106">
        <v>5</v>
      </c>
      <c r="E54" s="106">
        <v>1674</v>
      </c>
      <c r="F54" s="106">
        <v>7</v>
      </c>
      <c r="G54" s="106">
        <v>2343.6</v>
      </c>
      <c r="H54" s="106">
        <v>6</v>
      </c>
      <c r="I54" s="106">
        <v>2008.8000000000002</v>
      </c>
      <c r="J54" s="106">
        <v>6</v>
      </c>
      <c r="K54" s="106">
        <v>2008.8000000000002</v>
      </c>
      <c r="L54" s="106">
        <v>42</v>
      </c>
      <c r="M54" s="106">
        <v>14061.6</v>
      </c>
      <c r="N54" s="106">
        <v>31</v>
      </c>
      <c r="O54" s="106">
        <v>10378.800000000001</v>
      </c>
      <c r="P54" s="106">
        <v>35</v>
      </c>
      <c r="Q54" s="106">
        <v>11718</v>
      </c>
      <c r="R54" s="106">
        <v>35</v>
      </c>
      <c r="S54" s="106">
        <v>11718</v>
      </c>
      <c r="T54" s="106">
        <v>3</v>
      </c>
      <c r="U54" s="106">
        <v>1004.4000000000001</v>
      </c>
      <c r="V54" s="106">
        <v>4</v>
      </c>
      <c r="W54" s="106">
        <v>1339.2</v>
      </c>
      <c r="X54" s="106">
        <v>5</v>
      </c>
      <c r="Y54" s="106">
        <v>1674</v>
      </c>
      <c r="Z54" s="106">
        <v>5</v>
      </c>
      <c r="AA54" s="106">
        <v>1674</v>
      </c>
      <c r="AB54" s="106">
        <v>8</v>
      </c>
      <c r="AC54" s="106">
        <v>2678.4</v>
      </c>
      <c r="AD54" s="106">
        <v>8</v>
      </c>
      <c r="AE54" s="106">
        <v>2678.4</v>
      </c>
      <c r="AF54" s="106">
        <v>7</v>
      </c>
      <c r="AG54" s="106">
        <v>2343.6</v>
      </c>
      <c r="AH54" s="106">
        <v>9</v>
      </c>
      <c r="AI54" s="106">
        <v>3013.2000000000003</v>
      </c>
      <c r="AJ54" s="106">
        <v>6</v>
      </c>
      <c r="AK54" s="106">
        <v>2008.8000000000002</v>
      </c>
      <c r="AL54" s="106">
        <v>6</v>
      </c>
      <c r="AM54" s="106">
        <v>2008.8000000000002</v>
      </c>
      <c r="AN54" s="106">
        <v>8</v>
      </c>
      <c r="AO54" s="106">
        <v>2678.4</v>
      </c>
      <c r="AP54" s="106">
        <v>7</v>
      </c>
      <c r="AQ54" s="106">
        <v>2343.6</v>
      </c>
      <c r="AR54" s="106">
        <v>4</v>
      </c>
      <c r="AS54" s="106">
        <v>1339.2</v>
      </c>
      <c r="AT54" s="106">
        <v>3</v>
      </c>
      <c r="AU54" s="106">
        <v>1004.4000000000001</v>
      </c>
      <c r="AV54" s="106">
        <v>4</v>
      </c>
      <c r="AW54" s="106">
        <v>1339.2</v>
      </c>
      <c r="AX54" s="106">
        <v>5</v>
      </c>
      <c r="AY54" s="106">
        <v>1674</v>
      </c>
      <c r="AZ54" s="106">
        <v>9</v>
      </c>
      <c r="BA54" s="106">
        <v>3013.2000000000003</v>
      </c>
      <c r="BB54" s="106">
        <v>8</v>
      </c>
      <c r="BC54" s="106">
        <v>2678.4</v>
      </c>
      <c r="BD54" s="106">
        <v>6</v>
      </c>
      <c r="BE54" s="106">
        <v>2008.8000000000002</v>
      </c>
      <c r="BF54" s="106">
        <v>5</v>
      </c>
      <c r="BG54" s="106">
        <v>1674</v>
      </c>
      <c r="BH54" s="106">
        <v>4</v>
      </c>
      <c r="BI54" s="106">
        <v>1339.2</v>
      </c>
      <c r="BJ54" s="106">
        <v>4</v>
      </c>
      <c r="BK54" s="106">
        <v>1339.2</v>
      </c>
      <c r="BL54" s="106">
        <v>4</v>
      </c>
      <c r="BM54" s="106">
        <v>1339.2</v>
      </c>
      <c r="BN54" s="106">
        <v>5</v>
      </c>
      <c r="BO54" s="106">
        <v>1674</v>
      </c>
      <c r="BP54" s="106">
        <v>2</v>
      </c>
      <c r="BQ54" s="106">
        <v>669.6</v>
      </c>
      <c r="BR54" s="106">
        <v>3</v>
      </c>
      <c r="BS54" s="106">
        <v>1004.4000000000001</v>
      </c>
      <c r="BT54" s="106">
        <v>3</v>
      </c>
      <c r="BU54" s="106">
        <v>1004.4000000000001</v>
      </c>
      <c r="BV54" s="106">
        <v>3</v>
      </c>
      <c r="BW54" s="106">
        <v>1004.4000000000001</v>
      </c>
      <c r="BX54" s="106">
        <v>57</v>
      </c>
      <c r="BY54" s="106">
        <v>19083.600000000002</v>
      </c>
      <c r="BZ54" s="106">
        <v>65</v>
      </c>
      <c r="CA54" s="106">
        <v>21762</v>
      </c>
      <c r="CB54" s="106">
        <v>55</v>
      </c>
      <c r="CC54" s="106">
        <v>18414</v>
      </c>
      <c r="CD54" s="106">
        <v>60</v>
      </c>
      <c r="CE54" s="106">
        <v>20088</v>
      </c>
      <c r="CF54" s="106">
        <v>22</v>
      </c>
      <c r="CG54" s="106">
        <v>7365.6</v>
      </c>
      <c r="CH54" s="106">
        <v>18</v>
      </c>
      <c r="CI54" s="106">
        <v>6026.4000000000005</v>
      </c>
      <c r="CJ54" s="106">
        <v>22</v>
      </c>
      <c r="CK54" s="106">
        <v>7365.6</v>
      </c>
      <c r="CL54" s="106">
        <v>27</v>
      </c>
      <c r="CM54" s="106">
        <v>9039.6</v>
      </c>
      <c r="CN54" s="106">
        <v>4</v>
      </c>
      <c r="CO54" s="106">
        <v>1339.2</v>
      </c>
      <c r="CP54" s="106">
        <v>4</v>
      </c>
      <c r="CQ54" s="106">
        <v>1339.2</v>
      </c>
      <c r="CR54" s="106">
        <v>3</v>
      </c>
      <c r="CS54" s="106">
        <v>1004.4000000000001</v>
      </c>
      <c r="CT54" s="106">
        <v>2</v>
      </c>
      <c r="CU54" s="106">
        <v>669.6</v>
      </c>
    </row>
    <row r="55" spans="2:99" x14ac:dyDescent="0.2">
      <c r="C55" s="105" t="s">
        <v>221</v>
      </c>
      <c r="D55" s="106">
        <v>5</v>
      </c>
      <c r="E55" s="106">
        <v>3318</v>
      </c>
      <c r="F55" s="106">
        <v>7</v>
      </c>
      <c r="G55" s="106">
        <v>4645.2</v>
      </c>
      <c r="H55" s="106">
        <v>6</v>
      </c>
      <c r="I55" s="106">
        <v>3981.6000000000004</v>
      </c>
      <c r="J55" s="106">
        <v>6</v>
      </c>
      <c r="K55" s="106">
        <v>3981.6000000000004</v>
      </c>
      <c r="L55" s="106">
        <v>36</v>
      </c>
      <c r="M55" s="106">
        <v>23889.600000000002</v>
      </c>
      <c r="N55" s="106">
        <v>27</v>
      </c>
      <c r="O55" s="106">
        <v>17917.2</v>
      </c>
      <c r="P55" s="106">
        <v>36</v>
      </c>
      <c r="Q55" s="106">
        <v>23889.600000000002</v>
      </c>
      <c r="R55" s="106">
        <v>31</v>
      </c>
      <c r="S55" s="106">
        <v>20571.600000000002</v>
      </c>
      <c r="T55" s="106">
        <v>3</v>
      </c>
      <c r="U55" s="106">
        <v>1990.8000000000002</v>
      </c>
      <c r="V55" s="106">
        <v>4</v>
      </c>
      <c r="W55" s="106">
        <v>2654.4</v>
      </c>
      <c r="X55" s="106">
        <v>5</v>
      </c>
      <c r="Y55" s="106">
        <v>3318</v>
      </c>
      <c r="Z55" s="106">
        <v>5</v>
      </c>
      <c r="AA55" s="106">
        <v>3318</v>
      </c>
      <c r="AB55" s="106">
        <v>8</v>
      </c>
      <c r="AC55" s="106">
        <v>5308.8</v>
      </c>
      <c r="AD55" s="106">
        <v>7</v>
      </c>
      <c r="AE55" s="106">
        <v>4645.2</v>
      </c>
      <c r="AF55" s="106">
        <v>6</v>
      </c>
      <c r="AG55" s="106">
        <v>3981.6000000000004</v>
      </c>
      <c r="AH55" s="106">
        <v>9</v>
      </c>
      <c r="AI55" s="106">
        <v>5972.4000000000005</v>
      </c>
      <c r="AJ55" s="106">
        <v>6</v>
      </c>
      <c r="AK55" s="106">
        <v>3981.6000000000004</v>
      </c>
      <c r="AL55" s="106">
        <v>7</v>
      </c>
      <c r="AM55" s="106">
        <v>4645.2</v>
      </c>
      <c r="AN55" s="106">
        <v>10</v>
      </c>
      <c r="AO55" s="106">
        <v>6636</v>
      </c>
      <c r="AP55" s="106">
        <v>6</v>
      </c>
      <c r="AQ55" s="106">
        <v>3981.6000000000004</v>
      </c>
      <c r="AR55" s="106">
        <v>4</v>
      </c>
      <c r="AS55" s="106">
        <v>2654.4</v>
      </c>
      <c r="AT55" s="106">
        <v>3</v>
      </c>
      <c r="AU55" s="106">
        <v>1990.8000000000002</v>
      </c>
      <c r="AV55" s="106">
        <v>4</v>
      </c>
      <c r="AW55" s="106">
        <v>2654.4</v>
      </c>
      <c r="AX55" s="106">
        <v>4</v>
      </c>
      <c r="AY55" s="106">
        <v>2654.4</v>
      </c>
      <c r="AZ55" s="106">
        <v>8</v>
      </c>
      <c r="BA55" s="106">
        <v>5308.8</v>
      </c>
      <c r="BB55" s="106">
        <v>9</v>
      </c>
      <c r="BC55" s="106">
        <v>5972.4000000000005</v>
      </c>
      <c r="BD55" s="106">
        <v>5</v>
      </c>
      <c r="BE55" s="106">
        <v>3318</v>
      </c>
      <c r="BF55" s="106">
        <v>5</v>
      </c>
      <c r="BG55" s="106">
        <v>3318</v>
      </c>
      <c r="BH55" s="106">
        <v>3</v>
      </c>
      <c r="BI55" s="106">
        <v>1990.8000000000002</v>
      </c>
      <c r="BJ55" s="106">
        <v>4</v>
      </c>
      <c r="BK55" s="106">
        <v>2654.4</v>
      </c>
      <c r="BL55" s="106">
        <v>4</v>
      </c>
      <c r="BM55" s="106">
        <v>2654.4</v>
      </c>
      <c r="BN55" s="106">
        <v>5</v>
      </c>
      <c r="BO55" s="106">
        <v>3318</v>
      </c>
      <c r="BP55" s="106">
        <v>2</v>
      </c>
      <c r="BQ55" s="106">
        <v>1327.2</v>
      </c>
      <c r="BR55" s="106">
        <v>3</v>
      </c>
      <c r="BS55" s="106">
        <v>1990.8000000000002</v>
      </c>
      <c r="BT55" s="106">
        <v>3</v>
      </c>
      <c r="BU55" s="106">
        <v>1990.8000000000002</v>
      </c>
      <c r="BV55" s="106">
        <v>3</v>
      </c>
      <c r="BW55" s="106">
        <v>1990.8000000000002</v>
      </c>
      <c r="BX55" s="106">
        <v>51</v>
      </c>
      <c r="BY55" s="106">
        <v>33843.599999999999</v>
      </c>
      <c r="BZ55" s="106">
        <v>57</v>
      </c>
      <c r="CA55" s="106">
        <v>37825.200000000004</v>
      </c>
      <c r="CB55" s="106">
        <v>54</v>
      </c>
      <c r="CC55" s="106">
        <v>35834.400000000001</v>
      </c>
      <c r="CD55" s="106">
        <v>58</v>
      </c>
      <c r="CE55" s="106">
        <v>38488.800000000003</v>
      </c>
      <c r="CF55" s="106">
        <v>22</v>
      </c>
      <c r="CG55" s="106">
        <v>14599.2</v>
      </c>
      <c r="CH55" s="106">
        <v>18</v>
      </c>
      <c r="CI55" s="106">
        <v>11944.800000000001</v>
      </c>
      <c r="CJ55" s="106">
        <v>20</v>
      </c>
      <c r="CK55" s="106">
        <v>13272</v>
      </c>
      <c r="CL55" s="106">
        <v>27</v>
      </c>
      <c r="CM55" s="106">
        <v>17917.2</v>
      </c>
      <c r="CN55" s="106">
        <v>3</v>
      </c>
      <c r="CO55" s="106">
        <v>1990.8000000000002</v>
      </c>
      <c r="CP55" s="106">
        <v>4</v>
      </c>
      <c r="CQ55" s="106">
        <v>2654.4</v>
      </c>
      <c r="CR55" s="106">
        <v>3</v>
      </c>
      <c r="CS55" s="106">
        <v>1990.8000000000002</v>
      </c>
      <c r="CT55" s="106">
        <v>2</v>
      </c>
      <c r="CU55" s="106">
        <v>1327.2</v>
      </c>
    </row>
    <row r="56" spans="2:99" x14ac:dyDescent="0.2">
      <c r="C56" s="105" t="s">
        <v>222</v>
      </c>
      <c r="D56" s="106">
        <v>5</v>
      </c>
      <c r="E56" s="106">
        <v>5754</v>
      </c>
      <c r="F56" s="106">
        <v>6</v>
      </c>
      <c r="G56" s="106">
        <v>6904.7999999999993</v>
      </c>
      <c r="H56" s="106">
        <v>6</v>
      </c>
      <c r="I56" s="106">
        <v>6904.7999999999993</v>
      </c>
      <c r="J56" s="106">
        <v>5</v>
      </c>
      <c r="K56" s="106">
        <v>5754</v>
      </c>
      <c r="L56" s="106">
        <v>36.461743925179185</v>
      </c>
      <c r="M56" s="106">
        <v>41960.174909096204</v>
      </c>
      <c r="N56" s="106">
        <v>25</v>
      </c>
      <c r="O56" s="106">
        <v>28770</v>
      </c>
      <c r="P56" s="106">
        <v>37.224680416351028</v>
      </c>
      <c r="Q56" s="106">
        <v>42838.162223136758</v>
      </c>
      <c r="R56" s="106">
        <v>29.423661925023886</v>
      </c>
      <c r="S56" s="106">
        <v>33860.750143317484</v>
      </c>
      <c r="T56" s="106">
        <v>2</v>
      </c>
      <c r="U56" s="106">
        <v>2301.6</v>
      </c>
      <c r="V56" s="106">
        <v>4.1949814906708305</v>
      </c>
      <c r="W56" s="106">
        <v>4827.5846994639915</v>
      </c>
      <c r="X56" s="106">
        <v>5.1121712247324611</v>
      </c>
      <c r="Y56" s="106">
        <v>5883.0866454221159</v>
      </c>
      <c r="Z56" s="106">
        <v>5.1527881749082232</v>
      </c>
      <c r="AA56" s="106">
        <v>5929.8286316843833</v>
      </c>
      <c r="AB56" s="106">
        <v>8.1898459833795005</v>
      </c>
      <c r="AC56" s="106">
        <v>9424.8747576731294</v>
      </c>
      <c r="AD56" s="106">
        <v>7</v>
      </c>
      <c r="AE56" s="106">
        <v>8055.5999999999995</v>
      </c>
      <c r="AF56" s="106">
        <v>7.4492218409959809</v>
      </c>
      <c r="AG56" s="106">
        <v>8572.5644946181746</v>
      </c>
      <c r="AH56" s="106">
        <v>8.3071479992113311</v>
      </c>
      <c r="AI56" s="106">
        <v>9559.8659174923996</v>
      </c>
      <c r="AJ56" s="106">
        <v>5</v>
      </c>
      <c r="AK56" s="106">
        <v>5754</v>
      </c>
      <c r="AL56" s="106">
        <v>6.6137831820391986</v>
      </c>
      <c r="AM56" s="106">
        <v>7611.1416858907096</v>
      </c>
      <c r="AN56" s="106">
        <v>9.8619062985576615</v>
      </c>
      <c r="AO56" s="106">
        <v>11349.081768380156</v>
      </c>
      <c r="AP56" s="106">
        <v>6</v>
      </c>
      <c r="AQ56" s="106">
        <v>6904.7999999999993</v>
      </c>
      <c r="AR56" s="106">
        <v>4</v>
      </c>
      <c r="AS56" s="106">
        <v>4603.2</v>
      </c>
      <c r="AT56" s="106">
        <v>3.3861618700243765</v>
      </c>
      <c r="AU56" s="106">
        <v>3896.7950800240524</v>
      </c>
      <c r="AV56" s="106">
        <v>4.2431472303846327</v>
      </c>
      <c r="AW56" s="106">
        <v>4883.013832726635</v>
      </c>
      <c r="AX56" s="106">
        <v>4.1836049382716052</v>
      </c>
      <c r="AY56" s="106">
        <v>4814.4925629629633</v>
      </c>
      <c r="AZ56" s="106">
        <v>8.4415417325060051</v>
      </c>
      <c r="BA56" s="106">
        <v>9714.5262257679096</v>
      </c>
      <c r="BB56" s="106">
        <v>8</v>
      </c>
      <c r="BC56" s="106">
        <v>9206.4</v>
      </c>
      <c r="BD56" s="106">
        <v>5.6020230513959373</v>
      </c>
      <c r="BE56" s="106">
        <v>6446.8081275464447</v>
      </c>
      <c r="BF56" s="106">
        <v>5</v>
      </c>
      <c r="BG56" s="106">
        <v>5754</v>
      </c>
      <c r="BH56" s="106">
        <v>3.517815112409707</v>
      </c>
      <c r="BI56" s="106">
        <v>4048.3016313610906</v>
      </c>
      <c r="BJ56" s="106">
        <v>4.4643748385442805</v>
      </c>
      <c r="BK56" s="106">
        <v>5137.6025641967581</v>
      </c>
      <c r="BL56" s="106">
        <v>4.3492614524015831</v>
      </c>
      <c r="BM56" s="106">
        <v>5005.1300794237413</v>
      </c>
      <c r="BN56" s="106">
        <v>5.5010081050826365</v>
      </c>
      <c r="BO56" s="106">
        <v>6330.5601273290977</v>
      </c>
      <c r="BP56" s="106">
        <v>2.3732093145612447</v>
      </c>
      <c r="BQ56" s="106">
        <v>2731.0892791970805</v>
      </c>
      <c r="BR56" s="106">
        <v>3.3889269581592911</v>
      </c>
      <c r="BS56" s="106">
        <v>3899.977143449712</v>
      </c>
      <c r="BT56" s="106">
        <v>3</v>
      </c>
      <c r="BU56" s="106">
        <v>3452.3999999999996</v>
      </c>
      <c r="BV56" s="106">
        <v>3.282209635931935</v>
      </c>
      <c r="BW56" s="106">
        <v>3777.1668490304705</v>
      </c>
      <c r="BX56" s="106">
        <v>46</v>
      </c>
      <c r="BY56" s="106">
        <v>52936.799999999996</v>
      </c>
      <c r="BZ56" s="106">
        <v>61</v>
      </c>
      <c r="CA56" s="106">
        <v>70198.8</v>
      </c>
      <c r="CB56" s="106">
        <v>47.423495749931142</v>
      </c>
      <c r="CC56" s="106">
        <v>54574.958909020759</v>
      </c>
      <c r="CD56" s="106">
        <v>57.412386572830528</v>
      </c>
      <c r="CE56" s="106">
        <v>66070.174468013371</v>
      </c>
      <c r="CF56" s="106">
        <v>20.778555555555556</v>
      </c>
      <c r="CG56" s="106">
        <v>23911.961733333334</v>
      </c>
      <c r="CH56" s="106">
        <v>16</v>
      </c>
      <c r="CI56" s="106">
        <v>18412.8</v>
      </c>
      <c r="CJ56" s="106">
        <v>20.572203304879004</v>
      </c>
      <c r="CK56" s="106">
        <v>23674.491563254756</v>
      </c>
      <c r="CL56" s="106">
        <v>26.748972890022646</v>
      </c>
      <c r="CM56" s="106">
        <v>30782.71800183806</v>
      </c>
      <c r="CN56" s="106">
        <v>4.5966603862763762</v>
      </c>
      <c r="CO56" s="106">
        <v>5289.8367725268536</v>
      </c>
      <c r="CP56" s="106">
        <v>4</v>
      </c>
      <c r="CQ56" s="106">
        <v>4603.2</v>
      </c>
      <c r="CR56" s="106">
        <v>3</v>
      </c>
      <c r="CS56" s="106">
        <v>3452.3999999999996</v>
      </c>
      <c r="CT56" s="106">
        <v>2</v>
      </c>
      <c r="CU56" s="106">
        <v>2301.6</v>
      </c>
    </row>
    <row r="57" spans="2:99" x14ac:dyDescent="0.2">
      <c r="C57" s="105" t="s">
        <v>223</v>
      </c>
      <c r="D57" s="106">
        <v>5</v>
      </c>
      <c r="E57" s="106">
        <v>7056</v>
      </c>
      <c r="F57" s="106">
        <v>6</v>
      </c>
      <c r="G57" s="106">
        <v>8467.2000000000007</v>
      </c>
      <c r="H57" s="106">
        <v>5</v>
      </c>
      <c r="I57" s="106">
        <v>7056</v>
      </c>
      <c r="J57" s="106">
        <v>5</v>
      </c>
      <c r="K57" s="106">
        <v>7056</v>
      </c>
      <c r="L57" s="106">
        <v>32</v>
      </c>
      <c r="M57" s="106">
        <v>45158.400000000001</v>
      </c>
      <c r="N57" s="106">
        <v>24</v>
      </c>
      <c r="O57" s="106">
        <v>33868.800000000003</v>
      </c>
      <c r="P57" s="106">
        <v>31</v>
      </c>
      <c r="Q57" s="106">
        <v>43747.200000000004</v>
      </c>
      <c r="R57" s="106">
        <v>30</v>
      </c>
      <c r="S57" s="106">
        <v>42336</v>
      </c>
      <c r="T57" s="106">
        <v>3</v>
      </c>
      <c r="U57" s="106">
        <v>4233.6000000000004</v>
      </c>
      <c r="V57" s="106">
        <v>4</v>
      </c>
      <c r="W57" s="106">
        <v>5644.8</v>
      </c>
      <c r="X57" s="106">
        <v>5</v>
      </c>
      <c r="Y57" s="106">
        <v>7056</v>
      </c>
      <c r="Z57" s="106">
        <v>4</v>
      </c>
      <c r="AA57" s="106">
        <v>5644.8</v>
      </c>
      <c r="AB57" s="106">
        <v>6</v>
      </c>
      <c r="AC57" s="106">
        <v>8467.2000000000007</v>
      </c>
      <c r="AD57" s="106">
        <v>6</v>
      </c>
      <c r="AE57" s="106">
        <v>8467.2000000000007</v>
      </c>
      <c r="AF57" s="106">
        <v>6</v>
      </c>
      <c r="AG57" s="106">
        <v>8467.2000000000007</v>
      </c>
      <c r="AH57" s="106">
        <v>8</v>
      </c>
      <c r="AI57" s="106">
        <v>11289.6</v>
      </c>
      <c r="AJ57" s="106">
        <v>6</v>
      </c>
      <c r="AK57" s="106">
        <v>8467.2000000000007</v>
      </c>
      <c r="AL57" s="106">
        <v>6</v>
      </c>
      <c r="AM57" s="106">
        <v>8467.2000000000007</v>
      </c>
      <c r="AN57" s="106">
        <v>9</v>
      </c>
      <c r="AO57" s="106">
        <v>12700.800000000001</v>
      </c>
      <c r="AP57" s="106">
        <v>6</v>
      </c>
      <c r="AQ57" s="106">
        <v>8467.2000000000007</v>
      </c>
      <c r="AR57" s="106">
        <v>4</v>
      </c>
      <c r="AS57" s="106">
        <v>5644.8</v>
      </c>
      <c r="AT57" s="106">
        <v>3</v>
      </c>
      <c r="AU57" s="106">
        <v>4233.6000000000004</v>
      </c>
      <c r="AV57" s="106">
        <v>4</v>
      </c>
      <c r="AW57" s="106">
        <v>5644.8</v>
      </c>
      <c r="AX57" s="106">
        <v>4</v>
      </c>
      <c r="AY57" s="106">
        <v>5644.8</v>
      </c>
      <c r="AZ57" s="106">
        <v>8</v>
      </c>
      <c r="BA57" s="106">
        <v>11289.6</v>
      </c>
      <c r="BB57" s="106">
        <v>8</v>
      </c>
      <c r="BC57" s="106">
        <v>11289.6</v>
      </c>
      <c r="BD57" s="106">
        <v>4</v>
      </c>
      <c r="BE57" s="106">
        <v>5644.8</v>
      </c>
      <c r="BF57" s="106">
        <v>5</v>
      </c>
      <c r="BG57" s="106">
        <v>7056</v>
      </c>
      <c r="BH57" s="106">
        <v>3</v>
      </c>
      <c r="BI57" s="106">
        <v>4233.6000000000004</v>
      </c>
      <c r="BJ57" s="106">
        <v>4</v>
      </c>
      <c r="BK57" s="106">
        <v>5644.8</v>
      </c>
      <c r="BL57" s="106">
        <v>4</v>
      </c>
      <c r="BM57" s="106">
        <v>5644.8</v>
      </c>
      <c r="BN57" s="106">
        <v>4</v>
      </c>
      <c r="BO57" s="106">
        <v>5644.8</v>
      </c>
      <c r="BP57" s="106">
        <v>2</v>
      </c>
      <c r="BQ57" s="106">
        <v>2822.4</v>
      </c>
      <c r="BR57" s="106">
        <v>2</v>
      </c>
      <c r="BS57" s="106">
        <v>2822.4</v>
      </c>
      <c r="BT57" s="106">
        <v>3</v>
      </c>
      <c r="BU57" s="106">
        <v>4233.6000000000004</v>
      </c>
      <c r="BV57" s="106">
        <v>3</v>
      </c>
      <c r="BW57" s="106">
        <v>4233.6000000000004</v>
      </c>
      <c r="BX57" s="106">
        <v>40</v>
      </c>
      <c r="BY57" s="106">
        <v>56448</v>
      </c>
      <c r="BZ57" s="106">
        <v>57</v>
      </c>
      <c r="CA57" s="106">
        <v>80438.400000000009</v>
      </c>
      <c r="CB57" s="106">
        <v>41</v>
      </c>
      <c r="CC57" s="106">
        <v>57859.200000000004</v>
      </c>
      <c r="CD57" s="106">
        <v>50</v>
      </c>
      <c r="CE57" s="106">
        <v>70560</v>
      </c>
      <c r="CF57" s="106">
        <v>17</v>
      </c>
      <c r="CG57" s="106">
        <v>23990.400000000001</v>
      </c>
      <c r="CH57" s="106">
        <v>17</v>
      </c>
      <c r="CI57" s="106">
        <v>23990.400000000001</v>
      </c>
      <c r="CJ57" s="106">
        <v>18</v>
      </c>
      <c r="CK57" s="106">
        <v>25401.600000000002</v>
      </c>
      <c r="CL57" s="106">
        <v>22</v>
      </c>
      <c r="CM57" s="106">
        <v>31046.400000000001</v>
      </c>
      <c r="CN57" s="106">
        <v>4</v>
      </c>
      <c r="CO57" s="106">
        <v>5644.8</v>
      </c>
      <c r="CP57" s="106">
        <v>4</v>
      </c>
      <c r="CQ57" s="106">
        <v>5644.8</v>
      </c>
      <c r="CR57" s="106">
        <v>3</v>
      </c>
      <c r="CS57" s="106">
        <v>4233.6000000000004</v>
      </c>
      <c r="CT57" s="106">
        <v>2</v>
      </c>
      <c r="CU57" s="106">
        <v>2822.4</v>
      </c>
    </row>
    <row r="58" spans="2:99" x14ac:dyDescent="0.2">
      <c r="C58" s="105" t="s">
        <v>224</v>
      </c>
      <c r="D58" s="106">
        <v>5</v>
      </c>
      <c r="E58" s="106">
        <v>5886</v>
      </c>
      <c r="F58" s="106">
        <v>6</v>
      </c>
      <c r="G58" s="106">
        <v>7063.2000000000007</v>
      </c>
      <c r="H58" s="106">
        <v>5</v>
      </c>
      <c r="I58" s="106">
        <v>5886</v>
      </c>
      <c r="J58" s="106">
        <v>5</v>
      </c>
      <c r="K58" s="106">
        <v>5886</v>
      </c>
      <c r="L58" s="106">
        <v>35.461743925179185</v>
      </c>
      <c r="M58" s="106">
        <v>41745.564948720938</v>
      </c>
      <c r="N58" s="106">
        <v>24</v>
      </c>
      <c r="O58" s="106">
        <v>28252.800000000003</v>
      </c>
      <c r="P58" s="106">
        <v>35.224680416351028</v>
      </c>
      <c r="Q58" s="106">
        <v>41466.493786128434</v>
      </c>
      <c r="R58" s="106">
        <v>29.367173668354035</v>
      </c>
      <c r="S58" s="106">
        <v>34571.036842386369</v>
      </c>
      <c r="T58" s="106">
        <v>2</v>
      </c>
      <c r="U58" s="106">
        <v>2354.4</v>
      </c>
      <c r="V58" s="106">
        <v>4.2228359893380913</v>
      </c>
      <c r="W58" s="106">
        <v>4971.1225266488009</v>
      </c>
      <c r="X58" s="106">
        <v>4.1121712247324611</v>
      </c>
      <c r="Y58" s="106">
        <v>4840.8479657550533</v>
      </c>
      <c r="Z58" s="106">
        <v>4.1358117110295316</v>
      </c>
      <c r="AA58" s="106">
        <v>4868.6775462239648</v>
      </c>
      <c r="AB58" s="106">
        <v>6.1898459833795014</v>
      </c>
      <c r="AC58" s="106">
        <v>7286.6866916343497</v>
      </c>
      <c r="AD58" s="106">
        <v>7</v>
      </c>
      <c r="AE58" s="106">
        <v>8240.4</v>
      </c>
      <c r="AF58" s="106">
        <v>6.3993083031075386</v>
      </c>
      <c r="AG58" s="106">
        <v>7533.2657344181944</v>
      </c>
      <c r="AH58" s="106">
        <v>8.3071479992113311</v>
      </c>
      <c r="AI58" s="106">
        <v>9779.1746246715793</v>
      </c>
      <c r="AJ58" s="106">
        <v>6</v>
      </c>
      <c r="AK58" s="106">
        <v>7063.2000000000007</v>
      </c>
      <c r="AL58" s="106">
        <v>6.6342426214405057</v>
      </c>
      <c r="AM58" s="106">
        <v>7809.830413959764</v>
      </c>
      <c r="AN58" s="106">
        <v>8.8619062985576615</v>
      </c>
      <c r="AO58" s="106">
        <v>10432.236094662079</v>
      </c>
      <c r="AP58" s="106">
        <v>7</v>
      </c>
      <c r="AQ58" s="106">
        <v>8240.4</v>
      </c>
      <c r="AR58" s="106">
        <v>4</v>
      </c>
      <c r="AS58" s="106">
        <v>4708.8</v>
      </c>
      <c r="AT58" s="106">
        <v>3.4268104879216792</v>
      </c>
      <c r="AU58" s="106">
        <v>4034.0413063814008</v>
      </c>
      <c r="AV58" s="106">
        <v>4.2431472303846327</v>
      </c>
      <c r="AW58" s="106">
        <v>4995.0329196087896</v>
      </c>
      <c r="AX58" s="106">
        <v>4.1950802469135802</v>
      </c>
      <c r="AY58" s="106">
        <v>4938.4484666666667</v>
      </c>
      <c r="AZ58" s="106">
        <v>9.3736122351973901</v>
      </c>
      <c r="BA58" s="106">
        <v>11034.616323274367</v>
      </c>
      <c r="BB58" s="106">
        <v>8</v>
      </c>
      <c r="BC58" s="106">
        <v>9417.6</v>
      </c>
      <c r="BD58" s="106">
        <v>5.6020230513959373</v>
      </c>
      <c r="BE58" s="106">
        <v>6594.7015361032973</v>
      </c>
      <c r="BF58" s="106">
        <v>5</v>
      </c>
      <c r="BG58" s="106">
        <v>5886</v>
      </c>
      <c r="BH58" s="106">
        <v>3.4999594188783378</v>
      </c>
      <c r="BI58" s="106">
        <v>4120.1522279035798</v>
      </c>
      <c r="BJ58" s="106">
        <v>3.5276986801639554</v>
      </c>
      <c r="BK58" s="106">
        <v>4152.8068862890086</v>
      </c>
      <c r="BL58" s="106">
        <v>4.3492614524015831</v>
      </c>
      <c r="BM58" s="106">
        <v>5119.9505817671443</v>
      </c>
      <c r="BN58" s="106">
        <v>4.4319035388643417</v>
      </c>
      <c r="BO58" s="106">
        <v>5217.2368459511035</v>
      </c>
      <c r="BP58" s="106">
        <v>2.3535667190580214</v>
      </c>
      <c r="BQ58" s="106">
        <v>2770.6187416751027</v>
      </c>
      <c r="BR58" s="106">
        <v>3.3673199049282192</v>
      </c>
      <c r="BS58" s="106">
        <v>3964.0089920814999</v>
      </c>
      <c r="BT58" s="106">
        <v>3</v>
      </c>
      <c r="BU58" s="106">
        <v>3531.6000000000004</v>
      </c>
      <c r="BV58" s="106">
        <v>3.2418939736559444</v>
      </c>
      <c r="BW58" s="106">
        <v>3816.3575857877781</v>
      </c>
      <c r="BX58" s="106">
        <v>46</v>
      </c>
      <c r="BY58" s="106">
        <v>54151.200000000004</v>
      </c>
      <c r="BZ58" s="106">
        <v>56</v>
      </c>
      <c r="CA58" s="106">
        <v>65923.199999999997</v>
      </c>
      <c r="CB58" s="106">
        <v>45.468074249923895</v>
      </c>
      <c r="CC58" s="106">
        <v>53525.017007010414</v>
      </c>
      <c r="CD58" s="106">
        <v>50.428882035743747</v>
      </c>
      <c r="CE58" s="106">
        <v>59364.879932477539</v>
      </c>
      <c r="CF58" s="106">
        <v>18.688722222222221</v>
      </c>
      <c r="CG58" s="106">
        <v>22000.363799999999</v>
      </c>
      <c r="CH58" s="106">
        <v>17</v>
      </c>
      <c r="CI58" s="106">
        <v>20012.400000000001</v>
      </c>
      <c r="CJ58" s="106">
        <v>17.605862322813064</v>
      </c>
      <c r="CK58" s="106">
        <v>20725.621126415539</v>
      </c>
      <c r="CL58" s="106">
        <v>22.879229044809193</v>
      </c>
      <c r="CM58" s="106">
        <v>26933.428431549382</v>
      </c>
      <c r="CN58" s="106">
        <v>3.6818975843158586</v>
      </c>
      <c r="CO58" s="106">
        <v>4334.3298362566293</v>
      </c>
      <c r="CP58" s="106">
        <v>3</v>
      </c>
      <c r="CQ58" s="106">
        <v>3531.6000000000004</v>
      </c>
      <c r="CR58" s="106">
        <v>3</v>
      </c>
      <c r="CS58" s="106">
        <v>3531.6000000000004</v>
      </c>
      <c r="CT58" s="106">
        <v>2</v>
      </c>
      <c r="CU58" s="106">
        <v>2354.4</v>
      </c>
    </row>
    <row r="59" spans="2:99" x14ac:dyDescent="0.2">
      <c r="C59" s="105" t="s">
        <v>225</v>
      </c>
      <c r="D59" s="106">
        <v>5</v>
      </c>
      <c r="E59" s="106">
        <v>1517.9999999999998</v>
      </c>
      <c r="F59" s="106">
        <v>7</v>
      </c>
      <c r="G59" s="106">
        <v>2125.1999999999998</v>
      </c>
      <c r="H59" s="106">
        <v>6</v>
      </c>
      <c r="I59" s="106">
        <v>1821.6</v>
      </c>
      <c r="J59" s="106">
        <v>6</v>
      </c>
      <c r="K59" s="106">
        <v>1821.6</v>
      </c>
      <c r="L59" s="106">
        <v>40</v>
      </c>
      <c r="M59" s="106">
        <v>12143.999999999998</v>
      </c>
      <c r="N59" s="106">
        <v>32</v>
      </c>
      <c r="O59" s="106">
        <v>9715.1999999999989</v>
      </c>
      <c r="P59" s="106">
        <v>37</v>
      </c>
      <c r="Q59" s="106">
        <v>11233.199999999999</v>
      </c>
      <c r="R59" s="106">
        <v>33</v>
      </c>
      <c r="S59" s="106">
        <v>10018.799999999999</v>
      </c>
      <c r="T59" s="106">
        <v>3</v>
      </c>
      <c r="U59" s="106">
        <v>910.8</v>
      </c>
      <c r="V59" s="106">
        <v>4</v>
      </c>
      <c r="W59" s="106">
        <v>1214.3999999999999</v>
      </c>
      <c r="X59" s="106">
        <v>5</v>
      </c>
      <c r="Y59" s="106">
        <v>1517.9999999999998</v>
      </c>
      <c r="Z59" s="106">
        <v>5</v>
      </c>
      <c r="AA59" s="106">
        <v>1517.9999999999998</v>
      </c>
      <c r="AB59" s="106">
        <v>8</v>
      </c>
      <c r="AC59" s="106">
        <v>2428.7999999999997</v>
      </c>
      <c r="AD59" s="106">
        <v>8</v>
      </c>
      <c r="AE59" s="106">
        <v>2428.7999999999997</v>
      </c>
      <c r="AF59" s="106">
        <v>7</v>
      </c>
      <c r="AG59" s="106">
        <v>2125.1999999999998</v>
      </c>
      <c r="AH59" s="106">
        <v>9</v>
      </c>
      <c r="AI59" s="106">
        <v>2732.3999999999996</v>
      </c>
      <c r="AJ59" s="106">
        <v>5</v>
      </c>
      <c r="AK59" s="106">
        <v>1517.9999999999998</v>
      </c>
      <c r="AL59" s="106">
        <v>6</v>
      </c>
      <c r="AM59" s="106">
        <v>1821.6</v>
      </c>
      <c r="AN59" s="106">
        <v>9</v>
      </c>
      <c r="AO59" s="106">
        <v>2732.3999999999996</v>
      </c>
      <c r="AP59" s="106">
        <v>7</v>
      </c>
      <c r="AQ59" s="106">
        <v>2125.1999999999998</v>
      </c>
      <c r="AR59" s="106">
        <v>5</v>
      </c>
      <c r="AS59" s="106">
        <v>1517.9999999999998</v>
      </c>
      <c r="AT59" s="106">
        <v>3</v>
      </c>
      <c r="AU59" s="106">
        <v>910.8</v>
      </c>
      <c r="AV59" s="106">
        <v>4</v>
      </c>
      <c r="AW59" s="106">
        <v>1214.3999999999999</v>
      </c>
      <c r="AX59" s="106">
        <v>4</v>
      </c>
      <c r="AY59" s="106">
        <v>1214.3999999999999</v>
      </c>
      <c r="AZ59" s="106">
        <v>9</v>
      </c>
      <c r="BA59" s="106">
        <v>2732.3999999999996</v>
      </c>
      <c r="BB59" s="106">
        <v>10</v>
      </c>
      <c r="BC59" s="106">
        <v>3035.9999999999995</v>
      </c>
      <c r="BD59" s="106">
        <v>5</v>
      </c>
      <c r="BE59" s="106">
        <v>1517.9999999999998</v>
      </c>
      <c r="BF59" s="106">
        <v>5</v>
      </c>
      <c r="BG59" s="106">
        <v>1517.9999999999998</v>
      </c>
      <c r="BH59" s="106">
        <v>3</v>
      </c>
      <c r="BI59" s="106">
        <v>910.8</v>
      </c>
      <c r="BJ59" s="106">
        <v>4</v>
      </c>
      <c r="BK59" s="106">
        <v>1214.3999999999999</v>
      </c>
      <c r="BL59" s="106">
        <v>4</v>
      </c>
      <c r="BM59" s="106">
        <v>1214.3999999999999</v>
      </c>
      <c r="BN59" s="106">
        <v>4</v>
      </c>
      <c r="BO59" s="106">
        <v>1214.3999999999999</v>
      </c>
      <c r="BP59" s="106">
        <v>2</v>
      </c>
      <c r="BQ59" s="106">
        <v>607.19999999999993</v>
      </c>
      <c r="BR59" s="106">
        <v>3</v>
      </c>
      <c r="BS59" s="106">
        <v>910.8</v>
      </c>
      <c r="BT59" s="106">
        <v>3</v>
      </c>
      <c r="BU59" s="106">
        <v>910.8</v>
      </c>
      <c r="BV59" s="106">
        <v>3</v>
      </c>
      <c r="BW59" s="106">
        <v>910.8</v>
      </c>
      <c r="BX59" s="106">
        <v>53</v>
      </c>
      <c r="BY59" s="106">
        <v>16090.799999999997</v>
      </c>
      <c r="BZ59" s="106">
        <v>70</v>
      </c>
      <c r="CA59" s="106">
        <v>21251.999999999996</v>
      </c>
      <c r="CB59" s="106">
        <v>60</v>
      </c>
      <c r="CC59" s="106">
        <v>18215.999999999996</v>
      </c>
      <c r="CD59" s="106">
        <v>63</v>
      </c>
      <c r="CE59" s="106">
        <v>19126.8</v>
      </c>
      <c r="CF59" s="106">
        <v>22</v>
      </c>
      <c r="CG59" s="106">
        <v>6679.1999999999989</v>
      </c>
      <c r="CH59" s="106">
        <v>19</v>
      </c>
      <c r="CI59" s="106">
        <v>5768.4</v>
      </c>
      <c r="CJ59" s="106">
        <v>21</v>
      </c>
      <c r="CK59" s="106">
        <v>6375.5999999999995</v>
      </c>
      <c r="CL59" s="106">
        <v>29</v>
      </c>
      <c r="CM59" s="106">
        <v>8804.4</v>
      </c>
      <c r="CN59" s="106">
        <v>3</v>
      </c>
      <c r="CO59" s="106">
        <v>910.8</v>
      </c>
      <c r="CP59" s="106">
        <v>4</v>
      </c>
      <c r="CQ59" s="106">
        <v>1214.3999999999999</v>
      </c>
      <c r="CR59" s="106">
        <v>4</v>
      </c>
      <c r="CS59" s="106">
        <v>1214.3999999999999</v>
      </c>
      <c r="CT59" s="106">
        <v>3</v>
      </c>
      <c r="CU59" s="106">
        <v>910.8</v>
      </c>
    </row>
    <row r="60" spans="2:99" x14ac:dyDescent="0.2">
      <c r="C60" s="105" t="s">
        <v>226</v>
      </c>
      <c r="D60" s="106">
        <v>5</v>
      </c>
      <c r="E60" s="106">
        <v>3258</v>
      </c>
      <c r="F60" s="106">
        <v>6</v>
      </c>
      <c r="G60" s="106">
        <v>3909.6000000000004</v>
      </c>
      <c r="H60" s="106">
        <v>6</v>
      </c>
      <c r="I60" s="106">
        <v>3909.6000000000004</v>
      </c>
      <c r="J60" s="106">
        <v>5</v>
      </c>
      <c r="K60" s="106">
        <v>3258</v>
      </c>
      <c r="L60" s="106">
        <v>42</v>
      </c>
      <c r="M60" s="106">
        <v>27367.200000000001</v>
      </c>
      <c r="N60" s="106">
        <v>29</v>
      </c>
      <c r="O60" s="106">
        <v>18896.400000000001</v>
      </c>
      <c r="P60" s="106">
        <v>39</v>
      </c>
      <c r="Q60" s="106">
        <v>25412.400000000001</v>
      </c>
      <c r="R60" s="106">
        <v>32</v>
      </c>
      <c r="S60" s="106">
        <v>20851.2</v>
      </c>
      <c r="T60" s="106">
        <v>3</v>
      </c>
      <c r="U60" s="106">
        <v>1954.8000000000002</v>
      </c>
      <c r="V60" s="106">
        <v>4</v>
      </c>
      <c r="W60" s="106">
        <v>2606.4</v>
      </c>
      <c r="X60" s="106">
        <v>5</v>
      </c>
      <c r="Y60" s="106">
        <v>3258</v>
      </c>
      <c r="Z60" s="106">
        <v>4</v>
      </c>
      <c r="AA60" s="106">
        <v>2606.4</v>
      </c>
      <c r="AB60" s="106">
        <v>7</v>
      </c>
      <c r="AC60" s="106">
        <v>4561.2</v>
      </c>
      <c r="AD60" s="106">
        <v>7</v>
      </c>
      <c r="AE60" s="106">
        <v>4561.2</v>
      </c>
      <c r="AF60" s="106">
        <v>7</v>
      </c>
      <c r="AG60" s="106">
        <v>4561.2</v>
      </c>
      <c r="AH60" s="106">
        <v>9</v>
      </c>
      <c r="AI60" s="106">
        <v>5864.4000000000005</v>
      </c>
      <c r="AJ60" s="106">
        <v>6</v>
      </c>
      <c r="AK60" s="106">
        <v>3909.6000000000004</v>
      </c>
      <c r="AL60" s="106">
        <v>6</v>
      </c>
      <c r="AM60" s="106">
        <v>3909.6000000000004</v>
      </c>
      <c r="AN60" s="106">
        <v>9</v>
      </c>
      <c r="AO60" s="106">
        <v>5864.4000000000005</v>
      </c>
      <c r="AP60" s="106">
        <v>7</v>
      </c>
      <c r="AQ60" s="106">
        <v>4561.2</v>
      </c>
      <c r="AR60" s="106">
        <v>4</v>
      </c>
      <c r="AS60" s="106">
        <v>2606.4</v>
      </c>
      <c r="AT60" s="106">
        <v>3</v>
      </c>
      <c r="AU60" s="106">
        <v>1954.8000000000002</v>
      </c>
      <c r="AV60" s="106">
        <v>4</v>
      </c>
      <c r="AW60" s="106">
        <v>2606.4</v>
      </c>
      <c r="AX60" s="106">
        <v>4</v>
      </c>
      <c r="AY60" s="106">
        <v>2606.4</v>
      </c>
      <c r="AZ60" s="106">
        <v>9</v>
      </c>
      <c r="BA60" s="106">
        <v>5864.4000000000005</v>
      </c>
      <c r="BB60" s="106">
        <v>9</v>
      </c>
      <c r="BC60" s="106">
        <v>5864.4000000000005</v>
      </c>
      <c r="BD60" s="106">
        <v>5</v>
      </c>
      <c r="BE60" s="106">
        <v>3258</v>
      </c>
      <c r="BF60" s="106">
        <v>5</v>
      </c>
      <c r="BG60" s="106">
        <v>3258</v>
      </c>
      <c r="BH60" s="106">
        <v>3</v>
      </c>
      <c r="BI60" s="106">
        <v>1954.8000000000002</v>
      </c>
      <c r="BJ60" s="106">
        <v>4</v>
      </c>
      <c r="BK60" s="106">
        <v>2606.4</v>
      </c>
      <c r="BL60" s="106">
        <v>4</v>
      </c>
      <c r="BM60" s="106">
        <v>2606.4</v>
      </c>
      <c r="BN60" s="106">
        <v>5</v>
      </c>
      <c r="BO60" s="106">
        <v>3258</v>
      </c>
      <c r="BP60" s="106">
        <v>2</v>
      </c>
      <c r="BQ60" s="106">
        <v>1303.2</v>
      </c>
      <c r="BR60" s="106">
        <v>3</v>
      </c>
      <c r="BS60" s="106">
        <v>1954.8000000000002</v>
      </c>
      <c r="BT60" s="106">
        <v>3</v>
      </c>
      <c r="BU60" s="106">
        <v>1954.8000000000002</v>
      </c>
      <c r="BV60" s="106">
        <v>3</v>
      </c>
      <c r="BW60" s="106">
        <v>1954.8000000000002</v>
      </c>
      <c r="BX60" s="106">
        <v>55</v>
      </c>
      <c r="BY60" s="106">
        <v>35838</v>
      </c>
      <c r="BZ60" s="106">
        <v>66</v>
      </c>
      <c r="CA60" s="106">
        <v>43005.599999999999</v>
      </c>
      <c r="CB60" s="106">
        <v>56</v>
      </c>
      <c r="CC60" s="106">
        <v>36489.599999999999</v>
      </c>
      <c r="CD60" s="106">
        <v>65</v>
      </c>
      <c r="CE60" s="106">
        <v>42354</v>
      </c>
      <c r="CF60" s="106">
        <v>21</v>
      </c>
      <c r="CG60" s="106">
        <v>13683.6</v>
      </c>
      <c r="CH60" s="106">
        <v>17</v>
      </c>
      <c r="CI60" s="106">
        <v>11077.2</v>
      </c>
      <c r="CJ60" s="106">
        <v>21</v>
      </c>
      <c r="CK60" s="106">
        <v>13683.6</v>
      </c>
      <c r="CL60" s="106">
        <v>26</v>
      </c>
      <c r="CM60" s="106">
        <v>16941.600000000002</v>
      </c>
      <c r="CN60" s="106">
        <v>3</v>
      </c>
      <c r="CO60" s="106">
        <v>1954.8000000000002</v>
      </c>
      <c r="CP60" s="106">
        <v>4</v>
      </c>
      <c r="CQ60" s="106">
        <v>2606.4</v>
      </c>
      <c r="CR60" s="106">
        <v>4</v>
      </c>
      <c r="CS60" s="106">
        <v>2606.4</v>
      </c>
      <c r="CT60" s="106">
        <v>2</v>
      </c>
      <c r="CU60" s="106">
        <v>1303.2</v>
      </c>
    </row>
    <row r="61" spans="2:99" x14ac:dyDescent="0.2">
      <c r="C61" s="105" t="s">
        <v>227</v>
      </c>
      <c r="D61" s="106">
        <v>5</v>
      </c>
      <c r="E61" s="106">
        <v>4758</v>
      </c>
      <c r="F61" s="106">
        <v>7</v>
      </c>
      <c r="G61" s="106">
        <v>6661.1999999999989</v>
      </c>
      <c r="H61" s="106">
        <v>6</v>
      </c>
      <c r="I61" s="106">
        <v>5709.5999999999995</v>
      </c>
      <c r="J61" s="106">
        <v>6</v>
      </c>
      <c r="K61" s="106">
        <v>5709.5999999999995</v>
      </c>
      <c r="L61" s="106">
        <v>39</v>
      </c>
      <c r="M61" s="106">
        <v>37112.399999999994</v>
      </c>
      <c r="N61" s="106">
        <v>25</v>
      </c>
      <c r="O61" s="106">
        <v>23789.999999999996</v>
      </c>
      <c r="P61" s="106">
        <v>33</v>
      </c>
      <c r="Q61" s="106">
        <v>31402.799999999996</v>
      </c>
      <c r="R61" s="106">
        <v>28</v>
      </c>
      <c r="S61" s="106">
        <v>26644.799999999996</v>
      </c>
      <c r="T61" s="106">
        <v>3</v>
      </c>
      <c r="U61" s="106">
        <v>2854.7999999999997</v>
      </c>
      <c r="V61" s="106">
        <v>4</v>
      </c>
      <c r="W61" s="106">
        <v>3806.3999999999996</v>
      </c>
      <c r="X61" s="106">
        <v>5</v>
      </c>
      <c r="Y61" s="106">
        <v>4758</v>
      </c>
      <c r="Z61" s="106">
        <v>4</v>
      </c>
      <c r="AA61" s="106">
        <v>3806.3999999999996</v>
      </c>
      <c r="AB61" s="106">
        <v>6</v>
      </c>
      <c r="AC61" s="106">
        <v>5709.5999999999995</v>
      </c>
      <c r="AD61" s="106">
        <v>7</v>
      </c>
      <c r="AE61" s="106">
        <v>6661.1999999999989</v>
      </c>
      <c r="AF61" s="106">
        <v>7</v>
      </c>
      <c r="AG61" s="106">
        <v>6661.1999999999989</v>
      </c>
      <c r="AH61" s="106">
        <v>8</v>
      </c>
      <c r="AI61" s="106">
        <v>7612.7999999999993</v>
      </c>
      <c r="AJ61" s="106">
        <v>5</v>
      </c>
      <c r="AK61" s="106">
        <v>4758</v>
      </c>
      <c r="AL61" s="106">
        <v>7</v>
      </c>
      <c r="AM61" s="106">
        <v>6661.1999999999989</v>
      </c>
      <c r="AN61" s="106">
        <v>9</v>
      </c>
      <c r="AO61" s="106">
        <v>8564.4</v>
      </c>
      <c r="AP61" s="106">
        <v>7</v>
      </c>
      <c r="AQ61" s="106">
        <v>6661.1999999999989</v>
      </c>
      <c r="AR61" s="106">
        <v>4</v>
      </c>
      <c r="AS61" s="106">
        <v>3806.3999999999996</v>
      </c>
      <c r="AT61" s="106">
        <v>3</v>
      </c>
      <c r="AU61" s="106">
        <v>2854.7999999999997</v>
      </c>
      <c r="AV61" s="106">
        <v>4</v>
      </c>
      <c r="AW61" s="106">
        <v>3806.3999999999996</v>
      </c>
      <c r="AX61" s="106">
        <v>4</v>
      </c>
      <c r="AY61" s="106">
        <v>3806.3999999999996</v>
      </c>
      <c r="AZ61" s="106">
        <v>8</v>
      </c>
      <c r="BA61" s="106">
        <v>7612.7999999999993</v>
      </c>
      <c r="BB61" s="106">
        <v>8</v>
      </c>
      <c r="BC61" s="106">
        <v>7612.7999999999993</v>
      </c>
      <c r="BD61" s="106">
        <v>5</v>
      </c>
      <c r="BE61" s="106">
        <v>4758</v>
      </c>
      <c r="BF61" s="106">
        <v>5</v>
      </c>
      <c r="BG61" s="106">
        <v>4758</v>
      </c>
      <c r="BH61" s="106">
        <v>3</v>
      </c>
      <c r="BI61" s="106">
        <v>2854.7999999999997</v>
      </c>
      <c r="BJ61" s="106">
        <v>3</v>
      </c>
      <c r="BK61" s="106">
        <v>2854.7999999999997</v>
      </c>
      <c r="BL61" s="106">
        <v>5</v>
      </c>
      <c r="BM61" s="106">
        <v>4758</v>
      </c>
      <c r="BN61" s="106">
        <v>5</v>
      </c>
      <c r="BO61" s="106">
        <v>4758</v>
      </c>
      <c r="BP61" s="106">
        <v>2</v>
      </c>
      <c r="BQ61" s="106">
        <v>1903.1999999999998</v>
      </c>
      <c r="BR61" s="106">
        <v>3</v>
      </c>
      <c r="BS61" s="106">
        <v>2854.7999999999997</v>
      </c>
      <c r="BT61" s="106">
        <v>3</v>
      </c>
      <c r="BU61" s="106">
        <v>2854.7999999999997</v>
      </c>
      <c r="BV61" s="106">
        <v>3</v>
      </c>
      <c r="BW61" s="106">
        <v>2854.7999999999997</v>
      </c>
      <c r="BX61" s="106">
        <v>52</v>
      </c>
      <c r="BY61" s="106">
        <v>49483.199999999997</v>
      </c>
      <c r="BZ61" s="106">
        <v>60</v>
      </c>
      <c r="CA61" s="106">
        <v>57095.999999999993</v>
      </c>
      <c r="CB61" s="106">
        <v>50</v>
      </c>
      <c r="CC61" s="106">
        <v>47579.999999999993</v>
      </c>
      <c r="CD61" s="106">
        <v>61</v>
      </c>
      <c r="CE61" s="106">
        <v>58047.599999999991</v>
      </c>
      <c r="CF61" s="106">
        <v>18</v>
      </c>
      <c r="CG61" s="106">
        <v>17128.8</v>
      </c>
      <c r="CH61" s="106">
        <v>16</v>
      </c>
      <c r="CI61" s="106">
        <v>15225.599999999999</v>
      </c>
      <c r="CJ61" s="106">
        <v>17</v>
      </c>
      <c r="CK61" s="106">
        <v>16177.199999999999</v>
      </c>
      <c r="CL61" s="106">
        <v>24</v>
      </c>
      <c r="CM61" s="106">
        <v>22838.399999999998</v>
      </c>
      <c r="CN61" s="106">
        <v>3</v>
      </c>
      <c r="CO61" s="106">
        <v>2854.7999999999997</v>
      </c>
      <c r="CP61" s="106">
        <v>4</v>
      </c>
      <c r="CQ61" s="106">
        <v>3806.3999999999996</v>
      </c>
      <c r="CR61" s="106">
        <v>3</v>
      </c>
      <c r="CS61" s="106">
        <v>2854.7999999999997</v>
      </c>
      <c r="CT61" s="106">
        <v>2</v>
      </c>
      <c r="CU61" s="106">
        <v>1903.1999999999998</v>
      </c>
    </row>
    <row r="62" spans="2:99" x14ac:dyDescent="0.2">
      <c r="C62" s="105" t="s">
        <v>228</v>
      </c>
      <c r="D62" s="106">
        <v>5</v>
      </c>
      <c r="E62" s="106">
        <v>8526</v>
      </c>
      <c r="F62" s="106">
        <v>6</v>
      </c>
      <c r="G62" s="106">
        <v>10231.200000000001</v>
      </c>
      <c r="H62" s="106">
        <v>5</v>
      </c>
      <c r="I62" s="106">
        <v>8526</v>
      </c>
      <c r="J62" s="106">
        <v>5</v>
      </c>
      <c r="K62" s="106">
        <v>8526</v>
      </c>
      <c r="L62" s="106">
        <v>32</v>
      </c>
      <c r="M62" s="106">
        <v>54566.400000000001</v>
      </c>
      <c r="N62" s="106">
        <v>25</v>
      </c>
      <c r="O62" s="106">
        <v>42630</v>
      </c>
      <c r="P62" s="106">
        <v>27</v>
      </c>
      <c r="Q62" s="106">
        <v>46040.4</v>
      </c>
      <c r="R62" s="106">
        <v>29</v>
      </c>
      <c r="S62" s="106">
        <v>49450.8</v>
      </c>
      <c r="T62" s="106">
        <v>2</v>
      </c>
      <c r="U62" s="106">
        <v>3410.4</v>
      </c>
      <c r="V62" s="106">
        <v>4</v>
      </c>
      <c r="W62" s="106">
        <v>6820.8</v>
      </c>
      <c r="X62" s="106">
        <v>4</v>
      </c>
      <c r="Y62" s="106">
        <v>6820.8</v>
      </c>
      <c r="Z62" s="106">
        <v>4</v>
      </c>
      <c r="AA62" s="106">
        <v>6820.8</v>
      </c>
      <c r="AB62" s="106">
        <v>6</v>
      </c>
      <c r="AC62" s="106">
        <v>10231.200000000001</v>
      </c>
      <c r="AD62" s="106">
        <v>6</v>
      </c>
      <c r="AE62" s="106">
        <v>10231.200000000001</v>
      </c>
      <c r="AF62" s="106">
        <v>6</v>
      </c>
      <c r="AG62" s="106">
        <v>10231.200000000001</v>
      </c>
      <c r="AH62" s="106">
        <v>8</v>
      </c>
      <c r="AI62" s="106">
        <v>13641.6</v>
      </c>
      <c r="AJ62" s="106">
        <v>5</v>
      </c>
      <c r="AK62" s="106">
        <v>8526</v>
      </c>
      <c r="AL62" s="106">
        <v>6</v>
      </c>
      <c r="AM62" s="106">
        <v>10231.200000000001</v>
      </c>
      <c r="AN62" s="106">
        <v>8</v>
      </c>
      <c r="AO62" s="106">
        <v>13641.6</v>
      </c>
      <c r="AP62" s="106">
        <v>6</v>
      </c>
      <c r="AQ62" s="106">
        <v>10231.200000000001</v>
      </c>
      <c r="AR62" s="106">
        <v>4</v>
      </c>
      <c r="AS62" s="106">
        <v>6820.8</v>
      </c>
      <c r="AT62" s="106">
        <v>3</v>
      </c>
      <c r="AU62" s="106">
        <v>5115.6000000000004</v>
      </c>
      <c r="AV62" s="106">
        <v>3</v>
      </c>
      <c r="AW62" s="106">
        <v>5115.6000000000004</v>
      </c>
      <c r="AX62" s="106">
        <v>4</v>
      </c>
      <c r="AY62" s="106">
        <v>6820.8</v>
      </c>
      <c r="AZ62" s="106">
        <v>9</v>
      </c>
      <c r="BA62" s="106">
        <v>15346.800000000001</v>
      </c>
      <c r="BB62" s="106">
        <v>8</v>
      </c>
      <c r="BC62" s="106">
        <v>13641.6</v>
      </c>
      <c r="BD62" s="106">
        <v>5</v>
      </c>
      <c r="BE62" s="106">
        <v>8526</v>
      </c>
      <c r="BF62" s="106">
        <v>4</v>
      </c>
      <c r="BG62" s="106">
        <v>6820.8</v>
      </c>
      <c r="BH62" s="106">
        <v>3</v>
      </c>
      <c r="BI62" s="106">
        <v>5115.6000000000004</v>
      </c>
      <c r="BJ62" s="106">
        <v>3</v>
      </c>
      <c r="BK62" s="106">
        <v>5115.6000000000004</v>
      </c>
      <c r="BL62" s="106">
        <v>4</v>
      </c>
      <c r="BM62" s="106">
        <v>6820.8</v>
      </c>
      <c r="BN62" s="106">
        <v>5</v>
      </c>
      <c r="BO62" s="106">
        <v>8526</v>
      </c>
      <c r="BP62" s="106">
        <v>2</v>
      </c>
      <c r="BQ62" s="106">
        <v>3410.4</v>
      </c>
      <c r="BR62" s="106">
        <v>3</v>
      </c>
      <c r="BS62" s="106">
        <v>5115.6000000000004</v>
      </c>
      <c r="BT62" s="106">
        <v>3</v>
      </c>
      <c r="BU62" s="106">
        <v>5115.6000000000004</v>
      </c>
      <c r="BV62" s="106">
        <v>3</v>
      </c>
      <c r="BW62" s="106">
        <v>5115.6000000000004</v>
      </c>
      <c r="BX62" s="106">
        <v>36</v>
      </c>
      <c r="BY62" s="106">
        <v>61387.200000000004</v>
      </c>
      <c r="BZ62" s="106">
        <v>53</v>
      </c>
      <c r="CA62" s="106">
        <v>90375.6</v>
      </c>
      <c r="CB62" s="106">
        <v>39</v>
      </c>
      <c r="CC62" s="106">
        <v>66502.8</v>
      </c>
      <c r="CD62" s="106">
        <v>44</v>
      </c>
      <c r="CE62" s="106">
        <v>75028.800000000003</v>
      </c>
      <c r="CF62" s="106">
        <v>18</v>
      </c>
      <c r="CG62" s="106">
        <v>30693.600000000002</v>
      </c>
      <c r="CH62" s="106">
        <v>15</v>
      </c>
      <c r="CI62" s="106">
        <v>25578</v>
      </c>
      <c r="CJ62" s="106">
        <v>17</v>
      </c>
      <c r="CK62" s="106">
        <v>28988.400000000001</v>
      </c>
      <c r="CL62" s="106">
        <v>24</v>
      </c>
      <c r="CM62" s="106">
        <v>40924.800000000003</v>
      </c>
      <c r="CN62" s="106">
        <v>3</v>
      </c>
      <c r="CO62" s="106">
        <v>5115.6000000000004</v>
      </c>
      <c r="CP62" s="106">
        <v>3</v>
      </c>
      <c r="CQ62" s="106">
        <v>5115.6000000000004</v>
      </c>
      <c r="CR62" s="106">
        <v>3</v>
      </c>
      <c r="CS62" s="106">
        <v>5115.6000000000004</v>
      </c>
      <c r="CT62" s="106">
        <v>2</v>
      </c>
      <c r="CU62" s="106">
        <v>3410.4</v>
      </c>
    </row>
    <row r="63" spans="2:99" x14ac:dyDescent="0.2">
      <c r="C63" s="105" t="s">
        <v>229</v>
      </c>
      <c r="D63" s="106">
        <v>6</v>
      </c>
      <c r="E63" s="106">
        <v>4773.6000000000004</v>
      </c>
      <c r="F63" s="106">
        <v>7</v>
      </c>
      <c r="G63" s="106">
        <v>5569.2</v>
      </c>
      <c r="H63" s="106">
        <v>5</v>
      </c>
      <c r="I63" s="106">
        <v>3978</v>
      </c>
      <c r="J63" s="106">
        <v>6</v>
      </c>
      <c r="K63" s="106">
        <v>4773.6000000000004</v>
      </c>
      <c r="L63" s="106">
        <v>34</v>
      </c>
      <c r="M63" s="106">
        <v>27050.400000000001</v>
      </c>
      <c r="N63" s="106">
        <v>29</v>
      </c>
      <c r="O63" s="106">
        <v>23072.400000000001</v>
      </c>
      <c r="P63" s="106">
        <v>34</v>
      </c>
      <c r="Q63" s="106">
        <v>27050.400000000001</v>
      </c>
      <c r="R63" s="106">
        <v>34</v>
      </c>
      <c r="S63" s="106">
        <v>27050.400000000001</v>
      </c>
      <c r="T63" s="106">
        <v>3</v>
      </c>
      <c r="U63" s="106">
        <v>2386.8000000000002</v>
      </c>
      <c r="V63" s="106">
        <v>4</v>
      </c>
      <c r="W63" s="106">
        <v>3182.4</v>
      </c>
      <c r="X63" s="106">
        <v>5</v>
      </c>
      <c r="Y63" s="106">
        <v>3978</v>
      </c>
      <c r="Z63" s="106">
        <v>5</v>
      </c>
      <c r="AA63" s="106">
        <v>3978</v>
      </c>
      <c r="AB63" s="106">
        <v>7</v>
      </c>
      <c r="AC63" s="106">
        <v>5569.2</v>
      </c>
      <c r="AD63" s="106">
        <v>7</v>
      </c>
      <c r="AE63" s="106">
        <v>5569.2</v>
      </c>
      <c r="AF63" s="106">
        <v>6</v>
      </c>
      <c r="AG63" s="106">
        <v>4773.6000000000004</v>
      </c>
      <c r="AH63" s="106">
        <v>9</v>
      </c>
      <c r="AI63" s="106">
        <v>7160.4000000000005</v>
      </c>
      <c r="AJ63" s="106">
        <v>5</v>
      </c>
      <c r="AK63" s="106">
        <v>3978</v>
      </c>
      <c r="AL63" s="106">
        <v>6</v>
      </c>
      <c r="AM63" s="106">
        <v>4773.6000000000004</v>
      </c>
      <c r="AN63" s="106">
        <v>9</v>
      </c>
      <c r="AO63" s="106">
        <v>7160.4000000000005</v>
      </c>
      <c r="AP63" s="106">
        <v>6</v>
      </c>
      <c r="AQ63" s="106">
        <v>4773.6000000000004</v>
      </c>
      <c r="AR63" s="106">
        <v>5</v>
      </c>
      <c r="AS63" s="106">
        <v>3978</v>
      </c>
      <c r="AT63" s="106">
        <v>3</v>
      </c>
      <c r="AU63" s="106">
        <v>2386.8000000000002</v>
      </c>
      <c r="AV63" s="106">
        <v>4</v>
      </c>
      <c r="AW63" s="106">
        <v>3182.4</v>
      </c>
      <c r="AX63" s="106">
        <v>4</v>
      </c>
      <c r="AY63" s="106">
        <v>3182.4</v>
      </c>
      <c r="AZ63" s="106">
        <v>9</v>
      </c>
      <c r="BA63" s="106">
        <v>7160.4000000000005</v>
      </c>
      <c r="BB63" s="106">
        <v>8</v>
      </c>
      <c r="BC63" s="106">
        <v>6364.8</v>
      </c>
      <c r="BD63" s="106">
        <v>5</v>
      </c>
      <c r="BE63" s="106">
        <v>3978</v>
      </c>
      <c r="BF63" s="106">
        <v>5</v>
      </c>
      <c r="BG63" s="106">
        <v>3978</v>
      </c>
      <c r="BH63" s="106">
        <v>3</v>
      </c>
      <c r="BI63" s="106">
        <v>2386.8000000000002</v>
      </c>
      <c r="BJ63" s="106">
        <v>4</v>
      </c>
      <c r="BK63" s="106">
        <v>3182.4</v>
      </c>
      <c r="BL63" s="106">
        <v>5</v>
      </c>
      <c r="BM63" s="106">
        <v>3978</v>
      </c>
      <c r="BN63" s="106">
        <v>5</v>
      </c>
      <c r="BO63" s="106">
        <v>3978</v>
      </c>
      <c r="BP63" s="106">
        <v>2</v>
      </c>
      <c r="BQ63" s="106">
        <v>1591.2</v>
      </c>
      <c r="BR63" s="106">
        <v>3</v>
      </c>
      <c r="BS63" s="106">
        <v>2386.8000000000002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49</v>
      </c>
      <c r="BY63" s="106">
        <v>38984.400000000001</v>
      </c>
      <c r="BZ63" s="106">
        <v>61</v>
      </c>
      <c r="CA63" s="106">
        <v>48531.6</v>
      </c>
      <c r="CB63" s="106">
        <v>54</v>
      </c>
      <c r="CC63" s="106">
        <v>42962.400000000001</v>
      </c>
      <c r="CD63" s="106">
        <v>58</v>
      </c>
      <c r="CE63" s="106">
        <v>46144.800000000003</v>
      </c>
      <c r="CF63" s="106">
        <v>20</v>
      </c>
      <c r="CG63" s="106">
        <v>15912</v>
      </c>
      <c r="CH63" s="106">
        <v>19</v>
      </c>
      <c r="CI63" s="106">
        <v>15116.4</v>
      </c>
      <c r="CJ63" s="106">
        <v>21</v>
      </c>
      <c r="CK63" s="106">
        <v>16707.600000000002</v>
      </c>
      <c r="CL63" s="106">
        <v>25</v>
      </c>
      <c r="CM63" s="106">
        <v>19890</v>
      </c>
      <c r="CN63" s="106">
        <v>4</v>
      </c>
      <c r="CO63" s="106">
        <v>3182.4</v>
      </c>
      <c r="CP63" s="106">
        <v>4</v>
      </c>
      <c r="CQ63" s="106">
        <v>3182.4</v>
      </c>
      <c r="CR63" s="106">
        <v>3</v>
      </c>
      <c r="CS63" s="106">
        <v>2386.8000000000002</v>
      </c>
      <c r="CT63" s="106">
        <v>2</v>
      </c>
      <c r="CU63" s="106">
        <v>1591.2</v>
      </c>
    </row>
    <row r="64" spans="2:99" x14ac:dyDescent="0.2">
      <c r="C64" s="105" t="s">
        <v>230</v>
      </c>
      <c r="D64" s="106">
        <v>6</v>
      </c>
      <c r="E64" s="106">
        <v>6055.1999999999989</v>
      </c>
      <c r="F64" s="106">
        <v>7</v>
      </c>
      <c r="G64" s="106">
        <v>7064.3999999999987</v>
      </c>
      <c r="H64" s="106">
        <v>6</v>
      </c>
      <c r="I64" s="106">
        <v>6055.1999999999989</v>
      </c>
      <c r="J64" s="106">
        <v>6</v>
      </c>
      <c r="K64" s="106">
        <v>6055.1999999999989</v>
      </c>
      <c r="L64" s="106">
        <v>34</v>
      </c>
      <c r="M64" s="106">
        <v>34312.799999999996</v>
      </c>
      <c r="N64" s="106">
        <v>24</v>
      </c>
      <c r="O64" s="106">
        <v>24220.799999999996</v>
      </c>
      <c r="P64" s="106">
        <v>33</v>
      </c>
      <c r="Q64" s="106">
        <v>33303.599999999991</v>
      </c>
      <c r="R64" s="106">
        <v>30</v>
      </c>
      <c r="S64" s="106">
        <v>30275.999999999993</v>
      </c>
      <c r="T64" s="106">
        <v>3</v>
      </c>
      <c r="U64" s="106">
        <v>3027.5999999999995</v>
      </c>
      <c r="V64" s="106">
        <v>4</v>
      </c>
      <c r="W64" s="106">
        <v>4036.7999999999993</v>
      </c>
      <c r="X64" s="106">
        <v>4</v>
      </c>
      <c r="Y64" s="106">
        <v>4036.7999999999993</v>
      </c>
      <c r="Z64" s="106">
        <v>5</v>
      </c>
      <c r="AA64" s="106">
        <v>5045.9999999999991</v>
      </c>
      <c r="AB64" s="106">
        <v>6</v>
      </c>
      <c r="AC64" s="106">
        <v>6055.1999999999989</v>
      </c>
      <c r="AD64" s="106">
        <v>7</v>
      </c>
      <c r="AE64" s="106">
        <v>7064.3999999999987</v>
      </c>
      <c r="AF64" s="106">
        <v>7</v>
      </c>
      <c r="AG64" s="106">
        <v>7064.3999999999987</v>
      </c>
      <c r="AH64" s="106">
        <v>8</v>
      </c>
      <c r="AI64" s="106">
        <v>8073.5999999999985</v>
      </c>
      <c r="AJ64" s="106">
        <v>5</v>
      </c>
      <c r="AK64" s="106">
        <v>5045.9999999999991</v>
      </c>
      <c r="AL64" s="106">
        <v>6</v>
      </c>
      <c r="AM64" s="106">
        <v>6055.1999999999989</v>
      </c>
      <c r="AN64" s="106">
        <v>9</v>
      </c>
      <c r="AO64" s="106">
        <v>9082.7999999999993</v>
      </c>
      <c r="AP64" s="106">
        <v>6</v>
      </c>
      <c r="AQ64" s="106">
        <v>6055.1999999999989</v>
      </c>
      <c r="AR64" s="106">
        <v>4</v>
      </c>
      <c r="AS64" s="106">
        <v>4036.7999999999993</v>
      </c>
      <c r="AT64" s="106">
        <v>3</v>
      </c>
      <c r="AU64" s="106">
        <v>3027.5999999999995</v>
      </c>
      <c r="AV64" s="106">
        <v>4</v>
      </c>
      <c r="AW64" s="106">
        <v>4036.7999999999993</v>
      </c>
      <c r="AX64" s="106">
        <v>4</v>
      </c>
      <c r="AY64" s="106">
        <v>4036.7999999999993</v>
      </c>
      <c r="AZ64" s="106">
        <v>8</v>
      </c>
      <c r="BA64" s="106">
        <v>8073.5999999999985</v>
      </c>
      <c r="BB64" s="106">
        <v>8</v>
      </c>
      <c r="BC64" s="106">
        <v>8073.5999999999985</v>
      </c>
      <c r="BD64" s="106">
        <v>5</v>
      </c>
      <c r="BE64" s="106">
        <v>5045.9999999999991</v>
      </c>
      <c r="BF64" s="106">
        <v>5</v>
      </c>
      <c r="BG64" s="106">
        <v>5045.9999999999991</v>
      </c>
      <c r="BH64" s="106">
        <v>3</v>
      </c>
      <c r="BI64" s="106">
        <v>3027.5999999999995</v>
      </c>
      <c r="BJ64" s="106">
        <v>4</v>
      </c>
      <c r="BK64" s="106">
        <v>4036.7999999999993</v>
      </c>
      <c r="BL64" s="106">
        <v>4</v>
      </c>
      <c r="BM64" s="106">
        <v>4036.7999999999993</v>
      </c>
      <c r="BN64" s="106">
        <v>5</v>
      </c>
      <c r="BO64" s="106">
        <v>5045.9999999999991</v>
      </c>
      <c r="BP64" s="106">
        <v>2</v>
      </c>
      <c r="BQ64" s="106">
        <v>2018.3999999999996</v>
      </c>
      <c r="BR64" s="106">
        <v>3</v>
      </c>
      <c r="BS64" s="106">
        <v>3027.5999999999995</v>
      </c>
      <c r="BT64" s="106">
        <v>3</v>
      </c>
      <c r="BU64" s="106">
        <v>3027.5999999999995</v>
      </c>
      <c r="BV64" s="106">
        <v>3</v>
      </c>
      <c r="BW64" s="106">
        <v>3027.5999999999995</v>
      </c>
      <c r="BX64" s="106">
        <v>51</v>
      </c>
      <c r="BY64" s="106">
        <v>51469.19999999999</v>
      </c>
      <c r="BZ64" s="106">
        <v>53</v>
      </c>
      <c r="CA64" s="106">
        <v>53487.599999999991</v>
      </c>
      <c r="CB64" s="106">
        <v>49</v>
      </c>
      <c r="CC64" s="106">
        <v>49450.799999999988</v>
      </c>
      <c r="CD64" s="106">
        <v>56</v>
      </c>
      <c r="CE64" s="106">
        <v>56515.19999999999</v>
      </c>
      <c r="CF64" s="106">
        <v>20</v>
      </c>
      <c r="CG64" s="106">
        <v>20183.999999999996</v>
      </c>
      <c r="CH64" s="106">
        <v>19</v>
      </c>
      <c r="CI64" s="106">
        <v>19174.799999999996</v>
      </c>
      <c r="CJ64" s="106">
        <v>20</v>
      </c>
      <c r="CK64" s="106">
        <v>20183.999999999996</v>
      </c>
      <c r="CL64" s="106">
        <v>26</v>
      </c>
      <c r="CM64" s="106">
        <v>26239.199999999997</v>
      </c>
      <c r="CN64" s="106">
        <v>3</v>
      </c>
      <c r="CO64" s="106">
        <v>3027.5999999999995</v>
      </c>
      <c r="CP64" s="106">
        <v>4</v>
      </c>
      <c r="CQ64" s="106">
        <v>4036.7999999999993</v>
      </c>
      <c r="CR64" s="106">
        <v>3</v>
      </c>
      <c r="CS64" s="106">
        <v>3027.5999999999995</v>
      </c>
      <c r="CT64" s="106">
        <v>2</v>
      </c>
      <c r="CU64" s="106">
        <v>2018.3999999999996</v>
      </c>
    </row>
    <row r="65" spans="2:99" x14ac:dyDescent="0.2">
      <c r="C65" s="105" t="s">
        <v>231</v>
      </c>
      <c r="D65" s="106">
        <v>5</v>
      </c>
      <c r="E65" s="106">
        <v>5130</v>
      </c>
      <c r="F65" s="106">
        <v>7</v>
      </c>
      <c r="G65" s="106">
        <v>7182</v>
      </c>
      <c r="H65" s="106">
        <v>5</v>
      </c>
      <c r="I65" s="106">
        <v>5130</v>
      </c>
      <c r="J65" s="106">
        <v>5</v>
      </c>
      <c r="K65" s="106">
        <v>5130</v>
      </c>
      <c r="L65" s="106">
        <v>36</v>
      </c>
      <c r="M65" s="106">
        <v>36936</v>
      </c>
      <c r="N65" s="106">
        <v>25</v>
      </c>
      <c r="O65" s="106">
        <v>25650</v>
      </c>
      <c r="P65" s="106">
        <v>34</v>
      </c>
      <c r="Q65" s="106">
        <v>34884</v>
      </c>
      <c r="R65" s="106">
        <v>27</v>
      </c>
      <c r="S65" s="106">
        <v>27702</v>
      </c>
      <c r="T65" s="106">
        <v>3</v>
      </c>
      <c r="U65" s="106">
        <v>3078</v>
      </c>
      <c r="V65" s="106">
        <v>4</v>
      </c>
      <c r="W65" s="106">
        <v>4104</v>
      </c>
      <c r="X65" s="106">
        <v>4</v>
      </c>
      <c r="Y65" s="106">
        <v>4104</v>
      </c>
      <c r="Z65" s="106">
        <v>5</v>
      </c>
      <c r="AA65" s="106">
        <v>5130</v>
      </c>
      <c r="AB65" s="106">
        <v>7</v>
      </c>
      <c r="AC65" s="106">
        <v>7182</v>
      </c>
      <c r="AD65" s="106">
        <v>7</v>
      </c>
      <c r="AE65" s="106">
        <v>7182</v>
      </c>
      <c r="AF65" s="106">
        <v>6</v>
      </c>
      <c r="AG65" s="106">
        <v>6156</v>
      </c>
      <c r="AH65" s="106">
        <v>7</v>
      </c>
      <c r="AI65" s="106">
        <v>7182</v>
      </c>
      <c r="AJ65" s="106">
        <v>6</v>
      </c>
      <c r="AK65" s="106">
        <v>6156</v>
      </c>
      <c r="AL65" s="106">
        <v>6</v>
      </c>
      <c r="AM65" s="106">
        <v>6156</v>
      </c>
      <c r="AN65" s="106">
        <v>9</v>
      </c>
      <c r="AO65" s="106">
        <v>9234</v>
      </c>
      <c r="AP65" s="106">
        <v>6</v>
      </c>
      <c r="AQ65" s="106">
        <v>6156</v>
      </c>
      <c r="AR65" s="106">
        <v>4</v>
      </c>
      <c r="AS65" s="106">
        <v>4104</v>
      </c>
      <c r="AT65" s="106">
        <v>3</v>
      </c>
      <c r="AU65" s="106">
        <v>3078</v>
      </c>
      <c r="AV65" s="106">
        <v>4</v>
      </c>
      <c r="AW65" s="106">
        <v>4104</v>
      </c>
      <c r="AX65" s="106">
        <v>4</v>
      </c>
      <c r="AY65" s="106">
        <v>4104</v>
      </c>
      <c r="AZ65" s="106">
        <v>9</v>
      </c>
      <c r="BA65" s="106">
        <v>9234</v>
      </c>
      <c r="BB65" s="106">
        <v>8</v>
      </c>
      <c r="BC65" s="106">
        <v>8208</v>
      </c>
      <c r="BD65" s="106">
        <v>5</v>
      </c>
      <c r="BE65" s="106">
        <v>5130</v>
      </c>
      <c r="BF65" s="106">
        <v>5</v>
      </c>
      <c r="BG65" s="106">
        <v>5130</v>
      </c>
      <c r="BH65" s="106">
        <v>3</v>
      </c>
      <c r="BI65" s="106">
        <v>3078</v>
      </c>
      <c r="BJ65" s="106">
        <v>4</v>
      </c>
      <c r="BK65" s="106">
        <v>4104</v>
      </c>
      <c r="BL65" s="106">
        <v>4</v>
      </c>
      <c r="BM65" s="106">
        <v>4104</v>
      </c>
      <c r="BN65" s="106">
        <v>5</v>
      </c>
      <c r="BO65" s="106">
        <v>5130</v>
      </c>
      <c r="BP65" s="106">
        <v>2</v>
      </c>
      <c r="BQ65" s="106">
        <v>2052</v>
      </c>
      <c r="BR65" s="106">
        <v>3</v>
      </c>
      <c r="BS65" s="106">
        <v>3078</v>
      </c>
      <c r="BT65" s="106">
        <v>3</v>
      </c>
      <c r="BU65" s="106">
        <v>3078</v>
      </c>
      <c r="BV65" s="106">
        <v>3</v>
      </c>
      <c r="BW65" s="106">
        <v>3078</v>
      </c>
      <c r="BX65" s="106">
        <v>48</v>
      </c>
      <c r="BY65" s="106">
        <v>49248</v>
      </c>
      <c r="BZ65" s="106">
        <v>61</v>
      </c>
      <c r="CA65" s="106">
        <v>62586</v>
      </c>
      <c r="CB65" s="106">
        <v>43</v>
      </c>
      <c r="CC65" s="106">
        <v>44118</v>
      </c>
      <c r="CD65" s="106">
        <v>50</v>
      </c>
      <c r="CE65" s="106">
        <v>51300</v>
      </c>
      <c r="CF65" s="106">
        <v>18</v>
      </c>
      <c r="CG65" s="106">
        <v>18468</v>
      </c>
      <c r="CH65" s="106">
        <v>16</v>
      </c>
      <c r="CI65" s="106">
        <v>16416</v>
      </c>
      <c r="CJ65" s="106">
        <v>19</v>
      </c>
      <c r="CK65" s="106">
        <v>19494</v>
      </c>
      <c r="CL65" s="106">
        <v>26</v>
      </c>
      <c r="CM65" s="106">
        <v>26676</v>
      </c>
      <c r="CN65" s="106">
        <v>3</v>
      </c>
      <c r="CO65" s="106">
        <v>3078</v>
      </c>
      <c r="CP65" s="106">
        <v>4</v>
      </c>
      <c r="CQ65" s="106">
        <v>4104</v>
      </c>
      <c r="CR65" s="106">
        <v>3</v>
      </c>
      <c r="CS65" s="106">
        <v>3078</v>
      </c>
      <c r="CT65" s="106">
        <v>2</v>
      </c>
      <c r="CU65" s="106">
        <v>2052</v>
      </c>
    </row>
    <row r="66" spans="2:99" x14ac:dyDescent="0.2">
      <c r="C66" s="105" t="s">
        <v>232</v>
      </c>
      <c r="D66" s="106">
        <v>5</v>
      </c>
      <c r="E66" s="106">
        <v>5951.9999999999991</v>
      </c>
      <c r="F66" s="106">
        <v>6</v>
      </c>
      <c r="G66" s="106">
        <v>7142.4</v>
      </c>
      <c r="H66" s="106">
        <v>6</v>
      </c>
      <c r="I66" s="106">
        <v>7142.4</v>
      </c>
      <c r="J66" s="106">
        <v>6</v>
      </c>
      <c r="K66" s="106">
        <v>7142.4</v>
      </c>
      <c r="L66" s="106">
        <v>37</v>
      </c>
      <c r="M66" s="106">
        <v>44044.799999999996</v>
      </c>
      <c r="N66" s="106">
        <v>27</v>
      </c>
      <c r="O66" s="106">
        <v>32140.799999999996</v>
      </c>
      <c r="P66" s="106">
        <v>37</v>
      </c>
      <c r="Q66" s="106">
        <v>44044.799999999996</v>
      </c>
      <c r="R66" s="106">
        <v>31</v>
      </c>
      <c r="S66" s="106">
        <v>36902.399999999994</v>
      </c>
      <c r="T66" s="106">
        <v>2</v>
      </c>
      <c r="U66" s="106">
        <v>2380.7999999999997</v>
      </c>
      <c r="V66" s="106">
        <v>4</v>
      </c>
      <c r="W66" s="106">
        <v>4761.5999999999995</v>
      </c>
      <c r="X66" s="106">
        <v>5</v>
      </c>
      <c r="Y66" s="106">
        <v>5951.9999999999991</v>
      </c>
      <c r="Z66" s="106">
        <v>4</v>
      </c>
      <c r="AA66" s="106">
        <v>4761.5999999999995</v>
      </c>
      <c r="AB66" s="106">
        <v>6</v>
      </c>
      <c r="AC66" s="106">
        <v>7142.4</v>
      </c>
      <c r="AD66" s="106">
        <v>7</v>
      </c>
      <c r="AE66" s="106">
        <v>8332.7999999999993</v>
      </c>
      <c r="AF66" s="106">
        <v>6</v>
      </c>
      <c r="AG66" s="106">
        <v>7142.4</v>
      </c>
      <c r="AH66" s="106">
        <v>8</v>
      </c>
      <c r="AI66" s="106">
        <v>9523.1999999999989</v>
      </c>
      <c r="AJ66" s="106">
        <v>5</v>
      </c>
      <c r="AK66" s="106">
        <v>5951.9999999999991</v>
      </c>
      <c r="AL66" s="106">
        <v>5</v>
      </c>
      <c r="AM66" s="106">
        <v>5951.9999999999991</v>
      </c>
      <c r="AN66" s="106">
        <v>8</v>
      </c>
      <c r="AO66" s="106">
        <v>9523.1999999999989</v>
      </c>
      <c r="AP66" s="106">
        <v>7</v>
      </c>
      <c r="AQ66" s="106">
        <v>8332.7999999999993</v>
      </c>
      <c r="AR66" s="106">
        <v>4</v>
      </c>
      <c r="AS66" s="106">
        <v>4761.5999999999995</v>
      </c>
      <c r="AT66" s="106">
        <v>3</v>
      </c>
      <c r="AU66" s="106">
        <v>3571.2</v>
      </c>
      <c r="AV66" s="106">
        <v>4</v>
      </c>
      <c r="AW66" s="106">
        <v>4761.5999999999995</v>
      </c>
      <c r="AX66" s="106">
        <v>4</v>
      </c>
      <c r="AY66" s="106">
        <v>4761.5999999999995</v>
      </c>
      <c r="AZ66" s="106">
        <v>9</v>
      </c>
      <c r="BA66" s="106">
        <v>10713.599999999999</v>
      </c>
      <c r="BB66" s="106">
        <v>8</v>
      </c>
      <c r="BC66" s="106">
        <v>9523.1999999999989</v>
      </c>
      <c r="BD66" s="106">
        <v>5</v>
      </c>
      <c r="BE66" s="106">
        <v>5951.9999999999991</v>
      </c>
      <c r="BF66" s="106">
        <v>5</v>
      </c>
      <c r="BG66" s="106">
        <v>5951.9999999999991</v>
      </c>
      <c r="BH66" s="106">
        <v>3</v>
      </c>
      <c r="BI66" s="106">
        <v>3571.2</v>
      </c>
      <c r="BJ66" s="106">
        <v>3</v>
      </c>
      <c r="BK66" s="106">
        <v>3571.2</v>
      </c>
      <c r="BL66" s="106">
        <v>4</v>
      </c>
      <c r="BM66" s="106">
        <v>4761.5999999999995</v>
      </c>
      <c r="BN66" s="106">
        <v>4</v>
      </c>
      <c r="BO66" s="106">
        <v>4761.5999999999995</v>
      </c>
      <c r="BP66" s="106">
        <v>2</v>
      </c>
      <c r="BQ66" s="106">
        <v>2380.7999999999997</v>
      </c>
      <c r="BR66" s="106">
        <v>3</v>
      </c>
      <c r="BS66" s="106">
        <v>3571.2</v>
      </c>
      <c r="BT66" s="106">
        <v>3</v>
      </c>
      <c r="BU66" s="106">
        <v>3571.2</v>
      </c>
      <c r="BV66" s="106">
        <v>3</v>
      </c>
      <c r="BW66" s="106">
        <v>3571.2</v>
      </c>
      <c r="BX66" s="106">
        <v>50</v>
      </c>
      <c r="BY66" s="106">
        <v>59519.999999999993</v>
      </c>
      <c r="BZ66" s="106">
        <v>53</v>
      </c>
      <c r="CA66" s="106">
        <v>63091.19999999999</v>
      </c>
      <c r="CB66" s="106">
        <v>44</v>
      </c>
      <c r="CC66" s="106">
        <v>52377.599999999991</v>
      </c>
      <c r="CD66" s="106">
        <v>51</v>
      </c>
      <c r="CE66" s="106">
        <v>60710.399999999994</v>
      </c>
      <c r="CF66" s="106">
        <v>20</v>
      </c>
      <c r="CG66" s="106">
        <v>23807.999999999996</v>
      </c>
      <c r="CH66" s="106">
        <v>15</v>
      </c>
      <c r="CI66" s="106">
        <v>17855.999999999996</v>
      </c>
      <c r="CJ66" s="106">
        <v>19</v>
      </c>
      <c r="CK66" s="106">
        <v>22617.599999999999</v>
      </c>
      <c r="CL66" s="106">
        <v>25</v>
      </c>
      <c r="CM66" s="106">
        <v>29759.999999999996</v>
      </c>
      <c r="CN66" s="106">
        <v>3</v>
      </c>
      <c r="CO66" s="106">
        <v>3571.2</v>
      </c>
      <c r="CP66" s="106">
        <v>4</v>
      </c>
      <c r="CQ66" s="106">
        <v>4761.5999999999995</v>
      </c>
      <c r="CR66" s="106">
        <v>3</v>
      </c>
      <c r="CS66" s="106">
        <v>3571.2</v>
      </c>
      <c r="CT66" s="106">
        <v>2</v>
      </c>
      <c r="CU66" s="106">
        <v>2380.7999999999997</v>
      </c>
    </row>
    <row r="67" spans="2:99" x14ac:dyDescent="0.2">
      <c r="C67" s="105" t="s">
        <v>233</v>
      </c>
      <c r="D67" s="106">
        <v>5</v>
      </c>
      <c r="E67" s="106">
        <v>5616</v>
      </c>
      <c r="F67" s="106">
        <v>7</v>
      </c>
      <c r="G67" s="106">
        <v>7862.4000000000005</v>
      </c>
      <c r="H67" s="106">
        <v>6</v>
      </c>
      <c r="I67" s="106">
        <v>6739.2000000000007</v>
      </c>
      <c r="J67" s="106">
        <v>5</v>
      </c>
      <c r="K67" s="106">
        <v>5616</v>
      </c>
      <c r="L67" s="106">
        <v>32</v>
      </c>
      <c r="M67" s="106">
        <v>35942.400000000001</v>
      </c>
      <c r="N67" s="106">
        <v>28</v>
      </c>
      <c r="O67" s="106">
        <v>31449.600000000002</v>
      </c>
      <c r="P67" s="106">
        <v>31</v>
      </c>
      <c r="Q67" s="106">
        <v>34819.200000000004</v>
      </c>
      <c r="R67" s="106">
        <v>32</v>
      </c>
      <c r="S67" s="106">
        <v>35942.400000000001</v>
      </c>
      <c r="T67" s="106">
        <v>2</v>
      </c>
      <c r="U67" s="106">
        <v>2246.4</v>
      </c>
      <c r="V67" s="106">
        <v>4</v>
      </c>
      <c r="W67" s="106">
        <v>4492.8</v>
      </c>
      <c r="X67" s="106">
        <v>5</v>
      </c>
      <c r="Y67" s="106">
        <v>5616</v>
      </c>
      <c r="Z67" s="106">
        <v>5</v>
      </c>
      <c r="AA67" s="106">
        <v>5616</v>
      </c>
      <c r="AB67" s="106">
        <v>7</v>
      </c>
      <c r="AC67" s="106">
        <v>7862.4000000000005</v>
      </c>
      <c r="AD67" s="106">
        <v>7</v>
      </c>
      <c r="AE67" s="106">
        <v>7862.4000000000005</v>
      </c>
      <c r="AF67" s="106">
        <v>6</v>
      </c>
      <c r="AG67" s="106">
        <v>6739.2000000000007</v>
      </c>
      <c r="AH67" s="106">
        <v>8</v>
      </c>
      <c r="AI67" s="106">
        <v>8985.6</v>
      </c>
      <c r="AJ67" s="106">
        <v>6</v>
      </c>
      <c r="AK67" s="106">
        <v>6739.2000000000007</v>
      </c>
      <c r="AL67" s="106">
        <v>6</v>
      </c>
      <c r="AM67" s="106">
        <v>6739.2000000000007</v>
      </c>
      <c r="AN67" s="106">
        <v>8</v>
      </c>
      <c r="AO67" s="106">
        <v>8985.6</v>
      </c>
      <c r="AP67" s="106">
        <v>7</v>
      </c>
      <c r="AQ67" s="106">
        <v>7862.4000000000005</v>
      </c>
      <c r="AR67" s="106">
        <v>4</v>
      </c>
      <c r="AS67" s="106">
        <v>4492.8</v>
      </c>
      <c r="AT67" s="106">
        <v>3</v>
      </c>
      <c r="AU67" s="106">
        <v>3369.6000000000004</v>
      </c>
      <c r="AV67" s="106">
        <v>4</v>
      </c>
      <c r="AW67" s="106">
        <v>4492.8</v>
      </c>
      <c r="AX67" s="106">
        <v>4</v>
      </c>
      <c r="AY67" s="106">
        <v>4492.8</v>
      </c>
      <c r="AZ67" s="106">
        <v>8</v>
      </c>
      <c r="BA67" s="106">
        <v>8985.6</v>
      </c>
      <c r="BB67" s="106">
        <v>9</v>
      </c>
      <c r="BC67" s="106">
        <v>10108.800000000001</v>
      </c>
      <c r="BD67" s="106">
        <v>5</v>
      </c>
      <c r="BE67" s="106">
        <v>5616</v>
      </c>
      <c r="BF67" s="106">
        <v>5</v>
      </c>
      <c r="BG67" s="106">
        <v>5616</v>
      </c>
      <c r="BH67" s="106">
        <v>3</v>
      </c>
      <c r="BI67" s="106">
        <v>3369.6000000000004</v>
      </c>
      <c r="BJ67" s="106">
        <v>4</v>
      </c>
      <c r="BK67" s="106">
        <v>4492.8</v>
      </c>
      <c r="BL67" s="106">
        <v>4</v>
      </c>
      <c r="BM67" s="106">
        <v>4492.8</v>
      </c>
      <c r="BN67" s="106">
        <v>5</v>
      </c>
      <c r="BO67" s="106">
        <v>5616</v>
      </c>
      <c r="BP67" s="106">
        <v>2</v>
      </c>
      <c r="BQ67" s="106">
        <v>2246.4</v>
      </c>
      <c r="BR67" s="106">
        <v>3</v>
      </c>
      <c r="BS67" s="106">
        <v>3369.6000000000004</v>
      </c>
      <c r="BT67" s="106">
        <v>3</v>
      </c>
      <c r="BU67" s="106">
        <v>3369.6000000000004</v>
      </c>
      <c r="BV67" s="106">
        <v>3</v>
      </c>
      <c r="BW67" s="106">
        <v>3369.6000000000004</v>
      </c>
      <c r="BX67" s="106">
        <v>44</v>
      </c>
      <c r="BY67" s="106">
        <v>49420.800000000003</v>
      </c>
      <c r="BZ67" s="106">
        <v>59</v>
      </c>
      <c r="CA67" s="106">
        <v>66268.800000000003</v>
      </c>
      <c r="CB67" s="106">
        <v>41</v>
      </c>
      <c r="CC67" s="106">
        <v>46051.200000000004</v>
      </c>
      <c r="CD67" s="106">
        <v>56</v>
      </c>
      <c r="CE67" s="106">
        <v>62899.200000000004</v>
      </c>
      <c r="CF67" s="106">
        <v>20</v>
      </c>
      <c r="CG67" s="106">
        <v>22464</v>
      </c>
      <c r="CH67" s="106">
        <v>17</v>
      </c>
      <c r="CI67" s="106">
        <v>19094.400000000001</v>
      </c>
      <c r="CJ67" s="106">
        <v>20</v>
      </c>
      <c r="CK67" s="106">
        <v>22464</v>
      </c>
      <c r="CL67" s="106">
        <v>23</v>
      </c>
      <c r="CM67" s="106">
        <v>25833.600000000002</v>
      </c>
      <c r="CN67" s="106">
        <v>3</v>
      </c>
      <c r="CO67" s="106">
        <v>3369.6000000000004</v>
      </c>
      <c r="CP67" s="106">
        <v>4</v>
      </c>
      <c r="CQ67" s="106">
        <v>4492.8</v>
      </c>
      <c r="CR67" s="106">
        <v>3</v>
      </c>
      <c r="CS67" s="106">
        <v>3369.6000000000004</v>
      </c>
      <c r="CT67" s="106">
        <v>2</v>
      </c>
      <c r="CU67" s="106">
        <v>2246.4</v>
      </c>
    </row>
    <row r="68" spans="2:99" x14ac:dyDescent="0.2">
      <c r="C68" s="105" t="s">
        <v>234</v>
      </c>
      <c r="D68" s="106">
        <v>5</v>
      </c>
      <c r="E68" s="106">
        <v>5166</v>
      </c>
      <c r="F68" s="106">
        <v>7</v>
      </c>
      <c r="G68" s="106">
        <v>7232.4000000000005</v>
      </c>
      <c r="H68" s="106">
        <v>6</v>
      </c>
      <c r="I68" s="106">
        <v>6199.2000000000007</v>
      </c>
      <c r="J68" s="106">
        <v>6</v>
      </c>
      <c r="K68" s="106">
        <v>6199.2000000000007</v>
      </c>
      <c r="L68" s="106">
        <v>35</v>
      </c>
      <c r="M68" s="106">
        <v>36162</v>
      </c>
      <c r="N68" s="106">
        <v>26</v>
      </c>
      <c r="O68" s="106">
        <v>26863.200000000001</v>
      </c>
      <c r="P68" s="106">
        <v>36</v>
      </c>
      <c r="Q68" s="106">
        <v>37195.200000000004</v>
      </c>
      <c r="R68" s="106">
        <v>30</v>
      </c>
      <c r="S68" s="106">
        <v>30996</v>
      </c>
      <c r="T68" s="106">
        <v>3</v>
      </c>
      <c r="U68" s="106">
        <v>3099.6000000000004</v>
      </c>
      <c r="V68" s="106">
        <v>4</v>
      </c>
      <c r="W68" s="106">
        <v>4132.8</v>
      </c>
      <c r="X68" s="106">
        <v>5</v>
      </c>
      <c r="Y68" s="106">
        <v>5166</v>
      </c>
      <c r="Z68" s="106">
        <v>5</v>
      </c>
      <c r="AA68" s="106">
        <v>5166</v>
      </c>
      <c r="AB68" s="106">
        <v>7</v>
      </c>
      <c r="AC68" s="106">
        <v>7232.4000000000005</v>
      </c>
      <c r="AD68" s="106">
        <v>7</v>
      </c>
      <c r="AE68" s="106">
        <v>7232.4000000000005</v>
      </c>
      <c r="AF68" s="106">
        <v>6</v>
      </c>
      <c r="AG68" s="106">
        <v>6199.2000000000007</v>
      </c>
      <c r="AH68" s="106">
        <v>7</v>
      </c>
      <c r="AI68" s="106">
        <v>7232.4000000000005</v>
      </c>
      <c r="AJ68" s="106">
        <v>6</v>
      </c>
      <c r="AK68" s="106">
        <v>6199.2000000000007</v>
      </c>
      <c r="AL68" s="106">
        <v>6</v>
      </c>
      <c r="AM68" s="106">
        <v>6199.2000000000007</v>
      </c>
      <c r="AN68" s="106">
        <v>8</v>
      </c>
      <c r="AO68" s="106">
        <v>8265.6</v>
      </c>
      <c r="AP68" s="106">
        <v>7</v>
      </c>
      <c r="AQ68" s="106">
        <v>7232.4000000000005</v>
      </c>
      <c r="AR68" s="106">
        <v>4</v>
      </c>
      <c r="AS68" s="106">
        <v>4132.8</v>
      </c>
      <c r="AT68" s="106">
        <v>3</v>
      </c>
      <c r="AU68" s="106">
        <v>3099.6000000000004</v>
      </c>
      <c r="AV68" s="106">
        <v>4</v>
      </c>
      <c r="AW68" s="106">
        <v>4132.8</v>
      </c>
      <c r="AX68" s="106">
        <v>4</v>
      </c>
      <c r="AY68" s="106">
        <v>4132.8</v>
      </c>
      <c r="AZ68" s="106">
        <v>9</v>
      </c>
      <c r="BA68" s="106">
        <v>9298.8000000000011</v>
      </c>
      <c r="BB68" s="106">
        <v>8</v>
      </c>
      <c r="BC68" s="106">
        <v>8265.6</v>
      </c>
      <c r="BD68" s="106">
        <v>5</v>
      </c>
      <c r="BE68" s="106">
        <v>5166</v>
      </c>
      <c r="BF68" s="106">
        <v>5</v>
      </c>
      <c r="BG68" s="106">
        <v>5166</v>
      </c>
      <c r="BH68" s="106">
        <v>3</v>
      </c>
      <c r="BI68" s="106">
        <v>3099.6000000000004</v>
      </c>
      <c r="BJ68" s="106">
        <v>4</v>
      </c>
      <c r="BK68" s="106">
        <v>4132.8</v>
      </c>
      <c r="BL68" s="106">
        <v>4</v>
      </c>
      <c r="BM68" s="106">
        <v>4132.8</v>
      </c>
      <c r="BN68" s="106">
        <v>4</v>
      </c>
      <c r="BO68" s="106">
        <v>4132.8</v>
      </c>
      <c r="BP68" s="106">
        <v>2</v>
      </c>
      <c r="BQ68" s="106">
        <v>2066.4</v>
      </c>
      <c r="BR68" s="106">
        <v>3</v>
      </c>
      <c r="BS68" s="106">
        <v>3099.6000000000004</v>
      </c>
      <c r="BT68" s="106">
        <v>3</v>
      </c>
      <c r="BU68" s="106">
        <v>3099.6000000000004</v>
      </c>
      <c r="BV68" s="106">
        <v>3</v>
      </c>
      <c r="BW68" s="106">
        <v>3099.6000000000004</v>
      </c>
      <c r="BX68" s="106">
        <v>47</v>
      </c>
      <c r="BY68" s="106">
        <v>48560.4</v>
      </c>
      <c r="BZ68" s="106">
        <v>54</v>
      </c>
      <c r="CA68" s="106">
        <v>55792.800000000003</v>
      </c>
      <c r="CB68" s="106">
        <v>46</v>
      </c>
      <c r="CC68" s="106">
        <v>47527.200000000004</v>
      </c>
      <c r="CD68" s="106">
        <v>58</v>
      </c>
      <c r="CE68" s="106">
        <v>59925.600000000006</v>
      </c>
      <c r="CF68" s="106">
        <v>20</v>
      </c>
      <c r="CG68" s="106">
        <v>20664</v>
      </c>
      <c r="CH68" s="106">
        <v>16</v>
      </c>
      <c r="CI68" s="106">
        <v>16531.2</v>
      </c>
      <c r="CJ68" s="106">
        <v>19</v>
      </c>
      <c r="CK68" s="106">
        <v>19630.8</v>
      </c>
      <c r="CL68" s="106">
        <v>24</v>
      </c>
      <c r="CM68" s="106">
        <v>24796.800000000003</v>
      </c>
      <c r="CN68" s="106">
        <v>3</v>
      </c>
      <c r="CO68" s="106">
        <v>3099.6000000000004</v>
      </c>
      <c r="CP68" s="106">
        <v>4</v>
      </c>
      <c r="CQ68" s="106">
        <v>4132.8</v>
      </c>
      <c r="CR68" s="106">
        <v>3</v>
      </c>
      <c r="CS68" s="106">
        <v>3099.6000000000004</v>
      </c>
      <c r="CT68" s="106">
        <v>2</v>
      </c>
      <c r="CU68" s="106">
        <v>2066.4</v>
      </c>
    </row>
    <row r="69" spans="2:99" x14ac:dyDescent="0.2">
      <c r="C69" s="105" t="s">
        <v>235</v>
      </c>
      <c r="D69" s="106">
        <v>5</v>
      </c>
      <c r="E69" s="106">
        <v>3792</v>
      </c>
      <c r="F69" s="106">
        <v>6</v>
      </c>
      <c r="G69" s="106">
        <v>4550.3999999999996</v>
      </c>
      <c r="H69" s="106">
        <v>6</v>
      </c>
      <c r="I69" s="106">
        <v>4550.3999999999996</v>
      </c>
      <c r="J69" s="106">
        <v>6</v>
      </c>
      <c r="K69" s="106">
        <v>4550.3999999999996</v>
      </c>
      <c r="L69" s="106">
        <v>38</v>
      </c>
      <c r="M69" s="106">
        <v>28819.200000000001</v>
      </c>
      <c r="N69" s="106">
        <v>31</v>
      </c>
      <c r="O69" s="106">
        <v>23510.399999999998</v>
      </c>
      <c r="P69" s="106">
        <v>38</v>
      </c>
      <c r="Q69" s="106">
        <v>28819.200000000001</v>
      </c>
      <c r="R69" s="106">
        <v>30</v>
      </c>
      <c r="S69" s="106">
        <v>22752</v>
      </c>
      <c r="T69" s="106">
        <v>3</v>
      </c>
      <c r="U69" s="106">
        <v>2275.1999999999998</v>
      </c>
      <c r="V69" s="106">
        <v>4</v>
      </c>
      <c r="W69" s="106">
        <v>3033.6</v>
      </c>
      <c r="X69" s="106">
        <v>5</v>
      </c>
      <c r="Y69" s="106">
        <v>3792</v>
      </c>
      <c r="Z69" s="106">
        <v>4</v>
      </c>
      <c r="AA69" s="106">
        <v>3033.6</v>
      </c>
      <c r="AB69" s="106">
        <v>7</v>
      </c>
      <c r="AC69" s="106">
        <v>5308.8</v>
      </c>
      <c r="AD69" s="106">
        <v>7</v>
      </c>
      <c r="AE69" s="106">
        <v>5308.8</v>
      </c>
      <c r="AF69" s="106">
        <v>6</v>
      </c>
      <c r="AG69" s="106">
        <v>4550.3999999999996</v>
      </c>
      <c r="AH69" s="106">
        <v>8</v>
      </c>
      <c r="AI69" s="106">
        <v>6067.2</v>
      </c>
      <c r="AJ69" s="106">
        <v>6</v>
      </c>
      <c r="AK69" s="106">
        <v>4550.3999999999996</v>
      </c>
      <c r="AL69" s="106">
        <v>6</v>
      </c>
      <c r="AM69" s="106">
        <v>4550.3999999999996</v>
      </c>
      <c r="AN69" s="106">
        <v>9</v>
      </c>
      <c r="AO69" s="106">
        <v>6825.5999999999995</v>
      </c>
      <c r="AP69" s="106">
        <v>7</v>
      </c>
      <c r="AQ69" s="106">
        <v>5308.8</v>
      </c>
      <c r="AR69" s="106">
        <v>4</v>
      </c>
      <c r="AS69" s="106">
        <v>3033.6</v>
      </c>
      <c r="AT69" s="106">
        <v>3</v>
      </c>
      <c r="AU69" s="106">
        <v>2275.1999999999998</v>
      </c>
      <c r="AV69" s="106">
        <v>4</v>
      </c>
      <c r="AW69" s="106">
        <v>3033.6</v>
      </c>
      <c r="AX69" s="106">
        <v>4</v>
      </c>
      <c r="AY69" s="106">
        <v>3033.6</v>
      </c>
      <c r="AZ69" s="106">
        <v>8</v>
      </c>
      <c r="BA69" s="106">
        <v>6067.2</v>
      </c>
      <c r="BB69" s="106">
        <v>8</v>
      </c>
      <c r="BC69" s="106">
        <v>6067.2</v>
      </c>
      <c r="BD69" s="106">
        <v>5</v>
      </c>
      <c r="BE69" s="106">
        <v>3792</v>
      </c>
      <c r="BF69" s="106">
        <v>5</v>
      </c>
      <c r="BG69" s="106">
        <v>3792</v>
      </c>
      <c r="BH69" s="106">
        <v>3</v>
      </c>
      <c r="BI69" s="106">
        <v>2275.1999999999998</v>
      </c>
      <c r="BJ69" s="106">
        <v>4</v>
      </c>
      <c r="BK69" s="106">
        <v>3033.6</v>
      </c>
      <c r="BL69" s="106">
        <v>4</v>
      </c>
      <c r="BM69" s="106">
        <v>3033.6</v>
      </c>
      <c r="BN69" s="106">
        <v>4</v>
      </c>
      <c r="BO69" s="106">
        <v>3033.6</v>
      </c>
      <c r="BP69" s="106">
        <v>2</v>
      </c>
      <c r="BQ69" s="106">
        <v>1516.8</v>
      </c>
      <c r="BR69" s="106">
        <v>3</v>
      </c>
      <c r="BS69" s="106">
        <v>2275.1999999999998</v>
      </c>
      <c r="BT69" s="106">
        <v>3</v>
      </c>
      <c r="BU69" s="106">
        <v>2275.1999999999998</v>
      </c>
      <c r="BV69" s="106">
        <v>3</v>
      </c>
      <c r="BW69" s="106">
        <v>2275.1999999999998</v>
      </c>
      <c r="BX69" s="106">
        <v>46</v>
      </c>
      <c r="BY69" s="106">
        <v>34886.400000000001</v>
      </c>
      <c r="BZ69" s="106">
        <v>60</v>
      </c>
      <c r="CA69" s="106">
        <v>45504</v>
      </c>
      <c r="CB69" s="106">
        <v>48</v>
      </c>
      <c r="CC69" s="106">
        <v>36403.199999999997</v>
      </c>
      <c r="CD69" s="106">
        <v>65</v>
      </c>
      <c r="CE69" s="106">
        <v>49296</v>
      </c>
      <c r="CF69" s="106">
        <v>19</v>
      </c>
      <c r="CG69" s="106">
        <v>14409.6</v>
      </c>
      <c r="CH69" s="106">
        <v>18</v>
      </c>
      <c r="CI69" s="106">
        <v>13651.199999999999</v>
      </c>
      <c r="CJ69" s="106">
        <v>18</v>
      </c>
      <c r="CK69" s="106">
        <v>13651.199999999999</v>
      </c>
      <c r="CL69" s="106">
        <v>28</v>
      </c>
      <c r="CM69" s="106">
        <v>21235.200000000001</v>
      </c>
      <c r="CN69" s="106">
        <v>4</v>
      </c>
      <c r="CO69" s="106">
        <v>3033.6</v>
      </c>
      <c r="CP69" s="106">
        <v>4</v>
      </c>
      <c r="CQ69" s="106">
        <v>3033.6</v>
      </c>
      <c r="CR69" s="106">
        <v>3</v>
      </c>
      <c r="CS69" s="106">
        <v>2275.1999999999998</v>
      </c>
      <c r="CT69" s="106">
        <v>2</v>
      </c>
      <c r="CU69" s="106">
        <v>1516.8</v>
      </c>
    </row>
    <row r="70" spans="2:99" x14ac:dyDescent="0.2">
      <c r="C70" s="105" t="s">
        <v>236</v>
      </c>
      <c r="D70" s="106">
        <v>5</v>
      </c>
      <c r="E70" s="106">
        <v>2675.9999999999995</v>
      </c>
      <c r="F70" s="106">
        <v>7</v>
      </c>
      <c r="G70" s="106">
        <v>3746.3999999999996</v>
      </c>
      <c r="H70" s="106">
        <v>5</v>
      </c>
      <c r="I70" s="106">
        <v>2675.9999999999995</v>
      </c>
      <c r="J70" s="106">
        <v>5</v>
      </c>
      <c r="K70" s="106">
        <v>2675.9999999999995</v>
      </c>
      <c r="L70" s="106">
        <v>39</v>
      </c>
      <c r="M70" s="106">
        <v>20872.799999999996</v>
      </c>
      <c r="N70" s="106">
        <v>28</v>
      </c>
      <c r="O70" s="106">
        <v>14985.599999999999</v>
      </c>
      <c r="P70" s="106">
        <v>36</v>
      </c>
      <c r="Q70" s="106">
        <v>19267.199999999997</v>
      </c>
      <c r="R70" s="106">
        <v>34</v>
      </c>
      <c r="S70" s="106">
        <v>18196.8</v>
      </c>
      <c r="T70" s="106">
        <v>3</v>
      </c>
      <c r="U70" s="106">
        <v>1605.6</v>
      </c>
      <c r="V70" s="106">
        <v>4</v>
      </c>
      <c r="W70" s="106">
        <v>2140.7999999999997</v>
      </c>
      <c r="X70" s="106">
        <v>5</v>
      </c>
      <c r="Y70" s="106">
        <v>2675.9999999999995</v>
      </c>
      <c r="Z70" s="106">
        <v>5</v>
      </c>
      <c r="AA70" s="106">
        <v>2675.9999999999995</v>
      </c>
      <c r="AB70" s="106">
        <v>8</v>
      </c>
      <c r="AC70" s="106">
        <v>4281.5999999999995</v>
      </c>
      <c r="AD70" s="106">
        <v>7</v>
      </c>
      <c r="AE70" s="106">
        <v>3746.3999999999996</v>
      </c>
      <c r="AF70" s="106">
        <v>7</v>
      </c>
      <c r="AG70" s="106">
        <v>3746.3999999999996</v>
      </c>
      <c r="AH70" s="106">
        <v>9</v>
      </c>
      <c r="AI70" s="106">
        <v>4816.7999999999993</v>
      </c>
      <c r="AJ70" s="106">
        <v>6</v>
      </c>
      <c r="AK70" s="106">
        <v>3211.2</v>
      </c>
      <c r="AL70" s="106">
        <v>6</v>
      </c>
      <c r="AM70" s="106">
        <v>3211.2</v>
      </c>
      <c r="AN70" s="106">
        <v>9</v>
      </c>
      <c r="AO70" s="106">
        <v>4816.7999999999993</v>
      </c>
      <c r="AP70" s="106">
        <v>7</v>
      </c>
      <c r="AQ70" s="106">
        <v>3746.3999999999996</v>
      </c>
      <c r="AR70" s="106">
        <v>4</v>
      </c>
      <c r="AS70" s="106">
        <v>2140.7999999999997</v>
      </c>
      <c r="AT70" s="106">
        <v>3</v>
      </c>
      <c r="AU70" s="106">
        <v>1605.6</v>
      </c>
      <c r="AV70" s="106">
        <v>4</v>
      </c>
      <c r="AW70" s="106">
        <v>2140.7999999999997</v>
      </c>
      <c r="AX70" s="106">
        <v>4</v>
      </c>
      <c r="AY70" s="106">
        <v>2140.7999999999997</v>
      </c>
      <c r="AZ70" s="106">
        <v>9</v>
      </c>
      <c r="BA70" s="106">
        <v>4816.7999999999993</v>
      </c>
      <c r="BB70" s="106">
        <v>10</v>
      </c>
      <c r="BC70" s="106">
        <v>5351.9999999999991</v>
      </c>
      <c r="BD70" s="106">
        <v>6</v>
      </c>
      <c r="BE70" s="106">
        <v>3211.2</v>
      </c>
      <c r="BF70" s="106">
        <v>5</v>
      </c>
      <c r="BG70" s="106">
        <v>2675.9999999999995</v>
      </c>
      <c r="BH70" s="106">
        <v>3</v>
      </c>
      <c r="BI70" s="106">
        <v>1605.6</v>
      </c>
      <c r="BJ70" s="106">
        <v>4</v>
      </c>
      <c r="BK70" s="106">
        <v>2140.7999999999997</v>
      </c>
      <c r="BL70" s="106">
        <v>5</v>
      </c>
      <c r="BM70" s="106">
        <v>2675.9999999999995</v>
      </c>
      <c r="BN70" s="106">
        <v>4</v>
      </c>
      <c r="BO70" s="106">
        <v>2140.7999999999997</v>
      </c>
      <c r="BP70" s="106">
        <v>2</v>
      </c>
      <c r="BQ70" s="106">
        <v>1070.3999999999999</v>
      </c>
      <c r="BR70" s="106">
        <v>3</v>
      </c>
      <c r="BS70" s="106">
        <v>1605.6</v>
      </c>
      <c r="BT70" s="106">
        <v>3</v>
      </c>
      <c r="BU70" s="106">
        <v>1605.6</v>
      </c>
      <c r="BV70" s="106">
        <v>3</v>
      </c>
      <c r="BW70" s="106">
        <v>1605.6</v>
      </c>
      <c r="BX70" s="106">
        <v>48</v>
      </c>
      <c r="BY70" s="106">
        <v>25689.599999999999</v>
      </c>
      <c r="BZ70" s="106">
        <v>66</v>
      </c>
      <c r="CA70" s="106">
        <v>35323.199999999997</v>
      </c>
      <c r="CB70" s="106">
        <v>51</v>
      </c>
      <c r="CC70" s="106">
        <v>27295.199999999997</v>
      </c>
      <c r="CD70" s="106">
        <v>64</v>
      </c>
      <c r="CE70" s="106">
        <v>34252.799999999996</v>
      </c>
      <c r="CF70" s="106">
        <v>20</v>
      </c>
      <c r="CG70" s="106">
        <v>10703.999999999998</v>
      </c>
      <c r="CH70" s="106">
        <v>20</v>
      </c>
      <c r="CI70" s="106">
        <v>10703.999999999998</v>
      </c>
      <c r="CJ70" s="106">
        <v>19</v>
      </c>
      <c r="CK70" s="106">
        <v>10168.799999999999</v>
      </c>
      <c r="CL70" s="106">
        <v>28</v>
      </c>
      <c r="CM70" s="106">
        <v>14985.599999999999</v>
      </c>
      <c r="CN70" s="106">
        <v>3</v>
      </c>
      <c r="CO70" s="106">
        <v>1605.6</v>
      </c>
      <c r="CP70" s="106">
        <v>4</v>
      </c>
      <c r="CQ70" s="106">
        <v>2140.7999999999997</v>
      </c>
      <c r="CR70" s="106">
        <v>3</v>
      </c>
      <c r="CS70" s="106">
        <v>1605.6</v>
      </c>
      <c r="CT70" s="106">
        <v>3</v>
      </c>
      <c r="CU70" s="106">
        <v>1605.6</v>
      </c>
    </row>
    <row r="71" spans="2:99" x14ac:dyDescent="0.2">
      <c r="B71" s="105" t="s">
        <v>130</v>
      </c>
      <c r="C71" s="105" t="s">
        <v>237</v>
      </c>
      <c r="D71" s="106">
        <v>21.050177103214658</v>
      </c>
      <c r="E71" s="106">
        <v>11872.299886213066</v>
      </c>
      <c r="F71" s="106">
        <v>13</v>
      </c>
      <c r="G71" s="106">
        <v>7332</v>
      </c>
      <c r="H71" s="106">
        <v>14.711319418764315</v>
      </c>
      <c r="I71" s="106">
        <v>8297.1841521830738</v>
      </c>
      <c r="J71" s="106">
        <v>13</v>
      </c>
      <c r="K71" s="106">
        <v>7332</v>
      </c>
      <c r="L71" s="106">
        <v>16.816931559932407</v>
      </c>
      <c r="M71" s="106">
        <v>9484.7493998018781</v>
      </c>
      <c r="N71" s="106">
        <v>15</v>
      </c>
      <c r="O71" s="106">
        <v>8460</v>
      </c>
      <c r="P71" s="106">
        <v>17.53106280228425</v>
      </c>
      <c r="Q71" s="106">
        <v>9887.5194204883173</v>
      </c>
      <c r="R71" s="106">
        <v>15.875567978382698</v>
      </c>
      <c r="S71" s="106">
        <v>8953.8203398078422</v>
      </c>
      <c r="T71" s="106">
        <v>4</v>
      </c>
      <c r="U71" s="106">
        <v>2256</v>
      </c>
      <c r="V71" s="106">
        <v>5.6127989706797514</v>
      </c>
      <c r="W71" s="106">
        <v>3165.6186194633797</v>
      </c>
      <c r="X71" s="106">
        <v>6.1682568370986921</v>
      </c>
      <c r="Y71" s="106">
        <v>3478.8968561236625</v>
      </c>
      <c r="Z71" s="106">
        <v>7.2206940304229885</v>
      </c>
      <c r="AA71" s="106">
        <v>4072.4714331585656</v>
      </c>
      <c r="AB71" s="106">
        <v>9.5315687534626043</v>
      </c>
      <c r="AC71" s="106">
        <v>5375.8047769529085</v>
      </c>
      <c r="AD71" s="106">
        <v>7</v>
      </c>
      <c r="AE71" s="106">
        <v>3948</v>
      </c>
      <c r="AF71" s="106">
        <v>6.5989624546613079</v>
      </c>
      <c r="AG71" s="106">
        <v>3721.8148244289778</v>
      </c>
      <c r="AH71" s="106">
        <v>8.3455414991127483</v>
      </c>
      <c r="AI71" s="106">
        <v>4706.88540549959</v>
      </c>
      <c r="AJ71" s="106">
        <v>3</v>
      </c>
      <c r="AK71" s="106">
        <v>1692</v>
      </c>
      <c r="AL71" s="106">
        <v>4.3068915910195997</v>
      </c>
      <c r="AM71" s="106">
        <v>2429.0868573350544</v>
      </c>
      <c r="AN71" s="106">
        <v>4.4871644296195479</v>
      </c>
      <c r="AO71" s="106">
        <v>2530.7607383054251</v>
      </c>
      <c r="AP71" s="106">
        <v>6</v>
      </c>
      <c r="AQ71" s="106">
        <v>3384</v>
      </c>
      <c r="AR71" s="106">
        <v>34</v>
      </c>
      <c r="AS71" s="106">
        <v>19176</v>
      </c>
      <c r="AT71" s="106">
        <v>45.991782276967832</v>
      </c>
      <c r="AU71" s="106">
        <v>25939.365204209858</v>
      </c>
      <c r="AV71" s="106">
        <v>32.75645805008552</v>
      </c>
      <c r="AW71" s="106">
        <v>18474.642340248232</v>
      </c>
      <c r="AX71" s="106">
        <v>30.952450617283951</v>
      </c>
      <c r="AY71" s="106">
        <v>17457.182148148149</v>
      </c>
      <c r="AZ71" s="106">
        <v>53.305682737888773</v>
      </c>
      <c r="BA71" s="106">
        <v>30064.405064169267</v>
      </c>
      <c r="BB71" s="106">
        <v>53</v>
      </c>
      <c r="BC71" s="106">
        <v>29892</v>
      </c>
      <c r="BD71" s="106">
        <v>45</v>
      </c>
      <c r="BE71" s="106">
        <v>25380</v>
      </c>
      <c r="BF71" s="106">
        <v>62</v>
      </c>
      <c r="BG71" s="106">
        <v>34968</v>
      </c>
      <c r="BH71" s="106">
        <v>3</v>
      </c>
      <c r="BI71" s="106">
        <v>1692</v>
      </c>
      <c r="BJ71" s="106">
        <v>6</v>
      </c>
      <c r="BK71" s="106">
        <v>3384</v>
      </c>
      <c r="BL71" s="106">
        <v>4</v>
      </c>
      <c r="BM71" s="106">
        <v>2256</v>
      </c>
      <c r="BN71" s="106">
        <v>5</v>
      </c>
      <c r="BO71" s="106">
        <v>2820</v>
      </c>
      <c r="BP71" s="106">
        <v>5.2553537415419038</v>
      </c>
      <c r="BQ71" s="106">
        <v>2964.0195102296339</v>
      </c>
      <c r="BR71" s="106">
        <v>4.1728564258485736</v>
      </c>
      <c r="BS71" s="106">
        <v>2353.4910241785956</v>
      </c>
      <c r="BT71" s="106">
        <v>3</v>
      </c>
      <c r="BU71" s="106">
        <v>1692</v>
      </c>
      <c r="BV71" s="106">
        <v>5.2217361425179494</v>
      </c>
      <c r="BW71" s="106">
        <v>2945.0591843801235</v>
      </c>
      <c r="BX71" s="106">
        <v>4</v>
      </c>
      <c r="BY71" s="106">
        <v>2256</v>
      </c>
      <c r="BZ71" s="106">
        <v>5.7893039505509272</v>
      </c>
      <c r="CA71" s="106">
        <v>3265.167428110723</v>
      </c>
      <c r="CB71" s="106">
        <v>5.2897602499528888</v>
      </c>
      <c r="CC71" s="106">
        <v>2983.4247809734293</v>
      </c>
      <c r="CD71" s="106">
        <v>5.3134137953511997</v>
      </c>
      <c r="CE71" s="106">
        <v>2996.7653805780765</v>
      </c>
      <c r="CF71" s="106">
        <v>20.359333333333332</v>
      </c>
      <c r="CG71" s="106">
        <v>11482.663999999999</v>
      </c>
      <c r="CH71" s="106">
        <v>34</v>
      </c>
      <c r="CI71" s="106">
        <v>19176</v>
      </c>
      <c r="CJ71" s="106">
        <v>16</v>
      </c>
      <c r="CK71" s="106">
        <v>9024</v>
      </c>
      <c r="CL71" s="106">
        <v>27.260512309573095</v>
      </c>
      <c r="CM71" s="106">
        <v>15374.928942599225</v>
      </c>
      <c r="CN71" s="106">
        <v>3</v>
      </c>
      <c r="CO71" s="106">
        <v>1692</v>
      </c>
      <c r="CP71" s="106">
        <v>3</v>
      </c>
      <c r="CQ71" s="106">
        <v>1692</v>
      </c>
      <c r="CR71" s="106">
        <v>4</v>
      </c>
      <c r="CS71" s="106">
        <v>2256</v>
      </c>
      <c r="CT71" s="106">
        <v>5</v>
      </c>
      <c r="CU71" s="106">
        <v>2820</v>
      </c>
    </row>
    <row r="72" spans="2:99" x14ac:dyDescent="0.2">
      <c r="C72" s="105" t="s">
        <v>238</v>
      </c>
      <c r="D72" s="106">
        <v>22.050177103214658</v>
      </c>
      <c r="E72" s="106">
        <v>1640.5331764791704</v>
      </c>
      <c r="F72" s="106">
        <v>12</v>
      </c>
      <c r="G72" s="106">
        <v>892.8</v>
      </c>
      <c r="H72" s="106">
        <v>14.745191772038806</v>
      </c>
      <c r="I72" s="106">
        <v>1097.0422678396872</v>
      </c>
      <c r="J72" s="106">
        <v>12</v>
      </c>
      <c r="K72" s="106">
        <v>892.8</v>
      </c>
      <c r="L72" s="106">
        <v>18.816931559932407</v>
      </c>
      <c r="M72" s="106">
        <v>1399.9797080589708</v>
      </c>
      <c r="N72" s="106">
        <v>16</v>
      </c>
      <c r="O72" s="106">
        <v>1190.3999999999999</v>
      </c>
      <c r="P72" s="106">
        <v>18.633190264261991</v>
      </c>
      <c r="Q72" s="106">
        <v>1386.309355661092</v>
      </c>
      <c r="R72" s="106">
        <v>14</v>
      </c>
      <c r="S72" s="106">
        <v>1041.5999999999999</v>
      </c>
      <c r="T72" s="106">
        <v>4</v>
      </c>
      <c r="U72" s="106">
        <v>297.59999999999997</v>
      </c>
      <c r="V72" s="106">
        <v>6.6685079680142749</v>
      </c>
      <c r="W72" s="106">
        <v>496.13699282026198</v>
      </c>
      <c r="X72" s="106">
        <v>7.1822782401902501</v>
      </c>
      <c r="Y72" s="106">
        <v>534.36150107015453</v>
      </c>
      <c r="Z72" s="106">
        <v>8.2376704943016801</v>
      </c>
      <c r="AA72" s="106">
        <v>612.88268477604493</v>
      </c>
      <c r="AB72" s="106">
        <v>8.4556303601108027</v>
      </c>
      <c r="AC72" s="106">
        <v>629.09889879224363</v>
      </c>
      <c r="AD72" s="106">
        <v>7</v>
      </c>
      <c r="AE72" s="106">
        <v>520.79999999999995</v>
      </c>
      <c r="AF72" s="106">
        <v>7.6987895304381926</v>
      </c>
      <c r="AG72" s="106">
        <v>572.78994106460141</v>
      </c>
      <c r="AH72" s="106">
        <v>9.4223284989155811</v>
      </c>
      <c r="AI72" s="106">
        <v>701.02124031931919</v>
      </c>
      <c r="AJ72" s="106">
        <v>3</v>
      </c>
      <c r="AK72" s="106">
        <v>223.2</v>
      </c>
      <c r="AL72" s="106">
        <v>3.3068915910195993</v>
      </c>
      <c r="AM72" s="106">
        <v>246.03273437185817</v>
      </c>
      <c r="AN72" s="106">
        <v>4.524638616513359</v>
      </c>
      <c r="AO72" s="106">
        <v>336.63311306859384</v>
      </c>
      <c r="AP72" s="106">
        <v>6</v>
      </c>
      <c r="AQ72" s="106">
        <v>446.4</v>
      </c>
      <c r="AR72" s="106">
        <v>41</v>
      </c>
      <c r="AS72" s="106">
        <v>3050.3999999999996</v>
      </c>
      <c r="AT72" s="106">
        <v>51.398268455940865</v>
      </c>
      <c r="AU72" s="106">
        <v>3824.0311731219999</v>
      </c>
      <c r="AV72" s="106">
        <v>35.932064383141089</v>
      </c>
      <c r="AW72" s="106">
        <v>2673.3455901056968</v>
      </c>
      <c r="AX72" s="106">
        <v>33.181956790123458</v>
      </c>
      <c r="AY72" s="106">
        <v>2468.7375851851848</v>
      </c>
      <c r="AZ72" s="106">
        <v>64.27171798923446</v>
      </c>
      <c r="BA72" s="106">
        <v>4781.8158183990436</v>
      </c>
      <c r="BB72" s="106">
        <v>57.233273583646387</v>
      </c>
      <c r="BC72" s="106">
        <v>4258.1555546232903</v>
      </c>
      <c r="BD72" s="106">
        <v>52</v>
      </c>
      <c r="BE72" s="106">
        <v>3868.7999999999997</v>
      </c>
      <c r="BF72" s="106">
        <v>70.298868882733146</v>
      </c>
      <c r="BG72" s="106">
        <v>5230.2358448753457</v>
      </c>
      <c r="BH72" s="106">
        <v>4</v>
      </c>
      <c r="BI72" s="106">
        <v>297.59999999999997</v>
      </c>
      <c r="BJ72" s="106">
        <v>6</v>
      </c>
      <c r="BK72" s="106">
        <v>446.4</v>
      </c>
      <c r="BL72" s="106">
        <v>4</v>
      </c>
      <c r="BM72" s="106">
        <v>297.59999999999997</v>
      </c>
      <c r="BN72" s="106">
        <v>5</v>
      </c>
      <c r="BO72" s="106">
        <v>371.99999999999994</v>
      </c>
      <c r="BP72" s="106">
        <v>5.2553537415419038</v>
      </c>
      <c r="BQ72" s="106">
        <v>390.99831837071758</v>
      </c>
      <c r="BR72" s="106">
        <v>4.1728564258485736</v>
      </c>
      <c r="BS72" s="106">
        <v>310.46051808313382</v>
      </c>
      <c r="BT72" s="106">
        <v>3</v>
      </c>
      <c r="BU72" s="106">
        <v>223.2</v>
      </c>
      <c r="BV72" s="106">
        <v>5.2620518047939395</v>
      </c>
      <c r="BW72" s="106">
        <v>391.49665427666906</v>
      </c>
      <c r="BX72" s="106">
        <v>4</v>
      </c>
      <c r="BY72" s="106">
        <v>297.59999999999997</v>
      </c>
      <c r="BZ72" s="106">
        <v>5.8287691480784733</v>
      </c>
      <c r="CA72" s="106">
        <v>433.66042461703836</v>
      </c>
      <c r="CB72" s="106">
        <v>5.2897602499528888</v>
      </c>
      <c r="CC72" s="106">
        <v>393.55816259649487</v>
      </c>
      <c r="CD72" s="106">
        <v>5.3299092582644212</v>
      </c>
      <c r="CE72" s="106">
        <v>396.54524881487288</v>
      </c>
      <c r="CF72" s="106">
        <v>24.359333333333332</v>
      </c>
      <c r="CG72" s="106">
        <v>1812.3343999999997</v>
      </c>
      <c r="CH72" s="106">
        <v>32</v>
      </c>
      <c r="CI72" s="106">
        <v>2380.7999999999997</v>
      </c>
      <c r="CJ72" s="106">
        <v>17</v>
      </c>
      <c r="CK72" s="106">
        <v>1264.8</v>
      </c>
      <c r="CL72" s="106">
        <v>29.260512309573095</v>
      </c>
      <c r="CM72" s="106">
        <v>2176.9821158322379</v>
      </c>
      <c r="CN72" s="106">
        <v>3</v>
      </c>
      <c r="CO72" s="106">
        <v>223.2</v>
      </c>
      <c r="CP72" s="106">
        <v>3</v>
      </c>
      <c r="CQ72" s="106">
        <v>223.2</v>
      </c>
      <c r="CR72" s="106">
        <v>4</v>
      </c>
      <c r="CS72" s="106">
        <v>297.59999999999997</v>
      </c>
      <c r="CT72" s="106">
        <v>4</v>
      </c>
      <c r="CU72" s="106">
        <v>297.59999999999997</v>
      </c>
    </row>
    <row r="73" spans="2:99" x14ac:dyDescent="0.2">
      <c r="C73" s="105" t="s">
        <v>239</v>
      </c>
      <c r="D73" s="106">
        <v>19.145647748961448</v>
      </c>
      <c r="E73" s="106">
        <v>10706.24622121924</v>
      </c>
      <c r="F73" s="106">
        <v>13</v>
      </c>
      <c r="G73" s="106">
        <v>7269.5999999999995</v>
      </c>
      <c r="H73" s="106">
        <v>13.609702358940842</v>
      </c>
      <c r="I73" s="106">
        <v>7610.5455591197178</v>
      </c>
      <c r="J73" s="106">
        <v>12</v>
      </c>
      <c r="K73" s="106">
        <v>6710.4</v>
      </c>
      <c r="L73" s="106">
        <v>16</v>
      </c>
      <c r="M73" s="106">
        <v>8947.1999999999989</v>
      </c>
      <c r="N73" s="106">
        <v>15</v>
      </c>
      <c r="O73" s="106">
        <v>8387.9999999999982</v>
      </c>
      <c r="P73" s="106">
        <v>19.551488294679796</v>
      </c>
      <c r="Q73" s="106">
        <v>10933.192254384941</v>
      </c>
      <c r="R73" s="106">
        <v>15.903812106717623</v>
      </c>
      <c r="S73" s="106">
        <v>8893.4117300764938</v>
      </c>
      <c r="T73" s="106">
        <v>5</v>
      </c>
      <c r="U73" s="106">
        <v>2795.9999999999995</v>
      </c>
      <c r="V73" s="106">
        <v>6.6127989706797514</v>
      </c>
      <c r="W73" s="106">
        <v>3697.8771844041166</v>
      </c>
      <c r="X73" s="106">
        <v>7.1962996432818072</v>
      </c>
      <c r="Y73" s="106">
        <v>4024.1707605231859</v>
      </c>
      <c r="Z73" s="106">
        <v>6.2546469581803716</v>
      </c>
      <c r="AA73" s="106">
        <v>3497.5985790144632</v>
      </c>
      <c r="AB73" s="106">
        <v>9.4935995567867035</v>
      </c>
      <c r="AC73" s="106">
        <v>5308.8208721551237</v>
      </c>
      <c r="AD73" s="106">
        <v>7</v>
      </c>
      <c r="AE73" s="106">
        <v>3914.3999999999996</v>
      </c>
      <c r="AF73" s="106">
        <v>6.5989624546613079</v>
      </c>
      <c r="AG73" s="106">
        <v>3690.1398046466029</v>
      </c>
      <c r="AH73" s="106">
        <v>7.3839349990141638</v>
      </c>
      <c r="AI73" s="106">
        <v>4129.0964514487196</v>
      </c>
      <c r="AJ73" s="106">
        <v>3</v>
      </c>
      <c r="AK73" s="106">
        <v>1677.6</v>
      </c>
      <c r="AL73" s="106">
        <v>3.2864321516182926</v>
      </c>
      <c r="AM73" s="106">
        <v>1837.7728591849491</v>
      </c>
      <c r="AN73" s="106">
        <v>4.4871644296195479</v>
      </c>
      <c r="AO73" s="106">
        <v>2509.2223490432507</v>
      </c>
      <c r="AP73" s="106">
        <v>6</v>
      </c>
      <c r="AQ73" s="106">
        <v>3355.2</v>
      </c>
      <c r="AR73" s="106">
        <v>35</v>
      </c>
      <c r="AS73" s="106">
        <v>19571.999999999996</v>
      </c>
      <c r="AT73" s="106">
        <v>45.07307951276244</v>
      </c>
      <c r="AU73" s="106">
        <v>25204.866063536752</v>
      </c>
      <c r="AV73" s="106">
        <v>31.783474409017149</v>
      </c>
      <c r="AW73" s="106">
        <v>17773.318889522387</v>
      </c>
      <c r="AX73" s="106">
        <v>29.998351851851851</v>
      </c>
      <c r="AY73" s="106">
        <v>16775.078355555554</v>
      </c>
      <c r="AZ73" s="106">
        <v>50.271717989234467</v>
      </c>
      <c r="BA73" s="106">
        <v>28111.944699579912</v>
      </c>
      <c r="BB73" s="106">
        <v>56</v>
      </c>
      <c r="BC73" s="106">
        <v>31315.199999999997</v>
      </c>
      <c r="BD73" s="106">
        <v>46</v>
      </c>
      <c r="BE73" s="106">
        <v>25723.199999999997</v>
      </c>
      <c r="BF73" s="106">
        <v>64</v>
      </c>
      <c r="BG73" s="106">
        <v>35788.799999999996</v>
      </c>
      <c r="BH73" s="106">
        <v>3</v>
      </c>
      <c r="BI73" s="106">
        <v>1677.6</v>
      </c>
      <c r="BJ73" s="106">
        <v>6</v>
      </c>
      <c r="BK73" s="106">
        <v>3355.2</v>
      </c>
      <c r="BL73" s="106">
        <v>3</v>
      </c>
      <c r="BM73" s="106">
        <v>1677.6</v>
      </c>
      <c r="BN73" s="106">
        <v>5</v>
      </c>
      <c r="BO73" s="106">
        <v>2795.9999999999995</v>
      </c>
      <c r="BP73" s="106">
        <v>5.2357111460386809</v>
      </c>
      <c r="BQ73" s="106">
        <v>2927.8096728648302</v>
      </c>
      <c r="BR73" s="106">
        <v>4.1944634790796451</v>
      </c>
      <c r="BS73" s="106">
        <v>2345.5439775013374</v>
      </c>
      <c r="BT73" s="106">
        <v>3</v>
      </c>
      <c r="BU73" s="106">
        <v>1677.6</v>
      </c>
      <c r="BV73" s="106">
        <v>5.2418939736559444</v>
      </c>
      <c r="BW73" s="106">
        <v>2931.2671100684038</v>
      </c>
      <c r="BX73" s="106">
        <v>4</v>
      </c>
      <c r="BY73" s="106">
        <v>2236.7999999999997</v>
      </c>
      <c r="BZ73" s="106">
        <v>5.8287691480784733</v>
      </c>
      <c r="CA73" s="106">
        <v>3259.4477076054818</v>
      </c>
      <c r="CB73" s="106">
        <v>5.3343387499456405</v>
      </c>
      <c r="CC73" s="106">
        <v>2982.9622289696017</v>
      </c>
      <c r="CD73" s="106">
        <v>5.3299092582644212</v>
      </c>
      <c r="CE73" s="106">
        <v>2980.4852572214641</v>
      </c>
      <c r="CF73" s="106">
        <v>19.299444444444443</v>
      </c>
      <c r="CG73" s="106">
        <v>10792.249333333331</v>
      </c>
      <c r="CH73" s="106">
        <v>29</v>
      </c>
      <c r="CI73" s="106">
        <v>16216.799999999997</v>
      </c>
      <c r="CJ73" s="106">
        <v>19</v>
      </c>
      <c r="CK73" s="106">
        <v>10624.8</v>
      </c>
      <c r="CL73" s="106">
        <v>24.260512309573095</v>
      </c>
      <c r="CM73" s="106">
        <v>13566.478483513272</v>
      </c>
      <c r="CN73" s="106">
        <v>3</v>
      </c>
      <c r="CO73" s="106">
        <v>1677.6</v>
      </c>
      <c r="CP73" s="106">
        <v>4</v>
      </c>
      <c r="CQ73" s="106">
        <v>2236.7999999999997</v>
      </c>
      <c r="CR73" s="106">
        <v>4</v>
      </c>
      <c r="CS73" s="106">
        <v>2236.7999999999997</v>
      </c>
      <c r="CT73" s="106">
        <v>5</v>
      </c>
      <c r="CU73" s="106">
        <v>2795.9999999999995</v>
      </c>
    </row>
    <row r="74" spans="2:99" x14ac:dyDescent="0.2">
      <c r="C74" s="105" t="s">
        <v>240</v>
      </c>
      <c r="D74" s="106">
        <v>20.145647748961448</v>
      </c>
      <c r="E74" s="106">
        <v>8122.7251723812551</v>
      </c>
      <c r="F74" s="106">
        <v>13</v>
      </c>
      <c r="G74" s="106">
        <v>5241.5999999999995</v>
      </c>
      <c r="H74" s="106">
        <v>13.609702358940842</v>
      </c>
      <c r="I74" s="106">
        <v>5487.4319911249477</v>
      </c>
      <c r="J74" s="106">
        <v>12</v>
      </c>
      <c r="K74" s="106">
        <v>4838.3999999999996</v>
      </c>
      <c r="L74" s="106">
        <v>17.781412796457083</v>
      </c>
      <c r="M74" s="106">
        <v>7169.465639531496</v>
      </c>
      <c r="N74" s="106">
        <v>13</v>
      </c>
      <c r="O74" s="106">
        <v>5241.5999999999995</v>
      </c>
      <c r="P74" s="106">
        <v>20.5106373098887</v>
      </c>
      <c r="Q74" s="106">
        <v>8269.8889633471244</v>
      </c>
      <c r="R74" s="106">
        <v>14.875567978382698</v>
      </c>
      <c r="S74" s="106">
        <v>5997.829008883904</v>
      </c>
      <c r="T74" s="106">
        <v>5</v>
      </c>
      <c r="U74" s="106">
        <v>2016</v>
      </c>
      <c r="V74" s="106">
        <v>5.5849444720124906</v>
      </c>
      <c r="W74" s="106">
        <v>2251.8496111154363</v>
      </c>
      <c r="X74" s="106">
        <v>7.1962996432818072</v>
      </c>
      <c r="Y74" s="106">
        <v>2901.5480161712244</v>
      </c>
      <c r="Z74" s="106">
        <v>6.2376704943016801</v>
      </c>
      <c r="AA74" s="106">
        <v>2515.0287433024373</v>
      </c>
      <c r="AB74" s="106">
        <v>8.4556303601108027</v>
      </c>
      <c r="AC74" s="106">
        <v>3409.3101611966754</v>
      </c>
      <c r="AD74" s="106">
        <v>7</v>
      </c>
      <c r="AE74" s="106">
        <v>2822.4</v>
      </c>
      <c r="AF74" s="106">
        <v>6.6987895304381926</v>
      </c>
      <c r="AG74" s="106">
        <v>2700.9519386726793</v>
      </c>
      <c r="AH74" s="106">
        <v>8.4223284989155811</v>
      </c>
      <c r="AI74" s="106">
        <v>3395.8828507627622</v>
      </c>
      <c r="AJ74" s="106">
        <v>3</v>
      </c>
      <c r="AK74" s="106">
        <v>1209.5999999999999</v>
      </c>
      <c r="AL74" s="106">
        <v>3.3068915910195993</v>
      </c>
      <c r="AM74" s="106">
        <v>1333.3386894991024</v>
      </c>
      <c r="AN74" s="106">
        <v>4.4871644296195479</v>
      </c>
      <c r="AO74" s="106">
        <v>1809.2246980226016</v>
      </c>
      <c r="AP74" s="106">
        <v>6</v>
      </c>
      <c r="AQ74" s="106">
        <v>2419.1999999999998</v>
      </c>
      <c r="AR74" s="106">
        <v>39</v>
      </c>
      <c r="AS74" s="106">
        <v>15724.8</v>
      </c>
      <c r="AT74" s="106">
        <v>45.1747010575057</v>
      </c>
      <c r="AU74" s="106">
        <v>18214.439466386299</v>
      </c>
      <c r="AV74" s="106">
        <v>32.878031665277838</v>
      </c>
      <c r="AW74" s="106">
        <v>13256.422367440024</v>
      </c>
      <c r="AX74" s="106">
        <v>35.032777777777781</v>
      </c>
      <c r="AY74" s="106">
        <v>14125.216</v>
      </c>
      <c r="AZ74" s="106">
        <v>54.305682737888773</v>
      </c>
      <c r="BA74" s="106">
        <v>21896.051279916752</v>
      </c>
      <c r="BB74" s="106">
        <v>51.233273583646387</v>
      </c>
      <c r="BC74" s="106">
        <v>20657.255908926221</v>
      </c>
      <c r="BD74" s="106">
        <v>44</v>
      </c>
      <c r="BE74" s="106">
        <v>17740.8</v>
      </c>
      <c r="BF74" s="106">
        <v>68.298868882733146</v>
      </c>
      <c r="BG74" s="106">
        <v>27538.103933518003</v>
      </c>
      <c r="BH74" s="106">
        <v>3</v>
      </c>
      <c r="BI74" s="106">
        <v>1209.5999999999999</v>
      </c>
      <c r="BJ74" s="106">
        <v>6</v>
      </c>
      <c r="BK74" s="106">
        <v>2419.1999999999998</v>
      </c>
      <c r="BL74" s="106">
        <v>3</v>
      </c>
      <c r="BM74" s="106">
        <v>1209.5999999999999</v>
      </c>
      <c r="BN74" s="106">
        <v>5</v>
      </c>
      <c r="BO74" s="106">
        <v>2016</v>
      </c>
      <c r="BP74" s="106">
        <v>5.2553537415419038</v>
      </c>
      <c r="BQ74" s="106">
        <v>2118.9586285896958</v>
      </c>
      <c r="BR74" s="106">
        <v>4.1728564258485736</v>
      </c>
      <c r="BS74" s="106">
        <v>1682.4957109021448</v>
      </c>
      <c r="BT74" s="106">
        <v>3</v>
      </c>
      <c r="BU74" s="106">
        <v>1209.5999999999999</v>
      </c>
      <c r="BV74" s="106">
        <v>5.2418939736559444</v>
      </c>
      <c r="BW74" s="106">
        <v>2113.5316501780767</v>
      </c>
      <c r="BX74" s="106">
        <v>4</v>
      </c>
      <c r="BY74" s="106">
        <v>1612.8</v>
      </c>
      <c r="BZ74" s="106">
        <v>5.749838753023381</v>
      </c>
      <c r="CA74" s="106">
        <v>2318.3349852190272</v>
      </c>
      <c r="CB74" s="106">
        <v>4.3566279999420168</v>
      </c>
      <c r="CC74" s="106">
        <v>1756.5924095766211</v>
      </c>
      <c r="CD74" s="106">
        <v>5.3299092582644212</v>
      </c>
      <c r="CE74" s="106">
        <v>2149.0194129322144</v>
      </c>
      <c r="CF74" s="106">
        <v>21.329388888888889</v>
      </c>
      <c r="CG74" s="106">
        <v>8600.0095999999994</v>
      </c>
      <c r="CH74" s="106">
        <v>30</v>
      </c>
      <c r="CI74" s="106">
        <v>12096</v>
      </c>
      <c r="CJ74" s="106">
        <v>16</v>
      </c>
      <c r="CK74" s="106">
        <v>6451.2</v>
      </c>
      <c r="CL74" s="106">
        <v>24.260512309573095</v>
      </c>
      <c r="CM74" s="106">
        <v>9781.8385632198715</v>
      </c>
      <c r="CN74" s="106">
        <v>3</v>
      </c>
      <c r="CO74" s="106">
        <v>1209.5999999999999</v>
      </c>
      <c r="CP74" s="106">
        <v>4</v>
      </c>
      <c r="CQ74" s="106">
        <v>1612.8</v>
      </c>
      <c r="CR74" s="106">
        <v>4</v>
      </c>
      <c r="CS74" s="106">
        <v>1612.8</v>
      </c>
      <c r="CT74" s="106">
        <v>5</v>
      </c>
      <c r="CU74" s="106">
        <v>2016</v>
      </c>
    </row>
    <row r="75" spans="2:99" x14ac:dyDescent="0.2">
      <c r="C75" s="105" t="s">
        <v>241</v>
      </c>
      <c r="D75" s="106">
        <v>20.097912426088051</v>
      </c>
      <c r="E75" s="106">
        <v>12926.977272459833</v>
      </c>
      <c r="F75" s="106">
        <v>13</v>
      </c>
      <c r="G75" s="106">
        <v>8361.5999999999985</v>
      </c>
      <c r="H75" s="106">
        <v>13.643574712215333</v>
      </c>
      <c r="I75" s="106">
        <v>8775.547254896901</v>
      </c>
      <c r="J75" s="106">
        <v>12</v>
      </c>
      <c r="K75" s="106">
        <v>7718.4</v>
      </c>
      <c r="L75" s="106">
        <v>16.745894032981759</v>
      </c>
      <c r="M75" s="106">
        <v>10770.959042013867</v>
      </c>
      <c r="N75" s="106">
        <v>14</v>
      </c>
      <c r="O75" s="106">
        <v>9004.7999999999993</v>
      </c>
      <c r="P75" s="106">
        <v>17.592339279470892</v>
      </c>
      <c r="Q75" s="106">
        <v>11315.392624555676</v>
      </c>
      <c r="R75" s="106">
        <v>14.847323850047772</v>
      </c>
      <c r="S75" s="106">
        <v>9549.798700350726</v>
      </c>
      <c r="T75" s="106">
        <v>4</v>
      </c>
      <c r="U75" s="106">
        <v>2572.7999999999997</v>
      </c>
      <c r="V75" s="106">
        <v>5.5570899733452288</v>
      </c>
      <c r="W75" s="106">
        <v>3574.320270855651</v>
      </c>
      <c r="X75" s="106">
        <v>6.1962996432818072</v>
      </c>
      <c r="Y75" s="106">
        <v>3985.4599305588581</v>
      </c>
      <c r="Z75" s="106">
        <v>6.2376704943016801</v>
      </c>
      <c r="AA75" s="106">
        <v>4012.06966193484</v>
      </c>
      <c r="AB75" s="106">
        <v>7.4556303601108036</v>
      </c>
      <c r="AC75" s="106">
        <v>4795.4614476232682</v>
      </c>
      <c r="AD75" s="106">
        <v>7</v>
      </c>
      <c r="AE75" s="106">
        <v>4502.3999999999996</v>
      </c>
      <c r="AF75" s="106">
        <v>6.6488759925497503</v>
      </c>
      <c r="AG75" s="106">
        <v>4276.5570384079992</v>
      </c>
      <c r="AH75" s="106">
        <v>7.4223284989155802</v>
      </c>
      <c r="AI75" s="106">
        <v>4774.0416905025004</v>
      </c>
      <c r="AJ75" s="106">
        <v>3</v>
      </c>
      <c r="AK75" s="106">
        <v>1929.6</v>
      </c>
      <c r="AL75" s="106">
        <v>3.3068915910195993</v>
      </c>
      <c r="AM75" s="106">
        <v>2126.9926713438063</v>
      </c>
      <c r="AN75" s="106">
        <v>4.524638616513359</v>
      </c>
      <c r="AO75" s="106">
        <v>2910.2475581413923</v>
      </c>
      <c r="AP75" s="106">
        <v>6</v>
      </c>
      <c r="AQ75" s="106">
        <v>3859.2</v>
      </c>
      <c r="AR75" s="106">
        <v>36</v>
      </c>
      <c r="AS75" s="106">
        <v>23155.199999999997</v>
      </c>
      <c r="AT75" s="106">
        <v>42.154376748557048</v>
      </c>
      <c r="AU75" s="106">
        <v>27113.695124671889</v>
      </c>
      <c r="AV75" s="106">
        <v>35.878031665277838</v>
      </c>
      <c r="AW75" s="106">
        <v>23076.749967106702</v>
      </c>
      <c r="AX75" s="106">
        <v>27.986876543209878</v>
      </c>
      <c r="AY75" s="106">
        <v>18001.158992592591</v>
      </c>
      <c r="AZ75" s="106">
        <v>51.305682737888773</v>
      </c>
      <c r="BA75" s="106">
        <v>32999.815137010053</v>
      </c>
      <c r="BB75" s="106">
        <v>52</v>
      </c>
      <c r="BC75" s="106">
        <v>33446.399999999994</v>
      </c>
      <c r="BD75" s="106">
        <v>38</v>
      </c>
      <c r="BE75" s="106">
        <v>24441.599999999999</v>
      </c>
      <c r="BF75" s="106">
        <v>63</v>
      </c>
      <c r="BG75" s="106">
        <v>40521.599999999999</v>
      </c>
      <c r="BH75" s="106">
        <v>4</v>
      </c>
      <c r="BI75" s="106">
        <v>2572.7999999999997</v>
      </c>
      <c r="BJ75" s="106">
        <v>6</v>
      </c>
      <c r="BK75" s="106">
        <v>3859.2</v>
      </c>
      <c r="BL75" s="106">
        <v>3</v>
      </c>
      <c r="BM75" s="106">
        <v>1929.6</v>
      </c>
      <c r="BN75" s="106">
        <v>5</v>
      </c>
      <c r="BO75" s="106">
        <v>3215.9999999999995</v>
      </c>
      <c r="BP75" s="106">
        <v>6.2357111460386809</v>
      </c>
      <c r="BQ75" s="106">
        <v>4010.8094091320791</v>
      </c>
      <c r="BR75" s="106">
        <v>4.1728564258485736</v>
      </c>
      <c r="BS75" s="106">
        <v>2683.9812531058024</v>
      </c>
      <c r="BT75" s="106">
        <v>3</v>
      </c>
      <c r="BU75" s="106">
        <v>1929.6</v>
      </c>
      <c r="BV75" s="106">
        <v>5.2217361425179494</v>
      </c>
      <c r="BW75" s="106">
        <v>3358.6206868675445</v>
      </c>
      <c r="BX75" s="106">
        <v>5</v>
      </c>
      <c r="BY75" s="106">
        <v>3215.9999999999995</v>
      </c>
      <c r="BZ75" s="106">
        <v>5.8682343456060204</v>
      </c>
      <c r="CA75" s="106">
        <v>3774.4483310937921</v>
      </c>
      <c r="CB75" s="106">
        <v>4.3343387499456405</v>
      </c>
      <c r="CC75" s="106">
        <v>2787.8466839650355</v>
      </c>
      <c r="CD75" s="106">
        <v>5.3299092582644212</v>
      </c>
      <c r="CE75" s="106">
        <v>3428.1976349156753</v>
      </c>
      <c r="CF75" s="106">
        <v>21.299444444444443</v>
      </c>
      <c r="CG75" s="106">
        <v>13699.802666666665</v>
      </c>
      <c r="CH75" s="106">
        <v>30</v>
      </c>
      <c r="CI75" s="106">
        <v>19295.999999999996</v>
      </c>
      <c r="CJ75" s="106">
        <v>18</v>
      </c>
      <c r="CK75" s="106">
        <v>11577.599999999999</v>
      </c>
      <c r="CL75" s="106">
        <v>23.260512309573095</v>
      </c>
      <c r="CM75" s="106">
        <v>14961.161517517412</v>
      </c>
      <c r="CN75" s="106">
        <v>3</v>
      </c>
      <c r="CO75" s="106">
        <v>1929.6</v>
      </c>
      <c r="CP75" s="106">
        <v>3</v>
      </c>
      <c r="CQ75" s="106">
        <v>1929.6</v>
      </c>
      <c r="CR75" s="106">
        <v>4</v>
      </c>
      <c r="CS75" s="106">
        <v>2572.7999999999997</v>
      </c>
      <c r="CT75" s="106">
        <v>4</v>
      </c>
      <c r="CU75" s="106">
        <v>2572.7999999999997</v>
      </c>
    </row>
    <row r="76" spans="2:99" x14ac:dyDescent="0.2">
      <c r="C76" s="105" t="s">
        <v>242</v>
      </c>
      <c r="D76" s="106">
        <v>19.050177103214658</v>
      </c>
      <c r="E76" s="106">
        <v>14836.277927983574</v>
      </c>
      <c r="F76" s="106">
        <v>12</v>
      </c>
      <c r="G76" s="106">
        <v>9345.5999999999985</v>
      </c>
      <c r="H76" s="106">
        <v>12.609702358940842</v>
      </c>
      <c r="I76" s="106">
        <v>9820.4361971431263</v>
      </c>
      <c r="J76" s="106">
        <v>13</v>
      </c>
      <c r="K76" s="106">
        <v>10124.4</v>
      </c>
      <c r="L76" s="106">
        <v>18</v>
      </c>
      <c r="M76" s="106">
        <v>14018.4</v>
      </c>
      <c r="N76" s="106">
        <v>14</v>
      </c>
      <c r="O76" s="106">
        <v>10903.199999999999</v>
      </c>
      <c r="P76" s="106">
        <v>17.53106280228425</v>
      </c>
      <c r="Q76" s="106">
        <v>13653.191710418972</v>
      </c>
      <c r="R76" s="106">
        <v>15.819079721712846</v>
      </c>
      <c r="S76" s="106">
        <v>12319.899287269964</v>
      </c>
      <c r="T76" s="106">
        <v>5</v>
      </c>
      <c r="U76" s="106">
        <v>3894</v>
      </c>
      <c r="V76" s="106">
        <v>5.5849444720124906</v>
      </c>
      <c r="W76" s="106">
        <v>4349.5547548033273</v>
      </c>
      <c r="X76" s="106">
        <v>6.1962996432818072</v>
      </c>
      <c r="Y76" s="106">
        <v>4825.6781621878708</v>
      </c>
      <c r="Z76" s="106">
        <v>7.2546469581803716</v>
      </c>
      <c r="AA76" s="106">
        <v>5649.9190510308727</v>
      </c>
      <c r="AB76" s="106">
        <v>8.5315687534626043</v>
      </c>
      <c r="AC76" s="106">
        <v>6644.385745196676</v>
      </c>
      <c r="AD76" s="106">
        <v>7</v>
      </c>
      <c r="AE76" s="106">
        <v>5451.5999999999995</v>
      </c>
      <c r="AF76" s="106">
        <v>7.6488759925497503</v>
      </c>
      <c r="AG76" s="106">
        <v>5956.9446229977448</v>
      </c>
      <c r="AH76" s="106">
        <v>7.3455414991127475</v>
      </c>
      <c r="AI76" s="106">
        <v>5720.7077195090078</v>
      </c>
      <c r="AJ76" s="106">
        <v>3</v>
      </c>
      <c r="AK76" s="106">
        <v>2336.3999999999996</v>
      </c>
      <c r="AL76" s="106">
        <v>4.327351030420906</v>
      </c>
      <c r="AM76" s="106">
        <v>3370.1409824918014</v>
      </c>
      <c r="AN76" s="106">
        <v>4.5621128034071701</v>
      </c>
      <c r="AO76" s="106">
        <v>3552.9734512935038</v>
      </c>
      <c r="AP76" s="106">
        <v>5</v>
      </c>
      <c r="AQ76" s="106">
        <v>3894</v>
      </c>
      <c r="AR76" s="106">
        <v>38</v>
      </c>
      <c r="AS76" s="106">
        <v>29594.399999999998</v>
      </c>
      <c r="AT76" s="106">
        <v>41.97145796801918</v>
      </c>
      <c r="AU76" s="106">
        <v>32687.371465493336</v>
      </c>
      <c r="AV76" s="106">
        <v>30.8375071268804</v>
      </c>
      <c r="AW76" s="106">
        <v>24016.250550414454</v>
      </c>
      <c r="AX76" s="106">
        <v>31.055728395061728</v>
      </c>
      <c r="AY76" s="106">
        <v>24186.201274074072</v>
      </c>
      <c r="AZ76" s="106">
        <v>48.305682737888773</v>
      </c>
      <c r="BA76" s="106">
        <v>37620.465716267776</v>
      </c>
      <c r="BB76" s="106">
        <v>45</v>
      </c>
      <c r="BC76" s="106">
        <v>35046</v>
      </c>
      <c r="BD76" s="106">
        <v>42</v>
      </c>
      <c r="BE76" s="106">
        <v>32709.599999999999</v>
      </c>
      <c r="BF76" s="106">
        <v>63.298868882733146</v>
      </c>
      <c r="BG76" s="106">
        <v>49297.159085872569</v>
      </c>
      <c r="BH76" s="106">
        <v>3</v>
      </c>
      <c r="BI76" s="106">
        <v>2336.3999999999996</v>
      </c>
      <c r="BJ76" s="106">
        <v>6</v>
      </c>
      <c r="BK76" s="106">
        <v>4672.7999999999993</v>
      </c>
      <c r="BL76" s="106">
        <v>4</v>
      </c>
      <c r="BM76" s="106">
        <v>3115.2</v>
      </c>
      <c r="BN76" s="106">
        <v>5</v>
      </c>
      <c r="BO76" s="106">
        <v>3894</v>
      </c>
      <c r="BP76" s="106">
        <v>5.2160685505354571</v>
      </c>
      <c r="BQ76" s="106">
        <v>4062.2741871570138</v>
      </c>
      <c r="BR76" s="106">
        <v>4.1728564258485736</v>
      </c>
      <c r="BS76" s="106">
        <v>3249.8205844508689</v>
      </c>
      <c r="BT76" s="106">
        <v>3</v>
      </c>
      <c r="BU76" s="106">
        <v>2336.3999999999996</v>
      </c>
      <c r="BV76" s="106">
        <v>5.2418939736559444</v>
      </c>
      <c r="BW76" s="106">
        <v>4082.3870266832491</v>
      </c>
      <c r="BX76" s="106">
        <v>4</v>
      </c>
      <c r="BY76" s="106">
        <v>3115.2</v>
      </c>
      <c r="BZ76" s="106">
        <v>5.8682343456060204</v>
      </c>
      <c r="CA76" s="106">
        <v>4570.1809083579683</v>
      </c>
      <c r="CB76" s="106">
        <v>4.3343387499456405</v>
      </c>
      <c r="CC76" s="106">
        <v>3375.5830184576648</v>
      </c>
      <c r="CD76" s="106">
        <v>5.3299092582644212</v>
      </c>
      <c r="CE76" s="106">
        <v>4150.933330336331</v>
      </c>
      <c r="CF76" s="106">
        <v>19.329388888888889</v>
      </c>
      <c r="CG76" s="106">
        <v>15053.728066666667</v>
      </c>
      <c r="CH76" s="106">
        <v>29</v>
      </c>
      <c r="CI76" s="106">
        <v>22585.199999999997</v>
      </c>
      <c r="CJ76" s="106">
        <v>17</v>
      </c>
      <c r="CK76" s="106">
        <v>13239.599999999999</v>
      </c>
      <c r="CL76" s="106">
        <v>23.293076348269732</v>
      </c>
      <c r="CM76" s="106">
        <v>18140.647860032466</v>
      </c>
      <c r="CN76" s="106">
        <v>3</v>
      </c>
      <c r="CO76" s="106">
        <v>2336.3999999999996</v>
      </c>
      <c r="CP76" s="106">
        <v>3</v>
      </c>
      <c r="CQ76" s="106">
        <v>2336.3999999999996</v>
      </c>
      <c r="CR76" s="106">
        <v>3</v>
      </c>
      <c r="CS76" s="106">
        <v>2336.3999999999996</v>
      </c>
      <c r="CT76" s="106">
        <v>4</v>
      </c>
      <c r="CU76" s="106">
        <v>3115.2</v>
      </c>
    </row>
    <row r="77" spans="2:99" x14ac:dyDescent="0.2">
      <c r="C77" s="105" t="s">
        <v>243</v>
      </c>
      <c r="D77" s="106">
        <v>20.097912426088051</v>
      </c>
      <c r="E77" s="106">
        <v>5595.2588194229129</v>
      </c>
      <c r="F77" s="106">
        <v>11</v>
      </c>
      <c r="G77" s="106">
        <v>3062.3999999999996</v>
      </c>
      <c r="H77" s="106">
        <v>13.711319418764315</v>
      </c>
      <c r="I77" s="106">
        <v>3817.2313261839849</v>
      </c>
      <c r="J77" s="106">
        <v>12</v>
      </c>
      <c r="K77" s="106">
        <v>3340.7999999999997</v>
      </c>
      <c r="L77" s="106">
        <v>16</v>
      </c>
      <c r="M77" s="106">
        <v>4454.3999999999996</v>
      </c>
      <c r="N77" s="106">
        <v>15</v>
      </c>
      <c r="O77" s="106">
        <v>4176</v>
      </c>
      <c r="P77" s="106">
        <v>21.53106280228425</v>
      </c>
      <c r="Q77" s="106">
        <v>5994.247884155935</v>
      </c>
      <c r="R77" s="106">
        <v>16.903812106717623</v>
      </c>
      <c r="S77" s="106">
        <v>4706.0212905101862</v>
      </c>
      <c r="T77" s="106">
        <v>4</v>
      </c>
      <c r="U77" s="106">
        <v>1113.5999999999999</v>
      </c>
      <c r="V77" s="106">
        <v>5.6963624666815358</v>
      </c>
      <c r="W77" s="106">
        <v>1585.8673107241395</v>
      </c>
      <c r="X77" s="106">
        <v>7.1962996432818072</v>
      </c>
      <c r="Y77" s="106">
        <v>2003.4498206896549</v>
      </c>
      <c r="Z77" s="106">
        <v>7.2376704943016801</v>
      </c>
      <c r="AA77" s="106">
        <v>2014.9674656135876</v>
      </c>
      <c r="AB77" s="106">
        <v>8.5315687534626043</v>
      </c>
      <c r="AC77" s="106">
        <v>2375.1887409639889</v>
      </c>
      <c r="AD77" s="106">
        <v>7</v>
      </c>
      <c r="AE77" s="106">
        <v>1948.7999999999997</v>
      </c>
      <c r="AF77" s="106">
        <v>7.5989624546613079</v>
      </c>
      <c r="AG77" s="106">
        <v>2115.5511473777078</v>
      </c>
      <c r="AH77" s="106">
        <v>8.3839349990141638</v>
      </c>
      <c r="AI77" s="106">
        <v>2334.0875037255432</v>
      </c>
      <c r="AJ77" s="106">
        <v>3</v>
      </c>
      <c r="AK77" s="106">
        <v>835.19999999999993</v>
      </c>
      <c r="AL77" s="106">
        <v>3.2864321516182926</v>
      </c>
      <c r="AM77" s="106">
        <v>914.94271101053255</v>
      </c>
      <c r="AN77" s="106">
        <v>4.5621128034071701</v>
      </c>
      <c r="AO77" s="106">
        <v>1270.092204468556</v>
      </c>
      <c r="AP77" s="106">
        <v>6</v>
      </c>
      <c r="AQ77" s="106">
        <v>1670.3999999999999</v>
      </c>
      <c r="AR77" s="106">
        <v>37</v>
      </c>
      <c r="AS77" s="106">
        <v>10300.799999999999</v>
      </c>
      <c r="AT77" s="106">
        <v>46.195025366454352</v>
      </c>
      <c r="AU77" s="106">
        <v>12860.69506202089</v>
      </c>
      <c r="AV77" s="106">
        <v>34.823998947414587</v>
      </c>
      <c r="AW77" s="106">
        <v>9695.001306960221</v>
      </c>
      <c r="AX77" s="106">
        <v>35.055728395061728</v>
      </c>
      <c r="AY77" s="106">
        <v>9759.5147851851834</v>
      </c>
      <c r="AZ77" s="106">
        <v>51.305682737888773</v>
      </c>
      <c r="BA77" s="106">
        <v>14283.502074228234</v>
      </c>
      <c r="BB77" s="106">
        <v>60</v>
      </c>
      <c r="BC77" s="106">
        <v>16704</v>
      </c>
      <c r="BD77" s="106">
        <v>46</v>
      </c>
      <c r="BE77" s="106">
        <v>12806.4</v>
      </c>
      <c r="BF77" s="106">
        <v>65</v>
      </c>
      <c r="BG77" s="106">
        <v>18096</v>
      </c>
      <c r="BH77" s="106">
        <v>4</v>
      </c>
      <c r="BI77" s="106">
        <v>1113.5999999999999</v>
      </c>
      <c r="BJ77" s="106">
        <v>7</v>
      </c>
      <c r="BK77" s="106">
        <v>1948.7999999999997</v>
      </c>
      <c r="BL77" s="106">
        <v>4</v>
      </c>
      <c r="BM77" s="106">
        <v>1113.5999999999999</v>
      </c>
      <c r="BN77" s="106">
        <v>5</v>
      </c>
      <c r="BO77" s="106">
        <v>1392</v>
      </c>
      <c r="BP77" s="106">
        <v>6.2160685505354571</v>
      </c>
      <c r="BQ77" s="106">
        <v>1730.5534844690712</v>
      </c>
      <c r="BR77" s="106">
        <v>4.1728564258485736</v>
      </c>
      <c r="BS77" s="106">
        <v>1161.7232289562428</v>
      </c>
      <c r="BT77" s="106">
        <v>3</v>
      </c>
      <c r="BU77" s="106">
        <v>835.19999999999993</v>
      </c>
      <c r="BV77" s="106">
        <v>5.2418939736559444</v>
      </c>
      <c r="BW77" s="106">
        <v>1459.3432822658149</v>
      </c>
      <c r="BX77" s="106">
        <v>4</v>
      </c>
      <c r="BY77" s="106">
        <v>1113.5999999999999</v>
      </c>
      <c r="BZ77" s="106">
        <v>5.749838753023381</v>
      </c>
      <c r="CA77" s="106">
        <v>1600.7551088417092</v>
      </c>
      <c r="CB77" s="106">
        <v>4.3120494999492642</v>
      </c>
      <c r="CC77" s="106">
        <v>1200.4745807858751</v>
      </c>
      <c r="CD77" s="106">
        <v>4.3464047211776418</v>
      </c>
      <c r="CE77" s="106">
        <v>1210.0390743758553</v>
      </c>
      <c r="CF77" s="106">
        <v>19.329388888888889</v>
      </c>
      <c r="CG77" s="106">
        <v>5381.3018666666667</v>
      </c>
      <c r="CH77" s="106">
        <v>30</v>
      </c>
      <c r="CI77" s="106">
        <v>8352</v>
      </c>
      <c r="CJ77" s="106">
        <v>19</v>
      </c>
      <c r="CK77" s="106">
        <v>5289.5999999999995</v>
      </c>
      <c r="CL77" s="106">
        <v>24.293076348269732</v>
      </c>
      <c r="CM77" s="106">
        <v>6763.192455358293</v>
      </c>
      <c r="CN77" s="106">
        <v>3</v>
      </c>
      <c r="CO77" s="106">
        <v>835.19999999999993</v>
      </c>
      <c r="CP77" s="106">
        <v>3</v>
      </c>
      <c r="CQ77" s="106">
        <v>835.19999999999993</v>
      </c>
      <c r="CR77" s="106">
        <v>4</v>
      </c>
      <c r="CS77" s="106">
        <v>1113.5999999999999</v>
      </c>
      <c r="CT77" s="106">
        <v>5</v>
      </c>
      <c r="CU77" s="106">
        <v>1392</v>
      </c>
    </row>
    <row r="78" spans="2:99" x14ac:dyDescent="0.2">
      <c r="C78" s="105" t="s">
        <v>244</v>
      </c>
      <c r="D78" s="106">
        <v>20.097912426088051</v>
      </c>
      <c r="E78" s="106">
        <v>11094.047659200603</v>
      </c>
      <c r="F78" s="106">
        <v>11</v>
      </c>
      <c r="G78" s="106">
        <v>6072</v>
      </c>
      <c r="H78" s="106">
        <v>13.575830005666351</v>
      </c>
      <c r="I78" s="106">
        <v>7493.8581631278257</v>
      </c>
      <c r="J78" s="106">
        <v>13</v>
      </c>
      <c r="K78" s="106">
        <v>7176</v>
      </c>
      <c r="L78" s="106">
        <v>17</v>
      </c>
      <c r="M78" s="106">
        <v>9384</v>
      </c>
      <c r="N78" s="106">
        <v>13</v>
      </c>
      <c r="O78" s="106">
        <v>7176</v>
      </c>
      <c r="P78" s="106">
        <v>20.592339279470892</v>
      </c>
      <c r="Q78" s="106">
        <v>11366.971282267932</v>
      </c>
      <c r="R78" s="106">
        <v>13.903812106717623</v>
      </c>
      <c r="S78" s="106">
        <v>7674.9042829081282</v>
      </c>
      <c r="T78" s="106">
        <v>5</v>
      </c>
      <c r="U78" s="106">
        <v>2760</v>
      </c>
      <c r="V78" s="106">
        <v>5.5849444720124906</v>
      </c>
      <c r="W78" s="106">
        <v>3082.8893485508947</v>
      </c>
      <c r="X78" s="106">
        <v>7.1682568370986921</v>
      </c>
      <c r="Y78" s="106">
        <v>3956.8777740784781</v>
      </c>
      <c r="Z78" s="106">
        <v>7.2206940304229885</v>
      </c>
      <c r="AA78" s="106">
        <v>3985.8231047934896</v>
      </c>
      <c r="AB78" s="106">
        <v>8.4556303601108027</v>
      </c>
      <c r="AC78" s="106">
        <v>4667.5079587811633</v>
      </c>
      <c r="AD78" s="106">
        <v>7</v>
      </c>
      <c r="AE78" s="106">
        <v>3864</v>
      </c>
      <c r="AF78" s="106">
        <v>7.5989624546613079</v>
      </c>
      <c r="AG78" s="106">
        <v>4194.6272749730424</v>
      </c>
      <c r="AH78" s="106">
        <v>7.3839349990141638</v>
      </c>
      <c r="AI78" s="106">
        <v>4075.9321194558183</v>
      </c>
      <c r="AJ78" s="106">
        <v>3</v>
      </c>
      <c r="AK78" s="106">
        <v>1656</v>
      </c>
      <c r="AL78" s="106">
        <v>3.3478104698222126</v>
      </c>
      <c r="AM78" s="106">
        <v>1847.9913793418614</v>
      </c>
      <c r="AN78" s="106">
        <v>4.5621128034071701</v>
      </c>
      <c r="AO78" s="106">
        <v>2518.2862674807579</v>
      </c>
      <c r="AP78" s="106">
        <v>5</v>
      </c>
      <c r="AQ78" s="106">
        <v>2760</v>
      </c>
      <c r="AR78" s="106">
        <v>37</v>
      </c>
      <c r="AS78" s="106">
        <v>20424</v>
      </c>
      <c r="AT78" s="106">
        <v>45.97145796801918</v>
      </c>
      <c r="AU78" s="106">
        <v>25376.244798346586</v>
      </c>
      <c r="AV78" s="106">
        <v>32.864523485812029</v>
      </c>
      <c r="AW78" s="106">
        <v>18141.216964168241</v>
      </c>
      <c r="AX78" s="106">
        <v>32.952450617283951</v>
      </c>
      <c r="AY78" s="106">
        <v>18189.75274074074</v>
      </c>
      <c r="AZ78" s="106">
        <v>51.271717989234467</v>
      </c>
      <c r="BA78" s="106">
        <v>28301.988330057426</v>
      </c>
      <c r="BB78" s="106">
        <v>53</v>
      </c>
      <c r="BC78" s="106">
        <v>29256</v>
      </c>
      <c r="BD78" s="106">
        <v>43</v>
      </c>
      <c r="BE78" s="106">
        <v>23736</v>
      </c>
      <c r="BF78" s="106">
        <v>62.298868882733146</v>
      </c>
      <c r="BG78" s="106">
        <v>34388.9756232687</v>
      </c>
      <c r="BH78" s="106">
        <v>4</v>
      </c>
      <c r="BI78" s="106">
        <v>2208</v>
      </c>
      <c r="BJ78" s="106">
        <v>6</v>
      </c>
      <c r="BK78" s="106">
        <v>3312</v>
      </c>
      <c r="BL78" s="106">
        <v>4</v>
      </c>
      <c r="BM78" s="106">
        <v>2208</v>
      </c>
      <c r="BN78" s="106">
        <v>5</v>
      </c>
      <c r="BO78" s="106">
        <v>2760</v>
      </c>
      <c r="BP78" s="106">
        <v>5.2160685505354571</v>
      </c>
      <c r="BQ78" s="106">
        <v>2879.2698398955722</v>
      </c>
      <c r="BR78" s="106">
        <v>4.1944634790796451</v>
      </c>
      <c r="BS78" s="106">
        <v>2315.3438404519643</v>
      </c>
      <c r="BT78" s="106">
        <v>3</v>
      </c>
      <c r="BU78" s="106">
        <v>1656</v>
      </c>
      <c r="BV78" s="106">
        <v>5.2418939736559444</v>
      </c>
      <c r="BW78" s="106">
        <v>2893.5254734580813</v>
      </c>
      <c r="BX78" s="106">
        <v>5</v>
      </c>
      <c r="BY78" s="106">
        <v>2760</v>
      </c>
      <c r="BZ78" s="106">
        <v>5.7893039505509272</v>
      </c>
      <c r="CA78" s="106">
        <v>3195.6957807041117</v>
      </c>
      <c r="CB78" s="106">
        <v>4.3343387499456405</v>
      </c>
      <c r="CC78" s="106">
        <v>2392.5549899699936</v>
      </c>
      <c r="CD78" s="106">
        <v>4.3134137953511997</v>
      </c>
      <c r="CE78" s="106">
        <v>2381.0044150338622</v>
      </c>
      <c r="CF78" s="106">
        <v>20.299444444444443</v>
      </c>
      <c r="CG78" s="106">
        <v>11205.293333333333</v>
      </c>
      <c r="CH78" s="106">
        <v>34</v>
      </c>
      <c r="CI78" s="106">
        <v>18768</v>
      </c>
      <c r="CJ78" s="106">
        <v>19</v>
      </c>
      <c r="CK78" s="106">
        <v>10488</v>
      </c>
      <c r="CL78" s="106">
        <v>24.260512309573095</v>
      </c>
      <c r="CM78" s="106">
        <v>13391.802794884348</v>
      </c>
      <c r="CN78" s="106">
        <v>3</v>
      </c>
      <c r="CO78" s="106">
        <v>1656</v>
      </c>
      <c r="CP78" s="106">
        <v>3</v>
      </c>
      <c r="CQ78" s="106">
        <v>1656</v>
      </c>
      <c r="CR78" s="106">
        <v>4</v>
      </c>
      <c r="CS78" s="106">
        <v>2208</v>
      </c>
      <c r="CT78" s="106">
        <v>5</v>
      </c>
      <c r="CU78" s="106">
        <v>2760</v>
      </c>
    </row>
    <row r="79" spans="2:99" x14ac:dyDescent="0.2">
      <c r="C79" s="105" t="s">
        <v>245</v>
      </c>
      <c r="D79" s="106">
        <v>18.954706457467871</v>
      </c>
      <c r="E79" s="106">
        <v>14352.503729594671</v>
      </c>
      <c r="F79" s="106">
        <v>13</v>
      </c>
      <c r="G79" s="106">
        <v>9843.5999999999985</v>
      </c>
      <c r="H79" s="106">
        <v>12.575830005666351</v>
      </c>
      <c r="I79" s="106">
        <v>9522.4184802905602</v>
      </c>
      <c r="J79" s="106">
        <v>13</v>
      </c>
      <c r="K79" s="106">
        <v>9843.5999999999985</v>
      </c>
      <c r="L79" s="106">
        <v>16.816931559932407</v>
      </c>
      <c r="M79" s="106">
        <v>12733.780577180816</v>
      </c>
      <c r="N79" s="106">
        <v>14</v>
      </c>
      <c r="O79" s="106">
        <v>10600.8</v>
      </c>
      <c r="P79" s="106">
        <v>19.592339279470892</v>
      </c>
      <c r="Q79" s="106">
        <v>14835.319302415357</v>
      </c>
      <c r="R79" s="106">
        <v>13.903812106717623</v>
      </c>
      <c r="S79" s="106">
        <v>10527.966527206583</v>
      </c>
      <c r="T79" s="106">
        <v>4</v>
      </c>
      <c r="U79" s="106">
        <v>3028.7999999999997</v>
      </c>
      <c r="V79" s="106">
        <v>5.6685079680142749</v>
      </c>
      <c r="W79" s="106">
        <v>4292.1942333804081</v>
      </c>
      <c r="X79" s="106">
        <v>7.1962996432818072</v>
      </c>
      <c r="Y79" s="106">
        <v>5449.0380898929843</v>
      </c>
      <c r="Z79" s="106">
        <v>7.2376704943016801</v>
      </c>
      <c r="AA79" s="106">
        <v>5480.3640982852321</v>
      </c>
      <c r="AB79" s="106">
        <v>8.4935995567867035</v>
      </c>
      <c r="AC79" s="106">
        <v>6431.3535843988911</v>
      </c>
      <c r="AD79" s="106">
        <v>7</v>
      </c>
      <c r="AE79" s="106">
        <v>5300.4</v>
      </c>
      <c r="AF79" s="106">
        <v>7.6488759925497503</v>
      </c>
      <c r="AG79" s="106">
        <v>5791.7289015586703</v>
      </c>
      <c r="AH79" s="106">
        <v>8.3455414991127483</v>
      </c>
      <c r="AI79" s="106">
        <v>6319.2440231281726</v>
      </c>
      <c r="AJ79" s="106">
        <v>3</v>
      </c>
      <c r="AK79" s="106">
        <v>2271.6</v>
      </c>
      <c r="AL79" s="106">
        <v>3.2864321516182926</v>
      </c>
      <c r="AM79" s="106">
        <v>2488.4864252053708</v>
      </c>
      <c r="AN79" s="106">
        <v>4.5621128034071701</v>
      </c>
      <c r="AO79" s="106">
        <v>3454.431814739909</v>
      </c>
      <c r="AP79" s="106">
        <v>5</v>
      </c>
      <c r="AQ79" s="106">
        <v>3785.9999999999995</v>
      </c>
      <c r="AR79" s="106">
        <v>37</v>
      </c>
      <c r="AS79" s="106">
        <v>28016.399999999998</v>
      </c>
      <c r="AT79" s="106">
        <v>44.052755203813788</v>
      </c>
      <c r="AU79" s="106">
        <v>33356.746240327797</v>
      </c>
      <c r="AV79" s="106">
        <v>33.864523485812029</v>
      </c>
      <c r="AW79" s="106">
        <v>25642.217183456865</v>
      </c>
      <c r="AX79" s="106">
        <v>28.078679012345678</v>
      </c>
      <c r="AY79" s="106">
        <v>21261.175748148144</v>
      </c>
      <c r="AZ79" s="106">
        <v>48.271717989234467</v>
      </c>
      <c r="BA79" s="106">
        <v>36551.344861448335</v>
      </c>
      <c r="BB79" s="106">
        <v>49</v>
      </c>
      <c r="BC79" s="106">
        <v>37102.799999999996</v>
      </c>
      <c r="BD79" s="106">
        <v>38</v>
      </c>
      <c r="BE79" s="106">
        <v>28773.599999999999</v>
      </c>
      <c r="BF79" s="106">
        <v>64.298868882733146</v>
      </c>
      <c r="BG79" s="106">
        <v>48687.103518005533</v>
      </c>
      <c r="BH79" s="106">
        <v>4</v>
      </c>
      <c r="BI79" s="106">
        <v>3028.7999999999997</v>
      </c>
      <c r="BJ79" s="106">
        <v>6</v>
      </c>
      <c r="BK79" s="106">
        <v>4543.2</v>
      </c>
      <c r="BL79" s="106">
        <v>3</v>
      </c>
      <c r="BM79" s="106">
        <v>2271.6</v>
      </c>
      <c r="BN79" s="106">
        <v>5</v>
      </c>
      <c r="BO79" s="106">
        <v>3785.9999999999995</v>
      </c>
      <c r="BP79" s="106">
        <v>5.2357111460386809</v>
      </c>
      <c r="BQ79" s="106">
        <v>3964.4804797804886</v>
      </c>
      <c r="BR79" s="106">
        <v>4.1728564258485736</v>
      </c>
      <c r="BS79" s="106">
        <v>3159.6868856525398</v>
      </c>
      <c r="BT79" s="106">
        <v>3</v>
      </c>
      <c r="BU79" s="106">
        <v>2271.6</v>
      </c>
      <c r="BV79" s="106">
        <v>5.2015783113799534</v>
      </c>
      <c r="BW79" s="106">
        <v>3938.6350973769004</v>
      </c>
      <c r="BX79" s="106">
        <v>4</v>
      </c>
      <c r="BY79" s="106">
        <v>3028.7999999999997</v>
      </c>
      <c r="BZ79" s="106">
        <v>6.749838753023381</v>
      </c>
      <c r="CA79" s="106">
        <v>5110.977903789304</v>
      </c>
      <c r="CB79" s="106">
        <v>4.2897602499528888</v>
      </c>
      <c r="CC79" s="106">
        <v>3248.2064612643271</v>
      </c>
      <c r="CD79" s="106">
        <v>5.2969183324379792</v>
      </c>
      <c r="CE79" s="106">
        <v>4010.8265613220374</v>
      </c>
      <c r="CF79" s="106">
        <v>21.329388888888889</v>
      </c>
      <c r="CG79" s="106">
        <v>16150.613266666665</v>
      </c>
      <c r="CH79" s="106">
        <v>32</v>
      </c>
      <c r="CI79" s="106">
        <v>24230.399999999998</v>
      </c>
      <c r="CJ79" s="106">
        <v>16</v>
      </c>
      <c r="CK79" s="106">
        <v>12115.199999999999</v>
      </c>
      <c r="CL79" s="106">
        <v>23.260512309573095</v>
      </c>
      <c r="CM79" s="106">
        <v>17612.859920808747</v>
      </c>
      <c r="CN79" s="106">
        <v>3</v>
      </c>
      <c r="CO79" s="106">
        <v>2271.6</v>
      </c>
      <c r="CP79" s="106">
        <v>3</v>
      </c>
      <c r="CQ79" s="106">
        <v>2271.6</v>
      </c>
      <c r="CR79" s="106">
        <v>4</v>
      </c>
      <c r="CS79" s="106">
        <v>3028.7999999999997</v>
      </c>
      <c r="CT79" s="106">
        <v>5</v>
      </c>
      <c r="CU79" s="106">
        <v>3785.9999999999995</v>
      </c>
    </row>
    <row r="80" spans="2:99" x14ac:dyDescent="0.2">
      <c r="C80" s="105" t="s">
        <v>246</v>
      </c>
      <c r="D80" s="106">
        <v>19.002441780341265</v>
      </c>
      <c r="E80" s="106">
        <v>15300.766121530785</v>
      </c>
      <c r="F80" s="106">
        <v>11</v>
      </c>
      <c r="G80" s="106">
        <v>8857.1999999999989</v>
      </c>
      <c r="H80" s="106">
        <v>11.643574712215333</v>
      </c>
      <c r="I80" s="106">
        <v>9375.4063582757863</v>
      </c>
      <c r="J80" s="106">
        <v>13</v>
      </c>
      <c r="K80" s="106">
        <v>10467.599999999999</v>
      </c>
      <c r="L80" s="106">
        <v>16</v>
      </c>
      <c r="M80" s="106">
        <v>12883.199999999999</v>
      </c>
      <c r="N80" s="106">
        <v>14</v>
      </c>
      <c r="O80" s="106">
        <v>11272.8</v>
      </c>
      <c r="P80" s="106">
        <v>19.571913787075346</v>
      </c>
      <c r="Q80" s="106">
        <v>15759.304981353067</v>
      </c>
      <c r="R80" s="106">
        <v>14.903812106717623</v>
      </c>
      <c r="S80" s="106">
        <v>12000.54950832903</v>
      </c>
      <c r="T80" s="106">
        <v>4</v>
      </c>
      <c r="U80" s="106">
        <v>3220.7999999999997</v>
      </c>
      <c r="V80" s="106">
        <v>5.6406534693470132</v>
      </c>
      <c r="W80" s="106">
        <v>4541.8541735182143</v>
      </c>
      <c r="X80" s="106">
        <v>7.1962996432818072</v>
      </c>
      <c r="Y80" s="106">
        <v>5794.4604727705109</v>
      </c>
      <c r="Z80" s="106">
        <v>6.2546469581803716</v>
      </c>
      <c r="AA80" s="106">
        <v>5036.2417307268352</v>
      </c>
      <c r="AB80" s="106">
        <v>7.4176611634349028</v>
      </c>
      <c r="AC80" s="106">
        <v>5972.700768797783</v>
      </c>
      <c r="AD80" s="106">
        <v>7</v>
      </c>
      <c r="AE80" s="106">
        <v>5636.4</v>
      </c>
      <c r="AF80" s="106">
        <v>6.5989624546613079</v>
      </c>
      <c r="AG80" s="106">
        <v>5313.4845684932843</v>
      </c>
      <c r="AH80" s="106">
        <v>7.3455414991127475</v>
      </c>
      <c r="AI80" s="106">
        <v>5914.6300150855841</v>
      </c>
      <c r="AJ80" s="106">
        <v>3</v>
      </c>
      <c r="AK80" s="106">
        <v>2415.6</v>
      </c>
      <c r="AL80" s="106">
        <v>3.2864321516182926</v>
      </c>
      <c r="AM80" s="106">
        <v>2646.2351684830492</v>
      </c>
      <c r="AN80" s="106">
        <v>4.4871644296195479</v>
      </c>
      <c r="AO80" s="106">
        <v>3613.0647987296597</v>
      </c>
      <c r="AP80" s="106">
        <v>6</v>
      </c>
      <c r="AQ80" s="106">
        <v>4831.2</v>
      </c>
      <c r="AR80" s="106">
        <v>37</v>
      </c>
      <c r="AS80" s="106">
        <v>29792.399999999998</v>
      </c>
      <c r="AT80" s="106">
        <v>38.97145796801918</v>
      </c>
      <c r="AU80" s="106">
        <v>31379.817955849041</v>
      </c>
      <c r="AV80" s="106">
        <v>32.864523485812029</v>
      </c>
      <c r="AW80" s="106">
        <v>26462.514310775845</v>
      </c>
      <c r="AX80" s="106">
        <v>30.998351851851851</v>
      </c>
      <c r="AY80" s="106">
        <v>24959.87291111111</v>
      </c>
      <c r="AZ80" s="106">
        <v>54.271717989234467</v>
      </c>
      <c r="BA80" s="106">
        <v>43699.587324931592</v>
      </c>
      <c r="BB80" s="106">
        <v>49</v>
      </c>
      <c r="BC80" s="106">
        <v>39454.799999999996</v>
      </c>
      <c r="BD80" s="106">
        <v>43</v>
      </c>
      <c r="BE80" s="106">
        <v>34623.599999999999</v>
      </c>
      <c r="BF80" s="106">
        <v>67</v>
      </c>
      <c r="BG80" s="106">
        <v>53948.399999999994</v>
      </c>
      <c r="BH80" s="106">
        <v>3</v>
      </c>
      <c r="BI80" s="106">
        <v>2415.6</v>
      </c>
      <c r="BJ80" s="106">
        <v>6</v>
      </c>
      <c r="BK80" s="106">
        <v>4831.2</v>
      </c>
      <c r="BL80" s="106">
        <v>3</v>
      </c>
      <c r="BM80" s="106">
        <v>2415.6</v>
      </c>
      <c r="BN80" s="106">
        <v>5</v>
      </c>
      <c r="BO80" s="106">
        <v>4025.9999999999995</v>
      </c>
      <c r="BP80" s="106">
        <v>5.2160685505354571</v>
      </c>
      <c r="BQ80" s="106">
        <v>4199.9783968911497</v>
      </c>
      <c r="BR80" s="106">
        <v>4.1728564258485736</v>
      </c>
      <c r="BS80" s="106">
        <v>3359.9839940932711</v>
      </c>
      <c r="BT80" s="106">
        <v>3</v>
      </c>
      <c r="BU80" s="106">
        <v>2415.6</v>
      </c>
      <c r="BV80" s="106">
        <v>5.2418939736559444</v>
      </c>
      <c r="BW80" s="106">
        <v>4220.7730275877657</v>
      </c>
      <c r="BX80" s="106">
        <v>5</v>
      </c>
      <c r="BY80" s="106">
        <v>4025.9999999999995</v>
      </c>
      <c r="BZ80" s="106">
        <v>5.7103735554958348</v>
      </c>
      <c r="CA80" s="106">
        <v>4597.9927868852456</v>
      </c>
      <c r="CB80" s="106">
        <v>4.2897602499528888</v>
      </c>
      <c r="CC80" s="106">
        <v>3454.1149532620657</v>
      </c>
      <c r="CD80" s="106">
        <v>5.3629001840908632</v>
      </c>
      <c r="CE80" s="106">
        <v>4318.2072282299623</v>
      </c>
      <c r="CF80" s="106">
        <v>18.329388888888889</v>
      </c>
      <c r="CG80" s="106">
        <v>14758.823933333333</v>
      </c>
      <c r="CH80" s="106">
        <v>30</v>
      </c>
      <c r="CI80" s="106">
        <v>24155.999999999996</v>
      </c>
      <c r="CJ80" s="106">
        <v>15</v>
      </c>
      <c r="CK80" s="106">
        <v>12077.999999999998</v>
      </c>
      <c r="CL80" s="106">
        <v>24.260512309573095</v>
      </c>
      <c r="CM80" s="106">
        <v>19534.564511668254</v>
      </c>
      <c r="CN80" s="106">
        <v>3</v>
      </c>
      <c r="CO80" s="106">
        <v>2415.6</v>
      </c>
      <c r="CP80" s="106">
        <v>3</v>
      </c>
      <c r="CQ80" s="106">
        <v>2415.6</v>
      </c>
      <c r="CR80" s="106">
        <v>4</v>
      </c>
      <c r="CS80" s="106">
        <v>3220.7999999999997</v>
      </c>
      <c r="CT80" s="106">
        <v>4</v>
      </c>
      <c r="CU80" s="106">
        <v>3220.7999999999997</v>
      </c>
    </row>
    <row r="81" spans="2:99" x14ac:dyDescent="0.2">
      <c r="C81" s="105" t="s">
        <v>247</v>
      </c>
      <c r="D81" s="106">
        <v>20</v>
      </c>
      <c r="E81" s="106">
        <v>15072</v>
      </c>
      <c r="F81" s="106">
        <v>13</v>
      </c>
      <c r="G81" s="106">
        <v>9796.8000000000011</v>
      </c>
      <c r="H81" s="106">
        <v>14.643574712215333</v>
      </c>
      <c r="I81" s="106">
        <v>11035.397903125475</v>
      </c>
      <c r="J81" s="106">
        <v>11</v>
      </c>
      <c r="K81" s="106">
        <v>8289.6</v>
      </c>
      <c r="L81" s="106">
        <v>17.745894032981759</v>
      </c>
      <c r="M81" s="106">
        <v>13373.305743255054</v>
      </c>
      <c r="N81" s="106">
        <v>14</v>
      </c>
      <c r="O81" s="106">
        <v>10550.4</v>
      </c>
      <c r="P81" s="106">
        <v>20.592339279470892</v>
      </c>
      <c r="Q81" s="106">
        <v>15518.386881009264</v>
      </c>
      <c r="R81" s="106">
        <v>13.903812106717623</v>
      </c>
      <c r="S81" s="106">
        <v>10477.912803622401</v>
      </c>
      <c r="T81" s="106">
        <v>4</v>
      </c>
      <c r="U81" s="106">
        <v>3014.4</v>
      </c>
      <c r="V81" s="106">
        <v>5.6127989706797514</v>
      </c>
      <c r="W81" s="106">
        <v>4229.805304304261</v>
      </c>
      <c r="X81" s="106">
        <v>6.1822782401902501</v>
      </c>
      <c r="Y81" s="106">
        <v>4658.9648818073729</v>
      </c>
      <c r="Z81" s="106">
        <v>6.2376704943016801</v>
      </c>
      <c r="AA81" s="106">
        <v>4700.7084845057461</v>
      </c>
      <c r="AB81" s="106">
        <v>8.4935995567867035</v>
      </c>
      <c r="AC81" s="106">
        <v>6400.7766259944601</v>
      </c>
      <c r="AD81" s="106">
        <v>7</v>
      </c>
      <c r="AE81" s="106">
        <v>5275.2</v>
      </c>
      <c r="AF81" s="106">
        <v>6.5989624546613079</v>
      </c>
      <c r="AG81" s="106">
        <v>4972.9781058327617</v>
      </c>
      <c r="AH81" s="106">
        <v>8.3839349990141638</v>
      </c>
      <c r="AI81" s="106">
        <v>6318.1334152570744</v>
      </c>
      <c r="AJ81" s="106">
        <v>3</v>
      </c>
      <c r="AK81" s="106">
        <v>2260.8000000000002</v>
      </c>
      <c r="AL81" s="106">
        <v>3.327351030420906</v>
      </c>
      <c r="AM81" s="106">
        <v>2507.4917365251949</v>
      </c>
      <c r="AN81" s="106">
        <v>4.5621128034071701</v>
      </c>
      <c r="AO81" s="106">
        <v>3438.0082086476436</v>
      </c>
      <c r="AP81" s="106">
        <v>5</v>
      </c>
      <c r="AQ81" s="106">
        <v>3768</v>
      </c>
      <c r="AR81" s="106">
        <v>38</v>
      </c>
      <c r="AS81" s="106">
        <v>28636.799999999999</v>
      </c>
      <c r="AT81" s="106">
        <v>39.113728130659744</v>
      </c>
      <c r="AU81" s="106">
        <v>29476.105519265184</v>
      </c>
      <c r="AV81" s="106">
        <v>34.742949870619711</v>
      </c>
      <c r="AW81" s="106">
        <v>26182.287022499015</v>
      </c>
      <c r="AX81" s="106">
        <v>30.032777777777778</v>
      </c>
      <c r="AY81" s="106">
        <v>22632.701333333334</v>
      </c>
      <c r="AZ81" s="106">
        <v>45.271717989234467</v>
      </c>
      <c r="BA81" s="106">
        <v>34116.766676687097</v>
      </c>
      <c r="BB81" s="106">
        <v>48</v>
      </c>
      <c r="BC81" s="106">
        <v>36172.800000000003</v>
      </c>
      <c r="BD81" s="106">
        <v>38.285168813819126</v>
      </c>
      <c r="BE81" s="106">
        <v>28851.703218094095</v>
      </c>
      <c r="BF81" s="106">
        <v>58.298868882733146</v>
      </c>
      <c r="BG81" s="106">
        <v>43934.027590027697</v>
      </c>
      <c r="BH81" s="106">
        <v>3</v>
      </c>
      <c r="BI81" s="106">
        <v>2260.8000000000002</v>
      </c>
      <c r="BJ81" s="106">
        <v>6</v>
      </c>
      <c r="BK81" s="106">
        <v>4521.6000000000004</v>
      </c>
      <c r="BL81" s="106">
        <v>4</v>
      </c>
      <c r="BM81" s="106">
        <v>3014.4</v>
      </c>
      <c r="BN81" s="106">
        <v>5</v>
      </c>
      <c r="BO81" s="106">
        <v>3768</v>
      </c>
      <c r="BP81" s="106">
        <v>5.2357111460386809</v>
      </c>
      <c r="BQ81" s="106">
        <v>3945.6319196547502</v>
      </c>
      <c r="BR81" s="106">
        <v>4.1728564258485736</v>
      </c>
      <c r="BS81" s="106">
        <v>3144.664602519485</v>
      </c>
      <c r="BT81" s="106">
        <v>3</v>
      </c>
      <c r="BU81" s="106">
        <v>2260.8000000000002</v>
      </c>
      <c r="BV81" s="106">
        <v>5.2217361425179494</v>
      </c>
      <c r="BW81" s="106">
        <v>3935.1003570015268</v>
      </c>
      <c r="BX81" s="106">
        <v>4</v>
      </c>
      <c r="BY81" s="106">
        <v>3014.4</v>
      </c>
      <c r="BZ81" s="106">
        <v>5.8682343456060204</v>
      </c>
      <c r="CA81" s="106">
        <v>4422.3014028486969</v>
      </c>
      <c r="CB81" s="106">
        <v>4.3343387499456405</v>
      </c>
      <c r="CC81" s="106">
        <v>3266.3576819590348</v>
      </c>
      <c r="CD81" s="106">
        <v>4.3134137953511997</v>
      </c>
      <c r="CE81" s="106">
        <v>3250.5886361766643</v>
      </c>
      <c r="CF81" s="106">
        <v>21.329388888888889</v>
      </c>
      <c r="CG81" s="106">
        <v>16073.827466666668</v>
      </c>
      <c r="CH81" s="106">
        <v>30</v>
      </c>
      <c r="CI81" s="106">
        <v>22608</v>
      </c>
      <c r="CJ81" s="106">
        <v>17</v>
      </c>
      <c r="CK81" s="106">
        <v>12811.2</v>
      </c>
      <c r="CL81" s="106">
        <v>22.293076348269732</v>
      </c>
      <c r="CM81" s="106">
        <v>16800.062336056071</v>
      </c>
      <c r="CN81" s="106">
        <v>3</v>
      </c>
      <c r="CO81" s="106">
        <v>2260.8000000000002</v>
      </c>
      <c r="CP81" s="106">
        <v>3</v>
      </c>
      <c r="CQ81" s="106">
        <v>2260.8000000000002</v>
      </c>
      <c r="CR81" s="106">
        <v>4</v>
      </c>
      <c r="CS81" s="106">
        <v>3014.4</v>
      </c>
      <c r="CT81" s="106">
        <v>4</v>
      </c>
      <c r="CU81" s="106">
        <v>3014.4</v>
      </c>
    </row>
    <row r="82" spans="2:99" x14ac:dyDescent="0.2">
      <c r="C82" s="105" t="s">
        <v>248</v>
      </c>
      <c r="D82" s="106">
        <v>21</v>
      </c>
      <c r="E82" s="106">
        <v>10684.799999999997</v>
      </c>
      <c r="F82" s="106">
        <v>12</v>
      </c>
      <c r="G82" s="106">
        <v>6105.5999999999985</v>
      </c>
      <c r="H82" s="106">
        <v>13.575830005666351</v>
      </c>
      <c r="I82" s="106">
        <v>6907.3823068830379</v>
      </c>
      <c r="J82" s="106">
        <v>13</v>
      </c>
      <c r="K82" s="106">
        <v>6614.3999999999987</v>
      </c>
      <c r="L82" s="106">
        <v>16.745894032981759</v>
      </c>
      <c r="M82" s="106">
        <v>8520.3108839811175</v>
      </c>
      <c r="N82" s="106">
        <v>13</v>
      </c>
      <c r="O82" s="106">
        <v>6614.3999999999987</v>
      </c>
      <c r="P82" s="106">
        <v>20.592339279470892</v>
      </c>
      <c r="Q82" s="106">
        <v>10477.382225394787</v>
      </c>
      <c r="R82" s="106">
        <v>15.847323850047772</v>
      </c>
      <c r="S82" s="106">
        <v>8063.1183749043048</v>
      </c>
      <c r="T82" s="106">
        <v>4</v>
      </c>
      <c r="U82" s="106">
        <v>2035.1999999999996</v>
      </c>
      <c r="V82" s="106">
        <v>6.6127989706797514</v>
      </c>
      <c r="W82" s="106">
        <v>3364.5921162818568</v>
      </c>
      <c r="X82" s="106">
        <v>7.1822782401902501</v>
      </c>
      <c r="Y82" s="106">
        <v>3654.3431686087984</v>
      </c>
      <c r="Z82" s="106">
        <v>7.2376704943016801</v>
      </c>
      <c r="AA82" s="106">
        <v>3682.526747500694</v>
      </c>
      <c r="AB82" s="106">
        <v>9.4935995567867035</v>
      </c>
      <c r="AC82" s="106">
        <v>4830.3434544930742</v>
      </c>
      <c r="AD82" s="106">
        <v>7</v>
      </c>
      <c r="AE82" s="106">
        <v>3561.5999999999995</v>
      </c>
      <c r="AF82" s="106">
        <v>6.6488759925497503</v>
      </c>
      <c r="AG82" s="106">
        <v>3382.9481050093123</v>
      </c>
      <c r="AH82" s="106">
        <v>8.3839349990141638</v>
      </c>
      <c r="AI82" s="106">
        <v>4265.7461274984053</v>
      </c>
      <c r="AJ82" s="106">
        <v>3</v>
      </c>
      <c r="AK82" s="106">
        <v>1526.3999999999996</v>
      </c>
      <c r="AL82" s="106">
        <v>3.327351030420906</v>
      </c>
      <c r="AM82" s="106">
        <v>1692.9562042781565</v>
      </c>
      <c r="AN82" s="106">
        <v>4.4871644296195479</v>
      </c>
      <c r="AO82" s="106">
        <v>2283.0692617904256</v>
      </c>
      <c r="AP82" s="106">
        <v>5</v>
      </c>
      <c r="AQ82" s="106">
        <v>2543.9999999999995</v>
      </c>
      <c r="AR82" s="106">
        <v>38</v>
      </c>
      <c r="AS82" s="106">
        <v>19334.399999999998</v>
      </c>
      <c r="AT82" s="106">
        <v>39.991782276967832</v>
      </c>
      <c r="AU82" s="106">
        <v>20347.818822521229</v>
      </c>
      <c r="AV82" s="106">
        <v>34.823998947414587</v>
      </c>
      <c r="AW82" s="106">
        <v>17718.450664444539</v>
      </c>
      <c r="AX82" s="106">
        <v>30.032777777777778</v>
      </c>
      <c r="AY82" s="106">
        <v>15280.677333333329</v>
      </c>
      <c r="AZ82" s="106">
        <v>52.305682737888773</v>
      </c>
      <c r="BA82" s="106">
        <v>26613.131377037804</v>
      </c>
      <c r="BB82" s="106">
        <v>50</v>
      </c>
      <c r="BC82" s="106">
        <v>25439.999999999996</v>
      </c>
      <c r="BD82" s="106">
        <v>42</v>
      </c>
      <c r="BE82" s="106">
        <v>21369.599999999995</v>
      </c>
      <c r="BF82" s="106">
        <v>67</v>
      </c>
      <c r="BG82" s="106">
        <v>34089.599999999991</v>
      </c>
      <c r="BH82" s="106">
        <v>4</v>
      </c>
      <c r="BI82" s="106">
        <v>2035.1999999999996</v>
      </c>
      <c r="BJ82" s="106">
        <v>7</v>
      </c>
      <c r="BK82" s="106">
        <v>3561.5999999999995</v>
      </c>
      <c r="BL82" s="106">
        <v>4</v>
      </c>
      <c r="BM82" s="106">
        <v>2035.1999999999996</v>
      </c>
      <c r="BN82" s="106">
        <v>5</v>
      </c>
      <c r="BO82" s="106">
        <v>2543.9999999999995</v>
      </c>
      <c r="BP82" s="106">
        <v>6.2357111460386809</v>
      </c>
      <c r="BQ82" s="106">
        <v>3172.7298311044801</v>
      </c>
      <c r="BR82" s="106">
        <v>4.1512493726175022</v>
      </c>
      <c r="BS82" s="106">
        <v>2112.1556807877846</v>
      </c>
      <c r="BT82" s="106">
        <v>3</v>
      </c>
      <c r="BU82" s="106">
        <v>1526.3999999999996</v>
      </c>
      <c r="BV82" s="106">
        <v>5.2418939736559444</v>
      </c>
      <c r="BW82" s="106">
        <v>2667.0756537961438</v>
      </c>
      <c r="BX82" s="106">
        <v>4</v>
      </c>
      <c r="BY82" s="106">
        <v>2035.1999999999996</v>
      </c>
      <c r="BZ82" s="106">
        <v>5.8682343456060204</v>
      </c>
      <c r="CA82" s="106">
        <v>2985.7576350443428</v>
      </c>
      <c r="CB82" s="106">
        <v>4.2897602499528888</v>
      </c>
      <c r="CC82" s="106">
        <v>2182.6300151760292</v>
      </c>
      <c r="CD82" s="106">
        <v>5.3629001840908632</v>
      </c>
      <c r="CE82" s="106">
        <v>2728.6436136654306</v>
      </c>
      <c r="CF82" s="106">
        <v>20.299444444444443</v>
      </c>
      <c r="CG82" s="106">
        <v>10328.357333333332</v>
      </c>
      <c r="CH82" s="106">
        <v>34</v>
      </c>
      <c r="CI82" s="106">
        <v>17299.199999999997</v>
      </c>
      <c r="CJ82" s="106">
        <v>18</v>
      </c>
      <c r="CK82" s="106">
        <v>9158.3999999999978</v>
      </c>
      <c r="CL82" s="106">
        <v>23.293076348269732</v>
      </c>
      <c r="CM82" s="106">
        <v>11851.517245999637</v>
      </c>
      <c r="CN82" s="106">
        <v>3</v>
      </c>
      <c r="CO82" s="106">
        <v>1526.3999999999996</v>
      </c>
      <c r="CP82" s="106">
        <v>3</v>
      </c>
      <c r="CQ82" s="106">
        <v>1526.3999999999996</v>
      </c>
      <c r="CR82" s="106">
        <v>4</v>
      </c>
      <c r="CS82" s="106">
        <v>2035.1999999999996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19.002441780341265</v>
      </c>
      <c r="E83" s="106">
        <v>16349.700907805624</v>
      </c>
      <c r="F83" s="106">
        <v>12</v>
      </c>
      <c r="G83" s="106">
        <v>10324.799999999999</v>
      </c>
      <c r="H83" s="106">
        <v>12.643574712215333</v>
      </c>
      <c r="I83" s="106">
        <v>10878.531682390072</v>
      </c>
      <c r="J83" s="106">
        <v>13</v>
      </c>
      <c r="K83" s="106">
        <v>11185.199999999999</v>
      </c>
      <c r="L83" s="106">
        <v>17.781412796457083</v>
      </c>
      <c r="M83" s="106">
        <v>15299.127570071674</v>
      </c>
      <c r="N83" s="106">
        <v>12</v>
      </c>
      <c r="O83" s="106">
        <v>10324.799999999999</v>
      </c>
      <c r="P83" s="106">
        <v>19.551488294679796</v>
      </c>
      <c r="Q83" s="106">
        <v>16822.100528742496</v>
      </c>
      <c r="R83" s="106">
        <v>13.790835593377921</v>
      </c>
      <c r="S83" s="106">
        <v>11865.634944542362</v>
      </c>
      <c r="T83" s="106">
        <v>4</v>
      </c>
      <c r="U83" s="106">
        <v>3441.6</v>
      </c>
      <c r="V83" s="106">
        <v>5.6406534693470132</v>
      </c>
      <c r="W83" s="106">
        <v>4853.2182450261698</v>
      </c>
      <c r="X83" s="106">
        <v>6.1822782401902501</v>
      </c>
      <c r="Y83" s="106">
        <v>5319.232197859691</v>
      </c>
      <c r="Z83" s="106">
        <v>7.2376704943016801</v>
      </c>
      <c r="AA83" s="106">
        <v>6227.2916932971657</v>
      </c>
      <c r="AB83" s="106">
        <v>8.4935995567867035</v>
      </c>
      <c r="AC83" s="106">
        <v>7307.8930586592796</v>
      </c>
      <c r="AD83" s="106">
        <v>7</v>
      </c>
      <c r="AE83" s="106">
        <v>6022.8</v>
      </c>
      <c r="AF83" s="106">
        <v>6.6488759925497503</v>
      </c>
      <c r="AG83" s="106">
        <v>5720.692903989805</v>
      </c>
      <c r="AH83" s="106">
        <v>8.3839349990141638</v>
      </c>
      <c r="AI83" s="106">
        <v>7213.5376731517863</v>
      </c>
      <c r="AJ83" s="106">
        <v>3</v>
      </c>
      <c r="AK83" s="106">
        <v>2581.1999999999998</v>
      </c>
      <c r="AL83" s="106">
        <v>3.327351030420906</v>
      </c>
      <c r="AM83" s="106">
        <v>2862.8528265741475</v>
      </c>
      <c r="AN83" s="106">
        <v>4.4496902427257359</v>
      </c>
      <c r="AO83" s="106">
        <v>3828.5134848412231</v>
      </c>
      <c r="AP83" s="106">
        <v>6</v>
      </c>
      <c r="AQ83" s="106">
        <v>5162.3999999999996</v>
      </c>
      <c r="AR83" s="106">
        <v>38</v>
      </c>
      <c r="AS83" s="106">
        <v>32695.200000000001</v>
      </c>
      <c r="AT83" s="106">
        <v>41.235673984351649</v>
      </c>
      <c r="AU83" s="106">
        <v>35479.173896136155</v>
      </c>
      <c r="AV83" s="106">
        <v>28.810490767948775</v>
      </c>
      <c r="AW83" s="106">
        <v>24788.546256743124</v>
      </c>
      <c r="AX83" s="106">
        <v>30.021302469135801</v>
      </c>
      <c r="AY83" s="106">
        <v>25830.328644444442</v>
      </c>
      <c r="AZ83" s="106">
        <v>53.271717989234467</v>
      </c>
      <c r="BA83" s="106">
        <v>45834.986157937332</v>
      </c>
      <c r="BB83" s="106">
        <v>52.233273583646387</v>
      </c>
      <c r="BC83" s="106">
        <v>44941.508591369347</v>
      </c>
      <c r="BD83" s="106">
        <v>41</v>
      </c>
      <c r="BE83" s="106">
        <v>35276.400000000001</v>
      </c>
      <c r="BF83" s="106">
        <v>63</v>
      </c>
      <c r="BG83" s="106">
        <v>54205.2</v>
      </c>
      <c r="BH83" s="106">
        <v>3</v>
      </c>
      <c r="BI83" s="106">
        <v>2581.1999999999998</v>
      </c>
      <c r="BJ83" s="106">
        <v>7</v>
      </c>
      <c r="BK83" s="106">
        <v>6022.8</v>
      </c>
      <c r="BL83" s="106">
        <v>4</v>
      </c>
      <c r="BM83" s="106">
        <v>3441.6</v>
      </c>
      <c r="BN83" s="106">
        <v>4</v>
      </c>
      <c r="BO83" s="106">
        <v>3441.6</v>
      </c>
      <c r="BP83" s="106">
        <v>5.2160685505354571</v>
      </c>
      <c r="BQ83" s="106">
        <v>4487.9053808807075</v>
      </c>
      <c r="BR83" s="106">
        <v>4.1728564258485736</v>
      </c>
      <c r="BS83" s="106">
        <v>3590.3256688001125</v>
      </c>
      <c r="BT83" s="106">
        <v>3</v>
      </c>
      <c r="BU83" s="106">
        <v>2581.1999999999998</v>
      </c>
      <c r="BV83" s="106">
        <v>5.2217361425179494</v>
      </c>
      <c r="BW83" s="106">
        <v>4492.7817770224437</v>
      </c>
      <c r="BX83" s="106">
        <v>4</v>
      </c>
      <c r="BY83" s="106">
        <v>3441.6</v>
      </c>
      <c r="BZ83" s="106">
        <v>5.7103735554958348</v>
      </c>
      <c r="CA83" s="106">
        <v>4913.2054071486164</v>
      </c>
      <c r="CB83" s="106">
        <v>4.2897602499528888</v>
      </c>
      <c r="CC83" s="106">
        <v>3690.9097190594653</v>
      </c>
      <c r="CD83" s="106">
        <v>5.3299092582644212</v>
      </c>
      <c r="CE83" s="106">
        <v>4585.8539258107076</v>
      </c>
      <c r="CF83" s="106">
        <v>19.329388888888889</v>
      </c>
      <c r="CG83" s="106">
        <v>16631.0062</v>
      </c>
      <c r="CH83" s="106">
        <v>32</v>
      </c>
      <c r="CI83" s="106">
        <v>27532.799999999999</v>
      </c>
      <c r="CJ83" s="106">
        <v>16</v>
      </c>
      <c r="CK83" s="106">
        <v>13766.4</v>
      </c>
      <c r="CL83" s="106">
        <v>26.260512309573095</v>
      </c>
      <c r="CM83" s="106">
        <v>22594.544791156692</v>
      </c>
      <c r="CN83" s="106">
        <v>3</v>
      </c>
      <c r="CO83" s="106">
        <v>2581.1999999999998</v>
      </c>
      <c r="CP83" s="106">
        <v>3</v>
      </c>
      <c r="CQ83" s="106">
        <v>2581.1999999999998</v>
      </c>
      <c r="CR83" s="106">
        <v>4</v>
      </c>
      <c r="CS83" s="106">
        <v>3441.6</v>
      </c>
      <c r="CT83" s="106">
        <v>4</v>
      </c>
      <c r="CU83" s="106">
        <v>3441.6</v>
      </c>
    </row>
    <row r="84" spans="2:99" x14ac:dyDescent="0.2">
      <c r="C84" s="105" t="s">
        <v>250</v>
      </c>
      <c r="D84" s="106">
        <v>20.954706457467871</v>
      </c>
      <c r="E84" s="106">
        <v>16369.8166845739</v>
      </c>
      <c r="F84" s="106">
        <v>11</v>
      </c>
      <c r="G84" s="106">
        <v>8593.1999999999989</v>
      </c>
      <c r="H84" s="106">
        <v>13.575830005666351</v>
      </c>
      <c r="I84" s="106">
        <v>10605.438400426552</v>
      </c>
      <c r="J84" s="106">
        <v>13</v>
      </c>
      <c r="K84" s="106">
        <v>10155.599999999999</v>
      </c>
      <c r="L84" s="106">
        <v>17.816931559932407</v>
      </c>
      <c r="M84" s="106">
        <v>13918.586934619194</v>
      </c>
      <c r="N84" s="106">
        <v>14</v>
      </c>
      <c r="O84" s="106">
        <v>10936.8</v>
      </c>
      <c r="P84" s="106">
        <v>18.571913787075346</v>
      </c>
      <c r="Q84" s="106">
        <v>14508.379050463258</v>
      </c>
      <c r="R84" s="106">
        <v>15.819079721712846</v>
      </c>
      <c r="S84" s="106">
        <v>12357.865078602075</v>
      </c>
      <c r="T84" s="106">
        <v>5</v>
      </c>
      <c r="U84" s="106">
        <v>3905.9999999999995</v>
      </c>
      <c r="V84" s="106">
        <v>5.5849444720124906</v>
      </c>
      <c r="W84" s="106">
        <v>4362.9586215361569</v>
      </c>
      <c r="X84" s="106">
        <v>7.1682568370986921</v>
      </c>
      <c r="Y84" s="106">
        <v>5599.8422411414977</v>
      </c>
      <c r="Z84" s="106">
        <v>7.2206940304229885</v>
      </c>
      <c r="AA84" s="106">
        <v>5640.8061765664379</v>
      </c>
      <c r="AB84" s="106">
        <v>8.4935995567867035</v>
      </c>
      <c r="AC84" s="106">
        <v>6635.1999737617725</v>
      </c>
      <c r="AD84" s="106">
        <v>6</v>
      </c>
      <c r="AE84" s="106">
        <v>4687.2</v>
      </c>
      <c r="AF84" s="106">
        <v>6.6488759925497503</v>
      </c>
      <c r="AG84" s="106">
        <v>5194.101925379864</v>
      </c>
      <c r="AH84" s="106">
        <v>7.4223284989155802</v>
      </c>
      <c r="AI84" s="106">
        <v>5798.3230233528511</v>
      </c>
      <c r="AJ84" s="106">
        <v>3</v>
      </c>
      <c r="AK84" s="106">
        <v>2343.6</v>
      </c>
      <c r="AL84" s="106">
        <v>3.2864321516182926</v>
      </c>
      <c r="AM84" s="106">
        <v>2567.3607968442097</v>
      </c>
      <c r="AN84" s="106">
        <v>4.524638616513359</v>
      </c>
      <c r="AO84" s="106">
        <v>3534.6476872202356</v>
      </c>
      <c r="AP84" s="106">
        <v>6</v>
      </c>
      <c r="AQ84" s="106">
        <v>4687.2</v>
      </c>
      <c r="AR84" s="106">
        <v>38</v>
      </c>
      <c r="AS84" s="106">
        <v>29685.599999999999</v>
      </c>
      <c r="AT84" s="106">
        <v>40.052755203813788</v>
      </c>
      <c r="AU84" s="106">
        <v>31289.21236521933</v>
      </c>
      <c r="AV84" s="106">
        <v>32.729441691153895</v>
      </c>
      <c r="AW84" s="106">
        <v>25568.239849129419</v>
      </c>
      <c r="AX84" s="106">
        <v>28.009827160493828</v>
      </c>
      <c r="AY84" s="106">
        <v>21881.276977777776</v>
      </c>
      <c r="AZ84" s="106">
        <v>52.305682737888773</v>
      </c>
      <c r="BA84" s="106">
        <v>40861.199354838704</v>
      </c>
      <c r="BB84" s="106">
        <v>53</v>
      </c>
      <c r="BC84" s="106">
        <v>41403.599999999999</v>
      </c>
      <c r="BD84" s="106">
        <v>44.285168813819126</v>
      </c>
      <c r="BE84" s="106">
        <v>34595.573877355499</v>
      </c>
      <c r="BF84" s="106">
        <v>65.298868882733146</v>
      </c>
      <c r="BG84" s="106">
        <v>51011.476371191129</v>
      </c>
      <c r="BH84" s="106">
        <v>3</v>
      </c>
      <c r="BI84" s="106">
        <v>2343.6</v>
      </c>
      <c r="BJ84" s="106">
        <v>7</v>
      </c>
      <c r="BK84" s="106">
        <v>5468.4</v>
      </c>
      <c r="BL84" s="106">
        <v>3</v>
      </c>
      <c r="BM84" s="106">
        <v>2343.6</v>
      </c>
      <c r="BN84" s="106">
        <v>5</v>
      </c>
      <c r="BO84" s="106">
        <v>3905.9999999999995</v>
      </c>
      <c r="BP84" s="106">
        <v>5.2160685505354571</v>
      </c>
      <c r="BQ84" s="106">
        <v>4074.7927516782988</v>
      </c>
      <c r="BR84" s="106">
        <v>4.1944634790796451</v>
      </c>
      <c r="BS84" s="106">
        <v>3276.7148698570186</v>
      </c>
      <c r="BT84" s="106">
        <v>3</v>
      </c>
      <c r="BU84" s="106">
        <v>2343.6</v>
      </c>
      <c r="BV84" s="106">
        <v>5.2015783113799534</v>
      </c>
      <c r="BW84" s="106">
        <v>4063.4729768500192</v>
      </c>
      <c r="BX84" s="106">
        <v>4</v>
      </c>
      <c r="BY84" s="106">
        <v>3124.7999999999997</v>
      </c>
      <c r="BZ84" s="106">
        <v>5.7893039505509272</v>
      </c>
      <c r="CA84" s="106">
        <v>4522.6042461703837</v>
      </c>
      <c r="CB84" s="106">
        <v>4.3120494999492642</v>
      </c>
      <c r="CC84" s="106">
        <v>3368.573069360365</v>
      </c>
      <c r="CD84" s="106">
        <v>5.2969183324379792</v>
      </c>
      <c r="CE84" s="106">
        <v>4137.9526013005488</v>
      </c>
      <c r="CF84" s="106">
        <v>18.329388888888889</v>
      </c>
      <c r="CG84" s="106">
        <v>14318.918599999999</v>
      </c>
      <c r="CH84" s="106">
        <v>32</v>
      </c>
      <c r="CI84" s="106">
        <v>24998.399999999998</v>
      </c>
      <c r="CJ84" s="106">
        <v>15</v>
      </c>
      <c r="CK84" s="106">
        <v>11717.999999999998</v>
      </c>
      <c r="CL84" s="106">
        <v>23.260512309573095</v>
      </c>
      <c r="CM84" s="106">
        <v>18171.1122162385</v>
      </c>
      <c r="CN84" s="106">
        <v>3</v>
      </c>
      <c r="CO84" s="106">
        <v>2343.6</v>
      </c>
      <c r="CP84" s="106">
        <v>3</v>
      </c>
      <c r="CQ84" s="106">
        <v>2343.6</v>
      </c>
      <c r="CR84" s="106">
        <v>4</v>
      </c>
      <c r="CS84" s="106">
        <v>3124.7999999999997</v>
      </c>
      <c r="CT84" s="106">
        <v>4</v>
      </c>
      <c r="CU84" s="106">
        <v>3124.7999999999997</v>
      </c>
    </row>
    <row r="85" spans="2:99" x14ac:dyDescent="0.2">
      <c r="C85" s="105" t="s">
        <v>251</v>
      </c>
      <c r="D85" s="106">
        <v>23.241118394708234</v>
      </c>
      <c r="E85" s="106">
        <v>3486.1677592062351</v>
      </c>
      <c r="F85" s="106">
        <v>12</v>
      </c>
      <c r="G85" s="106">
        <v>1800</v>
      </c>
      <c r="H85" s="106">
        <v>14.677447065489824</v>
      </c>
      <c r="I85" s="106">
        <v>2201.6170598234735</v>
      </c>
      <c r="J85" s="106">
        <v>14</v>
      </c>
      <c r="K85" s="106">
        <v>2100</v>
      </c>
      <c r="L85" s="106">
        <v>17</v>
      </c>
      <c r="M85" s="106">
        <v>2550</v>
      </c>
      <c r="N85" s="106">
        <v>16</v>
      </c>
      <c r="O85" s="106">
        <v>2400</v>
      </c>
      <c r="P85" s="106">
        <v>21.612764771866441</v>
      </c>
      <c r="Q85" s="106">
        <v>3241.9147157799662</v>
      </c>
      <c r="R85" s="106">
        <v>14.819079721712846</v>
      </c>
      <c r="S85" s="106">
        <v>2222.8619582569268</v>
      </c>
      <c r="T85" s="106">
        <v>4</v>
      </c>
      <c r="U85" s="106">
        <v>600</v>
      </c>
      <c r="V85" s="106">
        <v>5.6963624666815358</v>
      </c>
      <c r="W85" s="106">
        <v>854.45437000223035</v>
      </c>
      <c r="X85" s="106">
        <v>7.1682568370986921</v>
      </c>
      <c r="Y85" s="106">
        <v>1075.2385255648039</v>
      </c>
      <c r="Z85" s="106">
        <v>7.2376704943016801</v>
      </c>
      <c r="AA85" s="106">
        <v>1085.650574145252</v>
      </c>
      <c r="AB85" s="106">
        <v>9.4935995567867035</v>
      </c>
      <c r="AC85" s="106">
        <v>1424.0399335180055</v>
      </c>
      <c r="AD85" s="106">
        <v>7</v>
      </c>
      <c r="AE85" s="106">
        <v>1050</v>
      </c>
      <c r="AF85" s="106">
        <v>7.5989624546613079</v>
      </c>
      <c r="AG85" s="106">
        <v>1139.8443681991962</v>
      </c>
      <c r="AH85" s="106">
        <v>9.4223284989155811</v>
      </c>
      <c r="AI85" s="106">
        <v>1413.3492748373371</v>
      </c>
      <c r="AJ85" s="106">
        <v>3</v>
      </c>
      <c r="AK85" s="106">
        <v>450</v>
      </c>
      <c r="AL85" s="106">
        <v>3.3068915910195993</v>
      </c>
      <c r="AM85" s="106">
        <v>496.03373865293992</v>
      </c>
      <c r="AN85" s="106">
        <v>4.524638616513359</v>
      </c>
      <c r="AO85" s="106">
        <v>678.69579247700381</v>
      </c>
      <c r="AP85" s="106">
        <v>7</v>
      </c>
      <c r="AQ85" s="106">
        <v>1050</v>
      </c>
      <c r="AR85" s="106">
        <v>38</v>
      </c>
      <c r="AS85" s="106">
        <v>5700</v>
      </c>
      <c r="AT85" s="106">
        <v>46.296646911197605</v>
      </c>
      <c r="AU85" s="106">
        <v>6944.4970366796406</v>
      </c>
      <c r="AV85" s="106">
        <v>34.823998947414587</v>
      </c>
      <c r="AW85" s="106">
        <v>5223.5998421121885</v>
      </c>
      <c r="AX85" s="106">
        <v>36.090154320987651</v>
      </c>
      <c r="AY85" s="106">
        <v>5413.5231481481478</v>
      </c>
      <c r="AZ85" s="106">
        <v>59.305682737888773</v>
      </c>
      <c r="BA85" s="106">
        <v>8895.8524106833156</v>
      </c>
      <c r="BB85" s="106">
        <v>57</v>
      </c>
      <c r="BC85" s="106">
        <v>8550</v>
      </c>
      <c r="BD85" s="106">
        <v>46</v>
      </c>
      <c r="BE85" s="106">
        <v>6900</v>
      </c>
      <c r="BF85" s="106">
        <v>67.298868882733146</v>
      </c>
      <c r="BG85" s="106">
        <v>10094.830332409972</v>
      </c>
      <c r="BH85" s="106">
        <v>4</v>
      </c>
      <c r="BI85" s="106">
        <v>600</v>
      </c>
      <c r="BJ85" s="106">
        <v>6</v>
      </c>
      <c r="BK85" s="106">
        <v>900</v>
      </c>
      <c r="BL85" s="106">
        <v>3</v>
      </c>
      <c r="BM85" s="106">
        <v>450</v>
      </c>
      <c r="BN85" s="106">
        <v>5</v>
      </c>
      <c r="BO85" s="106">
        <v>750</v>
      </c>
      <c r="BP85" s="106">
        <v>5.2160685505354571</v>
      </c>
      <c r="BQ85" s="106">
        <v>782.41028258031861</v>
      </c>
      <c r="BR85" s="106">
        <v>4.1944634790796451</v>
      </c>
      <c r="BS85" s="106">
        <v>629.16952186194681</v>
      </c>
      <c r="BT85" s="106">
        <v>3</v>
      </c>
      <c r="BU85" s="106">
        <v>450</v>
      </c>
      <c r="BV85" s="106">
        <v>5.2620518047939395</v>
      </c>
      <c r="BW85" s="106">
        <v>789.30777071909097</v>
      </c>
      <c r="BX85" s="106">
        <v>4</v>
      </c>
      <c r="BY85" s="106">
        <v>600</v>
      </c>
      <c r="BZ85" s="106">
        <v>5.7893039505509272</v>
      </c>
      <c r="CA85" s="106">
        <v>868.3955925826391</v>
      </c>
      <c r="CB85" s="106">
        <v>4.3343387499456405</v>
      </c>
      <c r="CC85" s="106">
        <v>650.15081249184607</v>
      </c>
      <c r="CD85" s="106">
        <v>5.3793956470040847</v>
      </c>
      <c r="CE85" s="106">
        <v>806.90934705061272</v>
      </c>
      <c r="CF85" s="106">
        <v>22.359333333333332</v>
      </c>
      <c r="CG85" s="106">
        <v>3353.8999999999996</v>
      </c>
      <c r="CH85" s="106">
        <v>31</v>
      </c>
      <c r="CI85" s="106">
        <v>4650</v>
      </c>
      <c r="CJ85" s="106">
        <v>17</v>
      </c>
      <c r="CK85" s="106">
        <v>2550</v>
      </c>
      <c r="CL85" s="106">
        <v>28.293076348269732</v>
      </c>
      <c r="CM85" s="106">
        <v>4243.9614522404599</v>
      </c>
      <c r="CN85" s="106">
        <v>3</v>
      </c>
      <c r="CO85" s="106">
        <v>450</v>
      </c>
      <c r="CP85" s="106">
        <v>4</v>
      </c>
      <c r="CQ85" s="106">
        <v>600</v>
      </c>
      <c r="CR85" s="106">
        <v>4</v>
      </c>
      <c r="CS85" s="106">
        <v>600</v>
      </c>
      <c r="CT85" s="106">
        <v>4</v>
      </c>
      <c r="CU85" s="106">
        <v>600</v>
      </c>
    </row>
    <row r="86" spans="2:99" x14ac:dyDescent="0.2">
      <c r="C86" s="105" t="s">
        <v>252</v>
      </c>
      <c r="D86" s="106">
        <v>22.193383071834841</v>
      </c>
      <c r="E86" s="106">
        <v>11984.426858790814</v>
      </c>
      <c r="F86" s="106">
        <v>11</v>
      </c>
      <c r="G86" s="106">
        <v>5940</v>
      </c>
      <c r="H86" s="106">
        <v>12.643574712215333</v>
      </c>
      <c r="I86" s="106">
        <v>6827.53034459628</v>
      </c>
      <c r="J86" s="106">
        <v>12</v>
      </c>
      <c r="K86" s="106">
        <v>6480</v>
      </c>
      <c r="L86" s="106">
        <v>17</v>
      </c>
      <c r="M86" s="106">
        <v>9180</v>
      </c>
      <c r="N86" s="106">
        <v>13</v>
      </c>
      <c r="O86" s="106">
        <v>7020</v>
      </c>
      <c r="P86" s="106">
        <v>20.571913787075346</v>
      </c>
      <c r="Q86" s="106">
        <v>11108.833445020686</v>
      </c>
      <c r="R86" s="106">
        <v>15.790835593377921</v>
      </c>
      <c r="S86" s="106">
        <v>8527.0512204240767</v>
      </c>
      <c r="T86" s="106">
        <v>4</v>
      </c>
      <c r="U86" s="106">
        <v>2160</v>
      </c>
      <c r="V86" s="106">
        <v>5.6127989706797514</v>
      </c>
      <c r="W86" s="106">
        <v>3030.9114441670658</v>
      </c>
      <c r="X86" s="106">
        <v>7.1962996432818072</v>
      </c>
      <c r="Y86" s="106">
        <v>3886.0018073721758</v>
      </c>
      <c r="Z86" s="106">
        <v>6.2376704943016801</v>
      </c>
      <c r="AA86" s="106">
        <v>3368.3420669229072</v>
      </c>
      <c r="AB86" s="106">
        <v>8.5315687534626043</v>
      </c>
      <c r="AC86" s="106">
        <v>4607.0471268698066</v>
      </c>
      <c r="AD86" s="106">
        <v>7</v>
      </c>
      <c r="AE86" s="106">
        <v>3780</v>
      </c>
      <c r="AF86" s="106">
        <v>7.5989624546613079</v>
      </c>
      <c r="AG86" s="106">
        <v>4103.4397255171061</v>
      </c>
      <c r="AH86" s="106">
        <v>8.3839349990141638</v>
      </c>
      <c r="AI86" s="106">
        <v>4527.3248994676487</v>
      </c>
      <c r="AJ86" s="106">
        <v>3</v>
      </c>
      <c r="AK86" s="106">
        <v>1620</v>
      </c>
      <c r="AL86" s="106">
        <v>3.3478104698222126</v>
      </c>
      <c r="AM86" s="106">
        <v>1807.8176537039949</v>
      </c>
      <c r="AN86" s="106">
        <v>4.524638616513359</v>
      </c>
      <c r="AO86" s="106">
        <v>2443.3048529172138</v>
      </c>
      <c r="AP86" s="106">
        <v>6</v>
      </c>
      <c r="AQ86" s="106">
        <v>3240</v>
      </c>
      <c r="AR86" s="106">
        <v>35</v>
      </c>
      <c r="AS86" s="106">
        <v>18900</v>
      </c>
      <c r="AT86" s="106">
        <v>39.032430894865136</v>
      </c>
      <c r="AU86" s="106">
        <v>21077.512683227174</v>
      </c>
      <c r="AV86" s="106">
        <v>34.905048024209464</v>
      </c>
      <c r="AW86" s="106">
        <v>18848.72593307311</v>
      </c>
      <c r="AX86" s="106">
        <v>30.044253086419754</v>
      </c>
      <c r="AY86" s="106">
        <v>16223.896666666667</v>
      </c>
      <c r="AZ86" s="106">
        <v>51.271717989234467</v>
      </c>
      <c r="BA86" s="106">
        <v>27686.727714186611</v>
      </c>
      <c r="BB86" s="106">
        <v>55</v>
      </c>
      <c r="BC86" s="106">
        <v>29700</v>
      </c>
      <c r="BD86" s="106">
        <v>40</v>
      </c>
      <c r="BE86" s="106">
        <v>21600</v>
      </c>
      <c r="BF86" s="106">
        <v>64.298868882733146</v>
      </c>
      <c r="BG86" s="106">
        <v>34721.389196675897</v>
      </c>
      <c r="BH86" s="106">
        <v>4</v>
      </c>
      <c r="BI86" s="106">
        <v>2160</v>
      </c>
      <c r="BJ86" s="106">
        <v>6</v>
      </c>
      <c r="BK86" s="106">
        <v>3240</v>
      </c>
      <c r="BL86" s="106">
        <v>3</v>
      </c>
      <c r="BM86" s="106">
        <v>1620</v>
      </c>
      <c r="BN86" s="106">
        <v>5</v>
      </c>
      <c r="BO86" s="106">
        <v>2700</v>
      </c>
      <c r="BP86" s="106">
        <v>6.2160685505354571</v>
      </c>
      <c r="BQ86" s="106">
        <v>3356.677017289147</v>
      </c>
      <c r="BR86" s="106">
        <v>4.1728564258485736</v>
      </c>
      <c r="BS86" s="106">
        <v>2253.3424699582297</v>
      </c>
      <c r="BT86" s="106">
        <v>3</v>
      </c>
      <c r="BU86" s="106">
        <v>1620</v>
      </c>
      <c r="BV86" s="106">
        <v>5.2217361425179494</v>
      </c>
      <c r="BW86" s="106">
        <v>2819.7375169596926</v>
      </c>
      <c r="BX86" s="106">
        <v>4</v>
      </c>
      <c r="BY86" s="106">
        <v>2160</v>
      </c>
      <c r="BZ86" s="106">
        <v>5.749838753023381</v>
      </c>
      <c r="CA86" s="106">
        <v>3104.9129266326258</v>
      </c>
      <c r="CB86" s="106">
        <v>5.3120494999492642</v>
      </c>
      <c r="CC86" s="106">
        <v>2868.5067299726029</v>
      </c>
      <c r="CD86" s="106">
        <v>5.3134137953511997</v>
      </c>
      <c r="CE86" s="106">
        <v>2869.2434494896479</v>
      </c>
      <c r="CF86" s="106">
        <v>21.359333333333332</v>
      </c>
      <c r="CG86" s="106">
        <v>11534.039999999999</v>
      </c>
      <c r="CH86" s="106">
        <v>30</v>
      </c>
      <c r="CI86" s="106">
        <v>16200</v>
      </c>
      <c r="CJ86" s="106">
        <v>19</v>
      </c>
      <c r="CK86" s="106">
        <v>10260</v>
      </c>
      <c r="CL86" s="106">
        <v>26.293076348269732</v>
      </c>
      <c r="CM86" s="106">
        <v>14198.261228065656</v>
      </c>
      <c r="CN86" s="106">
        <v>3</v>
      </c>
      <c r="CO86" s="106">
        <v>1620</v>
      </c>
      <c r="CP86" s="106">
        <v>4</v>
      </c>
      <c r="CQ86" s="106">
        <v>2160</v>
      </c>
      <c r="CR86" s="106">
        <v>4</v>
      </c>
      <c r="CS86" s="106">
        <v>2160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4</v>
      </c>
      <c r="G87" s="106">
        <v>7819.2</v>
      </c>
      <c r="H87" s="106">
        <v>4.2709788261959298</v>
      </c>
      <c r="I87" s="106">
        <v>8348.9094094478041</v>
      </c>
      <c r="J87" s="106">
        <v>6</v>
      </c>
      <c r="K87" s="106">
        <v>11728.8</v>
      </c>
      <c r="L87" s="106">
        <v>5</v>
      </c>
      <c r="M87" s="106">
        <v>9774</v>
      </c>
      <c r="N87" s="106">
        <v>10</v>
      </c>
      <c r="O87" s="106">
        <v>19548</v>
      </c>
      <c r="P87" s="106">
        <v>8.7761687110308255</v>
      </c>
      <c r="Q87" s="106">
        <v>17155.654596323056</v>
      </c>
      <c r="R87" s="106">
        <v>8</v>
      </c>
      <c r="S87" s="106">
        <v>15638.4</v>
      </c>
      <c r="T87" s="106">
        <v>7</v>
      </c>
      <c r="U87" s="106">
        <v>13683.6</v>
      </c>
      <c r="V87" s="106">
        <v>5</v>
      </c>
      <c r="W87" s="106">
        <v>9774</v>
      </c>
      <c r="X87" s="106">
        <v>5.8833483947681335</v>
      </c>
      <c r="Y87" s="106">
        <v>11500.769442092747</v>
      </c>
      <c r="Z87" s="106">
        <v>10.035564296600178</v>
      </c>
      <c r="AA87" s="106">
        <v>19617.521086994027</v>
      </c>
      <c r="AB87" s="106">
        <v>20.797353130193905</v>
      </c>
      <c r="AC87" s="106">
        <v>40654.665898903047</v>
      </c>
      <c r="AD87" s="106">
        <v>12</v>
      </c>
      <c r="AE87" s="106">
        <v>23457.599999999999</v>
      </c>
      <c r="AF87" s="106">
        <v>20.748703068326634</v>
      </c>
      <c r="AG87" s="106">
        <v>40559.564757964901</v>
      </c>
      <c r="AH87" s="106">
        <v>15.806263497929745</v>
      </c>
      <c r="AI87" s="106">
        <v>30898.083885753065</v>
      </c>
      <c r="AJ87" s="106">
        <v>2</v>
      </c>
      <c r="AK87" s="106">
        <v>3909.6</v>
      </c>
      <c r="AL87" s="106">
        <v>4.8797558942561849</v>
      </c>
      <c r="AM87" s="106">
        <v>9538.9468220919898</v>
      </c>
      <c r="AN87" s="106">
        <v>2</v>
      </c>
      <c r="AO87" s="106">
        <v>3909.6</v>
      </c>
      <c r="AP87" s="106">
        <v>3</v>
      </c>
      <c r="AQ87" s="106">
        <v>5864.4</v>
      </c>
      <c r="AR87" s="106">
        <v>36</v>
      </c>
      <c r="AS87" s="106">
        <v>70372.800000000003</v>
      </c>
      <c r="AT87" s="106">
        <v>31.182918780537861</v>
      </c>
      <c r="AU87" s="106">
        <v>60956.369632195412</v>
      </c>
      <c r="AV87" s="106">
        <v>23.202622691987195</v>
      </c>
      <c r="AW87" s="106">
        <v>45356.486838296565</v>
      </c>
      <c r="AX87" s="106">
        <v>28.160654320987653</v>
      </c>
      <c r="AY87" s="106">
        <v>55048.44706666666</v>
      </c>
      <c r="AZ87" s="106">
        <v>30</v>
      </c>
      <c r="BA87" s="106">
        <v>58644</v>
      </c>
      <c r="BB87" s="106">
        <v>35</v>
      </c>
      <c r="BC87" s="106">
        <v>68418</v>
      </c>
      <c r="BD87" s="106">
        <v>24.665393898911301</v>
      </c>
      <c r="BE87" s="106">
        <v>48215.911993591813</v>
      </c>
      <c r="BF87" s="106">
        <v>40</v>
      </c>
      <c r="BG87" s="106">
        <v>78192</v>
      </c>
      <c r="BH87" s="106">
        <v>4.3571138706273844</v>
      </c>
      <c r="BI87" s="106">
        <v>8517.2861943024109</v>
      </c>
      <c r="BJ87" s="106">
        <v>4.569914574577072</v>
      </c>
      <c r="BK87" s="106">
        <v>8933.2690103832592</v>
      </c>
      <c r="BL87" s="106">
        <v>4.5136197829435041</v>
      </c>
      <c r="BM87" s="106">
        <v>8823.2239516979607</v>
      </c>
      <c r="BN87" s="106">
        <v>4.3282466895368996</v>
      </c>
      <c r="BO87" s="106">
        <v>8460.8566287067315</v>
      </c>
      <c r="BP87" s="106">
        <v>18.805346415632158</v>
      </c>
      <c r="BQ87" s="106">
        <v>36760.691173277744</v>
      </c>
      <c r="BR87" s="106">
        <v>14.296423193864303</v>
      </c>
      <c r="BS87" s="106">
        <v>27946.64805936594</v>
      </c>
      <c r="BT87" s="106">
        <v>15</v>
      </c>
      <c r="BU87" s="106">
        <v>29322</v>
      </c>
      <c r="BV87" s="106">
        <v>16.947418063485781</v>
      </c>
      <c r="BW87" s="106">
        <v>33128.812830502007</v>
      </c>
      <c r="BX87" s="106">
        <v>6</v>
      </c>
      <c r="BY87" s="106">
        <v>11728.8</v>
      </c>
      <c r="BZ87" s="106">
        <v>5.6709083579682877</v>
      </c>
      <c r="CA87" s="106">
        <v>11085.491658156408</v>
      </c>
      <c r="CB87" s="106">
        <v>6.378917249938393</v>
      </c>
      <c r="CC87" s="106">
        <v>12469.50744017957</v>
      </c>
      <c r="CD87" s="106">
        <v>9.2309364807850951</v>
      </c>
      <c r="CE87" s="106">
        <v>18044.634632638703</v>
      </c>
      <c r="CF87" s="106">
        <v>11</v>
      </c>
      <c r="CG87" s="106">
        <v>21502.799999999999</v>
      </c>
      <c r="CH87" s="106">
        <v>8</v>
      </c>
      <c r="CI87" s="106">
        <v>15638.4</v>
      </c>
      <c r="CJ87" s="106">
        <v>6</v>
      </c>
      <c r="CK87" s="106">
        <v>11728.8</v>
      </c>
      <c r="CL87" s="106">
        <v>11</v>
      </c>
      <c r="CM87" s="106">
        <v>21502.799999999999</v>
      </c>
      <c r="CN87" s="106">
        <v>16</v>
      </c>
      <c r="CO87" s="106">
        <v>31276.799999999999</v>
      </c>
      <c r="CP87" s="106">
        <v>22</v>
      </c>
      <c r="CQ87" s="106">
        <v>43005.599999999999</v>
      </c>
      <c r="CR87" s="106">
        <v>23</v>
      </c>
      <c r="CS87" s="106">
        <v>44960.4</v>
      </c>
      <c r="CT87" s="106">
        <v>21</v>
      </c>
      <c r="CU87" s="106">
        <v>41050.799999999996</v>
      </c>
    </row>
    <row r="88" spans="2:99" x14ac:dyDescent="0.2">
      <c r="C88" s="105" t="s">
        <v>254</v>
      </c>
      <c r="D88" s="106">
        <v>5</v>
      </c>
      <c r="E88" s="106">
        <v>9462</v>
      </c>
      <c r="F88" s="106">
        <v>4</v>
      </c>
      <c r="G88" s="106">
        <v>7569.5999999999995</v>
      </c>
      <c r="H88" s="106">
        <v>4.304851179470421</v>
      </c>
      <c r="I88" s="106">
        <v>8146.5003720298237</v>
      </c>
      <c r="J88" s="106">
        <v>6</v>
      </c>
      <c r="K88" s="106">
        <v>11354.4</v>
      </c>
      <c r="L88" s="106">
        <v>5</v>
      </c>
      <c r="M88" s="106">
        <v>9462</v>
      </c>
      <c r="N88" s="106">
        <v>9</v>
      </c>
      <c r="O88" s="106">
        <v>17031.599999999999</v>
      </c>
      <c r="P88" s="106">
        <v>9.7148922338441821</v>
      </c>
      <c r="Q88" s="106">
        <v>18384.46206332673</v>
      </c>
      <c r="R88" s="106">
        <v>7</v>
      </c>
      <c r="S88" s="106">
        <v>13246.8</v>
      </c>
      <c r="T88" s="106">
        <v>6</v>
      </c>
      <c r="U88" s="106">
        <v>11354.4</v>
      </c>
      <c r="V88" s="106">
        <v>5</v>
      </c>
      <c r="W88" s="106">
        <v>9462</v>
      </c>
      <c r="X88" s="106">
        <v>5.9674768133174796</v>
      </c>
      <c r="Y88" s="106">
        <v>11292.853121521997</v>
      </c>
      <c r="Z88" s="106">
        <v>10.035564296600178</v>
      </c>
      <c r="AA88" s="106">
        <v>18991.301874886176</v>
      </c>
      <c r="AB88" s="106">
        <v>18.759383933518006</v>
      </c>
      <c r="AC88" s="106">
        <v>35500.258155789474</v>
      </c>
      <c r="AD88" s="106">
        <v>13</v>
      </c>
      <c r="AE88" s="106">
        <v>24601.199999999997</v>
      </c>
      <c r="AF88" s="106">
        <v>18</v>
      </c>
      <c r="AG88" s="106">
        <v>34063.199999999997</v>
      </c>
      <c r="AH88" s="106">
        <v>14.921443997633993</v>
      </c>
      <c r="AI88" s="106">
        <v>28237.340621122567</v>
      </c>
      <c r="AJ88" s="106">
        <v>2</v>
      </c>
      <c r="AK88" s="106">
        <v>3784.7999999999997</v>
      </c>
      <c r="AL88" s="106">
        <v>4.8183775760522654</v>
      </c>
      <c r="AM88" s="106">
        <v>9118.2977249213054</v>
      </c>
      <c r="AN88" s="106">
        <v>2</v>
      </c>
      <c r="AO88" s="106">
        <v>3784.7999999999997</v>
      </c>
      <c r="AP88" s="106">
        <v>3</v>
      </c>
      <c r="AQ88" s="106">
        <v>5677.2</v>
      </c>
      <c r="AR88" s="106">
        <v>36</v>
      </c>
      <c r="AS88" s="106">
        <v>68126.399999999994</v>
      </c>
      <c r="AT88" s="106">
        <v>30.182918780537861</v>
      </c>
      <c r="AU88" s="106">
        <v>57118.155500289846</v>
      </c>
      <c r="AV88" s="106">
        <v>22.202622691987195</v>
      </c>
      <c r="AW88" s="106">
        <v>42016.243182316561</v>
      </c>
      <c r="AX88" s="106">
        <v>30.160654320987653</v>
      </c>
      <c r="AY88" s="106">
        <v>57076.022237037032</v>
      </c>
      <c r="AZ88" s="106">
        <v>29</v>
      </c>
      <c r="BA88" s="106">
        <v>54879.6</v>
      </c>
      <c r="BB88" s="106">
        <v>38</v>
      </c>
      <c r="BC88" s="106">
        <v>71911.199999999997</v>
      </c>
      <c r="BD88" s="106">
        <v>27.633708475153618</v>
      </c>
      <c r="BE88" s="106">
        <v>52294.0299183807</v>
      </c>
      <c r="BF88" s="106">
        <v>43</v>
      </c>
      <c r="BG88" s="106">
        <v>81373.2</v>
      </c>
      <c r="BH88" s="106">
        <v>4.3571138706273844</v>
      </c>
      <c r="BI88" s="106">
        <v>8245.4022887752617</v>
      </c>
      <c r="BJ88" s="106">
        <v>4.5065907329573971</v>
      </c>
      <c r="BK88" s="106">
        <v>8528.2723030485777</v>
      </c>
      <c r="BL88" s="106">
        <v>4.4314406176725436</v>
      </c>
      <c r="BM88" s="106">
        <v>8386.0582248835217</v>
      </c>
      <c r="BN88" s="106">
        <v>5.3455228310914737</v>
      </c>
      <c r="BO88" s="106">
        <v>10115.867405557505</v>
      </c>
      <c r="BP88" s="106">
        <v>16.805346415632158</v>
      </c>
      <c r="BQ88" s="106">
        <v>31802.437556942295</v>
      </c>
      <c r="BR88" s="106">
        <v>16.253209087402158</v>
      </c>
      <c r="BS88" s="106">
        <v>30757.572876999842</v>
      </c>
      <c r="BT88" s="106">
        <v>14</v>
      </c>
      <c r="BU88" s="106">
        <v>26493.599999999999</v>
      </c>
      <c r="BV88" s="106">
        <v>14.866786738933801</v>
      </c>
      <c r="BW88" s="106">
        <v>28133.907224758321</v>
      </c>
      <c r="BX88" s="106">
        <v>6</v>
      </c>
      <c r="BY88" s="106">
        <v>11354.4</v>
      </c>
      <c r="BZ88" s="106">
        <v>5.6314431604407416</v>
      </c>
      <c r="CA88" s="106">
        <v>10656.943036818058</v>
      </c>
      <c r="CB88" s="106">
        <v>7.4012064999347684</v>
      </c>
      <c r="CC88" s="106">
        <v>14006.043180476554</v>
      </c>
      <c r="CD88" s="106">
        <v>8.2144410178718736</v>
      </c>
      <c r="CE88" s="106">
        <v>15545.008182220732</v>
      </c>
      <c r="CF88" s="106">
        <v>10</v>
      </c>
      <c r="CG88" s="106">
        <v>18924</v>
      </c>
      <c r="CH88" s="106">
        <v>9</v>
      </c>
      <c r="CI88" s="106">
        <v>17031.599999999999</v>
      </c>
      <c r="CJ88" s="106">
        <v>6</v>
      </c>
      <c r="CK88" s="106">
        <v>11354.4</v>
      </c>
      <c r="CL88" s="106">
        <v>10</v>
      </c>
      <c r="CM88" s="106">
        <v>18924</v>
      </c>
      <c r="CN88" s="106">
        <v>17</v>
      </c>
      <c r="CO88" s="106">
        <v>32170.799999999999</v>
      </c>
      <c r="CP88" s="106">
        <v>23</v>
      </c>
      <c r="CQ88" s="106">
        <v>43525.2</v>
      </c>
      <c r="CR88" s="106">
        <v>26</v>
      </c>
      <c r="CS88" s="106">
        <v>49202.399999999994</v>
      </c>
      <c r="CT88" s="106">
        <v>22</v>
      </c>
      <c r="CU88" s="106">
        <v>41632.799999999996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4</v>
      </c>
      <c r="G89" s="106">
        <v>9590.4</v>
      </c>
      <c r="H89" s="106">
        <v>4.2709788261959298</v>
      </c>
      <c r="I89" s="106">
        <v>10240.098833687362</v>
      </c>
      <c r="J89" s="106">
        <v>6</v>
      </c>
      <c r="K89" s="106">
        <v>14385.599999999999</v>
      </c>
      <c r="L89" s="106">
        <v>5</v>
      </c>
      <c r="M89" s="106">
        <v>11988</v>
      </c>
      <c r="N89" s="106">
        <v>9</v>
      </c>
      <c r="O89" s="106">
        <v>21578.399999999998</v>
      </c>
      <c r="P89" s="106">
        <v>7.6944667414486334</v>
      </c>
      <c r="Q89" s="106">
        <v>18448.253459297244</v>
      </c>
      <c r="R89" s="106">
        <v>7</v>
      </c>
      <c r="S89" s="106">
        <v>16783.2</v>
      </c>
      <c r="T89" s="106">
        <v>6</v>
      </c>
      <c r="U89" s="106">
        <v>14385.599999999999</v>
      </c>
      <c r="V89" s="106">
        <v>5</v>
      </c>
      <c r="W89" s="106">
        <v>11988</v>
      </c>
      <c r="X89" s="106">
        <v>4.7851985731272295</v>
      </c>
      <c r="Y89" s="106">
        <v>11472.992098929844</v>
      </c>
      <c r="Z89" s="106">
        <v>9.8488231939345727</v>
      </c>
      <c r="AA89" s="106">
        <v>23613.538489777529</v>
      </c>
      <c r="AB89" s="106">
        <v>16.721414736842107</v>
      </c>
      <c r="AC89" s="106">
        <v>40091.263973052635</v>
      </c>
      <c r="AD89" s="106">
        <v>13</v>
      </c>
      <c r="AE89" s="106">
        <v>31168.799999999999</v>
      </c>
      <c r="AF89" s="106">
        <v>18</v>
      </c>
      <c r="AG89" s="106">
        <v>43156.799999999996</v>
      </c>
      <c r="AH89" s="106">
        <v>15.84465699783116</v>
      </c>
      <c r="AI89" s="106">
        <v>37989.149617999989</v>
      </c>
      <c r="AJ89" s="106">
        <v>2</v>
      </c>
      <c r="AK89" s="106">
        <v>4795.2</v>
      </c>
      <c r="AL89" s="106">
        <v>4.777458697249652</v>
      </c>
      <c r="AM89" s="106">
        <v>11454.434972525765</v>
      </c>
      <c r="AN89" s="106">
        <v>2</v>
      </c>
      <c r="AO89" s="106">
        <v>4795.2</v>
      </c>
      <c r="AP89" s="106">
        <v>3</v>
      </c>
      <c r="AQ89" s="106">
        <v>7192.7999999999993</v>
      </c>
      <c r="AR89" s="106">
        <v>32</v>
      </c>
      <c r="AS89" s="106">
        <v>76723.199999999997</v>
      </c>
      <c r="AT89" s="106">
        <v>26.182918780537861</v>
      </c>
      <c r="AU89" s="106">
        <v>62776.166068217572</v>
      </c>
      <c r="AV89" s="106">
        <v>24.202622691987195</v>
      </c>
      <c r="AW89" s="106">
        <v>58028.208166308497</v>
      </c>
      <c r="AX89" s="106">
        <v>28.14917901234568</v>
      </c>
      <c r="AY89" s="106">
        <v>67490.471600000004</v>
      </c>
      <c r="AZ89" s="106">
        <v>27</v>
      </c>
      <c r="BA89" s="106">
        <v>64735.199999999997</v>
      </c>
      <c r="BB89" s="106">
        <v>32</v>
      </c>
      <c r="BC89" s="106">
        <v>76723.199999999997</v>
      </c>
      <c r="BD89" s="106">
        <v>22.570337627638256</v>
      </c>
      <c r="BE89" s="106">
        <v>54114.641496025484</v>
      </c>
      <c r="BF89" s="106">
        <v>36</v>
      </c>
      <c r="BG89" s="106">
        <v>86313.599999999991</v>
      </c>
      <c r="BH89" s="106">
        <v>4.3749695641587536</v>
      </c>
      <c r="BI89" s="106">
        <v>10489.427027027028</v>
      </c>
      <c r="BJ89" s="106">
        <v>3.4854827857508393</v>
      </c>
      <c r="BK89" s="106">
        <v>8356.7935271162114</v>
      </c>
      <c r="BL89" s="106">
        <v>4.4108958263548033</v>
      </c>
      <c r="BM89" s="106">
        <v>10575.563833268276</v>
      </c>
      <c r="BN89" s="106">
        <v>4.362798972646047</v>
      </c>
      <c r="BO89" s="106">
        <v>10460.246816816161</v>
      </c>
      <c r="BP89" s="106">
        <v>16.805346415632158</v>
      </c>
      <c r="BQ89" s="106">
        <v>40292.498566119662</v>
      </c>
      <c r="BR89" s="106">
        <v>14.12356676801573</v>
      </c>
      <c r="BS89" s="106">
        <v>33862.663682994513</v>
      </c>
      <c r="BT89" s="106">
        <v>14</v>
      </c>
      <c r="BU89" s="106">
        <v>33566.400000000001</v>
      </c>
      <c r="BV89" s="106">
        <v>14.907102401209791</v>
      </c>
      <c r="BW89" s="106">
        <v>35741.268717140592</v>
      </c>
      <c r="BX89" s="106">
        <v>5</v>
      </c>
      <c r="BY89" s="106">
        <v>11988</v>
      </c>
      <c r="BZ89" s="106">
        <v>5.7103735554958348</v>
      </c>
      <c r="CA89" s="106">
        <v>13691.191636656813</v>
      </c>
      <c r="CB89" s="106">
        <v>7.378917249938393</v>
      </c>
      <c r="CC89" s="106">
        <v>17691.69199845229</v>
      </c>
      <c r="CD89" s="106">
        <v>8.2474319436983166</v>
      </c>
      <c r="CE89" s="106">
        <v>19774.042828211084</v>
      </c>
      <c r="CF89" s="106">
        <v>9</v>
      </c>
      <c r="CG89" s="106">
        <v>21578.399999999998</v>
      </c>
      <c r="CH89" s="106">
        <v>8</v>
      </c>
      <c r="CI89" s="106">
        <v>19180.8</v>
      </c>
      <c r="CJ89" s="106">
        <v>6</v>
      </c>
      <c r="CK89" s="106">
        <v>14385.599999999999</v>
      </c>
      <c r="CL89" s="106">
        <v>10</v>
      </c>
      <c r="CM89" s="106">
        <v>23976</v>
      </c>
      <c r="CN89" s="106">
        <v>17.468804589217154</v>
      </c>
      <c r="CO89" s="106">
        <v>41883.205883107046</v>
      </c>
      <c r="CP89" s="106">
        <v>19</v>
      </c>
      <c r="CQ89" s="106">
        <v>45554.400000000001</v>
      </c>
      <c r="CR89" s="106">
        <v>21</v>
      </c>
      <c r="CS89" s="106">
        <v>50349.599999999999</v>
      </c>
      <c r="CT89" s="106">
        <v>17</v>
      </c>
      <c r="CU89" s="106">
        <v>40759.199999999997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4</v>
      </c>
      <c r="G90" s="106">
        <v>8788.7999999999993</v>
      </c>
      <c r="H90" s="106">
        <v>3.2709788261959298</v>
      </c>
      <c r="I90" s="106">
        <v>7186.9946769176968</v>
      </c>
      <c r="J90" s="106">
        <v>6</v>
      </c>
      <c r="K90" s="106">
        <v>13183.199999999999</v>
      </c>
      <c r="L90" s="106">
        <v>5</v>
      </c>
      <c r="M90" s="106">
        <v>10986</v>
      </c>
      <c r="N90" s="106">
        <v>8</v>
      </c>
      <c r="O90" s="106">
        <v>17577.599999999999</v>
      </c>
      <c r="P90" s="106">
        <v>8.7557432186352777</v>
      </c>
      <c r="Q90" s="106">
        <v>19238.118999985432</v>
      </c>
      <c r="R90" s="106">
        <v>7</v>
      </c>
      <c r="S90" s="106">
        <v>15380.399999999998</v>
      </c>
      <c r="T90" s="106">
        <v>6</v>
      </c>
      <c r="U90" s="106">
        <v>13183.199999999999</v>
      </c>
      <c r="V90" s="106">
        <v>5</v>
      </c>
      <c r="W90" s="106">
        <v>10986</v>
      </c>
      <c r="X90" s="106">
        <v>5.7992199762187875</v>
      </c>
      <c r="Y90" s="106">
        <v>12742.046131747918</v>
      </c>
      <c r="Z90" s="106">
        <v>9.9676584410854119</v>
      </c>
      <c r="AA90" s="106">
        <v>21900.939126752866</v>
      </c>
      <c r="AB90" s="106">
        <v>19.683445540166204</v>
      </c>
      <c r="AC90" s="106">
        <v>43248.46654085318</v>
      </c>
      <c r="AD90" s="106">
        <v>13</v>
      </c>
      <c r="AE90" s="106">
        <v>28563.599999999999</v>
      </c>
      <c r="AF90" s="106">
        <v>19.798616606215077</v>
      </c>
      <c r="AG90" s="106">
        <v>43501.520407175762</v>
      </c>
      <c r="AH90" s="106">
        <v>14.767869998028328</v>
      </c>
      <c r="AI90" s="106">
        <v>32447.963959667839</v>
      </c>
      <c r="AJ90" s="106">
        <v>2</v>
      </c>
      <c r="AK90" s="106">
        <v>4394.3999999999996</v>
      </c>
      <c r="AL90" s="106">
        <v>3.8388370154535716</v>
      </c>
      <c r="AM90" s="106">
        <v>8434.6926903545864</v>
      </c>
      <c r="AN90" s="106">
        <v>2</v>
      </c>
      <c r="AO90" s="106">
        <v>4394.3999999999996</v>
      </c>
      <c r="AP90" s="106">
        <v>3</v>
      </c>
      <c r="AQ90" s="106">
        <v>6591.5999999999995</v>
      </c>
      <c r="AR90" s="106">
        <v>33</v>
      </c>
      <c r="AS90" s="106">
        <v>72507.599999999991</v>
      </c>
      <c r="AT90" s="106">
        <v>29.162594471589212</v>
      </c>
      <c r="AU90" s="106">
        <v>64076.052572975816</v>
      </c>
      <c r="AV90" s="106">
        <v>24.175606333055569</v>
      </c>
      <c r="AW90" s="106">
        <v>53118.642234989689</v>
      </c>
      <c r="AX90" s="106">
        <v>26.137703703703703</v>
      </c>
      <c r="AY90" s="106">
        <v>57429.762577777772</v>
      </c>
      <c r="AZ90" s="106">
        <v>24</v>
      </c>
      <c r="BA90" s="106">
        <v>52732.799999999996</v>
      </c>
      <c r="BB90" s="106">
        <v>33</v>
      </c>
      <c r="BC90" s="106">
        <v>72507.599999999991</v>
      </c>
      <c r="BD90" s="106">
        <v>24.570337627638256</v>
      </c>
      <c r="BE90" s="106">
        <v>53985.945835446772</v>
      </c>
      <c r="BF90" s="106">
        <v>39</v>
      </c>
      <c r="BG90" s="106">
        <v>85690.799999999988</v>
      </c>
      <c r="BH90" s="106">
        <v>4.3571138706273844</v>
      </c>
      <c r="BI90" s="106">
        <v>9573.4505965424887</v>
      </c>
      <c r="BJ90" s="106">
        <v>3.4854827857508393</v>
      </c>
      <c r="BK90" s="106">
        <v>7658.3027768517431</v>
      </c>
      <c r="BL90" s="106">
        <v>4.4725302003080243</v>
      </c>
      <c r="BM90" s="106">
        <v>9827.0433561167902</v>
      </c>
      <c r="BN90" s="106">
        <v>4.3282466895368996</v>
      </c>
      <c r="BO90" s="106">
        <v>9510.023626250475</v>
      </c>
      <c r="BP90" s="106">
        <v>17.824989011135383</v>
      </c>
      <c r="BQ90" s="106">
        <v>39165.065855266657</v>
      </c>
      <c r="BR90" s="106">
        <v>14.209994980940017</v>
      </c>
      <c r="BS90" s="106">
        <v>31222.200972121402</v>
      </c>
      <c r="BT90" s="106">
        <v>15</v>
      </c>
      <c r="BU90" s="106">
        <v>32958</v>
      </c>
      <c r="BV90" s="106">
        <v>15.927260232347788</v>
      </c>
      <c r="BW90" s="106">
        <v>34995.376182514556</v>
      </c>
      <c r="BX90" s="106">
        <v>5</v>
      </c>
      <c r="BY90" s="106">
        <v>10986</v>
      </c>
      <c r="BZ90" s="106">
        <v>5.6709083579682877</v>
      </c>
      <c r="CA90" s="106">
        <v>12460.119844127921</v>
      </c>
      <c r="CB90" s="106">
        <v>6.378917249938393</v>
      </c>
      <c r="CC90" s="106">
        <v>14015.756981564637</v>
      </c>
      <c r="CD90" s="106">
        <v>8.2474319436983166</v>
      </c>
      <c r="CE90" s="106">
        <v>18121.25746669394</v>
      </c>
      <c r="CF90" s="106">
        <v>9</v>
      </c>
      <c r="CG90" s="106">
        <v>19774.8</v>
      </c>
      <c r="CH90" s="106">
        <v>8</v>
      </c>
      <c r="CI90" s="106">
        <v>17577.599999999999</v>
      </c>
      <c r="CJ90" s="106">
        <v>6</v>
      </c>
      <c r="CK90" s="106">
        <v>13183.199999999999</v>
      </c>
      <c r="CL90" s="106">
        <v>11</v>
      </c>
      <c r="CM90" s="106">
        <v>24169.199999999997</v>
      </c>
      <c r="CN90" s="106">
        <v>14</v>
      </c>
      <c r="CO90" s="106">
        <v>30760.799999999996</v>
      </c>
      <c r="CP90" s="106">
        <v>22</v>
      </c>
      <c r="CQ90" s="106">
        <v>48338.399999999994</v>
      </c>
      <c r="CR90" s="106">
        <v>22</v>
      </c>
      <c r="CS90" s="106">
        <v>48338.399999999994</v>
      </c>
      <c r="CT90" s="106">
        <v>20</v>
      </c>
      <c r="CU90" s="106">
        <v>43944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4</v>
      </c>
      <c r="G91" s="106">
        <v>9187.1999999999989</v>
      </c>
      <c r="H91" s="106">
        <v>4.2371064729214387</v>
      </c>
      <c r="I91" s="106">
        <v>9731.7861470059597</v>
      </c>
      <c r="J91" s="106">
        <v>6</v>
      </c>
      <c r="K91" s="106">
        <v>13780.8</v>
      </c>
      <c r="L91" s="106">
        <v>5</v>
      </c>
      <c r="M91" s="106">
        <v>11483.999999999998</v>
      </c>
      <c r="N91" s="106">
        <v>9</v>
      </c>
      <c r="O91" s="106">
        <v>20671.199999999997</v>
      </c>
      <c r="P91" s="106">
        <v>8.6944667414486343</v>
      </c>
      <c r="Q91" s="106">
        <v>19969.45121175922</v>
      </c>
      <c r="R91" s="106">
        <v>6</v>
      </c>
      <c r="S91" s="106">
        <v>13780.8</v>
      </c>
      <c r="T91" s="106">
        <v>6</v>
      </c>
      <c r="U91" s="106">
        <v>13780.8</v>
      </c>
      <c r="V91" s="106">
        <v>5</v>
      </c>
      <c r="W91" s="106">
        <v>11483.999999999998</v>
      </c>
      <c r="X91" s="106">
        <v>5.7992199762187875</v>
      </c>
      <c r="Y91" s="106">
        <v>13319.64844137931</v>
      </c>
      <c r="Z91" s="106">
        <v>9.9846349049641034</v>
      </c>
      <c r="AA91" s="106">
        <v>22932.709449721551</v>
      </c>
      <c r="AB91" s="106">
        <v>19.683445540166204</v>
      </c>
      <c r="AC91" s="106">
        <v>45208.937716653731</v>
      </c>
      <c r="AD91" s="106">
        <v>12</v>
      </c>
      <c r="AE91" s="106">
        <v>27561.599999999999</v>
      </c>
      <c r="AF91" s="106">
        <v>18.798616606215077</v>
      </c>
      <c r="AG91" s="106">
        <v>43176.662621154785</v>
      </c>
      <c r="AH91" s="106">
        <v>15.84465699783116</v>
      </c>
      <c r="AI91" s="106">
        <v>36392.008192618603</v>
      </c>
      <c r="AJ91" s="106">
        <v>2</v>
      </c>
      <c r="AK91" s="106">
        <v>4593.5999999999995</v>
      </c>
      <c r="AL91" s="106">
        <v>3.8183775760522649</v>
      </c>
      <c r="AM91" s="106">
        <v>8770.0496166768407</v>
      </c>
      <c r="AN91" s="106">
        <v>2</v>
      </c>
      <c r="AO91" s="106">
        <v>4593.5999999999995</v>
      </c>
      <c r="AP91" s="106">
        <v>3</v>
      </c>
      <c r="AQ91" s="106">
        <v>6890.4</v>
      </c>
      <c r="AR91" s="106">
        <v>32</v>
      </c>
      <c r="AS91" s="106">
        <v>73497.599999999991</v>
      </c>
      <c r="AT91" s="106">
        <v>29.182918780537861</v>
      </c>
      <c r="AU91" s="106">
        <v>67027.327855139345</v>
      </c>
      <c r="AV91" s="106">
        <v>24.189114512521382</v>
      </c>
      <c r="AW91" s="106">
        <v>55557.558212359101</v>
      </c>
      <c r="AX91" s="106">
        <v>31.160654320987653</v>
      </c>
      <c r="AY91" s="106">
        <v>71569.790844444433</v>
      </c>
      <c r="AZ91" s="106">
        <v>25</v>
      </c>
      <c r="BA91" s="106">
        <v>57419.999999999993</v>
      </c>
      <c r="BB91" s="106">
        <v>35</v>
      </c>
      <c r="BC91" s="106">
        <v>80387.999999999985</v>
      </c>
      <c r="BD91" s="106">
        <v>25.665393898911301</v>
      </c>
      <c r="BE91" s="106">
        <v>58948.276707019468</v>
      </c>
      <c r="BF91" s="106">
        <v>36</v>
      </c>
      <c r="BG91" s="106">
        <v>82684.799999999988</v>
      </c>
      <c r="BH91" s="106">
        <v>4.3571138706273844</v>
      </c>
      <c r="BI91" s="106">
        <v>10007.419138056975</v>
      </c>
      <c r="BJ91" s="106">
        <v>3.5488066273705137</v>
      </c>
      <c r="BK91" s="106">
        <v>8150.8990617445952</v>
      </c>
      <c r="BL91" s="106">
        <v>4.4725302003080243</v>
      </c>
      <c r="BM91" s="106">
        <v>10272.507364067469</v>
      </c>
      <c r="BN91" s="106">
        <v>4.3455228310914737</v>
      </c>
      <c r="BO91" s="106">
        <v>9980.7968384508949</v>
      </c>
      <c r="BP91" s="106">
        <v>17.785703820128937</v>
      </c>
      <c r="BQ91" s="106">
        <v>40850.204534072138</v>
      </c>
      <c r="BR91" s="106">
        <v>14.080352661553587</v>
      </c>
      <c r="BS91" s="106">
        <v>32339.753993056274</v>
      </c>
      <c r="BT91" s="106">
        <v>12</v>
      </c>
      <c r="BU91" s="106">
        <v>27561.599999999999</v>
      </c>
      <c r="BV91" s="106">
        <v>14.846628907795806</v>
      </c>
      <c r="BW91" s="106">
        <v>34099.737275425403</v>
      </c>
      <c r="BX91" s="106">
        <v>5</v>
      </c>
      <c r="BY91" s="106">
        <v>11483.999999999998</v>
      </c>
      <c r="BZ91" s="106">
        <v>5.7103735554958348</v>
      </c>
      <c r="CA91" s="106">
        <v>13115.585982262832</v>
      </c>
      <c r="CB91" s="106">
        <v>6.4234957499311447</v>
      </c>
      <c r="CC91" s="106">
        <v>14753.485038441851</v>
      </c>
      <c r="CD91" s="106">
        <v>9.2309364807850951</v>
      </c>
      <c r="CE91" s="106">
        <v>21201.614909067204</v>
      </c>
      <c r="CF91" s="106">
        <v>10</v>
      </c>
      <c r="CG91" s="106">
        <v>22967.999999999996</v>
      </c>
      <c r="CH91" s="106">
        <v>7</v>
      </c>
      <c r="CI91" s="106">
        <v>16077.599999999999</v>
      </c>
      <c r="CJ91" s="106">
        <v>7</v>
      </c>
      <c r="CK91" s="106">
        <v>16077.599999999999</v>
      </c>
      <c r="CL91" s="106">
        <v>10</v>
      </c>
      <c r="CM91" s="106">
        <v>22967.999999999996</v>
      </c>
      <c r="CN91" s="106">
        <v>15</v>
      </c>
      <c r="CO91" s="106">
        <v>34451.999999999993</v>
      </c>
      <c r="CP91" s="106">
        <v>19</v>
      </c>
      <c r="CQ91" s="106">
        <v>43639.199999999997</v>
      </c>
      <c r="CR91" s="106">
        <v>21</v>
      </c>
      <c r="CS91" s="106">
        <v>48232.799999999996</v>
      </c>
      <c r="CT91" s="106">
        <v>20</v>
      </c>
      <c r="CU91" s="106">
        <v>45935.999999999993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5</v>
      </c>
      <c r="G92" s="106">
        <v>7104</v>
      </c>
      <c r="H92" s="106">
        <v>4.304851179470421</v>
      </c>
      <c r="I92" s="106">
        <v>6116.3325557915741</v>
      </c>
      <c r="J92" s="106">
        <v>7</v>
      </c>
      <c r="K92" s="106">
        <v>9945.6</v>
      </c>
      <c r="L92" s="106">
        <v>5</v>
      </c>
      <c r="M92" s="106">
        <v>7104</v>
      </c>
      <c r="N92" s="106">
        <v>9</v>
      </c>
      <c r="O92" s="106">
        <v>12787.199999999999</v>
      </c>
      <c r="P92" s="106">
        <v>9.7148922338441821</v>
      </c>
      <c r="Q92" s="106">
        <v>13802.918885845813</v>
      </c>
      <c r="R92" s="106">
        <v>7</v>
      </c>
      <c r="S92" s="106">
        <v>9945.6</v>
      </c>
      <c r="T92" s="106">
        <v>7</v>
      </c>
      <c r="U92" s="106">
        <v>9945.6</v>
      </c>
      <c r="V92" s="106">
        <v>5</v>
      </c>
      <c r="W92" s="106">
        <v>7104</v>
      </c>
      <c r="X92" s="106">
        <v>5.8973697978596906</v>
      </c>
      <c r="Y92" s="106">
        <v>8378.9830087990485</v>
      </c>
      <c r="Z92" s="106">
        <v>11.001611368842795</v>
      </c>
      <c r="AA92" s="106">
        <v>15631.089432851843</v>
      </c>
      <c r="AB92" s="106">
        <v>21.797353130193905</v>
      </c>
      <c r="AC92" s="106">
        <v>30969.679327379497</v>
      </c>
      <c r="AD92" s="106">
        <v>13</v>
      </c>
      <c r="AE92" s="106">
        <v>18470.399999999998</v>
      </c>
      <c r="AF92" s="106">
        <v>21.84853014410352</v>
      </c>
      <c r="AG92" s="106">
        <v>31042.39162874228</v>
      </c>
      <c r="AH92" s="106">
        <v>15.95983749753541</v>
      </c>
      <c r="AI92" s="106">
        <v>22675.737116498309</v>
      </c>
      <c r="AJ92" s="106">
        <v>2</v>
      </c>
      <c r="AK92" s="106">
        <v>2841.6</v>
      </c>
      <c r="AL92" s="106">
        <v>5.0229719700653312</v>
      </c>
      <c r="AM92" s="106">
        <v>7136.6385750688223</v>
      </c>
      <c r="AN92" s="106">
        <v>2</v>
      </c>
      <c r="AO92" s="106">
        <v>2841.6</v>
      </c>
      <c r="AP92" s="106">
        <v>3</v>
      </c>
      <c r="AQ92" s="106">
        <v>4262.3999999999996</v>
      </c>
      <c r="AR92" s="106">
        <v>38</v>
      </c>
      <c r="AS92" s="106">
        <v>53990.400000000001</v>
      </c>
      <c r="AT92" s="106">
        <v>30.182918780537861</v>
      </c>
      <c r="AU92" s="106">
        <v>42883.891003388191</v>
      </c>
      <c r="AV92" s="106">
        <v>24.216130871453007</v>
      </c>
      <c r="AW92" s="106">
        <v>34406.27874216043</v>
      </c>
      <c r="AX92" s="106">
        <v>34.149179012345677</v>
      </c>
      <c r="AY92" s="106">
        <v>48519.153540740735</v>
      </c>
      <c r="AZ92" s="106">
        <v>29</v>
      </c>
      <c r="BA92" s="106">
        <v>41203.199999999997</v>
      </c>
      <c r="BB92" s="106">
        <v>43</v>
      </c>
      <c r="BC92" s="106">
        <v>61094.400000000001</v>
      </c>
      <c r="BD92" s="106">
        <v>26.602023051395939</v>
      </c>
      <c r="BE92" s="106">
        <v>37796.154351423349</v>
      </c>
      <c r="BF92" s="106">
        <v>47</v>
      </c>
      <c r="BG92" s="106">
        <v>66777.599999999991</v>
      </c>
      <c r="BH92" s="106">
        <v>4.3749695641587536</v>
      </c>
      <c r="BI92" s="106">
        <v>6215.9567567567565</v>
      </c>
      <c r="BJ92" s="106">
        <v>3.5065907329573971</v>
      </c>
      <c r="BK92" s="106">
        <v>4982.1641133858693</v>
      </c>
      <c r="BL92" s="106">
        <v>4.5341645742612444</v>
      </c>
      <c r="BM92" s="106">
        <v>6442.1410271103759</v>
      </c>
      <c r="BN92" s="106">
        <v>5.3973512557551944</v>
      </c>
      <c r="BO92" s="106">
        <v>7668.5566641769801</v>
      </c>
      <c r="BP92" s="106">
        <v>16.883916797645053</v>
      </c>
      <c r="BQ92" s="106">
        <v>23988.66898609409</v>
      </c>
      <c r="BR92" s="106">
        <v>16.1451738212468</v>
      </c>
      <c r="BS92" s="106">
        <v>22939.062965227451</v>
      </c>
      <c r="BT92" s="106">
        <v>16</v>
      </c>
      <c r="BU92" s="106">
        <v>22732.799999999999</v>
      </c>
      <c r="BV92" s="106">
        <v>17.048207219175758</v>
      </c>
      <c r="BW92" s="106">
        <v>24222.092817004916</v>
      </c>
      <c r="BX92" s="106">
        <v>6</v>
      </c>
      <c r="BY92" s="106">
        <v>8524.7999999999993</v>
      </c>
      <c r="BZ92" s="106">
        <v>6.7893039505509272</v>
      </c>
      <c r="CA92" s="106">
        <v>9646.2430529427565</v>
      </c>
      <c r="CB92" s="106">
        <v>7.378917249938393</v>
      </c>
      <c r="CC92" s="106">
        <v>10483.965628712469</v>
      </c>
      <c r="CD92" s="106">
        <v>9.2639274066115362</v>
      </c>
      <c r="CE92" s="106">
        <v>13162.18805931367</v>
      </c>
      <c r="CF92" s="106">
        <v>10</v>
      </c>
      <c r="CG92" s="106">
        <v>14208</v>
      </c>
      <c r="CH92" s="106">
        <v>9</v>
      </c>
      <c r="CI92" s="106">
        <v>12787.199999999999</v>
      </c>
      <c r="CJ92" s="106">
        <v>7</v>
      </c>
      <c r="CK92" s="106">
        <v>9945.6</v>
      </c>
      <c r="CL92" s="106">
        <v>11</v>
      </c>
      <c r="CM92" s="106">
        <v>15628.8</v>
      </c>
      <c r="CN92" s="106">
        <v>19</v>
      </c>
      <c r="CO92" s="106">
        <v>26995.200000000001</v>
      </c>
      <c r="CP92" s="106">
        <v>24</v>
      </c>
      <c r="CQ92" s="106">
        <v>34099.199999999997</v>
      </c>
      <c r="CR92" s="106">
        <v>27</v>
      </c>
      <c r="CS92" s="106">
        <v>38361.599999999999</v>
      </c>
      <c r="CT92" s="106">
        <v>21</v>
      </c>
      <c r="CU92" s="106">
        <v>29836.799999999999</v>
      </c>
    </row>
    <row r="93" spans="2:99" x14ac:dyDescent="0.2">
      <c r="C93" s="105" t="s">
        <v>259</v>
      </c>
      <c r="D93" s="106">
        <v>6</v>
      </c>
      <c r="E93" s="106">
        <v>10634.4</v>
      </c>
      <c r="F93" s="106">
        <v>4</v>
      </c>
      <c r="G93" s="106">
        <v>7089.5999999999995</v>
      </c>
      <c r="H93" s="106">
        <v>4.304851179470421</v>
      </c>
      <c r="I93" s="106">
        <v>7629.9182304933738</v>
      </c>
      <c r="J93" s="106">
        <v>6</v>
      </c>
      <c r="K93" s="106">
        <v>10634.4</v>
      </c>
      <c r="L93" s="106">
        <v>5</v>
      </c>
      <c r="M93" s="106">
        <v>8862</v>
      </c>
      <c r="N93" s="106">
        <v>10</v>
      </c>
      <c r="O93" s="106">
        <v>17724</v>
      </c>
      <c r="P93" s="106">
        <v>9.7148922338441821</v>
      </c>
      <c r="Q93" s="106">
        <v>17218.674995265428</v>
      </c>
      <c r="R93" s="106">
        <v>7</v>
      </c>
      <c r="S93" s="106">
        <v>12406.8</v>
      </c>
      <c r="T93" s="106">
        <v>6</v>
      </c>
      <c r="U93" s="106">
        <v>10634.4</v>
      </c>
      <c r="V93" s="106">
        <v>5</v>
      </c>
      <c r="W93" s="106">
        <v>8862</v>
      </c>
      <c r="X93" s="106">
        <v>5.9254126040428066</v>
      </c>
      <c r="Y93" s="106">
        <v>10502.201299405469</v>
      </c>
      <c r="Z93" s="106">
        <v>10.120446615993636</v>
      </c>
      <c r="AA93" s="106">
        <v>17937.479582187119</v>
      </c>
      <c r="AB93" s="106">
        <v>18.797353130193905</v>
      </c>
      <c r="AC93" s="106">
        <v>33316.428687955675</v>
      </c>
      <c r="AD93" s="106">
        <v>12</v>
      </c>
      <c r="AE93" s="106">
        <v>21268.799999999999</v>
      </c>
      <c r="AF93" s="106">
        <v>20.798616606215077</v>
      </c>
      <c r="AG93" s="106">
        <v>36863.468072855598</v>
      </c>
      <c r="AH93" s="106">
        <v>17.95983749753541</v>
      </c>
      <c r="AI93" s="106">
        <v>31832.015980631761</v>
      </c>
      <c r="AJ93" s="106">
        <v>2</v>
      </c>
      <c r="AK93" s="106">
        <v>3544.7999999999997</v>
      </c>
      <c r="AL93" s="106">
        <v>4.9206747730587983</v>
      </c>
      <c r="AM93" s="106">
        <v>8721.4039677694127</v>
      </c>
      <c r="AN93" s="106">
        <v>2</v>
      </c>
      <c r="AO93" s="106">
        <v>3544.7999999999997</v>
      </c>
      <c r="AP93" s="106">
        <v>3</v>
      </c>
      <c r="AQ93" s="106">
        <v>5317.2</v>
      </c>
      <c r="AR93" s="106">
        <v>38</v>
      </c>
      <c r="AS93" s="106">
        <v>67351.199999999997</v>
      </c>
      <c r="AT93" s="106">
        <v>34.182918780537861</v>
      </c>
      <c r="AU93" s="106">
        <v>60585.805246625299</v>
      </c>
      <c r="AV93" s="106">
        <v>23.189114512521382</v>
      </c>
      <c r="AW93" s="106">
        <v>41100.386561992891</v>
      </c>
      <c r="AX93" s="106">
        <v>33.137703703703707</v>
      </c>
      <c r="AY93" s="106">
        <v>58733.266044444448</v>
      </c>
      <c r="AZ93" s="106">
        <v>28</v>
      </c>
      <c r="BA93" s="106">
        <v>49627.199999999997</v>
      </c>
      <c r="BB93" s="106">
        <v>36</v>
      </c>
      <c r="BC93" s="106">
        <v>63806.399999999994</v>
      </c>
      <c r="BD93" s="106">
        <v>24.633708475153618</v>
      </c>
      <c r="BE93" s="106">
        <v>43660.784901362269</v>
      </c>
      <c r="BF93" s="106">
        <v>40</v>
      </c>
      <c r="BG93" s="106">
        <v>70896</v>
      </c>
      <c r="BH93" s="106">
        <v>4.3571138706273844</v>
      </c>
      <c r="BI93" s="106">
        <v>7722.5486242999759</v>
      </c>
      <c r="BJ93" s="106">
        <v>4.5488066273705137</v>
      </c>
      <c r="BK93" s="106">
        <v>8062.3048663514974</v>
      </c>
      <c r="BL93" s="106">
        <v>4.4725302003080243</v>
      </c>
      <c r="BM93" s="106">
        <v>7927.1125270259417</v>
      </c>
      <c r="BN93" s="106">
        <v>4.3282466895368996</v>
      </c>
      <c r="BO93" s="106">
        <v>7671.3844325352002</v>
      </c>
      <c r="BP93" s="106">
        <v>19.805346415632158</v>
      </c>
      <c r="BQ93" s="106">
        <v>35102.995987066432</v>
      </c>
      <c r="BR93" s="106">
        <v>17.123566768015728</v>
      </c>
      <c r="BS93" s="106">
        <v>30349.809739631073</v>
      </c>
      <c r="BT93" s="106">
        <v>14</v>
      </c>
      <c r="BU93" s="106">
        <v>24813.599999999999</v>
      </c>
      <c r="BV93" s="106">
        <v>15.967575894623778</v>
      </c>
      <c r="BW93" s="106">
        <v>28300.931515631182</v>
      </c>
      <c r="BX93" s="106">
        <v>5</v>
      </c>
      <c r="BY93" s="106">
        <v>8862</v>
      </c>
      <c r="BZ93" s="106">
        <v>5.7103735554958348</v>
      </c>
      <c r="CA93" s="106">
        <v>10121.066089760818</v>
      </c>
      <c r="CB93" s="106">
        <v>6.4012064999347684</v>
      </c>
      <c r="CC93" s="106">
        <v>11345.498400484383</v>
      </c>
      <c r="CD93" s="106">
        <v>9.2309364807850951</v>
      </c>
      <c r="CE93" s="106">
        <v>16360.911818543502</v>
      </c>
      <c r="CF93" s="106">
        <v>10</v>
      </c>
      <c r="CG93" s="106">
        <v>17724</v>
      </c>
      <c r="CH93" s="106">
        <v>9</v>
      </c>
      <c r="CI93" s="106">
        <v>15951.599999999999</v>
      </c>
      <c r="CJ93" s="106">
        <v>7</v>
      </c>
      <c r="CK93" s="106">
        <v>12406.8</v>
      </c>
      <c r="CL93" s="106">
        <v>10</v>
      </c>
      <c r="CM93" s="106">
        <v>17724</v>
      </c>
      <c r="CN93" s="106">
        <v>16</v>
      </c>
      <c r="CO93" s="106">
        <v>28358.399999999998</v>
      </c>
      <c r="CP93" s="106">
        <v>23</v>
      </c>
      <c r="CQ93" s="106">
        <v>40765.199999999997</v>
      </c>
      <c r="CR93" s="106">
        <v>26</v>
      </c>
      <c r="CS93" s="106">
        <v>46082.399999999994</v>
      </c>
      <c r="CT93" s="106">
        <v>19</v>
      </c>
      <c r="CU93" s="106">
        <v>33675.599999999999</v>
      </c>
    </row>
    <row r="94" spans="2:99" x14ac:dyDescent="0.2">
      <c r="C94" s="105" t="s">
        <v>260</v>
      </c>
      <c r="D94" s="106">
        <v>5</v>
      </c>
      <c r="E94" s="106">
        <v>11976</v>
      </c>
      <c r="F94" s="106">
        <v>4</v>
      </c>
      <c r="G94" s="106">
        <v>9580.7999999999993</v>
      </c>
      <c r="H94" s="106">
        <v>3.2709788261959298</v>
      </c>
      <c r="I94" s="106">
        <v>7834.6484845044906</v>
      </c>
      <c r="J94" s="106">
        <v>6</v>
      </c>
      <c r="K94" s="106">
        <v>14371.199999999999</v>
      </c>
      <c r="L94" s="106">
        <v>5</v>
      </c>
      <c r="M94" s="106">
        <v>11976</v>
      </c>
      <c r="N94" s="106">
        <v>9</v>
      </c>
      <c r="O94" s="106">
        <v>21556.799999999999</v>
      </c>
      <c r="P94" s="106">
        <v>8.6536157566575369</v>
      </c>
      <c r="Q94" s="106">
        <v>20727.140460346131</v>
      </c>
      <c r="R94" s="106">
        <v>7</v>
      </c>
      <c r="S94" s="106">
        <v>16766.399999999998</v>
      </c>
      <c r="T94" s="106">
        <v>5</v>
      </c>
      <c r="U94" s="106">
        <v>11976</v>
      </c>
      <c r="V94" s="106">
        <v>5</v>
      </c>
      <c r="W94" s="106">
        <v>11976</v>
      </c>
      <c r="X94" s="106">
        <v>5.8132413793103446</v>
      </c>
      <c r="Y94" s="106">
        <v>13923.875751724136</v>
      </c>
      <c r="Z94" s="106">
        <v>8.9167290494493372</v>
      </c>
      <c r="AA94" s="106">
        <v>21357.349419241051</v>
      </c>
      <c r="AB94" s="106">
        <v>19.759383933518006</v>
      </c>
      <c r="AC94" s="106">
        <v>47327.676397562325</v>
      </c>
      <c r="AD94" s="106">
        <v>12</v>
      </c>
      <c r="AE94" s="106">
        <v>28742.399999999998</v>
      </c>
      <c r="AF94" s="106">
        <v>19</v>
      </c>
      <c r="AG94" s="106">
        <v>45508.799999999996</v>
      </c>
      <c r="AH94" s="106">
        <v>15.767869998028328</v>
      </c>
      <c r="AI94" s="106">
        <v>37767.202219277446</v>
      </c>
      <c r="AJ94" s="106">
        <v>2</v>
      </c>
      <c r="AK94" s="106">
        <v>4790.3999999999996</v>
      </c>
      <c r="AL94" s="106">
        <v>3.9002153336574916</v>
      </c>
      <c r="AM94" s="106">
        <v>9341.7957671764234</v>
      </c>
      <c r="AN94" s="106">
        <v>2</v>
      </c>
      <c r="AO94" s="106">
        <v>4790.3999999999996</v>
      </c>
      <c r="AP94" s="106">
        <v>3</v>
      </c>
      <c r="AQ94" s="106">
        <v>7185.5999999999995</v>
      </c>
      <c r="AR94" s="106">
        <v>33</v>
      </c>
      <c r="AS94" s="106">
        <v>79041.599999999991</v>
      </c>
      <c r="AT94" s="106">
        <v>27.182918780537861</v>
      </c>
      <c r="AU94" s="106">
        <v>65108.527063144276</v>
      </c>
      <c r="AV94" s="106">
        <v>24.189114512521382</v>
      </c>
      <c r="AW94" s="106">
        <v>57937.767080391211</v>
      </c>
      <c r="AX94" s="106">
        <v>25.137703703703703</v>
      </c>
      <c r="AY94" s="106">
        <v>60209.827911111104</v>
      </c>
      <c r="AZ94" s="106">
        <v>25</v>
      </c>
      <c r="BA94" s="106">
        <v>59879.999999999993</v>
      </c>
      <c r="BB94" s="106">
        <v>33</v>
      </c>
      <c r="BC94" s="106">
        <v>79041.599999999991</v>
      </c>
      <c r="BD94" s="106">
        <v>22.570337627638256</v>
      </c>
      <c r="BE94" s="106">
        <v>54060.472685719149</v>
      </c>
      <c r="BF94" s="106">
        <v>37</v>
      </c>
      <c r="BG94" s="106">
        <v>88622.399999999994</v>
      </c>
      <c r="BH94" s="106">
        <v>4.3214024835646461</v>
      </c>
      <c r="BI94" s="106">
        <v>10350.62322863404</v>
      </c>
      <c r="BJ94" s="106">
        <v>4.5276986801639554</v>
      </c>
      <c r="BK94" s="106">
        <v>10844.743878728705</v>
      </c>
      <c r="BL94" s="106">
        <v>4.4519854089902839</v>
      </c>
      <c r="BM94" s="106">
        <v>10663.395451613527</v>
      </c>
      <c r="BN94" s="106">
        <v>4.362798972646047</v>
      </c>
      <c r="BO94" s="106">
        <v>10449.776099281811</v>
      </c>
      <c r="BP94" s="106">
        <v>16.726776033619267</v>
      </c>
      <c r="BQ94" s="106">
        <v>40063.973955724861</v>
      </c>
      <c r="BR94" s="106">
        <v>13.12356676801573</v>
      </c>
      <c r="BS94" s="106">
        <v>31433.567122751272</v>
      </c>
      <c r="BT94" s="106">
        <v>13</v>
      </c>
      <c r="BU94" s="106">
        <v>31137.599999999999</v>
      </c>
      <c r="BV94" s="106">
        <v>15.886944570071796</v>
      </c>
      <c r="BW94" s="106">
        <v>38052.409634235963</v>
      </c>
      <c r="BX94" s="106">
        <v>5</v>
      </c>
      <c r="BY94" s="106">
        <v>11976</v>
      </c>
      <c r="BZ94" s="106">
        <v>6.749838753023381</v>
      </c>
      <c r="CA94" s="106">
        <v>16167.2137812416</v>
      </c>
      <c r="CB94" s="106">
        <v>6.3566279999420168</v>
      </c>
      <c r="CC94" s="106">
        <v>15225.395385461117</v>
      </c>
      <c r="CD94" s="106">
        <v>8.2144410178718736</v>
      </c>
      <c r="CE94" s="106">
        <v>19675.22912600671</v>
      </c>
      <c r="CF94" s="106">
        <v>9</v>
      </c>
      <c r="CG94" s="106">
        <v>21556.799999999999</v>
      </c>
      <c r="CH94" s="106">
        <v>8</v>
      </c>
      <c r="CI94" s="106">
        <v>19161.599999999999</v>
      </c>
      <c r="CJ94" s="106">
        <v>7</v>
      </c>
      <c r="CK94" s="106">
        <v>16766.399999999998</v>
      </c>
      <c r="CL94" s="106">
        <v>9</v>
      </c>
      <c r="CM94" s="106">
        <v>21556.799999999999</v>
      </c>
      <c r="CN94" s="106">
        <v>17</v>
      </c>
      <c r="CO94" s="106">
        <v>40718.399999999994</v>
      </c>
      <c r="CP94" s="106">
        <v>22</v>
      </c>
      <c r="CQ94" s="106">
        <v>52694.399999999994</v>
      </c>
      <c r="CR94" s="106">
        <v>24</v>
      </c>
      <c r="CS94" s="106">
        <v>57484.799999999996</v>
      </c>
      <c r="CT94" s="106">
        <v>20</v>
      </c>
      <c r="CU94" s="106">
        <v>47904</v>
      </c>
    </row>
    <row r="95" spans="2:99" x14ac:dyDescent="0.2">
      <c r="B95" s="105" t="s">
        <v>132</v>
      </c>
      <c r="C95" s="105" t="s">
        <v>261</v>
      </c>
      <c r="D95" s="106">
        <v>4</v>
      </c>
      <c r="E95" s="106">
        <v>6931.2</v>
      </c>
      <c r="F95" s="106">
        <v>4</v>
      </c>
      <c r="G95" s="106">
        <v>6931.2</v>
      </c>
      <c r="H95" s="106">
        <v>6</v>
      </c>
      <c r="I95" s="106">
        <v>10396.799999999999</v>
      </c>
      <c r="J95" s="106">
        <v>4</v>
      </c>
      <c r="K95" s="106">
        <v>6931.2</v>
      </c>
      <c r="L95" s="106">
        <v>4.923487850358371</v>
      </c>
      <c r="M95" s="106">
        <v>8531.4197471009848</v>
      </c>
      <c r="N95" s="106">
        <v>4</v>
      </c>
      <c r="O95" s="106">
        <v>6931.2</v>
      </c>
      <c r="P95" s="106">
        <v>3.5514882946797974</v>
      </c>
      <c r="Q95" s="106">
        <v>6154.0189170211524</v>
      </c>
      <c r="R95" s="106">
        <v>5.1862533900668817</v>
      </c>
      <c r="S95" s="106">
        <v>8986.739874307892</v>
      </c>
      <c r="T95" s="106">
        <v>11</v>
      </c>
      <c r="U95" s="106">
        <v>19060.8</v>
      </c>
      <c r="V95" s="106">
        <v>12.894105909373778</v>
      </c>
      <c r="W95" s="106">
        <v>22342.906719762883</v>
      </c>
      <c r="X95" s="106">
        <v>11.065626634958383</v>
      </c>
      <c r="Y95" s="106">
        <v>19174.517833055885</v>
      </c>
      <c r="Z95" s="106">
        <v>9.8997525855706474</v>
      </c>
      <c r="AA95" s="106">
        <v>17154.291280276819</v>
      </c>
      <c r="AB95" s="106">
        <v>7.3037535734072021</v>
      </c>
      <c r="AC95" s="106">
        <v>12655.944191999999</v>
      </c>
      <c r="AD95" s="106">
        <v>7</v>
      </c>
      <c r="AE95" s="106">
        <v>12129.6</v>
      </c>
      <c r="AF95" s="106">
        <v>4</v>
      </c>
      <c r="AG95" s="106">
        <v>6931.2</v>
      </c>
      <c r="AH95" s="106">
        <v>7.3839349990141638</v>
      </c>
      <c r="AI95" s="106">
        <v>12794.882566291742</v>
      </c>
      <c r="AJ95" s="106">
        <v>38</v>
      </c>
      <c r="AK95" s="106">
        <v>65846.399999999994</v>
      </c>
      <c r="AL95" s="106">
        <v>32.695620939644428</v>
      </c>
      <c r="AM95" s="106">
        <v>56654.97196421586</v>
      </c>
      <c r="AN95" s="106">
        <v>30.82443211166385</v>
      </c>
      <c r="AO95" s="106">
        <v>53412.57596309112</v>
      </c>
      <c r="AP95" s="106">
        <v>25</v>
      </c>
      <c r="AQ95" s="106">
        <v>43320</v>
      </c>
      <c r="AR95" s="106">
        <v>3</v>
      </c>
      <c r="AS95" s="106">
        <v>5198.3999999999996</v>
      </c>
      <c r="AT95" s="106">
        <v>2</v>
      </c>
      <c r="AU95" s="106">
        <v>3465.6</v>
      </c>
      <c r="AV95" s="106">
        <v>4</v>
      </c>
      <c r="AW95" s="106">
        <v>6931.2</v>
      </c>
      <c r="AX95" s="106">
        <v>2.4475370370370371</v>
      </c>
      <c r="AY95" s="106">
        <v>4241.0921777777776</v>
      </c>
      <c r="AZ95" s="106">
        <v>7.4075769838516976</v>
      </c>
      <c r="BA95" s="106">
        <v>12835.849397618222</v>
      </c>
      <c r="BB95" s="106">
        <v>11.69982075093915</v>
      </c>
      <c r="BC95" s="106">
        <v>20273.449397227359</v>
      </c>
      <c r="BD95" s="106">
        <v>7.7287647464266609</v>
      </c>
      <c r="BE95" s="106">
        <v>13392.403552608117</v>
      </c>
      <c r="BF95" s="106">
        <v>7</v>
      </c>
      <c r="BG95" s="106">
        <v>12129.6</v>
      </c>
      <c r="BH95" s="106">
        <v>7.517815112409707</v>
      </c>
      <c r="BI95" s="106">
        <v>13026.870026783539</v>
      </c>
      <c r="BJ95" s="106">
        <v>10.443266891337723</v>
      </c>
      <c r="BK95" s="106">
        <v>18096.092869310007</v>
      </c>
      <c r="BL95" s="106">
        <v>14.513619782943504</v>
      </c>
      <c r="BM95" s="106">
        <v>25149.200359884504</v>
      </c>
      <c r="BN95" s="106">
        <v>7.3282466895368996</v>
      </c>
      <c r="BO95" s="106">
        <v>12698.385863629539</v>
      </c>
      <c r="BP95" s="106">
        <v>4</v>
      </c>
      <c r="BQ95" s="106">
        <v>6931.2</v>
      </c>
      <c r="BR95" s="106">
        <v>3</v>
      </c>
      <c r="BS95" s="106">
        <v>5198.3999999999996</v>
      </c>
      <c r="BT95" s="106">
        <v>4</v>
      </c>
      <c r="BU95" s="106">
        <v>6931.2</v>
      </c>
      <c r="BV95" s="106">
        <v>4</v>
      </c>
      <c r="BW95" s="106">
        <v>6931.2</v>
      </c>
      <c r="BX95" s="106">
        <v>17</v>
      </c>
      <c r="BY95" s="106">
        <v>29457.599999999999</v>
      </c>
      <c r="BZ95" s="106">
        <v>10</v>
      </c>
      <c r="CA95" s="106">
        <v>17328</v>
      </c>
      <c r="CB95" s="106">
        <v>17.003016249836922</v>
      </c>
      <c r="CC95" s="106">
        <v>29462.826557717417</v>
      </c>
      <c r="CD95" s="106">
        <v>14</v>
      </c>
      <c r="CE95" s="106">
        <v>24259.200000000001</v>
      </c>
      <c r="CF95" s="106">
        <v>4.5389999999999997</v>
      </c>
      <c r="CG95" s="106">
        <v>7865.1791999999996</v>
      </c>
      <c r="CH95" s="106">
        <v>3</v>
      </c>
      <c r="CI95" s="106">
        <v>5198.3999999999996</v>
      </c>
      <c r="CJ95" s="106">
        <v>4.2692721434724721</v>
      </c>
      <c r="CK95" s="106">
        <v>7397.7947702090996</v>
      </c>
      <c r="CL95" s="106">
        <v>3.3907684643596419</v>
      </c>
      <c r="CM95" s="106">
        <v>5875.5235950423876</v>
      </c>
      <c r="CN95" s="106">
        <v>4</v>
      </c>
      <c r="CO95" s="106">
        <v>6931.2</v>
      </c>
      <c r="CP95" s="106">
        <v>3</v>
      </c>
      <c r="CQ95" s="106">
        <v>5198.3999999999996</v>
      </c>
      <c r="CR95" s="106">
        <v>3</v>
      </c>
      <c r="CS95" s="106">
        <v>5198.3999999999996</v>
      </c>
      <c r="CT95" s="106">
        <v>4</v>
      </c>
      <c r="CU95" s="106">
        <v>6931.2</v>
      </c>
    </row>
    <row r="96" spans="2:99" x14ac:dyDescent="0.2">
      <c r="C96" s="105" t="s">
        <v>262</v>
      </c>
      <c r="D96" s="106">
        <v>5</v>
      </c>
      <c r="E96" s="106">
        <v>4116</v>
      </c>
      <c r="F96" s="106">
        <v>5</v>
      </c>
      <c r="G96" s="106">
        <v>4116</v>
      </c>
      <c r="H96" s="106">
        <v>6</v>
      </c>
      <c r="I96" s="106">
        <v>4939.2</v>
      </c>
      <c r="J96" s="106">
        <v>4</v>
      </c>
      <c r="K96" s="106">
        <v>3292.7999999999997</v>
      </c>
      <c r="L96" s="106">
        <v>5.1366004312103026</v>
      </c>
      <c r="M96" s="106">
        <v>4228.4494749723208</v>
      </c>
      <c r="N96" s="106">
        <v>4</v>
      </c>
      <c r="O96" s="106">
        <v>3292.7999999999997</v>
      </c>
      <c r="P96" s="106">
        <v>3.5514882946797974</v>
      </c>
      <c r="Q96" s="106">
        <v>2923.5851641804088</v>
      </c>
      <c r="R96" s="106">
        <v>4.5251829300859905</v>
      </c>
      <c r="S96" s="106">
        <v>3725.1305880467871</v>
      </c>
      <c r="T96" s="106">
        <v>12</v>
      </c>
      <c r="U96" s="106">
        <v>9878.4</v>
      </c>
      <c r="V96" s="106">
        <v>14.14479639737913</v>
      </c>
      <c r="W96" s="106">
        <v>11643.996394322499</v>
      </c>
      <c r="X96" s="106">
        <v>14.444204518430441</v>
      </c>
      <c r="Y96" s="106">
        <v>11890.469159571938</v>
      </c>
      <c r="Z96" s="106">
        <v>11.05254076047887</v>
      </c>
      <c r="AA96" s="106">
        <v>9098.4515540262055</v>
      </c>
      <c r="AB96" s="106">
        <v>8.341722770083102</v>
      </c>
      <c r="AC96" s="106">
        <v>6866.9061843324089</v>
      </c>
      <c r="AD96" s="106">
        <v>7</v>
      </c>
      <c r="AE96" s="106">
        <v>5762.4</v>
      </c>
      <c r="AF96" s="106">
        <v>5</v>
      </c>
      <c r="AG96" s="106">
        <v>4116</v>
      </c>
      <c r="AH96" s="106">
        <v>9.3839349990141638</v>
      </c>
      <c r="AI96" s="106">
        <v>7724.855291188459</v>
      </c>
      <c r="AJ96" s="106">
        <v>40</v>
      </c>
      <c r="AK96" s="106">
        <v>32928</v>
      </c>
      <c r="AL96" s="106">
        <v>34.736539818447042</v>
      </c>
      <c r="AM96" s="106">
        <v>28595.119578545604</v>
      </c>
      <c r="AN96" s="106">
        <v>37.974328859239094</v>
      </c>
      <c r="AO96" s="106">
        <v>31260.467516925619</v>
      </c>
      <c r="AP96" s="106">
        <v>28</v>
      </c>
      <c r="AQ96" s="106">
        <v>23049.599999999999</v>
      </c>
      <c r="AR96" s="106">
        <v>3</v>
      </c>
      <c r="AS96" s="106">
        <v>2469.6</v>
      </c>
      <c r="AT96" s="106">
        <v>2</v>
      </c>
      <c r="AU96" s="106">
        <v>1646.3999999999999</v>
      </c>
      <c r="AV96" s="106">
        <v>4</v>
      </c>
      <c r="AW96" s="106">
        <v>3292.7999999999997</v>
      </c>
      <c r="AX96" s="106">
        <v>3.4590123456790125</v>
      </c>
      <c r="AY96" s="106">
        <v>2847.4589629629627</v>
      </c>
      <c r="AZ96" s="106">
        <v>7.4755064811603145</v>
      </c>
      <c r="BA96" s="106">
        <v>6153.8369352911704</v>
      </c>
      <c r="BB96" s="106">
        <v>11.69982075093915</v>
      </c>
      <c r="BC96" s="106">
        <v>9631.2924421731077</v>
      </c>
      <c r="BD96" s="106">
        <v>8.7604501701843418</v>
      </c>
      <c r="BE96" s="106">
        <v>7211.6025800957495</v>
      </c>
      <c r="BF96" s="106">
        <v>8</v>
      </c>
      <c r="BG96" s="106">
        <v>6585.5999999999995</v>
      </c>
      <c r="BH96" s="106">
        <v>9.6249492735979221</v>
      </c>
      <c r="BI96" s="106">
        <v>7923.2582420258086</v>
      </c>
      <c r="BJ96" s="106">
        <v>11.464374838544281</v>
      </c>
      <c r="BK96" s="106">
        <v>9437.4733670896512</v>
      </c>
      <c r="BL96" s="106">
        <v>14.595798948214465</v>
      </c>
      <c r="BM96" s="106">
        <v>12015.261694170147</v>
      </c>
      <c r="BN96" s="106">
        <v>9.362798972646047</v>
      </c>
      <c r="BO96" s="106">
        <v>7707.4561142822249</v>
      </c>
      <c r="BP96" s="106">
        <v>4</v>
      </c>
      <c r="BQ96" s="106">
        <v>3292.7999999999997</v>
      </c>
      <c r="BR96" s="106">
        <v>4</v>
      </c>
      <c r="BS96" s="106">
        <v>3292.7999999999997</v>
      </c>
      <c r="BT96" s="106">
        <v>5</v>
      </c>
      <c r="BU96" s="106">
        <v>4116</v>
      </c>
      <c r="BV96" s="106">
        <v>4</v>
      </c>
      <c r="BW96" s="106">
        <v>3292.7999999999997</v>
      </c>
      <c r="BX96" s="106">
        <v>17</v>
      </c>
      <c r="BY96" s="106">
        <v>13994.4</v>
      </c>
      <c r="BZ96" s="106">
        <v>13</v>
      </c>
      <c r="CA96" s="106">
        <v>10701.599999999999</v>
      </c>
      <c r="CB96" s="106">
        <v>17.359644249778938</v>
      </c>
      <c r="CC96" s="106">
        <v>14290.459146418021</v>
      </c>
      <c r="CD96" s="106">
        <v>15</v>
      </c>
      <c r="CE96" s="106">
        <v>12347.999999999998</v>
      </c>
      <c r="CF96" s="106">
        <v>4.5090555555555554</v>
      </c>
      <c r="CG96" s="106">
        <v>3711.8545333333327</v>
      </c>
      <c r="CH96" s="106">
        <v>3</v>
      </c>
      <c r="CI96" s="106">
        <v>2469.6</v>
      </c>
      <c r="CJ96" s="106">
        <v>5.3029311614065318</v>
      </c>
      <c r="CK96" s="106">
        <v>4365.3729320698567</v>
      </c>
      <c r="CL96" s="106">
        <v>3.4558965417529155</v>
      </c>
      <c r="CM96" s="106">
        <v>2844.8940331709996</v>
      </c>
      <c r="CN96" s="106">
        <v>4</v>
      </c>
      <c r="CO96" s="106">
        <v>3292.7999999999997</v>
      </c>
      <c r="CP96" s="106">
        <v>3</v>
      </c>
      <c r="CQ96" s="106">
        <v>2469.6</v>
      </c>
      <c r="CR96" s="106">
        <v>3</v>
      </c>
      <c r="CS96" s="106">
        <v>2469.6</v>
      </c>
      <c r="CT96" s="106">
        <v>4</v>
      </c>
      <c r="CU96" s="106">
        <v>3292.7999999999997</v>
      </c>
    </row>
    <row r="97" spans="2:99" x14ac:dyDescent="0.2">
      <c r="C97" s="105" t="s">
        <v>263</v>
      </c>
      <c r="D97" s="106">
        <v>4</v>
      </c>
      <c r="E97" s="106">
        <v>7315.2</v>
      </c>
      <c r="F97" s="106">
        <v>5</v>
      </c>
      <c r="G97" s="106">
        <v>9144</v>
      </c>
      <c r="H97" s="106">
        <v>6</v>
      </c>
      <c r="I97" s="106">
        <v>10972.8</v>
      </c>
      <c r="J97" s="106">
        <v>4</v>
      </c>
      <c r="K97" s="106">
        <v>7315.2</v>
      </c>
      <c r="L97" s="106">
        <v>4.8524503234077265</v>
      </c>
      <c r="M97" s="106">
        <v>8874.1611514480501</v>
      </c>
      <c r="N97" s="106">
        <v>4</v>
      </c>
      <c r="O97" s="106">
        <v>7315.2</v>
      </c>
      <c r="P97" s="106">
        <v>3.5310628022842492</v>
      </c>
      <c r="Q97" s="106">
        <v>6457.6076528174344</v>
      </c>
      <c r="R97" s="106">
        <v>5.4122064167462876</v>
      </c>
      <c r="S97" s="106">
        <v>9897.8430949456106</v>
      </c>
      <c r="T97" s="106">
        <v>11</v>
      </c>
      <c r="U97" s="106">
        <v>20116.8</v>
      </c>
      <c r="V97" s="106">
        <v>13.977669405375561</v>
      </c>
      <c r="W97" s="106">
        <v>25562.361808550824</v>
      </c>
      <c r="X97" s="106">
        <v>12.093669441141499</v>
      </c>
      <c r="Y97" s="106">
        <v>22116.902673959572</v>
      </c>
      <c r="Z97" s="106">
        <v>9.9337055133280288</v>
      </c>
      <c r="AA97" s="106">
        <v>18166.760642774298</v>
      </c>
      <c r="AB97" s="106">
        <v>7.3417227700831029</v>
      </c>
      <c r="AC97" s="106">
        <v>13426.542601927978</v>
      </c>
      <c r="AD97" s="106">
        <v>7</v>
      </c>
      <c r="AE97" s="106">
        <v>12801.6</v>
      </c>
      <c r="AF97" s="106">
        <v>4</v>
      </c>
      <c r="AG97" s="106">
        <v>7315.2</v>
      </c>
      <c r="AH97" s="106">
        <v>6.3455414991127475</v>
      </c>
      <c r="AI97" s="106">
        <v>11604.726293577392</v>
      </c>
      <c r="AJ97" s="106">
        <v>40</v>
      </c>
      <c r="AK97" s="106">
        <v>73152</v>
      </c>
      <c r="AL97" s="106">
        <v>34.695620939644428</v>
      </c>
      <c r="AM97" s="106">
        <v>63451.351574421729</v>
      </c>
      <c r="AN97" s="106">
        <v>31.82443211166385</v>
      </c>
      <c r="AO97" s="106">
        <v>58200.521445810846</v>
      </c>
      <c r="AP97" s="106">
        <v>27</v>
      </c>
      <c r="AQ97" s="106">
        <v>49377.599999999999</v>
      </c>
      <c r="AR97" s="106">
        <v>3</v>
      </c>
      <c r="AS97" s="106">
        <v>5486.4</v>
      </c>
      <c r="AT97" s="106">
        <v>2.630053577408193</v>
      </c>
      <c r="AU97" s="106">
        <v>4809.8419823641034</v>
      </c>
      <c r="AV97" s="106">
        <v>4</v>
      </c>
      <c r="AW97" s="106">
        <v>7315.2</v>
      </c>
      <c r="AX97" s="106">
        <v>2.3901604938271603</v>
      </c>
      <c r="AY97" s="106">
        <v>4371.1255111111104</v>
      </c>
      <c r="AZ97" s="106">
        <v>7.4075769838516976</v>
      </c>
      <c r="BA97" s="106">
        <v>13546.976788067985</v>
      </c>
      <c r="BB97" s="106">
        <v>11.62206288972369</v>
      </c>
      <c r="BC97" s="106">
        <v>21254.428612726682</v>
      </c>
      <c r="BD97" s="106">
        <v>7.6653938989112991</v>
      </c>
      <c r="BE97" s="106">
        <v>14018.472362328983</v>
      </c>
      <c r="BF97" s="106">
        <v>7.6973607263773474</v>
      </c>
      <c r="BG97" s="106">
        <v>14076.933296398893</v>
      </c>
      <c r="BH97" s="106">
        <v>7.5356708059410762</v>
      </c>
      <c r="BI97" s="106">
        <v>13781.234769905041</v>
      </c>
      <c r="BJ97" s="106">
        <v>10.464374838544281</v>
      </c>
      <c r="BK97" s="106">
        <v>19137.24870472978</v>
      </c>
      <c r="BL97" s="106">
        <v>12.513619782943504</v>
      </c>
      <c r="BM97" s="106">
        <v>22884.907859047078</v>
      </c>
      <c r="BN97" s="106">
        <v>8.362798972646047</v>
      </c>
      <c r="BO97" s="106">
        <v>15293.88676117509</v>
      </c>
      <c r="BP97" s="106">
        <v>4</v>
      </c>
      <c r="BQ97" s="106">
        <v>7315.2</v>
      </c>
      <c r="BR97" s="106">
        <v>4</v>
      </c>
      <c r="BS97" s="106">
        <v>7315.2</v>
      </c>
      <c r="BT97" s="106">
        <v>5</v>
      </c>
      <c r="BU97" s="106">
        <v>9144</v>
      </c>
      <c r="BV97" s="106">
        <v>4</v>
      </c>
      <c r="BW97" s="106">
        <v>7315.2</v>
      </c>
      <c r="BX97" s="106">
        <v>14</v>
      </c>
      <c r="BY97" s="106">
        <v>25603.200000000001</v>
      </c>
      <c r="BZ97" s="106">
        <v>11</v>
      </c>
      <c r="CA97" s="106">
        <v>20116.8</v>
      </c>
      <c r="CB97" s="106">
        <v>17.003016249836922</v>
      </c>
      <c r="CC97" s="106">
        <v>31095.11611770176</v>
      </c>
      <c r="CD97" s="106">
        <v>13</v>
      </c>
      <c r="CE97" s="106">
        <v>23774.399999999998</v>
      </c>
      <c r="CF97" s="106">
        <v>4.5090555555555554</v>
      </c>
      <c r="CG97" s="106">
        <v>8246.1607999999997</v>
      </c>
      <c r="CH97" s="106">
        <v>3</v>
      </c>
      <c r="CI97" s="106">
        <v>5486.4</v>
      </c>
      <c r="CJ97" s="106">
        <v>4.2692721434724721</v>
      </c>
      <c r="CK97" s="106">
        <v>7807.6448959824565</v>
      </c>
      <c r="CL97" s="106">
        <v>3.3907684643596419</v>
      </c>
      <c r="CM97" s="106">
        <v>6201.0373676209128</v>
      </c>
      <c r="CN97" s="106">
        <v>4</v>
      </c>
      <c r="CO97" s="106">
        <v>7315.2</v>
      </c>
      <c r="CP97" s="106">
        <v>3</v>
      </c>
      <c r="CQ97" s="106">
        <v>5486.4</v>
      </c>
      <c r="CR97" s="106">
        <v>3</v>
      </c>
      <c r="CS97" s="106">
        <v>5486.4</v>
      </c>
      <c r="CT97" s="106">
        <v>4</v>
      </c>
      <c r="CU97" s="106">
        <v>7315.2</v>
      </c>
    </row>
    <row r="98" spans="2:99" x14ac:dyDescent="0.2">
      <c r="C98" s="105" t="s">
        <v>264</v>
      </c>
      <c r="D98" s="106">
        <v>5</v>
      </c>
      <c r="E98" s="106">
        <v>6318</v>
      </c>
      <c r="F98" s="106">
        <v>5</v>
      </c>
      <c r="G98" s="106">
        <v>6318</v>
      </c>
      <c r="H98" s="106">
        <v>7</v>
      </c>
      <c r="I98" s="106">
        <v>8845.1999999999989</v>
      </c>
      <c r="J98" s="106">
        <v>4</v>
      </c>
      <c r="K98" s="106">
        <v>5054.3999999999996</v>
      </c>
      <c r="L98" s="106">
        <v>5.065562904259659</v>
      </c>
      <c r="M98" s="106">
        <v>6400.8452858225046</v>
      </c>
      <c r="N98" s="106">
        <v>4</v>
      </c>
      <c r="O98" s="106">
        <v>5054.3999999999996</v>
      </c>
      <c r="P98" s="106">
        <v>4.6127647718664413</v>
      </c>
      <c r="Q98" s="106">
        <v>5828.6895657304349</v>
      </c>
      <c r="R98" s="106">
        <v>5.2992299034065846</v>
      </c>
      <c r="S98" s="106">
        <v>6696.1069059445599</v>
      </c>
      <c r="T98" s="106">
        <v>12</v>
      </c>
      <c r="U98" s="106">
        <v>15163.199999999999</v>
      </c>
      <c r="V98" s="106">
        <v>12.92196040804104</v>
      </c>
      <c r="W98" s="106">
        <v>16328.189171600656</v>
      </c>
      <c r="X98" s="106">
        <v>13.247904875148633</v>
      </c>
      <c r="Y98" s="106">
        <v>16740.05260023781</v>
      </c>
      <c r="Z98" s="106">
        <v>10.018587832721487</v>
      </c>
      <c r="AA98" s="106">
        <v>12659.48758542687</v>
      </c>
      <c r="AB98" s="106">
        <v>7.3417227700831029</v>
      </c>
      <c r="AC98" s="106">
        <v>9277.0008922770085</v>
      </c>
      <c r="AD98" s="106">
        <v>8</v>
      </c>
      <c r="AE98" s="106">
        <v>10108.799999999999</v>
      </c>
      <c r="AF98" s="106">
        <v>4</v>
      </c>
      <c r="AG98" s="106">
        <v>5054.3999999999996</v>
      </c>
      <c r="AH98" s="106">
        <v>8.3455414991127483</v>
      </c>
      <c r="AI98" s="106">
        <v>10545.426238278867</v>
      </c>
      <c r="AJ98" s="106">
        <v>44</v>
      </c>
      <c r="AK98" s="106">
        <v>55598.399999999994</v>
      </c>
      <c r="AL98" s="106">
        <v>33.716080379045735</v>
      </c>
      <c r="AM98" s="106">
        <v>42603.639166962188</v>
      </c>
      <c r="AN98" s="106">
        <v>35.861906298557663</v>
      </c>
      <c r="AO98" s="106">
        <v>45315.104798857457</v>
      </c>
      <c r="AP98" s="106">
        <v>29</v>
      </c>
      <c r="AQ98" s="106">
        <v>36644.399999999994</v>
      </c>
      <c r="AR98" s="106">
        <v>3</v>
      </c>
      <c r="AS98" s="106">
        <v>3790.7999999999997</v>
      </c>
      <c r="AT98" s="106">
        <v>3</v>
      </c>
      <c r="AU98" s="106">
        <v>3790.7999999999997</v>
      </c>
      <c r="AV98" s="106">
        <v>4</v>
      </c>
      <c r="AW98" s="106">
        <v>5054.3999999999996</v>
      </c>
      <c r="AX98" s="106">
        <v>3.4016358024691358</v>
      </c>
      <c r="AY98" s="106">
        <v>4298.3069999999998</v>
      </c>
      <c r="AZ98" s="106">
        <v>7.509471229814622</v>
      </c>
      <c r="BA98" s="106">
        <v>9488.967845993755</v>
      </c>
      <c r="BB98" s="106">
        <v>11.69982075093915</v>
      </c>
      <c r="BC98" s="106">
        <v>14783.893500886708</v>
      </c>
      <c r="BD98" s="106">
        <v>9.7287647464266609</v>
      </c>
      <c r="BE98" s="106">
        <v>12293.267133584728</v>
      </c>
      <c r="BF98" s="106">
        <v>8</v>
      </c>
      <c r="BG98" s="106">
        <v>10108.799999999999</v>
      </c>
      <c r="BH98" s="106">
        <v>8.517815112409707</v>
      </c>
      <c r="BI98" s="106">
        <v>10763.111176040906</v>
      </c>
      <c r="BJ98" s="106">
        <v>10.48548278575084</v>
      </c>
      <c r="BK98" s="106">
        <v>13249.45604807476</v>
      </c>
      <c r="BL98" s="106">
        <v>13.513619782943504</v>
      </c>
      <c r="BM98" s="106">
        <v>17075.809957727412</v>
      </c>
      <c r="BN98" s="106">
        <v>8.3455228310914737</v>
      </c>
      <c r="BO98" s="106">
        <v>10545.402649367186</v>
      </c>
      <c r="BP98" s="106">
        <v>4</v>
      </c>
      <c r="BQ98" s="106">
        <v>5054.3999999999996</v>
      </c>
      <c r="BR98" s="106">
        <v>4</v>
      </c>
      <c r="BS98" s="106">
        <v>5054.3999999999996</v>
      </c>
      <c r="BT98" s="106">
        <v>5</v>
      </c>
      <c r="BU98" s="106">
        <v>6318</v>
      </c>
      <c r="BV98" s="106">
        <v>4.9474180634857818</v>
      </c>
      <c r="BW98" s="106">
        <v>6251.5574650206336</v>
      </c>
      <c r="BX98" s="106">
        <v>15</v>
      </c>
      <c r="BY98" s="106">
        <v>18954</v>
      </c>
      <c r="BZ98" s="106">
        <v>13</v>
      </c>
      <c r="CA98" s="106">
        <v>16426.8</v>
      </c>
      <c r="CB98" s="106">
        <v>16.06988399982605</v>
      </c>
      <c r="CC98" s="106">
        <v>20305.905422180196</v>
      </c>
      <c r="CD98" s="106">
        <v>14</v>
      </c>
      <c r="CE98" s="106">
        <v>17690.399999999998</v>
      </c>
      <c r="CF98" s="106">
        <v>4.5090555555555554</v>
      </c>
      <c r="CG98" s="106">
        <v>5697.6425999999992</v>
      </c>
      <c r="CH98" s="106">
        <v>3</v>
      </c>
      <c r="CI98" s="106">
        <v>3790.7999999999997</v>
      </c>
      <c r="CJ98" s="106">
        <v>4.3029311614065318</v>
      </c>
      <c r="CK98" s="106">
        <v>5437.1838155532932</v>
      </c>
      <c r="CL98" s="106">
        <v>3.4233325030562787</v>
      </c>
      <c r="CM98" s="106">
        <v>4325.722950861913</v>
      </c>
      <c r="CN98" s="106">
        <v>4</v>
      </c>
      <c r="CO98" s="106">
        <v>5054.3999999999996</v>
      </c>
      <c r="CP98" s="106">
        <v>3</v>
      </c>
      <c r="CQ98" s="106">
        <v>3790.7999999999997</v>
      </c>
      <c r="CR98" s="106">
        <v>3</v>
      </c>
      <c r="CS98" s="106">
        <v>3790.7999999999997</v>
      </c>
      <c r="CT98" s="106">
        <v>5</v>
      </c>
      <c r="CU98" s="106">
        <v>6318</v>
      </c>
    </row>
    <row r="99" spans="2:99" x14ac:dyDescent="0.2">
      <c r="C99" s="105" t="s">
        <v>265</v>
      </c>
      <c r="D99" s="106">
        <v>3</v>
      </c>
      <c r="E99" s="106">
        <v>16444.8</v>
      </c>
      <c r="F99" s="106">
        <v>3</v>
      </c>
      <c r="G99" s="106">
        <v>16444.8</v>
      </c>
      <c r="H99" s="106">
        <v>5</v>
      </c>
      <c r="I99" s="106">
        <v>27407.999999999996</v>
      </c>
      <c r="J99" s="106">
        <v>3</v>
      </c>
      <c r="K99" s="106">
        <v>16444.8</v>
      </c>
      <c r="L99" s="106">
        <v>3.6393377425557953</v>
      </c>
      <c r="M99" s="106">
        <v>19949.393769593848</v>
      </c>
      <c r="N99" s="106">
        <v>3</v>
      </c>
      <c r="O99" s="106">
        <v>16444.8</v>
      </c>
      <c r="P99" s="106">
        <v>2.3472333707243167</v>
      </c>
      <c r="Q99" s="106">
        <v>12866.594444962413</v>
      </c>
      <c r="R99" s="106">
        <v>3.9603003633874754</v>
      </c>
      <c r="S99" s="106">
        <v>21708.782471944782</v>
      </c>
      <c r="T99" s="106">
        <v>8</v>
      </c>
      <c r="U99" s="106">
        <v>43852.799999999996</v>
      </c>
      <c r="V99" s="106">
        <v>8.1698889440249811</v>
      </c>
      <c r="W99" s="106">
        <v>44784.06323556733</v>
      </c>
      <c r="X99" s="106">
        <v>8.7431343638525565</v>
      </c>
      <c r="Y99" s="106">
        <v>47926.365328894171</v>
      </c>
      <c r="Z99" s="106">
        <v>5.5432468441181264</v>
      </c>
      <c r="AA99" s="106">
        <v>30385.861900717919</v>
      </c>
      <c r="AB99" s="106">
        <v>5.2657843767313022</v>
      </c>
      <c r="AC99" s="106">
        <v>28864.923639490302</v>
      </c>
      <c r="AD99" s="106">
        <v>5</v>
      </c>
      <c r="AE99" s="106">
        <v>27407.999999999996</v>
      </c>
      <c r="AF99" s="106">
        <v>3</v>
      </c>
      <c r="AG99" s="106">
        <v>16444.8</v>
      </c>
      <c r="AH99" s="106">
        <v>5.3071479992113311</v>
      </c>
      <c r="AI99" s="106">
        <v>29091.66247247683</v>
      </c>
      <c r="AJ99" s="106">
        <v>22</v>
      </c>
      <c r="AK99" s="106">
        <v>120595.19999999998</v>
      </c>
      <c r="AL99" s="106">
        <v>18.470567106230053</v>
      </c>
      <c r="AM99" s="106">
        <v>101248.26064951064</v>
      </c>
      <c r="AN99" s="106">
        <v>16.637061177194791</v>
      </c>
      <c r="AO99" s="106">
        <v>91197.714548910953</v>
      </c>
      <c r="AP99" s="106">
        <v>14</v>
      </c>
      <c r="AQ99" s="106">
        <v>76742.399999999994</v>
      </c>
      <c r="AR99" s="106">
        <v>2</v>
      </c>
      <c r="AS99" s="106">
        <v>10963.199999999999</v>
      </c>
      <c r="AT99" s="106">
        <v>2</v>
      </c>
      <c r="AU99" s="106">
        <v>10963.199999999999</v>
      </c>
      <c r="AV99" s="106">
        <v>3</v>
      </c>
      <c r="AW99" s="106">
        <v>16444.8</v>
      </c>
      <c r="AX99" s="106">
        <v>2.2639320987654319</v>
      </c>
      <c r="AY99" s="106">
        <v>12409.970192592591</v>
      </c>
      <c r="AZ99" s="106">
        <v>4.3396474865430816</v>
      </c>
      <c r="BA99" s="106">
        <v>23788.211662234553</v>
      </c>
      <c r="BB99" s="106">
        <v>7.4665471672927666</v>
      </c>
      <c r="BC99" s="106">
        <v>40928.624952232029</v>
      </c>
      <c r="BD99" s="106">
        <v>6.5703376276382564</v>
      </c>
      <c r="BE99" s="106">
        <v>36015.96273966186</v>
      </c>
      <c r="BF99" s="106">
        <v>5</v>
      </c>
      <c r="BG99" s="106">
        <v>27407.999999999996</v>
      </c>
      <c r="BH99" s="106">
        <v>5.3928252576901228</v>
      </c>
      <c r="BI99" s="106">
        <v>29561.310932554174</v>
      </c>
      <c r="BJ99" s="106">
        <v>7.3377271553049317</v>
      </c>
      <c r="BK99" s="106">
        <v>40222.485174519512</v>
      </c>
      <c r="BL99" s="106">
        <v>8.3698062437193226</v>
      </c>
      <c r="BM99" s="106">
        <v>45879.929905571837</v>
      </c>
      <c r="BN99" s="106">
        <v>5.2245898402094575</v>
      </c>
      <c r="BO99" s="106">
        <v>28639.111668092159</v>
      </c>
      <c r="BP99" s="106">
        <v>3</v>
      </c>
      <c r="BQ99" s="106">
        <v>16444.8</v>
      </c>
      <c r="BR99" s="106">
        <v>3</v>
      </c>
      <c r="BS99" s="106">
        <v>16444.8</v>
      </c>
      <c r="BT99" s="106">
        <v>4</v>
      </c>
      <c r="BU99" s="106">
        <v>21926.399999999998</v>
      </c>
      <c r="BV99" s="106">
        <v>3.5644192718638701</v>
      </c>
      <c r="BW99" s="106">
        <v>19538.720680648988</v>
      </c>
      <c r="BX99" s="106">
        <v>11</v>
      </c>
      <c r="BY99" s="106">
        <v>60297.599999999991</v>
      </c>
      <c r="BZ99" s="106">
        <v>8</v>
      </c>
      <c r="CA99" s="106">
        <v>43852.799999999996</v>
      </c>
      <c r="CB99" s="106">
        <v>9.668677499891281</v>
      </c>
      <c r="CC99" s="106">
        <v>52999.822583404042</v>
      </c>
      <c r="CD99" s="106">
        <v>9</v>
      </c>
      <c r="CE99" s="106">
        <v>49334.399999999994</v>
      </c>
      <c r="CF99" s="106">
        <v>3.3892777777777781</v>
      </c>
      <c r="CG99" s="106">
        <v>18578.665066666665</v>
      </c>
      <c r="CH99" s="106">
        <v>3</v>
      </c>
      <c r="CI99" s="106">
        <v>16444.8</v>
      </c>
      <c r="CJ99" s="106">
        <v>3.2356131255384133</v>
      </c>
      <c r="CK99" s="106">
        <v>17736.336908951365</v>
      </c>
      <c r="CL99" s="106">
        <v>2.358204425663005</v>
      </c>
      <c r="CM99" s="106">
        <v>12926.733379714327</v>
      </c>
      <c r="CN99" s="106">
        <v>3</v>
      </c>
      <c r="CO99" s="106">
        <v>16444.8</v>
      </c>
      <c r="CP99" s="106">
        <v>3</v>
      </c>
      <c r="CQ99" s="106">
        <v>16444.8</v>
      </c>
      <c r="CR99" s="106">
        <v>2</v>
      </c>
      <c r="CS99" s="106">
        <v>10963.199999999999</v>
      </c>
      <c r="CT99" s="106">
        <v>3</v>
      </c>
      <c r="CU99" s="106">
        <v>16444.8</v>
      </c>
    </row>
    <row r="100" spans="2:99" x14ac:dyDescent="0.2">
      <c r="C100" s="105" t="s">
        <v>266</v>
      </c>
      <c r="D100" s="106">
        <v>4</v>
      </c>
      <c r="E100" s="106">
        <v>6489.5999999999995</v>
      </c>
      <c r="F100" s="106">
        <v>5</v>
      </c>
      <c r="G100" s="106">
        <v>8111.9999999999991</v>
      </c>
      <c r="H100" s="106">
        <v>6</v>
      </c>
      <c r="I100" s="106">
        <v>9734.4</v>
      </c>
      <c r="J100" s="106">
        <v>4</v>
      </c>
      <c r="K100" s="106">
        <v>6489.5999999999995</v>
      </c>
      <c r="L100" s="106">
        <v>5.0300441407843364</v>
      </c>
      <c r="M100" s="106">
        <v>8160.7436140085065</v>
      </c>
      <c r="N100" s="106">
        <v>4</v>
      </c>
      <c r="O100" s="106">
        <v>6489.5999999999995</v>
      </c>
      <c r="P100" s="106">
        <v>3.5514882946797974</v>
      </c>
      <c r="Q100" s="106">
        <v>5761.9346092885025</v>
      </c>
      <c r="R100" s="106">
        <v>4.4122064167462876</v>
      </c>
      <c r="S100" s="106">
        <v>7158.363690529176</v>
      </c>
      <c r="T100" s="106">
        <v>10</v>
      </c>
      <c r="U100" s="106">
        <v>16223.999999999998</v>
      </c>
      <c r="V100" s="106">
        <v>11</v>
      </c>
      <c r="W100" s="106">
        <v>17846.399999999998</v>
      </c>
      <c r="X100" s="106">
        <v>11.149755053507729</v>
      </c>
      <c r="Y100" s="106">
        <v>18089.362598810938</v>
      </c>
      <c r="Z100" s="106">
        <v>9.9506819772067203</v>
      </c>
      <c r="AA100" s="106">
        <v>16143.986439820183</v>
      </c>
      <c r="AB100" s="106">
        <v>7.3417227700831029</v>
      </c>
      <c r="AC100" s="106">
        <v>11911.211022182824</v>
      </c>
      <c r="AD100" s="106">
        <v>7</v>
      </c>
      <c r="AE100" s="106">
        <v>11356.8</v>
      </c>
      <c r="AF100" s="106">
        <v>4</v>
      </c>
      <c r="AG100" s="106">
        <v>6489.5999999999995</v>
      </c>
      <c r="AH100" s="106">
        <v>7.3455414991127475</v>
      </c>
      <c r="AI100" s="106">
        <v>11917.40652816052</v>
      </c>
      <c r="AJ100" s="106">
        <v>38</v>
      </c>
      <c r="AK100" s="106">
        <v>61651.199999999997</v>
      </c>
      <c r="AL100" s="106">
        <v>30.736539818447039</v>
      </c>
      <c r="AM100" s="106">
        <v>49866.96220144847</v>
      </c>
      <c r="AN100" s="106">
        <v>33.936854672345284</v>
      </c>
      <c r="AO100" s="106">
        <v>55059.153020412981</v>
      </c>
      <c r="AP100" s="106">
        <v>25</v>
      </c>
      <c r="AQ100" s="106">
        <v>40560</v>
      </c>
      <c r="AR100" s="106">
        <v>3</v>
      </c>
      <c r="AS100" s="106">
        <v>4867.2</v>
      </c>
      <c r="AT100" s="106">
        <v>2</v>
      </c>
      <c r="AU100" s="106">
        <v>3244.7999999999997</v>
      </c>
      <c r="AV100" s="106">
        <v>4</v>
      </c>
      <c r="AW100" s="106">
        <v>6489.5999999999995</v>
      </c>
      <c r="AX100" s="106">
        <v>2.4245864197530862</v>
      </c>
      <c r="AY100" s="106">
        <v>3933.6490074074068</v>
      </c>
      <c r="AZ100" s="106">
        <v>6.4075769838516976</v>
      </c>
      <c r="BA100" s="106">
        <v>10395.652898600993</v>
      </c>
      <c r="BB100" s="106">
        <v>12.69982075093915</v>
      </c>
      <c r="BC100" s="106">
        <v>20604.189186323674</v>
      </c>
      <c r="BD100" s="106">
        <v>7.7287647464266609</v>
      </c>
      <c r="BE100" s="106">
        <v>12539.147924602614</v>
      </c>
      <c r="BF100" s="106">
        <v>7.796983687288396</v>
      </c>
      <c r="BG100" s="106">
        <v>12649.826334256693</v>
      </c>
      <c r="BH100" s="106">
        <v>8.4999594188783369</v>
      </c>
      <c r="BI100" s="106">
        <v>13790.334161188213</v>
      </c>
      <c r="BJ100" s="106">
        <v>11.48548278575084</v>
      </c>
      <c r="BK100" s="106">
        <v>18634.047271602161</v>
      </c>
      <c r="BL100" s="106">
        <v>14.554709365578985</v>
      </c>
      <c r="BM100" s="106">
        <v>23613.560474715341</v>
      </c>
      <c r="BN100" s="106">
        <v>7.3800751142006202</v>
      </c>
      <c r="BO100" s="106">
        <v>11973.433865279085</v>
      </c>
      <c r="BP100" s="106">
        <v>4</v>
      </c>
      <c r="BQ100" s="106">
        <v>6489.5999999999995</v>
      </c>
      <c r="BR100" s="106">
        <v>4</v>
      </c>
      <c r="BS100" s="106">
        <v>6489.5999999999995</v>
      </c>
      <c r="BT100" s="106">
        <v>4</v>
      </c>
      <c r="BU100" s="106">
        <v>6489.5999999999995</v>
      </c>
      <c r="BV100" s="106">
        <v>4</v>
      </c>
      <c r="BW100" s="106">
        <v>6489.5999999999995</v>
      </c>
      <c r="BX100" s="106">
        <v>15</v>
      </c>
      <c r="BY100" s="106">
        <v>24335.999999999996</v>
      </c>
      <c r="BZ100" s="106">
        <v>11</v>
      </c>
      <c r="CA100" s="106">
        <v>17846.399999999998</v>
      </c>
      <c r="CB100" s="106">
        <v>18.092173249822427</v>
      </c>
      <c r="CC100" s="106">
        <v>29352.741880511901</v>
      </c>
      <c r="CD100" s="106">
        <v>15</v>
      </c>
      <c r="CE100" s="106">
        <v>24335.999999999996</v>
      </c>
      <c r="CF100" s="106">
        <v>4.4491666666666667</v>
      </c>
      <c r="CG100" s="106">
        <v>7218.3279999999995</v>
      </c>
      <c r="CH100" s="106">
        <v>3</v>
      </c>
      <c r="CI100" s="106">
        <v>4867.2</v>
      </c>
      <c r="CJ100" s="106">
        <v>4.3365901793405905</v>
      </c>
      <c r="CK100" s="106">
        <v>7035.6839069621738</v>
      </c>
      <c r="CL100" s="106">
        <v>3.4233325030562787</v>
      </c>
      <c r="CM100" s="106">
        <v>5554.0146529585063</v>
      </c>
      <c r="CN100" s="106">
        <v>4</v>
      </c>
      <c r="CO100" s="106">
        <v>6489.5999999999995</v>
      </c>
      <c r="CP100" s="106">
        <v>3</v>
      </c>
      <c r="CQ100" s="106">
        <v>4867.2</v>
      </c>
      <c r="CR100" s="106">
        <v>3</v>
      </c>
      <c r="CS100" s="106">
        <v>4867.2</v>
      </c>
      <c r="CT100" s="106">
        <v>4</v>
      </c>
      <c r="CU100" s="106">
        <v>6489.5999999999995</v>
      </c>
    </row>
    <row r="101" spans="2:99" x14ac:dyDescent="0.2">
      <c r="C101" s="105" t="s">
        <v>267</v>
      </c>
      <c r="D101" s="106">
        <v>4</v>
      </c>
      <c r="E101" s="106">
        <v>4761.5999999999995</v>
      </c>
      <c r="F101" s="106">
        <v>5</v>
      </c>
      <c r="G101" s="106">
        <v>5951.9999999999991</v>
      </c>
      <c r="H101" s="106">
        <v>7</v>
      </c>
      <c r="I101" s="106">
        <v>8332.7999999999993</v>
      </c>
      <c r="J101" s="106">
        <v>4</v>
      </c>
      <c r="K101" s="106">
        <v>4761.5999999999995</v>
      </c>
      <c r="L101" s="106">
        <v>4.9590066138336928</v>
      </c>
      <c r="M101" s="106">
        <v>5903.201473107627</v>
      </c>
      <c r="N101" s="106">
        <v>4</v>
      </c>
      <c r="O101" s="106">
        <v>4761.5999999999995</v>
      </c>
      <c r="P101" s="106">
        <v>3.6331902642619895</v>
      </c>
      <c r="Q101" s="106">
        <v>4324.9496905774722</v>
      </c>
      <c r="R101" s="106">
        <v>4.2709857750716589</v>
      </c>
      <c r="S101" s="106">
        <v>5084.181466645302</v>
      </c>
      <c r="T101" s="106">
        <v>11</v>
      </c>
      <c r="U101" s="106">
        <v>13094.399999999998</v>
      </c>
      <c r="V101" s="106">
        <v>11</v>
      </c>
      <c r="W101" s="106">
        <v>13094.399999999998</v>
      </c>
      <c r="X101" s="106">
        <v>14.149755053507729</v>
      </c>
      <c r="Y101" s="106">
        <v>16843.868415695597</v>
      </c>
      <c r="Z101" s="106">
        <v>9.9167290494493372</v>
      </c>
      <c r="AA101" s="106">
        <v>11804.87426046449</v>
      </c>
      <c r="AB101" s="106">
        <v>7.3417227700831029</v>
      </c>
      <c r="AC101" s="106">
        <v>8739.5867855069246</v>
      </c>
      <c r="AD101" s="106">
        <v>7</v>
      </c>
      <c r="AE101" s="106">
        <v>8332.7999999999993</v>
      </c>
      <c r="AF101" s="106">
        <v>4</v>
      </c>
      <c r="AG101" s="106">
        <v>4761.5999999999995</v>
      </c>
      <c r="AH101" s="106">
        <v>8.3839349990141638</v>
      </c>
      <c r="AI101" s="106">
        <v>9980.2362228264592</v>
      </c>
      <c r="AJ101" s="106">
        <v>38</v>
      </c>
      <c r="AK101" s="106">
        <v>45235.199999999997</v>
      </c>
      <c r="AL101" s="106">
        <v>33.797918136650956</v>
      </c>
      <c r="AM101" s="106">
        <v>40233.041749869291</v>
      </c>
      <c r="AN101" s="106">
        <v>35.899380485451474</v>
      </c>
      <c r="AO101" s="106">
        <v>42734.622529881432</v>
      </c>
      <c r="AP101" s="106">
        <v>26</v>
      </c>
      <c r="AQ101" s="106">
        <v>30950.399999999998</v>
      </c>
      <c r="AR101" s="106">
        <v>3</v>
      </c>
      <c r="AS101" s="106">
        <v>3571.2</v>
      </c>
      <c r="AT101" s="106">
        <v>2</v>
      </c>
      <c r="AU101" s="106">
        <v>2380.7999999999997</v>
      </c>
      <c r="AV101" s="106">
        <v>4</v>
      </c>
      <c r="AW101" s="106">
        <v>4761.5999999999995</v>
      </c>
      <c r="AX101" s="106">
        <v>2.4360617283950616</v>
      </c>
      <c r="AY101" s="106">
        <v>2899.8878814814811</v>
      </c>
      <c r="AZ101" s="106">
        <v>7.441541732506006</v>
      </c>
      <c r="BA101" s="106">
        <v>8858.411278375148</v>
      </c>
      <c r="BB101" s="106">
        <v>10.69982075093915</v>
      </c>
      <c r="BC101" s="106">
        <v>12737.066621917962</v>
      </c>
      <c r="BD101" s="106">
        <v>8.7604501701843418</v>
      </c>
      <c r="BE101" s="106">
        <v>10428.43988258744</v>
      </c>
      <c r="BF101" s="106">
        <v>7.7471722068328717</v>
      </c>
      <c r="BG101" s="106">
        <v>9222.2337950138499</v>
      </c>
      <c r="BH101" s="106">
        <v>8.5356708059410771</v>
      </c>
      <c r="BI101" s="106">
        <v>10160.862527392257</v>
      </c>
      <c r="BJ101" s="106">
        <v>10.464374838544281</v>
      </c>
      <c r="BK101" s="106">
        <v>12456.791807803111</v>
      </c>
      <c r="BL101" s="106">
        <v>14.534164574261245</v>
      </c>
      <c r="BM101" s="106">
        <v>17301.469509200586</v>
      </c>
      <c r="BN101" s="106">
        <v>8.3800751142006202</v>
      </c>
      <c r="BO101" s="106">
        <v>9975.6414159444175</v>
      </c>
      <c r="BP101" s="106">
        <v>4</v>
      </c>
      <c r="BQ101" s="106">
        <v>4761.5999999999995</v>
      </c>
      <c r="BR101" s="106">
        <v>4</v>
      </c>
      <c r="BS101" s="106">
        <v>4761.5999999999995</v>
      </c>
      <c r="BT101" s="106">
        <v>5</v>
      </c>
      <c r="BU101" s="106">
        <v>5951.9999999999991</v>
      </c>
      <c r="BV101" s="106">
        <v>4</v>
      </c>
      <c r="BW101" s="106">
        <v>4761.5999999999995</v>
      </c>
      <c r="BX101" s="106">
        <v>16</v>
      </c>
      <c r="BY101" s="106">
        <v>19046.399999999998</v>
      </c>
      <c r="BZ101" s="106">
        <v>12</v>
      </c>
      <c r="CA101" s="106">
        <v>14284.8</v>
      </c>
      <c r="CB101" s="106">
        <v>18.292776499789809</v>
      </c>
      <c r="CC101" s="106">
        <v>21775.721145349788</v>
      </c>
      <c r="CD101" s="106">
        <v>15</v>
      </c>
      <c r="CE101" s="106">
        <v>17855.999999999996</v>
      </c>
      <c r="CF101" s="106">
        <v>4.5090555555555554</v>
      </c>
      <c r="CG101" s="106">
        <v>5367.5797333333321</v>
      </c>
      <c r="CH101" s="106">
        <v>4</v>
      </c>
      <c r="CI101" s="106">
        <v>4761.5999999999995</v>
      </c>
      <c r="CJ101" s="106">
        <v>5.3029311614065318</v>
      </c>
      <c r="CK101" s="106">
        <v>6312.6092545383344</v>
      </c>
      <c r="CL101" s="106">
        <v>3.4558965417529155</v>
      </c>
      <c r="CM101" s="106">
        <v>4113.8992433026706</v>
      </c>
      <c r="CN101" s="106">
        <v>4</v>
      </c>
      <c r="CO101" s="106">
        <v>4761.5999999999995</v>
      </c>
      <c r="CP101" s="106">
        <v>4</v>
      </c>
      <c r="CQ101" s="106">
        <v>4761.5999999999995</v>
      </c>
      <c r="CR101" s="106">
        <v>3</v>
      </c>
      <c r="CS101" s="106">
        <v>3571.2</v>
      </c>
      <c r="CT101" s="106">
        <v>4</v>
      </c>
      <c r="CU101" s="106">
        <v>4761.5999999999995</v>
      </c>
    </row>
    <row r="102" spans="2:99" x14ac:dyDescent="0.2">
      <c r="C102" s="105" t="s">
        <v>268</v>
      </c>
      <c r="D102" s="106">
        <v>4</v>
      </c>
      <c r="E102" s="106">
        <v>7756.7999999999993</v>
      </c>
      <c r="F102" s="106">
        <v>5</v>
      </c>
      <c r="G102" s="106">
        <v>9696</v>
      </c>
      <c r="H102" s="106">
        <v>6</v>
      </c>
      <c r="I102" s="106">
        <v>11635.199999999999</v>
      </c>
      <c r="J102" s="106">
        <v>4</v>
      </c>
      <c r="K102" s="106">
        <v>7756.7999999999993</v>
      </c>
      <c r="L102" s="106">
        <v>4.9945253773090146</v>
      </c>
      <c r="M102" s="106">
        <v>9685.3836116776401</v>
      </c>
      <c r="N102" s="106">
        <v>4</v>
      </c>
      <c r="O102" s="106">
        <v>7756.7999999999993</v>
      </c>
      <c r="P102" s="106">
        <v>3.5106373098887014</v>
      </c>
      <c r="Q102" s="106">
        <v>6807.8278713361688</v>
      </c>
      <c r="R102" s="106">
        <v>4.4122064167462876</v>
      </c>
      <c r="S102" s="106">
        <v>8556.1506833544008</v>
      </c>
      <c r="T102" s="106">
        <v>10</v>
      </c>
      <c r="U102" s="106">
        <v>19392</v>
      </c>
      <c r="V102" s="106">
        <v>11</v>
      </c>
      <c r="W102" s="106">
        <v>21331.199999999997</v>
      </c>
      <c r="X102" s="106">
        <v>12.009541022592153</v>
      </c>
      <c r="Y102" s="106">
        <v>23288.901951010699</v>
      </c>
      <c r="Z102" s="106">
        <v>9.9337055133280288</v>
      </c>
      <c r="AA102" s="106">
        <v>19263.441731445713</v>
      </c>
      <c r="AB102" s="106">
        <v>6.3417227700831029</v>
      </c>
      <c r="AC102" s="106">
        <v>12297.868795745151</v>
      </c>
      <c r="AD102" s="106">
        <v>7</v>
      </c>
      <c r="AE102" s="106">
        <v>13574.399999999998</v>
      </c>
      <c r="AF102" s="106">
        <v>4</v>
      </c>
      <c r="AG102" s="106">
        <v>7756.7999999999993</v>
      </c>
      <c r="AH102" s="106">
        <v>7.3839349990141638</v>
      </c>
      <c r="AI102" s="106">
        <v>14318.926750088265</v>
      </c>
      <c r="AJ102" s="106">
        <v>37</v>
      </c>
      <c r="AK102" s="106">
        <v>71750.399999999994</v>
      </c>
      <c r="AL102" s="106">
        <v>29.695620939644424</v>
      </c>
      <c r="AM102" s="106">
        <v>57585.748126158462</v>
      </c>
      <c r="AN102" s="106">
        <v>31.899380485451474</v>
      </c>
      <c r="AO102" s="106">
        <v>61859.278637387491</v>
      </c>
      <c r="AP102" s="106">
        <v>25</v>
      </c>
      <c r="AQ102" s="106">
        <v>48479.999999999993</v>
      </c>
      <c r="AR102" s="106">
        <v>3</v>
      </c>
      <c r="AS102" s="106">
        <v>5817.5999999999995</v>
      </c>
      <c r="AT102" s="106">
        <v>2</v>
      </c>
      <c r="AU102" s="106">
        <v>3878.3999999999996</v>
      </c>
      <c r="AV102" s="106">
        <v>4</v>
      </c>
      <c r="AW102" s="106">
        <v>7756.7999999999993</v>
      </c>
      <c r="AX102" s="106">
        <v>2.4360617283950616</v>
      </c>
      <c r="AY102" s="106">
        <v>4724.0109037037028</v>
      </c>
      <c r="AZ102" s="106">
        <v>7.441541732506006</v>
      </c>
      <c r="BA102" s="106">
        <v>14430.637727675645</v>
      </c>
      <c r="BB102" s="106">
        <v>10.66094182033142</v>
      </c>
      <c r="BC102" s="106">
        <v>20673.698377986686</v>
      </c>
      <c r="BD102" s="106">
        <v>7.6653938989112991</v>
      </c>
      <c r="BE102" s="106">
        <v>14864.73184876879</v>
      </c>
      <c r="BF102" s="106">
        <v>7.6973607263773474</v>
      </c>
      <c r="BG102" s="106">
        <v>14926.721920590951</v>
      </c>
      <c r="BH102" s="106">
        <v>7.4821037253469687</v>
      </c>
      <c r="BI102" s="106">
        <v>14509.295544192841</v>
      </c>
      <c r="BJ102" s="106">
        <v>10.443266891337723</v>
      </c>
      <c r="BK102" s="106">
        <v>20251.58315568211</v>
      </c>
      <c r="BL102" s="106">
        <v>13.513619782943504</v>
      </c>
      <c r="BM102" s="106">
        <v>26205.611483084042</v>
      </c>
      <c r="BN102" s="106">
        <v>7.3109705479823255</v>
      </c>
      <c r="BO102" s="106">
        <v>14177.434086647325</v>
      </c>
      <c r="BP102" s="106">
        <v>4</v>
      </c>
      <c r="BQ102" s="106">
        <v>7756.7999999999993</v>
      </c>
      <c r="BR102" s="106">
        <v>4</v>
      </c>
      <c r="BS102" s="106">
        <v>7756.7999999999993</v>
      </c>
      <c r="BT102" s="106">
        <v>5</v>
      </c>
      <c r="BU102" s="106">
        <v>9696</v>
      </c>
      <c r="BV102" s="106">
        <v>4</v>
      </c>
      <c r="BW102" s="106">
        <v>7756.7999999999993</v>
      </c>
      <c r="BX102" s="106">
        <v>15</v>
      </c>
      <c r="BY102" s="106">
        <v>29087.999999999996</v>
      </c>
      <c r="BZ102" s="106">
        <v>12</v>
      </c>
      <c r="CA102" s="106">
        <v>23270.399999999998</v>
      </c>
      <c r="CB102" s="106">
        <v>17.092173249822427</v>
      </c>
      <c r="CC102" s="106">
        <v>33145.142366055647</v>
      </c>
      <c r="CD102" s="106">
        <v>13</v>
      </c>
      <c r="CE102" s="106">
        <v>25209.599999999999</v>
      </c>
      <c r="CF102" s="106">
        <v>4.479111111111111</v>
      </c>
      <c r="CG102" s="106">
        <v>8685.8922666666658</v>
      </c>
      <c r="CH102" s="106">
        <v>3</v>
      </c>
      <c r="CI102" s="106">
        <v>5817.5999999999995</v>
      </c>
      <c r="CJ102" s="106">
        <v>4.3029311614065318</v>
      </c>
      <c r="CK102" s="106">
        <v>8344.2441081995457</v>
      </c>
      <c r="CL102" s="106">
        <v>2.4558965417529155</v>
      </c>
      <c r="CM102" s="106">
        <v>4762.4745737672529</v>
      </c>
      <c r="CN102" s="106">
        <v>4</v>
      </c>
      <c r="CO102" s="106">
        <v>7756.7999999999993</v>
      </c>
      <c r="CP102" s="106">
        <v>3</v>
      </c>
      <c r="CQ102" s="106">
        <v>5817.5999999999995</v>
      </c>
      <c r="CR102" s="106">
        <v>3</v>
      </c>
      <c r="CS102" s="106">
        <v>5817.5999999999995</v>
      </c>
      <c r="CT102" s="106">
        <v>4</v>
      </c>
      <c r="CU102" s="106">
        <v>7756.7999999999993</v>
      </c>
    </row>
    <row r="103" spans="2:99" x14ac:dyDescent="0.2">
      <c r="C103" s="105" t="s">
        <v>269</v>
      </c>
      <c r="D103" s="106">
        <v>4</v>
      </c>
      <c r="E103" s="106">
        <v>8112</v>
      </c>
      <c r="F103" s="106">
        <v>5</v>
      </c>
      <c r="G103" s="106">
        <v>10140</v>
      </c>
      <c r="H103" s="106">
        <v>6</v>
      </c>
      <c r="I103" s="106">
        <v>12168</v>
      </c>
      <c r="J103" s="106">
        <v>4</v>
      </c>
      <c r="K103" s="106">
        <v>8112</v>
      </c>
      <c r="L103" s="106">
        <v>4.9590066138336928</v>
      </c>
      <c r="M103" s="106">
        <v>10056.86541285473</v>
      </c>
      <c r="N103" s="106">
        <v>4</v>
      </c>
      <c r="O103" s="106">
        <v>8112</v>
      </c>
      <c r="P103" s="106">
        <v>3.4902118174931531</v>
      </c>
      <c r="Q103" s="106">
        <v>7078.1495658761141</v>
      </c>
      <c r="R103" s="106">
        <v>5.1862533900668817</v>
      </c>
      <c r="S103" s="106">
        <v>10517.721875055637</v>
      </c>
      <c r="T103" s="106">
        <v>10</v>
      </c>
      <c r="U103" s="106">
        <v>20280</v>
      </c>
      <c r="V103" s="106">
        <v>12</v>
      </c>
      <c r="W103" s="106">
        <v>24336</v>
      </c>
      <c r="X103" s="106">
        <v>11.093669441141499</v>
      </c>
      <c r="Y103" s="106">
        <v>22497.961626634959</v>
      </c>
      <c r="Z103" s="106">
        <v>9.8318467300558812</v>
      </c>
      <c r="AA103" s="106">
        <v>19938.985168553329</v>
      </c>
      <c r="AB103" s="106">
        <v>6.3417227700831029</v>
      </c>
      <c r="AC103" s="106">
        <v>12861.013777728533</v>
      </c>
      <c r="AD103" s="106">
        <v>8</v>
      </c>
      <c r="AE103" s="106">
        <v>16224</v>
      </c>
      <c r="AF103" s="106">
        <v>4</v>
      </c>
      <c r="AG103" s="106">
        <v>8112</v>
      </c>
      <c r="AH103" s="106">
        <v>7.3839349990141638</v>
      </c>
      <c r="AI103" s="106">
        <v>14974.620178000725</v>
      </c>
      <c r="AJ103" s="106">
        <v>33</v>
      </c>
      <c r="AK103" s="106">
        <v>66924</v>
      </c>
      <c r="AL103" s="106">
        <v>27.675161500243117</v>
      </c>
      <c r="AM103" s="106">
        <v>56125.227522493042</v>
      </c>
      <c r="AN103" s="106">
        <v>27.82443211166385</v>
      </c>
      <c r="AO103" s="106">
        <v>56427.948322454286</v>
      </c>
      <c r="AP103" s="106">
        <v>26</v>
      </c>
      <c r="AQ103" s="106">
        <v>52728</v>
      </c>
      <c r="AR103" s="106">
        <v>2</v>
      </c>
      <c r="AS103" s="106">
        <v>4056</v>
      </c>
      <c r="AT103" s="106">
        <v>2</v>
      </c>
      <c r="AU103" s="106">
        <v>4056</v>
      </c>
      <c r="AV103" s="106">
        <v>4</v>
      </c>
      <c r="AW103" s="106">
        <v>8112</v>
      </c>
      <c r="AX103" s="106">
        <v>2.3786851851851853</v>
      </c>
      <c r="AY103" s="106">
        <v>4823.9735555555562</v>
      </c>
      <c r="AZ103" s="106">
        <v>6.441541732506006</v>
      </c>
      <c r="BA103" s="106">
        <v>13063.44663352218</v>
      </c>
      <c r="BB103" s="106">
        <v>11.66094182033142</v>
      </c>
      <c r="BC103" s="106">
        <v>23648.39001163212</v>
      </c>
      <c r="BD103" s="106">
        <v>7.6337084751536182</v>
      </c>
      <c r="BE103" s="106">
        <v>15481.160787611538</v>
      </c>
      <c r="BF103" s="106">
        <v>8</v>
      </c>
      <c r="BG103" s="106">
        <v>16224</v>
      </c>
      <c r="BH103" s="106">
        <v>7.4821037253469687</v>
      </c>
      <c r="BI103" s="106">
        <v>15173.706355003653</v>
      </c>
      <c r="BJ103" s="106">
        <v>9.4643748385442805</v>
      </c>
      <c r="BK103" s="106">
        <v>19193.752172567802</v>
      </c>
      <c r="BL103" s="106">
        <v>12.451985408990284</v>
      </c>
      <c r="BM103" s="106">
        <v>25252.626409432294</v>
      </c>
      <c r="BN103" s="106">
        <v>8.3455228310914737</v>
      </c>
      <c r="BO103" s="106">
        <v>16924.720301453508</v>
      </c>
      <c r="BP103" s="106">
        <v>4</v>
      </c>
      <c r="BQ103" s="106">
        <v>8112</v>
      </c>
      <c r="BR103" s="106">
        <v>4</v>
      </c>
      <c r="BS103" s="106">
        <v>8112</v>
      </c>
      <c r="BT103" s="106">
        <v>4</v>
      </c>
      <c r="BU103" s="106">
        <v>8112</v>
      </c>
      <c r="BV103" s="106">
        <v>4</v>
      </c>
      <c r="BW103" s="106">
        <v>8112</v>
      </c>
      <c r="BX103" s="106">
        <v>14</v>
      </c>
      <c r="BY103" s="106">
        <v>28392</v>
      </c>
      <c r="BZ103" s="106">
        <v>10</v>
      </c>
      <c r="CA103" s="106">
        <v>20280</v>
      </c>
      <c r="CB103" s="106">
        <v>15.936148499847794</v>
      </c>
      <c r="CC103" s="106">
        <v>32318.509157691326</v>
      </c>
      <c r="CD103" s="106">
        <v>14</v>
      </c>
      <c r="CE103" s="106">
        <v>28392</v>
      </c>
      <c r="CF103" s="106">
        <v>3.479111111111111</v>
      </c>
      <c r="CG103" s="106">
        <v>7055.6373333333331</v>
      </c>
      <c r="CH103" s="106">
        <v>3</v>
      </c>
      <c r="CI103" s="106">
        <v>6084</v>
      </c>
      <c r="CJ103" s="106">
        <v>4.2692721434724721</v>
      </c>
      <c r="CK103" s="106">
        <v>8658.0839069621725</v>
      </c>
      <c r="CL103" s="106">
        <v>2.3907684643596419</v>
      </c>
      <c r="CM103" s="106">
        <v>4848.4784457213536</v>
      </c>
      <c r="CN103" s="106">
        <v>4</v>
      </c>
      <c r="CO103" s="106">
        <v>8112</v>
      </c>
      <c r="CP103" s="106">
        <v>3</v>
      </c>
      <c r="CQ103" s="106">
        <v>6084</v>
      </c>
      <c r="CR103" s="106">
        <v>3</v>
      </c>
      <c r="CS103" s="106">
        <v>6084</v>
      </c>
      <c r="CT103" s="106">
        <v>5</v>
      </c>
      <c r="CU103" s="106">
        <v>10140</v>
      </c>
    </row>
    <row r="104" spans="2:99" x14ac:dyDescent="0.2">
      <c r="C104" s="105" t="s">
        <v>270</v>
      </c>
      <c r="D104" s="106">
        <v>4</v>
      </c>
      <c r="E104" s="106">
        <v>8289.6</v>
      </c>
      <c r="F104" s="106">
        <v>5</v>
      </c>
      <c r="G104" s="106">
        <v>10362</v>
      </c>
      <c r="H104" s="106">
        <v>6</v>
      </c>
      <c r="I104" s="106">
        <v>12434.400000000001</v>
      </c>
      <c r="J104" s="106">
        <v>3</v>
      </c>
      <c r="K104" s="106">
        <v>6217.2000000000007</v>
      </c>
      <c r="L104" s="106">
        <v>4.8879690868830492</v>
      </c>
      <c r="M104" s="106">
        <v>10129.827135656431</v>
      </c>
      <c r="N104" s="106">
        <v>4</v>
      </c>
      <c r="O104" s="106">
        <v>8289.6</v>
      </c>
      <c r="P104" s="106">
        <v>3.5719137870753452</v>
      </c>
      <c r="Q104" s="106">
        <v>7402.4341323349454</v>
      </c>
      <c r="R104" s="106">
        <v>4.2144975184018074</v>
      </c>
      <c r="S104" s="106">
        <v>8734.1246571359061</v>
      </c>
      <c r="T104" s="106">
        <v>11</v>
      </c>
      <c r="U104" s="106">
        <v>22796.400000000001</v>
      </c>
      <c r="V104" s="106">
        <v>11</v>
      </c>
      <c r="W104" s="106">
        <v>22796.400000000001</v>
      </c>
      <c r="X104" s="106">
        <v>12.135733650416171</v>
      </c>
      <c r="Y104" s="106">
        <v>25150.094417122473</v>
      </c>
      <c r="Z104" s="106">
        <v>9.8318467300558812</v>
      </c>
      <c r="AA104" s="106">
        <v>20375.519163367808</v>
      </c>
      <c r="AB104" s="106">
        <v>7.3417227700831029</v>
      </c>
      <c r="AC104" s="106">
        <v>15214.986268720224</v>
      </c>
      <c r="AD104" s="106">
        <v>7</v>
      </c>
      <c r="AE104" s="106">
        <v>14506.800000000001</v>
      </c>
      <c r="AF104" s="106">
        <v>4</v>
      </c>
      <c r="AG104" s="106">
        <v>8289.6</v>
      </c>
      <c r="AH104" s="106">
        <v>7.3455414991127475</v>
      </c>
      <c r="AI104" s="106">
        <v>15222.900202761259</v>
      </c>
      <c r="AJ104" s="106">
        <v>38</v>
      </c>
      <c r="AK104" s="106">
        <v>78751.199999999997</v>
      </c>
      <c r="AL104" s="106">
        <v>32.654702060841814</v>
      </c>
      <c r="AM104" s="106">
        <v>67673.604550888573</v>
      </c>
      <c r="AN104" s="106">
        <v>28.82443211166385</v>
      </c>
      <c r="AO104" s="106">
        <v>59735.753108212164</v>
      </c>
      <c r="AP104" s="106">
        <v>23</v>
      </c>
      <c r="AQ104" s="106">
        <v>47665.200000000004</v>
      </c>
      <c r="AR104" s="106">
        <v>3</v>
      </c>
      <c r="AS104" s="106">
        <v>6217.2000000000007</v>
      </c>
      <c r="AT104" s="106">
        <v>2</v>
      </c>
      <c r="AU104" s="106">
        <v>4144.8</v>
      </c>
      <c r="AV104" s="106">
        <v>4</v>
      </c>
      <c r="AW104" s="106">
        <v>8289.6</v>
      </c>
      <c r="AX104" s="106">
        <v>2.3901604938271603</v>
      </c>
      <c r="AY104" s="106">
        <v>4953.3686074074076</v>
      </c>
      <c r="AZ104" s="106">
        <v>6.4755064811603145</v>
      </c>
      <c r="BA104" s="106">
        <v>13419.839631556637</v>
      </c>
      <c r="BB104" s="106">
        <v>11.583183959115958</v>
      </c>
      <c r="BC104" s="106">
        <v>24004.990436871914</v>
      </c>
      <c r="BD104" s="106">
        <v>7.6337084751536182</v>
      </c>
      <c r="BE104" s="106">
        <v>15820.097443908358</v>
      </c>
      <c r="BF104" s="106">
        <v>7</v>
      </c>
      <c r="BG104" s="106">
        <v>14506.800000000001</v>
      </c>
      <c r="BH104" s="106">
        <v>8.4999594188783369</v>
      </c>
      <c r="BI104" s="106">
        <v>17615.315899683465</v>
      </c>
      <c r="BJ104" s="106">
        <v>10.443266891337723</v>
      </c>
      <c r="BK104" s="106">
        <v>21642.626305608297</v>
      </c>
      <c r="BL104" s="106">
        <v>13.493074991625765</v>
      </c>
      <c r="BM104" s="106">
        <v>27963.048612645234</v>
      </c>
      <c r="BN104" s="106">
        <v>8.362798972646047</v>
      </c>
      <c r="BO104" s="106">
        <v>17331.064590911668</v>
      </c>
      <c r="BP104" s="106">
        <v>4</v>
      </c>
      <c r="BQ104" s="106">
        <v>8289.6</v>
      </c>
      <c r="BR104" s="106">
        <v>3</v>
      </c>
      <c r="BS104" s="106">
        <v>6217.2000000000007</v>
      </c>
      <c r="BT104" s="106">
        <v>5</v>
      </c>
      <c r="BU104" s="106">
        <v>10362</v>
      </c>
      <c r="BV104" s="106">
        <v>4</v>
      </c>
      <c r="BW104" s="106">
        <v>8289.6</v>
      </c>
      <c r="BX104" s="106">
        <v>14</v>
      </c>
      <c r="BY104" s="106">
        <v>29013.600000000002</v>
      </c>
      <c r="BZ104" s="106">
        <v>11</v>
      </c>
      <c r="CA104" s="106">
        <v>22796.400000000001</v>
      </c>
      <c r="CB104" s="106">
        <v>15.047594749829674</v>
      </c>
      <c r="CC104" s="106">
        <v>31184.635359547017</v>
      </c>
      <c r="CD104" s="106">
        <v>13</v>
      </c>
      <c r="CE104" s="106">
        <v>26941.200000000001</v>
      </c>
      <c r="CF104" s="106">
        <v>4.479111111111111</v>
      </c>
      <c r="CG104" s="106">
        <v>9282.5098666666672</v>
      </c>
      <c r="CH104" s="106">
        <v>3</v>
      </c>
      <c r="CI104" s="106">
        <v>6217.2000000000007</v>
      </c>
      <c r="CJ104" s="106">
        <v>4.2692721434724721</v>
      </c>
      <c r="CK104" s="106">
        <v>8847.6395901323522</v>
      </c>
      <c r="CL104" s="106">
        <v>2.4558965417529155</v>
      </c>
      <c r="CM104" s="106">
        <v>5089.5999931287424</v>
      </c>
      <c r="CN104" s="106">
        <v>4</v>
      </c>
      <c r="CO104" s="106">
        <v>8289.6</v>
      </c>
      <c r="CP104" s="106">
        <v>3</v>
      </c>
      <c r="CQ104" s="106">
        <v>6217.2000000000007</v>
      </c>
      <c r="CR104" s="106">
        <v>3</v>
      </c>
      <c r="CS104" s="106">
        <v>6217.2000000000007</v>
      </c>
      <c r="CT104" s="106">
        <v>4</v>
      </c>
      <c r="CU104" s="106">
        <v>8289.6</v>
      </c>
    </row>
    <row r="105" spans="2:99" x14ac:dyDescent="0.2">
      <c r="C105" s="105" t="s">
        <v>271</v>
      </c>
      <c r="D105" s="106">
        <v>4</v>
      </c>
      <c r="E105" s="106">
        <v>7992</v>
      </c>
      <c r="F105" s="106">
        <v>5</v>
      </c>
      <c r="G105" s="106">
        <v>9990</v>
      </c>
      <c r="H105" s="106">
        <v>6</v>
      </c>
      <c r="I105" s="106">
        <v>11988</v>
      </c>
      <c r="J105" s="106">
        <v>3</v>
      </c>
      <c r="K105" s="106">
        <v>5994</v>
      </c>
      <c r="L105" s="106">
        <v>4.923487850358371</v>
      </c>
      <c r="M105" s="106">
        <v>9837.1287250160258</v>
      </c>
      <c r="N105" s="106">
        <v>4</v>
      </c>
      <c r="O105" s="106">
        <v>7992</v>
      </c>
      <c r="P105" s="106">
        <v>3.5106373098887014</v>
      </c>
      <c r="Q105" s="106">
        <v>7014.2533451576255</v>
      </c>
      <c r="R105" s="106">
        <v>5.2144975184018074</v>
      </c>
      <c r="S105" s="106">
        <v>10418.566041766811</v>
      </c>
      <c r="T105" s="106">
        <v>9</v>
      </c>
      <c r="U105" s="106">
        <v>17982</v>
      </c>
      <c r="V105" s="106">
        <v>13.866251410706516</v>
      </c>
      <c r="W105" s="106">
        <v>27704.770318591618</v>
      </c>
      <c r="X105" s="106">
        <v>11.037583828775267</v>
      </c>
      <c r="Y105" s="106">
        <v>22053.092489892984</v>
      </c>
      <c r="Z105" s="106">
        <v>8.8657996578132643</v>
      </c>
      <c r="AA105" s="106">
        <v>17713.867716310902</v>
      </c>
      <c r="AB105" s="106">
        <v>7.3417227700831029</v>
      </c>
      <c r="AC105" s="106">
        <v>14668.762094626039</v>
      </c>
      <c r="AD105" s="106">
        <v>7</v>
      </c>
      <c r="AE105" s="106">
        <v>13986</v>
      </c>
      <c r="AF105" s="106">
        <v>4</v>
      </c>
      <c r="AG105" s="106">
        <v>7992</v>
      </c>
      <c r="AH105" s="106">
        <v>7.3839349990141638</v>
      </c>
      <c r="AI105" s="106">
        <v>14753.102128030299</v>
      </c>
      <c r="AJ105" s="106">
        <v>36</v>
      </c>
      <c r="AK105" s="106">
        <v>71928</v>
      </c>
      <c r="AL105" s="106">
        <v>27.716080379045732</v>
      </c>
      <c r="AM105" s="106">
        <v>55376.728597333371</v>
      </c>
      <c r="AN105" s="106">
        <v>28.899380485451474</v>
      </c>
      <c r="AO105" s="106">
        <v>57740.962209932048</v>
      </c>
      <c r="AP105" s="106">
        <v>24</v>
      </c>
      <c r="AQ105" s="106">
        <v>47952</v>
      </c>
      <c r="AR105" s="106">
        <v>2</v>
      </c>
      <c r="AS105" s="106">
        <v>3996</v>
      </c>
      <c r="AT105" s="106">
        <v>2</v>
      </c>
      <c r="AU105" s="106">
        <v>3996</v>
      </c>
      <c r="AV105" s="106">
        <v>4</v>
      </c>
      <c r="AW105" s="106">
        <v>7992</v>
      </c>
      <c r="AX105" s="106">
        <v>2.4131111111111112</v>
      </c>
      <c r="AY105" s="106">
        <v>4821.3960000000006</v>
      </c>
      <c r="AZ105" s="106">
        <v>6.441541732506006</v>
      </c>
      <c r="BA105" s="106">
        <v>12870.200381547</v>
      </c>
      <c r="BB105" s="106">
        <v>9.6609418203314199</v>
      </c>
      <c r="BC105" s="106">
        <v>19302.561757022177</v>
      </c>
      <c r="BD105" s="106">
        <v>8.6653938989112991</v>
      </c>
      <c r="BE105" s="106">
        <v>17313.457010024777</v>
      </c>
      <c r="BF105" s="106">
        <v>7</v>
      </c>
      <c r="BG105" s="106">
        <v>13986</v>
      </c>
      <c r="BH105" s="106">
        <v>7.5356708059410762</v>
      </c>
      <c r="BI105" s="106">
        <v>15056.27027027027</v>
      </c>
      <c r="BJ105" s="106">
        <v>9.4854827857508397</v>
      </c>
      <c r="BK105" s="106">
        <v>18951.994605930176</v>
      </c>
      <c r="BL105" s="106">
        <v>11.493074991625765</v>
      </c>
      <c r="BM105" s="106">
        <v>22963.163833268278</v>
      </c>
      <c r="BN105" s="106">
        <v>8.3282466895369005</v>
      </c>
      <c r="BO105" s="106">
        <v>16639.836885694727</v>
      </c>
      <c r="BP105" s="106">
        <v>4</v>
      </c>
      <c r="BQ105" s="106">
        <v>7992</v>
      </c>
      <c r="BR105" s="106">
        <v>4</v>
      </c>
      <c r="BS105" s="106">
        <v>7992</v>
      </c>
      <c r="BT105" s="106">
        <v>4</v>
      </c>
      <c r="BU105" s="106">
        <v>7992</v>
      </c>
      <c r="BV105" s="106">
        <v>4</v>
      </c>
      <c r="BW105" s="106">
        <v>7992</v>
      </c>
      <c r="BX105" s="106">
        <v>15</v>
      </c>
      <c r="BY105" s="106">
        <v>29970</v>
      </c>
      <c r="BZ105" s="106">
        <v>10</v>
      </c>
      <c r="CA105" s="106">
        <v>19980</v>
      </c>
      <c r="CB105" s="106">
        <v>16.980726999840545</v>
      </c>
      <c r="CC105" s="106">
        <v>33927.492545681409</v>
      </c>
      <c r="CD105" s="106">
        <v>14</v>
      </c>
      <c r="CE105" s="106">
        <v>27972</v>
      </c>
      <c r="CF105" s="106">
        <v>3.5390000000000001</v>
      </c>
      <c r="CG105" s="106">
        <v>7070.9220000000005</v>
      </c>
      <c r="CH105" s="106">
        <v>3</v>
      </c>
      <c r="CI105" s="106">
        <v>5994</v>
      </c>
      <c r="CJ105" s="106">
        <v>4.3365901793405905</v>
      </c>
      <c r="CK105" s="106">
        <v>8664.5071783224994</v>
      </c>
      <c r="CL105" s="106">
        <v>2.4558965417529155</v>
      </c>
      <c r="CM105" s="106">
        <v>4906.881290422325</v>
      </c>
      <c r="CN105" s="106">
        <v>4</v>
      </c>
      <c r="CO105" s="106">
        <v>7992</v>
      </c>
      <c r="CP105" s="106">
        <v>4</v>
      </c>
      <c r="CQ105" s="106">
        <v>7992</v>
      </c>
      <c r="CR105" s="106">
        <v>3</v>
      </c>
      <c r="CS105" s="106">
        <v>5994</v>
      </c>
      <c r="CT105" s="106">
        <v>4</v>
      </c>
      <c r="CU105" s="106">
        <v>7992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164</v>
      </c>
      <c r="E109" s="106">
        <f>SUM(L$6:L$19)+SUM(N$6:N$19)+SUM(P$6:P$19)+SUM(R$6:R$19)</f>
        <v>173</v>
      </c>
      <c r="F109" s="106">
        <f>SUM(T$6:T$19)+SUM(V$6:V$19)+SUM(X$6:X$19)+SUM(Z$6:Z$19)</f>
        <v>336</v>
      </c>
      <c r="G109" s="106">
        <f>SUM(AB$6:AB$19)+SUM(AD$6:AD$19)+SUM(AF$6:AF$19)+SUM(AH$6:AH$19)</f>
        <v>1586</v>
      </c>
      <c r="H109" s="106">
        <f>SUM(AJ$6:AJ$19)+SUM(AL$6:AL$19)+SUM(AN$6:AN$19)+SUM(AP$6:AP$19)</f>
        <v>183</v>
      </c>
      <c r="I109" s="106">
        <f>SUM(AR$6:AR$19)+SUM(AT$6:AT$19)+SUM(AV$6:AV$19)+SUM(AX$6:AX$19)</f>
        <v>638</v>
      </c>
      <c r="J109" s="106">
        <f>SUM(AZ$6:AZ$19)+SUM(BB$6:BB$19)+SUM(BD$6:BD$19)+SUM(BF$6:BF$19)</f>
        <v>302</v>
      </c>
      <c r="K109" s="106">
        <f>SUM(BH$6:BH$19)+SUM(BJ$6:BJ$19)+SUM(BL$6:BL$19)+SUM(BN$6:BN$19)</f>
        <v>402</v>
      </c>
      <c r="L109" s="106">
        <f>SUM(BP$6:BP$19)+SUM(BR$6:BR$19)+SUM(BT$6:BT$19)+SUM(BV$6:BV$19)</f>
        <v>1734</v>
      </c>
      <c r="M109" s="106">
        <f>SUM(BX$6:BX$19)+SUM(BZ$6:BZ$19)+SUM(CB$6:CB$19)+SUM(CD$6:CD$19)</f>
        <v>204</v>
      </c>
      <c r="N109" s="106">
        <f>SUM(CF$6:CF$19)+SUM(CH$6:CH$19)+SUM(CJ$6:CJ$19)+SUM(CL$6:CL$19)</f>
        <v>1778</v>
      </c>
      <c r="O109" s="106">
        <f>SUM(CN$6:CN$19)+SUM(CP$6:CP$19)+SUM(CR$6:CR$19)+SUM(CT$6:CT$19)</f>
        <v>423</v>
      </c>
    </row>
    <row r="110" spans="2:99" x14ac:dyDescent="0.2">
      <c r="C110" s="105" t="s">
        <v>127</v>
      </c>
      <c r="D110" s="106">
        <f>SUM(D$20:D$36)+SUM(F$20:F$36)+SUM(H$20:H$36)+SUM(J$20:J$36)</f>
        <v>152</v>
      </c>
      <c r="E110" s="106">
        <f>SUM(L$20:L$36)+SUM(N$20:N$36)+SUM(P$20:P$36)+SUM(R$20:R$36)</f>
        <v>1297</v>
      </c>
      <c r="F110" s="106">
        <f>SUM(T$20:T$36)+SUM(V$20:V$36)+SUM(X$20:X$36)+SUM(Z$20:Z$36)</f>
        <v>266</v>
      </c>
      <c r="G110" s="106">
        <f>SUM(AB$20:AB$36)+SUM(AD$20:AD$36)+SUM(AF$20:AF$36)+SUM(AH$20:AH$36)</f>
        <v>215</v>
      </c>
      <c r="H110" s="106">
        <f>SUM(AJ$20:AJ$36)+SUM(AL$20:AL$36)+SUM(AN$20:AN$36)+SUM(AP$20:AP$36)</f>
        <v>868</v>
      </c>
      <c r="I110" s="106">
        <f>SUM(AR$20:AR$36)+SUM(AT$20:AT$36)+SUM(AV$20:AV$36)+SUM(AX$20:AX$36)</f>
        <v>1802</v>
      </c>
      <c r="J110" s="106">
        <f>SUM(AZ$20:AZ$36)+SUM(BB$20:BB$36)+SUM(BD$20:BD$36)+SUM(BF$20:BF$36)</f>
        <v>207</v>
      </c>
      <c r="K110" s="106">
        <f>SUM(BH$20:BH$36)+SUM(BJ$20:BJ$36)+SUM(BL$20:BL$36)+SUM(BN$20:BN$36)</f>
        <v>727</v>
      </c>
      <c r="L110" s="106">
        <f>SUM(BP$20:BP$36)+SUM(BR$20:BR$36)+SUM(BT$20:BT$36)+SUM(BV$20:BV$36)</f>
        <v>201</v>
      </c>
      <c r="M110" s="106">
        <f>SUM(BX$20:BX$36)+SUM(BZ$20:BZ$36)+SUM(CB$20:CB$36)+SUM(CD$20:CD$36)</f>
        <v>1428</v>
      </c>
      <c r="N110" s="106">
        <f>SUM(CF$20:CF$36)+SUM(CH$20:CH$36)+SUM(CJ$20:CJ$36)+SUM(CL$20:CL$36)</f>
        <v>1692</v>
      </c>
      <c r="O110" s="106">
        <f>SUM(CN$20:CN$36)+SUM(CP$20:CP$36)+SUM(CR$20:CR$36)+SUM(CT$20:CT$36)</f>
        <v>1491</v>
      </c>
    </row>
    <row r="111" spans="2:99" x14ac:dyDescent="0.2">
      <c r="C111" s="105" t="s">
        <v>128</v>
      </c>
      <c r="D111" s="106">
        <f>SUM(D$37:D$48)+SUM(F$37:F$48)+SUM(H$37:H$48)+SUM(J$37:J$48)</f>
        <v>581</v>
      </c>
      <c r="E111" s="106">
        <f>SUM(L$37:L$48)+SUM(N$37:N$48)+SUM(P$37:P$48)+SUM(R$37:R$48)</f>
        <v>3482</v>
      </c>
      <c r="F111" s="106">
        <f>SUM(T$37:T$48)+SUM(V$37:V$48)+SUM(X$37:X$48)+SUM(Z$37:Z$48)</f>
        <v>232</v>
      </c>
      <c r="G111" s="106">
        <f>SUM(AB$37:AB$48)+SUM(AD$37:AD$48)+SUM(AF$37:AF$48)+SUM(AH$37:AH$48)</f>
        <v>2984</v>
      </c>
      <c r="H111" s="106">
        <f>SUM(AJ$37:AJ$48)+SUM(AL$37:AL$48)+SUM(AN$37:AN$48)+SUM(AP$37:AP$48)</f>
        <v>2237</v>
      </c>
      <c r="I111" s="106">
        <f>SUM(AR$37:AR$48)+SUM(AT$37:AT$48)+SUM(AV$37:AV$48)+SUM(AX$37:AX$48)</f>
        <v>904</v>
      </c>
      <c r="J111" s="106">
        <f>SUM(AZ$37:AZ$48)+SUM(BB$37:BB$48)+SUM(BD$37:BD$48)+SUM(BF$37:BF$48)</f>
        <v>280</v>
      </c>
      <c r="K111" s="106">
        <f>SUM(BH$37:BH$48)+SUM(BJ$37:BJ$48)+SUM(BL$37:BL$48)+SUM(BN$37:BN$48)</f>
        <v>2850</v>
      </c>
      <c r="L111" s="106">
        <f>SUM(BP$37:BP$48)+SUM(BR$37:BR$48)+SUM(BT$37:BT$48)+SUM(BV$37:BV$48)</f>
        <v>1530</v>
      </c>
      <c r="M111" s="106">
        <f>SUM(BX$37:BX$48)+SUM(BZ$37:BZ$48)+SUM(CB$37:CB$48)+SUM(CD$37:CD$48)</f>
        <v>471</v>
      </c>
      <c r="N111" s="106">
        <f>SUM(CF$37:CF$48)+SUM(CH$37:CH$48)+SUM(CJ$37:CJ$48)+SUM(CL$37:CL$48)</f>
        <v>221</v>
      </c>
      <c r="O111" s="106">
        <f>SUM(CN$37:CN$48)+SUM(CP$37:CP$48)+SUM(CR$37:CR$48)+SUM(CT$37:CT$48)</f>
        <v>291</v>
      </c>
    </row>
    <row r="112" spans="2:99" x14ac:dyDescent="0.2">
      <c r="C112" s="105" t="s">
        <v>129</v>
      </c>
      <c r="D112" s="106">
        <f>SUM(D$49:D$70)+SUM(F$49:F$70)+SUM(H$49:H$70)+SUM(J$49:J$70)</f>
        <v>504</v>
      </c>
      <c r="E112" s="106">
        <f>SUM(L$49:L$70)+SUM(N$49:N$70)+SUM(P$49:P$70)+SUM(R$49:R$70)</f>
        <v>2882.265951907053</v>
      </c>
      <c r="F112" s="106">
        <f>SUM(T$49:T$70)+SUM(V$49:V$70)+SUM(X$49:X$70)+SUM(Z$49:Z$70)</f>
        <v>356.43257660748191</v>
      </c>
      <c r="G112" s="106">
        <f>SUM(AB$49:AB$70)+SUM(AD$49:AD$70)+SUM(AF$49:AF$70)+SUM(AH$49:AH$70)</f>
        <v>634.70042689508216</v>
      </c>
      <c r="H112" s="106">
        <f>SUM(AJ$49:AJ$70)+SUM(AL$49:AL$70)+SUM(AN$49:AN$70)+SUM(AP$49:AP$70)</f>
        <v>601.44752788119195</v>
      </c>
      <c r="I112" s="106">
        <f>SUM(AR$49:AR$70)+SUM(AT$49:AT$70)+SUM(AV$49:AV$70)+SUM(AX$49:AX$70)</f>
        <v>336.54502283994429</v>
      </c>
      <c r="J112" s="106">
        <f>SUM(AZ$49:AZ$70)+SUM(BB$49:BB$70)+SUM(BD$49:BD$70)+SUM(BF$49:BF$70)</f>
        <v>605.03107943063947</v>
      </c>
      <c r="K112" s="106">
        <f>SUM(BH$49:BH$70)+SUM(BJ$49:BJ$70)+SUM(BL$49:BL$70)+SUM(BN$49:BN$70)</f>
        <v>350.38889139324453</v>
      </c>
      <c r="L112" s="106">
        <f>SUM(BP$49:BP$70)+SUM(BR$49:BR$70)+SUM(BT$49:BT$70)+SUM(BV$49:BV$70)</f>
        <v>245.13200725468786</v>
      </c>
      <c r="M112" s="106">
        <f>SUM(BX$49:BX$70)+SUM(BZ$49:BZ$70)+SUM(CB$49:CB$70)+SUM(CD$49:CD$70)</f>
        <v>4766.1287297183462</v>
      </c>
      <c r="N112" s="106">
        <f>SUM(CF$49:CF$70)+SUM(CH$49:CH$70)+SUM(CJ$49:CJ$70)+SUM(CL$49:CL$70)</f>
        <v>1825.4021265559661</v>
      </c>
      <c r="O112" s="106">
        <f>SUM(CN$49:CN$70)+SUM(CP$49:CP$70)+SUM(CR$49:CR$70)+SUM(CT$49:CT$70)</f>
        <v>279.96045555490809</v>
      </c>
    </row>
    <row r="113" spans="2:15" x14ac:dyDescent="0.2">
      <c r="C113" s="105" t="s">
        <v>130</v>
      </c>
      <c r="D113" s="106">
        <f>SUM(D$71:D$86)+SUM(F$71:F$86)+SUM(H$71:H$86)+SUM(J$71:J$86)</f>
        <v>936.27994036361406</v>
      </c>
      <c r="E113" s="106">
        <f>SUM(L$71:L$86)+SUM(N$71:N$86)+SUM(P$71:P$86)+SUM(R$71:R$86)</f>
        <v>1054.1059956814602</v>
      </c>
      <c r="F113" s="106">
        <f>SUM(T$71:T$86)+SUM(V$71:V$86)+SUM(X$71:X$86)+SUM(Z$71:Z$86)</f>
        <v>382.74717588711673</v>
      </c>
      <c r="G113" s="106">
        <f>SUM(AB$71:AB$86)+SUM(AD$71:AD$86)+SUM(AF$71:AF$86)+SUM(AH$71:AH$86)</f>
        <v>492.08554265282885</v>
      </c>
      <c r="H113" s="106">
        <f>SUM(AJ$71:AJ$86)+SUM(AL$71:AL$86)+SUM(AN$71:AN$86)+SUM(AP$71:AP$86)</f>
        <v>267.29091326494364</v>
      </c>
      <c r="I113" s="106">
        <f>SUM(AR$71:AR$86)+SUM(AT$71:AT$86)+SUM(AV$71:AV$86)+SUM(AX$71:AX$86)</f>
        <v>2323.5208893256513</v>
      </c>
      <c r="J113" s="106">
        <f>SUM(AZ$71:AZ$86)+SUM(BB$71:BB$86)+SUM(BD$71:BD$86)+SUM(BF$71:BF$86)</f>
        <v>3404.5791841401619</v>
      </c>
      <c r="K113" s="106">
        <f>SUM(BH$71:BH$86)+SUM(BJ$71:BJ$86)+SUM(BL$71:BL$86)+SUM(BN$71:BN$86)</f>
        <v>291</v>
      </c>
      <c r="L113" s="106">
        <f>SUM(BP$71:BP$86)+SUM(BR$71:BR$86)+SUM(BT$71:BT$86)+SUM(BV$71:BV$86)</f>
        <v>286.23288809290227</v>
      </c>
      <c r="M113" s="106">
        <f>SUM(BX$71:BX$86)+SUM(BZ$71:BZ$86)+SUM(CB$71:CB$86)+SUM(CD$71:CD$86)</f>
        <v>316.02371223528172</v>
      </c>
      <c r="N113" s="106">
        <f>SUM(CF$71:CF$86)+SUM(CH$71:CH$86)+SUM(CJ$71:CJ$86)+SUM(CL$71:CL$86)</f>
        <v>1498.6338034075716</v>
      </c>
      <c r="O113" s="106">
        <f>SUM(CN$71:CN$86)+SUM(CP$71:CP$86)+SUM(CR$71:CR$86)+SUM(CT$71:CT$86)</f>
        <v>234</v>
      </c>
    </row>
    <row r="114" spans="2:15" x14ac:dyDescent="0.2">
      <c r="C114" s="105" t="s">
        <v>131</v>
      </c>
      <c r="D114" s="106">
        <f>SUM(D$87:D$94)+SUM(F$87:F$94)+SUM(H$87:H$94)+SUM(J$87:J$94)</f>
        <v>155.23557531611641</v>
      </c>
      <c r="E114" s="106">
        <f>SUM(L$87:L$94)+SUM(N$87:N$94)+SUM(P$87:P$94)+SUM(R$87:R$94)</f>
        <v>240.71913787075346</v>
      </c>
      <c r="F114" s="106">
        <f>SUM(T$87:T$94)+SUM(V$87:V$94)+SUM(X$87:X$94)+SUM(Z$87:Z$94)</f>
        <v>214.78151968233348</v>
      </c>
      <c r="G114" s="106">
        <f>SUM(AB$87:AB$94)+SUM(AD$87:AD$94)+SUM(AF$87:AF$94)+SUM(AH$87:AH$94)</f>
        <v>539.86465258822113</v>
      </c>
      <c r="H114" s="106">
        <f>SUM(AJ$87:AJ$94)+SUM(AL$87:AL$94)+SUM(AN$87:AN$94)+SUM(AP$87:AP$94)</f>
        <v>91.976668835845558</v>
      </c>
      <c r="I114" s="106">
        <f>SUM(AR$87:AR$94)+SUM(AT$87:AT$94)+SUM(AV$87:AV$94)+SUM(AX$87:AX$94)</f>
        <v>941.2034068521541</v>
      </c>
      <c r="J114" s="106">
        <f>SUM(AZ$87:AZ$94)+SUM(BB$87:BB$94)+SUM(BD$87:BD$94)+SUM(BF$87:BF$94)</f>
        <v>1018.9112406824405</v>
      </c>
      <c r="K114" s="106">
        <f>SUM(BH$87:BH$94)+SUM(BJ$87:BJ$94)+SUM(BL$87:BL$94)+SUM(BN$87:BN$94)</f>
        <v>139.59471625490499</v>
      </c>
      <c r="L114" s="106">
        <f>SUM(BP$87:BP$94)+SUM(BR$87:BR$94)+SUM(BT$87:BT$94)+SUM(BV$87:BV$94)</f>
        <v>500.19654940175565</v>
      </c>
      <c r="M114" s="106">
        <f>SUM(BX$87:BX$94)+SUM(BZ$87:BZ$94)+SUM(CB$87:CB$94)+SUM(CD$87:CD$94)</f>
        <v>214.62221176804258</v>
      </c>
      <c r="N114" s="106">
        <f>SUM(CF$87:CF$94)+SUM(CH$87:CH$94)+SUM(CJ$87:CJ$94)+SUM(CL$87:CL$94)</f>
        <v>278</v>
      </c>
      <c r="O114" s="106">
        <f>SUM(CN$87:CN$94)+SUM(CP$87:CP$94)+SUM(CR$87:CR$94)+SUM(CT$87:CT$94)</f>
        <v>655.46880458921714</v>
      </c>
    </row>
    <row r="115" spans="2:15" x14ac:dyDescent="0.2">
      <c r="C115" s="105" t="s">
        <v>132</v>
      </c>
      <c r="D115" s="106">
        <f>SUM(D$95:D$105)+SUM(F$95:F$105)+SUM(H$95:H$105)+SUM(J$95:J$105)</f>
        <v>205</v>
      </c>
      <c r="E115" s="106">
        <f>SUM(L$95:L$105)+SUM(N$95:N$105)+SUM(P$95:P$105)+SUM(R$95:R$105)</f>
        <v>187.32741529144425</v>
      </c>
      <c r="F115" s="106">
        <f>SUM(T$95:T$105)+SUM(V$95:V$105)+SUM(X$95:X$105)+SUM(Z$95:Z$105)</f>
        <v>482.92369355249934</v>
      </c>
      <c r="G115" s="106">
        <f>SUM(AB$95:AB$105)+SUM(AD$95:AD$105)+SUM(AF$95:AF$105)+SUM(AH$95:AH$105)</f>
        <v>280.6379668706337</v>
      </c>
      <c r="H115" s="106">
        <f>SUM(AJ$95:AJ$105)+SUM(AL$95:AL$105)+SUM(AN$95:AN$105)+SUM(AP$95:AP$105)</f>
        <v>1352.9964729282315</v>
      </c>
      <c r="I115" s="106">
        <f>SUM(AR$95:AR$105)+SUM(AT$95:AT$105)+SUM(AV$95:AV$105)+SUM(AX$95:AX$105)</f>
        <v>125.07099802185263</v>
      </c>
      <c r="J115" s="106">
        <f>SUM(AZ$95:AZ$105)+SUM(BB$95:BB$105)+SUM(BD$95:BD$105)+SUM(BF$95:BF$105)</f>
        <v>365.42276099328387</v>
      </c>
      <c r="K115" s="106">
        <f>SUM(BH$95:BH$105)+SUM(BJ$95:BJ$105)+SUM(BL$95:BL$105)+SUM(BN$95:BN$105)</f>
        <v>428.88475923470685</v>
      </c>
      <c r="L115" s="106">
        <f>SUM(BP$95:BP$105)+SUM(BR$95:BR$105)+SUM(BT$95:BT$105)+SUM(BV$95:BV$105)</f>
        <v>178.51183733534964</v>
      </c>
      <c r="M115" s="106">
        <f>SUM(BX$95:BX$105)+SUM(BZ$95:BZ$105)+SUM(CB$95:CB$105)+SUM(CD$95:CD$105)</f>
        <v>611.54583149812277</v>
      </c>
      <c r="N115" s="106">
        <f>SUM(CF$95:CF$105)+SUM(CH$95:CH$105)+SUM(CJ$95:CJ$105)+SUM(CL$95:CL$105)</f>
        <v>161.24426423735468</v>
      </c>
      <c r="O115" s="106">
        <f>SUM(CN$95:CN$105)+SUM(CP$95:CP$105)+SUM(CR$95:CR$105)+SUM(CT$95:CT$105)</f>
        <v>155</v>
      </c>
    </row>
    <row r="116" spans="2:15" x14ac:dyDescent="0.2">
      <c r="C116" s="105" t="s">
        <v>278</v>
      </c>
      <c r="D116" s="106">
        <f t="shared" ref="D116:O116" si="0">SUM(D$109:D$115)</f>
        <v>2697.5155156797305</v>
      </c>
      <c r="E116" s="106">
        <f t="shared" si="0"/>
        <v>9316.4185007507112</v>
      </c>
      <c r="F116" s="106">
        <f t="shared" si="0"/>
        <v>2270.8849657294313</v>
      </c>
      <c r="G116" s="106">
        <f t="shared" si="0"/>
        <v>6732.2885890067664</v>
      </c>
      <c r="H116" s="106">
        <f t="shared" si="0"/>
        <v>5601.7115829102131</v>
      </c>
      <c r="I116" s="106">
        <f t="shared" si="0"/>
        <v>7070.3403170396023</v>
      </c>
      <c r="J116" s="106">
        <f t="shared" si="0"/>
        <v>6182.9442652465259</v>
      </c>
      <c r="K116" s="106">
        <f t="shared" si="0"/>
        <v>5188.8683668828553</v>
      </c>
      <c r="L116" s="106">
        <f t="shared" si="0"/>
        <v>4675.0732820846952</v>
      </c>
      <c r="M116" s="106">
        <f t="shared" si="0"/>
        <v>8011.3204852197932</v>
      </c>
      <c r="N116" s="106">
        <f t="shared" si="0"/>
        <v>7454.2801942008919</v>
      </c>
      <c r="O116" s="106">
        <f t="shared" si="0"/>
        <v>3529.4292601441252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1107337.675425326</v>
      </c>
      <c r="E120" s="106">
        <f>E109*pricing!E33*2000</f>
        <v>1185183.1050996124</v>
      </c>
      <c r="F120" s="106">
        <f>F109*pricing!F33*2000</f>
        <v>1749492.650255488</v>
      </c>
      <c r="G120" s="106">
        <f>G109*pricing!G33*2000</f>
        <v>4551224.2035006778</v>
      </c>
      <c r="H120" s="106">
        <f>H109*pricing!H33*2000</f>
        <v>1181263.3897929655</v>
      </c>
      <c r="I120" s="106">
        <f>I109*pricing!I33*2000</f>
        <v>2606098.0610524099</v>
      </c>
      <c r="J120" s="106">
        <f>J109*pricing!J33*2000</f>
        <v>1753755.4676549577</v>
      </c>
      <c r="K120" s="106">
        <f>K109*pricing!K33*2000</f>
        <v>2066540.2783240748</v>
      </c>
      <c r="L120" s="106">
        <f>L109*pricing!L33*2000</f>
        <v>4746648.6581142219</v>
      </c>
      <c r="M120" s="106">
        <f>M109*pricing!M33*2000</f>
        <v>1329200.6658033463</v>
      </c>
      <c r="N120" s="106">
        <f>N109*pricing!N33*2000</f>
        <v>5136723.09739218</v>
      </c>
      <c r="O120" s="106">
        <f>O109*pricing!O33*2000</f>
        <v>2014620.2965556125</v>
      </c>
    </row>
    <row r="121" spans="2:15" x14ac:dyDescent="0.2">
      <c r="C121" s="105" t="s">
        <v>127</v>
      </c>
      <c r="D121" s="106">
        <f>D110*pricing!D34*2000</f>
        <v>948095.57117847539</v>
      </c>
      <c r="E121" s="106">
        <f>E110*pricing!E34*2000</f>
        <v>4011474.2360381107</v>
      </c>
      <c r="F121" s="106">
        <f>F110*pricing!F34*2000</f>
        <v>1602138.7538631251</v>
      </c>
      <c r="G121" s="106">
        <f>G110*pricing!G34*2000</f>
        <v>1353995.8658903616</v>
      </c>
      <c r="H121" s="106">
        <f>H110*pricing!H34*2000</f>
        <v>3354575.2040941715</v>
      </c>
      <c r="I121" s="106">
        <f>I110*pricing!I34*2000</f>
        <v>4783540.5072518848</v>
      </c>
      <c r="J121" s="106">
        <f>J110*pricing!J34*2000</f>
        <v>1365179.2341387626</v>
      </c>
      <c r="K121" s="106">
        <f>K110*pricing!K34*2000</f>
        <v>2727024.6649567746</v>
      </c>
      <c r="L121" s="106">
        <f>L110*pricing!L34*2000</f>
        <v>1341770.5861743146</v>
      </c>
      <c r="M121" s="106">
        <f>M110*pricing!M34*2000</f>
        <v>4420386.8610518016</v>
      </c>
      <c r="N121" s="106">
        <f>N110*pricing!N34*2000</f>
        <v>4865545.7713953713</v>
      </c>
      <c r="O121" s="106">
        <f>O110*pricing!O34*2000</f>
        <v>4551686.4187738486</v>
      </c>
    </row>
    <row r="122" spans="2:15" x14ac:dyDescent="0.2">
      <c r="C122" s="105" t="s">
        <v>128</v>
      </c>
      <c r="D122" s="106">
        <f>D111*pricing!D35*2000</f>
        <v>2653781.0777664222</v>
      </c>
      <c r="E122" s="106">
        <f>E111*pricing!E35*2000</f>
        <v>7556762.0709308656</v>
      </c>
      <c r="F122" s="106">
        <f>F111*pricing!F35*2000</f>
        <v>1529107.2047795185</v>
      </c>
      <c r="G122" s="106">
        <f>G111*pricing!G35*2000</f>
        <v>6629613.0627393899</v>
      </c>
      <c r="H122" s="106">
        <f>H111*pricing!H35*2000</f>
        <v>5374647.6403084937</v>
      </c>
      <c r="I122" s="106">
        <f>I111*pricing!I35*2000</f>
        <v>3199864.9676015954</v>
      </c>
      <c r="J122" s="106">
        <f>J111*pricing!J35*2000</f>
        <v>1705255.0010741742</v>
      </c>
      <c r="K122" s="106">
        <f>K111*pricing!K35*2000</f>
        <v>7032228.3724033609</v>
      </c>
      <c r="L122" s="106">
        <f>L111*pricing!L35*2000</f>
        <v>4788662.2777349697</v>
      </c>
      <c r="M122" s="106">
        <f>M111*pricing!M35*2000</f>
        <v>2427361.5905606658</v>
      </c>
      <c r="N122" s="106">
        <f>N111*pricing!N35*2000</f>
        <v>1436176.6123171032</v>
      </c>
      <c r="O122" s="106">
        <f>O111*pricing!O35*2000</f>
        <v>1751665.9760006557</v>
      </c>
    </row>
    <row r="123" spans="2:15" x14ac:dyDescent="0.2">
      <c r="C123" s="105" t="s">
        <v>129</v>
      </c>
      <c r="D123" s="106">
        <f>D112*pricing!D36*2000</f>
        <v>2646348.3923390014</v>
      </c>
      <c r="E123" s="106">
        <f>E112*pricing!E36*2000</f>
        <v>7765582.5025381157</v>
      </c>
      <c r="F123" s="106">
        <f>F112*pricing!F36*2000</f>
        <v>2230423.3403766435</v>
      </c>
      <c r="G123" s="106">
        <f>G112*pricing!G36*2000</f>
        <v>2970429.548930197</v>
      </c>
      <c r="H123" s="106">
        <f>H112*pricing!H36*2000</f>
        <v>2963360.8568776394</v>
      </c>
      <c r="I123" s="106">
        <f>I112*pricing!I36*2000</f>
        <v>2052235.1653489578</v>
      </c>
      <c r="J123" s="106">
        <f>J112*pricing!J36*2000</f>
        <v>2955364.6983064837</v>
      </c>
      <c r="K123" s="106">
        <f>K112*pricing!K36*2000</f>
        <v>2058227.0063049332</v>
      </c>
      <c r="L123" s="106">
        <f>L112*pricing!L36*2000</f>
        <v>1644551.0039586681</v>
      </c>
      <c r="M123" s="106">
        <f>M112*pricing!M36*2000</f>
        <v>9661165.942662375</v>
      </c>
      <c r="N123" s="106">
        <f>N112*pricing!N36*2000</f>
        <v>5538847.4585805126</v>
      </c>
      <c r="O123" s="106">
        <f>O112*pricing!O36*2000</f>
        <v>1850473.6795334732</v>
      </c>
    </row>
    <row r="124" spans="2:15" x14ac:dyDescent="0.2">
      <c r="C124" s="105" t="s">
        <v>130</v>
      </c>
      <c r="D124" s="106">
        <f>D113*pricing!D37*2000</f>
        <v>3083344.1007094332</v>
      </c>
      <c r="E124" s="106">
        <f>E113*pricing!E37*2000</f>
        <v>3397513.8261969713</v>
      </c>
      <c r="F124" s="106">
        <f>F113*pricing!F37*2000</f>
        <v>1890305.7344811694</v>
      </c>
      <c r="G124" s="106">
        <f>G113*pricing!G37*2000</f>
        <v>2090698.0493988805</v>
      </c>
      <c r="H124" s="106">
        <f>H113*pricing!H37*2000</f>
        <v>1472505.370069785</v>
      </c>
      <c r="I124" s="106">
        <f>I113*pricing!I37*2000</f>
        <v>5697400.8828585073</v>
      </c>
      <c r="J124" s="106">
        <f>J113*pricing!J37*2000</f>
        <v>7012631.1295248885</v>
      </c>
      <c r="K124" s="106">
        <f>K113*pricing!K37*2000</f>
        <v>1556670.5051025311</v>
      </c>
      <c r="L124" s="106">
        <f>L113*pricing!L37*2000</f>
        <v>1638976.2208807031</v>
      </c>
      <c r="M124" s="106">
        <f>M113*pricing!M37*2000</f>
        <v>1741867.9375601707</v>
      </c>
      <c r="N124" s="106">
        <f>N113*pricing!N37*2000</f>
        <v>4276103.6479404392</v>
      </c>
      <c r="O124" s="106">
        <f>O113*pricing!O37*2000</f>
        <v>1440460.0132708501</v>
      </c>
    </row>
    <row r="125" spans="2:15" x14ac:dyDescent="0.2">
      <c r="C125" s="105" t="s">
        <v>131</v>
      </c>
      <c r="D125" s="106">
        <f>D114*pricing!D38*2000</f>
        <v>798676.6587802344</v>
      </c>
      <c r="E125" s="106">
        <f>E114*pricing!E38*2000</f>
        <v>1067286.3105098319</v>
      </c>
      <c r="F125" s="106">
        <f>F114*pricing!F38*2000</f>
        <v>963094.76705088664</v>
      </c>
      <c r="G125" s="106">
        <f>G114*pricing!G38*2000</f>
        <v>1693690.7979276937</v>
      </c>
      <c r="H125" s="106">
        <f>H114*pricing!H38*2000</f>
        <v>623599.48608969606</v>
      </c>
      <c r="I125" s="106">
        <f>I114*pricing!I38*2000</f>
        <v>2242086.690961597</v>
      </c>
      <c r="J125" s="106">
        <f>J114*pricing!J38*2000</f>
        <v>2522481.4700446893</v>
      </c>
      <c r="K125" s="106">
        <f>K114*pricing!K38*2000</f>
        <v>829097.88822649373</v>
      </c>
      <c r="L125" s="106">
        <f>L114*pricing!L38*2000</f>
        <v>1747223.1588965179</v>
      </c>
      <c r="M125" s="106">
        <f>M114*pricing!M38*2000</f>
        <v>969492.09027989733</v>
      </c>
      <c r="N125" s="106">
        <f>N114*pricing!N38*2000</f>
        <v>1220525.4376763469</v>
      </c>
      <c r="O125" s="106">
        <f>O114*pricing!O38*2000</f>
        <v>1891408.2402125811</v>
      </c>
    </row>
    <row r="126" spans="2:15" x14ac:dyDescent="0.2">
      <c r="C126" s="105" t="s">
        <v>132</v>
      </c>
      <c r="D126" s="106">
        <f>D115*pricing!D39*2000</f>
        <v>1173940.1485809358</v>
      </c>
      <c r="E126" s="106">
        <f>E115*pricing!E39*2000</f>
        <v>1307371.4914865298</v>
      </c>
      <c r="F126" s="106">
        <f>F115*pricing!F39*2000</f>
        <v>2147141.2400779123</v>
      </c>
      <c r="G126" s="106">
        <f>G115*pricing!G39*2000</f>
        <v>1514687.9031389989</v>
      </c>
      <c r="H126" s="106">
        <f>H115*pricing!H39*2000</f>
        <v>3425029.5801641704</v>
      </c>
      <c r="I126" s="106">
        <f>I115*pricing!I39*2000</f>
        <v>869533.24156477011</v>
      </c>
      <c r="J126" s="106">
        <f>J115*pricing!J39*2000</f>
        <v>1708952.5494487921</v>
      </c>
      <c r="K126" s="106">
        <f>K115*pricing!K39*2000</f>
        <v>1839897.0987374946</v>
      </c>
      <c r="L126" s="106">
        <f>L115*pricing!L39*2000</f>
        <v>1085194.1751487183</v>
      </c>
      <c r="M126" s="106">
        <f>M115*pricing!M39*2000</f>
        <v>2453565.0590175847</v>
      </c>
      <c r="N126" s="106">
        <f>N115*pricing!N39*2000</f>
        <v>1124005.7347620924</v>
      </c>
      <c r="O126" s="106">
        <f>O115*pricing!O39*2000</f>
        <v>1020684.241061152</v>
      </c>
    </row>
    <row r="127" spans="2:15" x14ac:dyDescent="0.2">
      <c r="C127" s="105" t="s">
        <v>278</v>
      </c>
      <c r="D127" s="106">
        <f>SUM(D$120:D$126)</f>
        <v>12411523.624779828</v>
      </c>
      <c r="E127" s="106">
        <f t="shared" ref="E127:O127" si="1">SUM(E$120:E$126)</f>
        <v>26291173.542800039</v>
      </c>
      <c r="F127" s="106">
        <f t="shared" si="1"/>
        <v>12111703.690884745</v>
      </c>
      <c r="G127" s="106">
        <f t="shared" si="1"/>
        <v>20804339.431526199</v>
      </c>
      <c r="H127" s="106">
        <f t="shared" si="1"/>
        <v>18394981.527396921</v>
      </c>
      <c r="I127" s="106">
        <f t="shared" si="1"/>
        <v>21450759.516639721</v>
      </c>
      <c r="J127" s="106">
        <f t="shared" si="1"/>
        <v>19023619.550192747</v>
      </c>
      <c r="K127" s="106">
        <f t="shared" si="1"/>
        <v>18109685.814055663</v>
      </c>
      <c r="L127" s="106">
        <f t="shared" si="1"/>
        <v>16993026.080908112</v>
      </c>
      <c r="M127" s="106">
        <f t="shared" si="1"/>
        <v>23003040.146935839</v>
      </c>
      <c r="N127" s="106">
        <f t="shared" si="1"/>
        <v>23597927.760064043</v>
      </c>
      <c r="O127" s="106">
        <f t="shared" si="1"/>
        <v>14520998.865408171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82336.800000000003</v>
      </c>
      <c r="E131" s="112">
        <f>SUM(M$6:M$19)+SUM(O$6:O$19)+SUM(Q$6:Q$19)+SUM(S$6:S$19)</f>
        <v>87769.200000000012</v>
      </c>
      <c r="F131" s="112">
        <f>SUM(U$6:U$19)+SUM(W$6:W$19)+SUM(Y$6:Y$19)+SUM(AA$6:AA$19)</f>
        <v>169125.6</v>
      </c>
      <c r="G131" s="112">
        <f>SUM(AC$6:AC$19)+SUM(AE$6:AE$19)+SUM(AG$6:AG$19)+SUM(AI$6:AI$19)</f>
        <v>794777.99999999988</v>
      </c>
      <c r="H131" s="112">
        <f>SUM(AK$6:AK$19)+SUM(AM$6:AM$19)+SUM(AO$6:AO$19)+SUM(AQ$6:AQ$19)</f>
        <v>92661.6</v>
      </c>
      <c r="I131" s="112">
        <f>SUM(AS$6:AS$19)+SUM(AU$6:AU$19)+SUM(AW$6:AW$19)+SUM(AY$6:AY$19)</f>
        <v>321418.8</v>
      </c>
      <c r="J131" s="112">
        <f>SUM(BA$6:BA$19)+SUM(BC$6:BC$19)+SUM(BE$6:BE$19)+SUM(BG$6:BG$19)</f>
        <v>152486.39999999999</v>
      </c>
      <c r="K131" s="112">
        <f>SUM(BI$6:BI$19)+SUM(BK$6:BK$19)+SUM(BM$6:BM$19)+SUM(BO$6:BO$19)</f>
        <v>202287.59999999998</v>
      </c>
      <c r="L131" s="112">
        <f>SUM(BQ$6:BQ$19)+SUM(BS$6:BS$19)+SUM(BU$6:BU$19)+SUM(BW$6:BW$19)</f>
        <v>867846</v>
      </c>
      <c r="M131" s="112">
        <f>SUM(BY$6:BY$19)+SUM(CA$6:CA$19)+SUM(CC$6:CC$19)+SUM(CE$6:CE$19)</f>
        <v>102630</v>
      </c>
      <c r="N131" s="112">
        <f>SUM(CG$6:CG$19)+SUM(CI$6:CI$19)+SUM(CK$6:CK$19)+SUM(CM$6:CM$19)</f>
        <v>892876.79999999993</v>
      </c>
      <c r="O131" s="112">
        <f>SUM(CO$6:CO$19)+SUM(CQ$6:CQ$19)+SUM(CS$6:CS$19)+SUM(CU$6:CU$19)</f>
        <v>212230.8</v>
      </c>
    </row>
    <row r="132" spans="2:15" x14ac:dyDescent="0.2">
      <c r="C132" s="111" t="s">
        <v>127</v>
      </c>
      <c r="D132" s="112">
        <f>SUM(E$20:E$36)+SUM(G$20:G$36)+SUM(I$20:I$36)+SUM(K$20:K$36)</f>
        <v>64743.599999999991</v>
      </c>
      <c r="E132" s="112">
        <f>SUM(M$20:M$36)+SUM(O$20:O$36)+SUM(Q$20:Q$36)+SUM(S$20:S$36)</f>
        <v>547291.19999999995</v>
      </c>
      <c r="F132" s="112">
        <f>SUM(U$20:U$36)+SUM(W$20:W$36)+SUM(Y$20:Y$36)+SUM(AA$20:AA$36)</f>
        <v>113163.6</v>
      </c>
      <c r="G132" s="112">
        <f>SUM(AC$20:AC$36)+SUM(AE$20:AE$36)+SUM(AG$20:AG$36)+SUM(AI$20:AI$36)</f>
        <v>92298.000000000015</v>
      </c>
      <c r="H132" s="112">
        <f>SUM(AK$20:AK$36)+SUM(AM$20:AM$36)+SUM(AO$20:AO$36)+SUM(AQ$20:AQ$36)</f>
        <v>368935.2</v>
      </c>
      <c r="I132" s="112">
        <f>SUM(AS$20:AS$36)+SUM(AU$20:AU$36)+SUM(AW$20:AW$36)+SUM(AY$20:AY$36)</f>
        <v>762886.79999999993</v>
      </c>
      <c r="J132" s="112">
        <f>SUM(BA$20:BA$36)+SUM(BC$20:BC$36)+SUM(BE$20:BE$36)+SUM(BG$20:BG$36)</f>
        <v>87614.400000000009</v>
      </c>
      <c r="K132" s="112">
        <f>SUM(BI$20:BI$36)+SUM(BK$20:BK$36)+SUM(BM$20:BM$36)+SUM(BO$20:BO$36)</f>
        <v>308190</v>
      </c>
      <c r="L132" s="112">
        <f>SUM(BQ$20:BQ$36)+SUM(BS$20:BS$36)+SUM(BU$20:BU$36)+SUM(BW$20:BW$36)</f>
        <v>86073.600000000006</v>
      </c>
      <c r="M132" s="112">
        <f>SUM(BY$20:BY$36)+SUM(CA$20:CA$36)+SUM(CC$20:CC$36)+SUM(CE$20:CE$36)</f>
        <v>605276.4</v>
      </c>
      <c r="N132" s="112">
        <f>SUM(CG$20:CG$36)+SUM(CI$20:CI$36)+SUM(CK$20:CK$36)+SUM(CM$20:CM$36)</f>
        <v>715150.8</v>
      </c>
      <c r="O132" s="112">
        <f>SUM(CO$20:CO$36)+SUM(CQ$20:CQ$36)+SUM(CS$20:CS$36)+SUM(CU$20:CU$36)</f>
        <v>634198.80000000005</v>
      </c>
    </row>
    <row r="133" spans="2:15" x14ac:dyDescent="0.2">
      <c r="C133" s="111" t="s">
        <v>128</v>
      </c>
      <c r="D133" s="112">
        <f>SUM(E$37:E$48)+SUM(G$37:G$48)+SUM(I$37:I$48)+SUM(K$37:K$48)</f>
        <v>608253.6</v>
      </c>
      <c r="E133" s="112">
        <f>SUM(M$37:M$48)+SUM(O$37:O$48)+SUM(Q$37:Q$48)+SUM(S$37:S$48)</f>
        <v>3632000.4</v>
      </c>
      <c r="F133" s="112">
        <f>SUM(U$37:U$48)+SUM(W$37:W$48)+SUM(Y$37:Y$48)+SUM(AA$37:AA$48)</f>
        <v>243177.59999999998</v>
      </c>
      <c r="G133" s="112">
        <f>SUM(AC$37:AC$48)+SUM(AE$37:AE$48)+SUM(AG$37:AG$48)+SUM(AI$37:AI$48)</f>
        <v>3101691.6000000006</v>
      </c>
      <c r="H133" s="112">
        <f>SUM(AK$37:AK$48)+SUM(AM$37:AM$48)+SUM(AO$37:AO$48)+SUM(AQ$37:AQ$48)</f>
        <v>2315479.2000000002</v>
      </c>
      <c r="I133" s="112">
        <f>SUM(AS$37:AS$48)+SUM(AU$37:AU$48)+SUM(AW$37:AW$48)+SUM(AY$37:AY$48)</f>
        <v>944364</v>
      </c>
      <c r="J133" s="112">
        <f>SUM(BA$37:BA$48)+SUM(BC$37:BC$48)+SUM(BE$37:BE$48)+SUM(BG$37:BG$48)</f>
        <v>293682</v>
      </c>
      <c r="K133" s="112">
        <f>SUM(BI$37:BI$48)+SUM(BK$37:BK$48)+SUM(BM$37:BM$48)+SUM(BO$37:BO$48)</f>
        <v>2961463.1999999997</v>
      </c>
      <c r="L133" s="112">
        <f>SUM(BQ$37:BQ$48)+SUM(BS$37:BS$48)+SUM(BU$37:BU$48)+SUM(BW$37:BW$48)</f>
        <v>1600658.4</v>
      </c>
      <c r="M133" s="112">
        <f>SUM(BY$37:BY$48)+SUM(CA$37:CA$48)+SUM(CC$37:CC$48)+SUM(CE$37:CE$48)</f>
        <v>492056.39999999997</v>
      </c>
      <c r="N133" s="112">
        <f>SUM(CG$37:CG$48)+SUM(CI$37:CI$48)+SUM(CK$37:CK$48)+SUM(CM$37:CM$48)</f>
        <v>231351.6</v>
      </c>
      <c r="O133" s="112">
        <f>SUM(CO$37:CO$48)+SUM(CQ$37:CQ$48)+SUM(CS$37:CS$48)+SUM(CU$37:CU$48)</f>
        <v>304128</v>
      </c>
    </row>
    <row r="134" spans="2:15" x14ac:dyDescent="0.2">
      <c r="C134" s="111" t="s">
        <v>129</v>
      </c>
      <c r="D134" s="112">
        <f>SUM(E$49:E$70)+SUM(G$49:G$70)+SUM(I$49:I$70)+SUM(K$49:K$70)</f>
        <v>428287.1999999999</v>
      </c>
      <c r="E134" s="112">
        <f>SUM(M$49:M$70)+SUM(O$49:O$70)+SUM(Q$49:Q$70)+SUM(S$49:S$70)</f>
        <v>2405758.9369224678</v>
      </c>
      <c r="F134" s="112">
        <f>SUM(U$49:U$70)+SUM(W$49:W$70)+SUM(Y$49:Y$70)+SUM(AA$49:AA$70)</f>
        <v>300759.53791874601</v>
      </c>
      <c r="G134" s="112">
        <f>SUM(AC$49:AC$70)+SUM(AE$49:AE$70)+SUM(AG$49:AG$70)+SUM(AI$49:AI$70)</f>
        <v>534152.443956275</v>
      </c>
      <c r="H134" s="112">
        <f>SUM(AK$49:AK$70)+SUM(AM$49:AM$70)+SUM(AO$49:AO$70)+SUM(AQ$49:AQ$70)</f>
        <v>512034.53923917661</v>
      </c>
      <c r="I134" s="112">
        <f>SUM(AS$49:AS$70)+SUM(AU$49:AU$70)+SUM(AW$49:AW$70)+SUM(AY$49:AY$70)</f>
        <v>286563.66235604079</v>
      </c>
      <c r="J134" s="112">
        <f>SUM(BA$49:BA$70)+SUM(BC$49:BC$70)+SUM(BE$49:BE$70)+SUM(BG$49:BG$70)</f>
        <v>511693.9557583062</v>
      </c>
      <c r="K134" s="112">
        <f>SUM(BI$49:BI$70)+SUM(BK$49:BK$70)+SUM(BM$49:BM$70)+SUM(BO$49:BO$70)</f>
        <v>298665.08512856113</v>
      </c>
      <c r="L134" s="112">
        <f>SUM(BQ$49:BQ$70)+SUM(BS$49:BS$70)+SUM(BU$49:BU$70)+SUM(BW$49:BW$70)</f>
        <v>210220.25110453862</v>
      </c>
      <c r="M134" s="112">
        <f>SUM(BY$49:BY$70)+SUM(CA$49:CA$70)+SUM(CC$49:CC$70)+SUM(CE$49:CE$70)</f>
        <v>3944242.2622380126</v>
      </c>
      <c r="N134" s="112">
        <f>SUM(CG$49:CG$70)+SUM(CI$49:CI$70)+SUM(CK$49:CK$70)+SUM(CM$49:CM$70)</f>
        <v>1529993.6628700632</v>
      </c>
      <c r="O134" s="112">
        <f>SUM(CO$49:CO$70)+SUM(CQ$49:CQ$70)+SUM(CS$49:CS$70)+SUM(CU$49:CU$70)</f>
        <v>236267.97210885145</v>
      </c>
    </row>
    <row r="135" spans="2:15" x14ac:dyDescent="0.2">
      <c r="C135" s="111" t="s">
        <v>130</v>
      </c>
      <c r="D135" s="112">
        <f>SUM(E$71:E$86)+SUM(G$71:G$86)+SUM(I$71:I$86)+SUM(K$71:K$86)</f>
        <v>522255.54764429212</v>
      </c>
      <c r="E135" s="112">
        <f>SUM(M$71:M$86)+SUM(O$71:O$86)+SUM(Q$71:Q$86)+SUM(S$71:S$86)</f>
        <v>588606.04517966788</v>
      </c>
      <c r="F135" s="112">
        <f>SUM(U$71:U$86)+SUM(W$71:W$86)+SUM(Y$71:Y$86)+SUM(AA$71:AA$86)</f>
        <v>213577.15910294908</v>
      </c>
      <c r="G135" s="112">
        <f>SUM(AC$71:AC$86)+SUM(AE$71:AE$86)+SUM(AG$71:AG$86)+SUM(AI$71:AI$86)</f>
        <v>273557.4717577066</v>
      </c>
      <c r="H135" s="112">
        <f>SUM(AK$71:AK$86)+SUM(AM$71:AM$86)+SUM(AO$71:AO$86)+SUM(AQ$71:AQ$86)</f>
        <v>149772.70971603342</v>
      </c>
      <c r="I135" s="112">
        <f>SUM(AS$71:AS$86)+SUM(AU$71:AU$86)+SUM(AW$71:AW$86)+SUM(AY$71:AY$86)</f>
        <v>1286317.8165596575</v>
      </c>
      <c r="J135" s="112">
        <f>SUM(BA$71:BA$86)+SUM(BC$71:BC$86)+SUM(BE$71:BE$86)+SUM(BG$71:BG$86)</f>
        <v>1880577.8826435921</v>
      </c>
      <c r="K135" s="112">
        <f>SUM(BI$71:BI$86)+SUM(BK$71:BK$86)+SUM(BM$71:BM$86)+SUM(BO$71:BO$86)</f>
        <v>162606</v>
      </c>
      <c r="L135" s="112">
        <f>SUM(BQ$71:BQ$86)+SUM(BS$71:BS$86)+SUM(BU$71:BU$86)+SUM(BW$71:BW$86)</f>
        <v>160829.11818721998</v>
      </c>
      <c r="M135" s="112">
        <f>SUM(BY$71:BY$86)+SUM(CA$71:CA$86)+SUM(CC$71:CC$86)+SUM(CE$71:CE$86)</f>
        <v>177986.29999074613</v>
      </c>
      <c r="N135" s="112">
        <f>SUM(CG$71:CG$86)+SUM(CI$71:CI$86)+SUM(CK$71:CK$86)+SUM(CM$71:CM$86)</f>
        <v>833303.18650185771</v>
      </c>
      <c r="O135" s="112">
        <f>SUM(CO$71:CO$86)+SUM(CQ$71:CQ$86)+SUM(CS$71:CS$86)+SUM(CU$71:CU$86)</f>
        <v>130662</v>
      </c>
    </row>
    <row r="136" spans="2:15" x14ac:dyDescent="0.2">
      <c r="C136" s="111" t="s">
        <v>131</v>
      </c>
      <c r="D136" s="112">
        <f>SUM(E$87:E$94)+SUM(G$87:G$94)+SUM(I$87:I$94)+SUM(K$87:K$94)</f>
        <v>314757.18870987807</v>
      </c>
      <c r="E136" s="112">
        <f>SUM(M$87:M$94)+SUM(O$87:O$94)+SUM(Q$87:Q$94)+SUM(S$87:S$94)</f>
        <v>489003.87467214908</v>
      </c>
      <c r="F136" s="112">
        <f>SUM(U$87:U$94)+SUM(W$87:W$94)+SUM(Y$87:Y$94)+SUM(AA$87:AA$94)</f>
        <v>435694.89775801258</v>
      </c>
      <c r="G136" s="112">
        <f>SUM(AC$87:AC$94)+SUM(AE$87:AE$94)+SUM(AG$87:AG$94)+SUM(AI$87:AI$94)</f>
        <v>1096263.6857796123</v>
      </c>
      <c r="H136" s="112">
        <f>SUM(AK$87:AK$94)+SUM(AM$87:AM$94)+SUM(AO$87:AO$94)+SUM(AQ$87:AQ$94)</f>
        <v>186806.66013658512</v>
      </c>
      <c r="I136" s="112">
        <f>SUM(AS$87:AS$94)+SUM(AU$87:AU$94)+SUM(AW$87:AW$94)+SUM(AY$87:AY$94)</f>
        <v>1905741.4077830128</v>
      </c>
      <c r="J136" s="112">
        <f>SUM(BA$87:BA$94)+SUM(BC$87:BC$94)+SUM(BE$87:BE$94)+SUM(BG$87:BG$94)</f>
        <v>2056639.0178889688</v>
      </c>
      <c r="K136" s="112">
        <f>SUM(BI$87:BI$94)+SUM(BK$87:BK$94)+SUM(BM$87:BM$94)+SUM(BO$87:BO$94)</f>
        <v>283873.41763956501</v>
      </c>
      <c r="L136" s="112">
        <f>SUM(BQ$87:BQ$94)+SUM(BS$87:BS$94)+SUM(BU$87:BU$94)+SUM(BW$87:BW$94)</f>
        <v>1014137.9522239245</v>
      </c>
      <c r="M136" s="112">
        <f>SUM(BY$87:BY$94)+SUM(CA$87:CA$94)+SUM(CC$87:CC$94)+SUM(CE$87:CE$94)</f>
        <v>435724.08615843556</v>
      </c>
      <c r="N136" s="112">
        <f>SUM(CG$87:CG$94)+SUM(CI$87:CI$94)+SUM(CK$87:CK$94)+SUM(CM$87:CM$94)</f>
        <v>563941.19999999995</v>
      </c>
      <c r="O136" s="112">
        <f>SUM(CO$87:CO$94)+SUM(CQ$87:CQ$94)+SUM(CS$87:CS$94)+SUM(CU$87:CU$94)</f>
        <v>1325988.805883107</v>
      </c>
    </row>
    <row r="137" spans="2:15" x14ac:dyDescent="0.2">
      <c r="C137" s="111" t="s">
        <v>132</v>
      </c>
      <c r="D137" s="112">
        <f>SUM(E$95:E$105)+SUM(G$95:G$105)+SUM(I$95:I$105)+SUM(K$95:K$105)</f>
        <v>388957.19999999995</v>
      </c>
      <c r="E137" s="112">
        <f>SUM(M$95:M$105)+SUM(O$95:O$105)+SUM(Q$95:Q$105)+SUM(S$95:S$105)</f>
        <v>358301.17571021826</v>
      </c>
      <c r="F137" s="112">
        <f>SUM(U$95:U$105)+SUM(W$95:W$105)+SUM(Y$95:Y$105)+SUM(AA$95:AA$105)</f>
        <v>904088.60418646736</v>
      </c>
      <c r="G137" s="112">
        <f>SUM(AC$95:AC$105)+SUM(AE$95:AE$105)+SUM(AG$95:AG$105)+SUM(AI$95:AI$105)</f>
        <v>529167.89112621814</v>
      </c>
      <c r="H137" s="112">
        <f>SUM(AK$95:AK$105)+SUM(AM$95:AM$105)+SUM(AO$95:AO$105)+SUM(AQ$95:AQ$105)</f>
        <v>2474188.3577837236</v>
      </c>
      <c r="I137" s="112">
        <f>SUM(AS$95:AS$105)+SUM(AU$95:AU$105)+SUM(AW$95:AW$105)+SUM(AY$95:AY$105)</f>
        <v>239574.48178236408</v>
      </c>
      <c r="J137" s="112">
        <f>SUM(BA$95:BA$105)+SUM(BC$95:BC$105)+SUM(BE$95:BE$105)+SUM(BG$95:BG$105)</f>
        <v>687897.87508952699</v>
      </c>
      <c r="K137" s="112">
        <f>SUM(BI$95:BI$105)+SUM(BK$95:BK$105)+SUM(BM$95:BM$105)+SUM(BO$95:BO$105)</f>
        <v>800846.08568918123</v>
      </c>
      <c r="L137" s="112">
        <f>SUM(BQ$95:BQ$105)+SUM(BS$95:BS$105)+SUM(BU$95:BU$105)+SUM(BW$95:BW$105)</f>
        <v>344845.07814566966</v>
      </c>
      <c r="M137" s="112">
        <f>SUM(BY$95:BY$105)+SUM(CA$95:CA$105)+SUM(CC$95:CC$105)+SUM(CE$95:CE$105)</f>
        <v>1143008.3722822585</v>
      </c>
      <c r="N137" s="112">
        <f>SUM(CG$95:CG$105)+SUM(CI$95:CI$105)+SUM(CK$95:CK$105)+SUM(CM$95:CM$105)</f>
        <v>307968.33219359454</v>
      </c>
      <c r="O137" s="112">
        <f>SUM(CO$95:CO$105)+SUM(CQ$95:CQ$105)+SUM(CS$95:CS$105)+SUM(CU$95:CU$105)</f>
        <v>297760.79999999993</v>
      </c>
    </row>
    <row r="138" spans="2:15" x14ac:dyDescent="0.2">
      <c r="C138" s="111" t="s">
        <v>278</v>
      </c>
      <c r="D138" s="106">
        <f t="shared" ref="D138:O138" si="2">SUM(D$131:D$137)</f>
        <v>2409591.1363541703</v>
      </c>
      <c r="E138" s="106">
        <f t="shared" si="2"/>
        <v>8108730.8324845023</v>
      </c>
      <c r="F138" s="106">
        <f t="shared" si="2"/>
        <v>2379586.9989661751</v>
      </c>
      <c r="G138" s="106">
        <f t="shared" si="2"/>
        <v>6421909.092619813</v>
      </c>
      <c r="H138" s="106">
        <f t="shared" si="2"/>
        <v>6099878.2668755185</v>
      </c>
      <c r="I138" s="106">
        <f t="shared" si="2"/>
        <v>5746866.968481075</v>
      </c>
      <c r="J138" s="106">
        <f t="shared" si="2"/>
        <v>5670591.5313803945</v>
      </c>
      <c r="K138" s="106">
        <f t="shared" si="2"/>
        <v>5017931.3884573076</v>
      </c>
      <c r="L138" s="106">
        <f t="shared" si="2"/>
        <v>4284610.3996613529</v>
      </c>
      <c r="M138" s="106">
        <f t="shared" si="2"/>
        <v>6900923.8206694527</v>
      </c>
      <c r="N138" s="106">
        <f t="shared" si="2"/>
        <v>5074585.5815655161</v>
      </c>
      <c r="O138" s="106">
        <f t="shared" si="2"/>
        <v>3141237.1779919583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2016-10-10T15:17:09Z</dcterms:modified>
</cp:coreProperties>
</file>