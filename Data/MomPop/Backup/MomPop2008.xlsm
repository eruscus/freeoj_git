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Decisions\"/>
    </mc:Choice>
  </mc:AlternateContent>
  <bookViews>
    <workbookView xWindow="0" yWindow="45" windowWidth="15480" windowHeight="1164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<sst xmlns="http://schemas.openxmlformats.org/spreadsheetml/2006/main" count="513" uniqueCount="167">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</sst>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2008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kls+hVcA68IlKRd06ZA6O+NSD6x4AMEOH63Qe9iomS7oPk+rg+NdqaVvbLmVFNMd0j5t0SXz7KrWmMmWWGEs2A==" saltValue="FSYFHdYrFspgBQVRw8gc6Q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12" workbookViewId="0">
      <selection activeCell="N19" sqref="N19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-250</v>
      </c>
      <c r="D6" s="15">
        <v>471</v>
      </c>
      <c r="E6" s="15" t="s">
        <v>166</v>
      </c>
      <c r="F6" s="15" t="s">
        <v>6</v>
      </c>
      <c r="G6" s="15">
        <f t="shared" ref="G6:G15" si="0">$D6+$C6</f>
        <v>221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-150</v>
      </c>
      <c r="D10" s="15">
        <v>313</v>
      </c>
      <c r="E10" s="15" t="s">
        <v>166</v>
      </c>
      <c r="F10" s="15" t="s">
        <v>6</v>
      </c>
      <c r="G10" s="15">
        <f t="shared" si="0"/>
        <v>163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-292</v>
      </c>
      <c r="D12" s="15">
        <v>4689</v>
      </c>
      <c r="E12" s="15" t="s">
        <v>166</v>
      </c>
      <c r="F12" s="15" t="s">
        <v>6</v>
      </c>
      <c r="G12" s="15">
        <f t="shared" si="0"/>
        <v>4397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-11</v>
      </c>
      <c r="D21" s="15">
        <v>11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-8</v>
      </c>
      <c r="D25" s="15">
        <v>14</v>
      </c>
      <c r="E25" s="15"/>
      <c r="F25" s="15" t="s">
        <v>6</v>
      </c>
      <c r="G25" s="15">
        <f t="shared" si="2"/>
        <v>6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-43</v>
      </c>
      <c r="D27" s="15">
        <v>69</v>
      </c>
      <c r="E27" s="15"/>
      <c r="F27" s="15" t="s">
        <v>6</v>
      </c>
      <c r="G27" s="15">
        <f t="shared" si="2"/>
        <v>26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94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WW3cSg9JCzbvm0shypiUD1V4GAHNkjTsEIki4Gr/ZZavn/QcK6StGFOhgw1VImsZEFrxPfdm76AYD3Dvk3JEUQ==" saltValue="Ir5T93A/PzGPMDkN5yrLM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2003</v>
      </c>
      <c r="E28" s="49"/>
      <c r="F28" s="45">
        <f>basic_info!$D$5-4</f>
        <v>2004</v>
      </c>
      <c r="G28" s="49"/>
      <c r="H28" s="45">
        <f>basic_info!$D$5-3</f>
        <v>2005</v>
      </c>
      <c r="I28" s="49"/>
      <c r="J28" s="45">
        <f>basic_info!$D$5-2</f>
        <v>2006</v>
      </c>
      <c r="K28" s="49"/>
      <c r="L28" s="45">
        <f>basic_info!$D$5-1</f>
        <v>2007</v>
      </c>
      <c r="N28" s="45">
        <f>basic_info!$D$5</f>
        <v>2008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2008</v>
      </c>
      <c r="D30" s="44">
        <v>0.78584368908792024</v>
      </c>
      <c r="E30" s="35">
        <v>0</v>
      </c>
      <c r="F30" s="47">
        <v>0.78609720553568063</v>
      </c>
      <c r="G30" s="46">
        <v>0</v>
      </c>
      <c r="H30" s="47">
        <v>0.73078852244812054</v>
      </c>
      <c r="I30" s="46">
        <v>0</v>
      </c>
      <c r="J30" s="47">
        <v>0.79541919266908367</v>
      </c>
      <c r="K30" s="46"/>
      <c r="L30" s="47">
        <v>0.76138148527371097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2009</v>
      </c>
      <c r="D31" s="76"/>
      <c r="E31" s="75"/>
      <c r="F31" s="69">
        <v>0.7399849637887721</v>
      </c>
      <c r="G31" s="79">
        <v>0</v>
      </c>
      <c r="H31" s="61">
        <v>0.69782766257496576</v>
      </c>
      <c r="I31" s="62">
        <v>400000</v>
      </c>
      <c r="J31" s="61">
        <v>0.7777456783815756</v>
      </c>
      <c r="K31" s="62"/>
      <c r="L31" s="61">
        <v>0.76161556793937901</v>
      </c>
      <c r="M31" s="62"/>
      <c r="N31" s="63">
        <v>0.94501843727299595</v>
      </c>
      <c r="O31" s="89"/>
      <c r="P31" s="63">
        <f>O31+M31+K31+I31+G31</f>
        <v>400000</v>
      </c>
    </row>
    <row r="32" spans="2:33" x14ac:dyDescent="0.2">
      <c r="B32" s="36"/>
      <c r="C32" s="47">
        <f>basic_info!$D$5+2</f>
        <v>2010</v>
      </c>
      <c r="D32" s="76"/>
      <c r="E32" s="75"/>
      <c r="F32" s="75"/>
      <c r="G32" s="75"/>
      <c r="H32" s="69">
        <v>0.64606856993436812</v>
      </c>
      <c r="I32" s="79">
        <v>400000</v>
      </c>
      <c r="J32" s="61">
        <v>0.72055098531842476</v>
      </c>
      <c r="K32" s="62">
        <v>400000</v>
      </c>
      <c r="L32" s="61">
        <v>0.71377004027579827</v>
      </c>
      <c r="M32" s="62"/>
      <c r="N32" s="63">
        <v>0.86435813324293276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2011</v>
      </c>
      <c r="D33" s="76"/>
      <c r="E33" s="75"/>
      <c r="F33" s="75"/>
      <c r="G33" s="75"/>
      <c r="H33" s="75"/>
      <c r="I33" s="75"/>
      <c r="J33" s="69">
        <v>0.6808876388132572</v>
      </c>
      <c r="K33" s="79">
        <v>400000</v>
      </c>
      <c r="L33" s="61">
        <v>0.71201828987937288</v>
      </c>
      <c r="M33" s="62">
        <v>400000</v>
      </c>
      <c r="N33" s="63">
        <v>0.87454112416799612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2012</v>
      </c>
      <c r="D34" s="76"/>
      <c r="E34" s="75"/>
      <c r="F34" s="75"/>
      <c r="G34" s="75"/>
      <c r="H34" s="75"/>
      <c r="I34" s="75"/>
      <c r="J34" s="75"/>
      <c r="K34" s="75"/>
      <c r="L34" s="69">
        <v>0.66759713542461396</v>
      </c>
      <c r="M34" s="79">
        <v>400000</v>
      </c>
      <c r="N34" s="63">
        <v>0.81134172439645946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0.77419792761206629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2008</v>
      </c>
      <c r="D36" s="44">
        <v>1.0290085296932949</v>
      </c>
      <c r="E36" s="35">
        <v>0</v>
      </c>
      <c r="F36" s="73">
        <v>1.1054417090410307</v>
      </c>
      <c r="G36" s="74">
        <v>0</v>
      </c>
      <c r="H36" s="73">
        <v>1.1101569663340529</v>
      </c>
      <c r="I36" s="74">
        <v>300000</v>
      </c>
      <c r="J36" s="73">
        <v>1.0946302598191511</v>
      </c>
      <c r="K36" s="74">
        <v>300000</v>
      </c>
      <c r="L36" s="66">
        <v>1.0366480005182297</v>
      </c>
      <c r="M36" s="67">
        <v>600000</v>
      </c>
      <c r="N36" s="68"/>
      <c r="O36" s="71" t="s">
        <v>162</v>
      </c>
      <c r="P36" s="41">
        <f>M36+K36+I36+E36+G36</f>
        <v>1200000</v>
      </c>
      <c r="Q36" s="70"/>
    </row>
    <row r="37" spans="2:17" x14ac:dyDescent="0.2">
      <c r="B37" s="36"/>
      <c r="C37" s="47">
        <f>basic_info!$D$5+1</f>
        <v>2009</v>
      </c>
      <c r="D37" s="76"/>
      <c r="E37" s="75"/>
      <c r="F37" s="69">
        <v>1.0257547201122916</v>
      </c>
      <c r="G37" s="79">
        <v>0</v>
      </c>
      <c r="H37" s="61">
        <v>1.1300023102276531</v>
      </c>
      <c r="I37" s="62">
        <v>300000</v>
      </c>
      <c r="J37" s="61">
        <v>1.0547878477209383</v>
      </c>
      <c r="K37" s="62">
        <v>300000</v>
      </c>
      <c r="L37" s="61">
        <v>0.98750252831704477</v>
      </c>
      <c r="M37" s="62">
        <v>300000</v>
      </c>
      <c r="N37" s="61">
        <v>1.0498900180253841</v>
      </c>
      <c r="O37" s="89">
        <v>600000</v>
      </c>
      <c r="P37" s="63">
        <f>O37+M37+K37+I37+G37</f>
        <v>1500000</v>
      </c>
    </row>
    <row r="38" spans="2:17" x14ac:dyDescent="0.2">
      <c r="B38" s="36"/>
      <c r="C38" s="47">
        <f>basic_info!$D$5+2</f>
        <v>2010</v>
      </c>
      <c r="D38" s="76"/>
      <c r="E38" s="75"/>
      <c r="F38" s="75"/>
      <c r="G38" s="75"/>
      <c r="H38" s="69">
        <v>1.051191025570035</v>
      </c>
      <c r="I38" s="79">
        <v>300000</v>
      </c>
      <c r="J38" s="61">
        <v>1.0390313119782215</v>
      </c>
      <c r="K38" s="62">
        <v>300000</v>
      </c>
      <c r="L38" s="61">
        <v>0.93822729942509209</v>
      </c>
      <c r="M38" s="62">
        <v>300000</v>
      </c>
      <c r="N38" s="61">
        <v>1.0511225064186411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2011</v>
      </c>
      <c r="D39" s="76"/>
      <c r="E39" s="75"/>
      <c r="F39" s="75"/>
      <c r="G39" s="75"/>
      <c r="H39" s="75"/>
      <c r="I39" s="75"/>
      <c r="J39" s="69">
        <v>0.95771333889663224</v>
      </c>
      <c r="K39" s="79">
        <v>300000</v>
      </c>
      <c r="L39" s="61">
        <v>0.89726357364389364</v>
      </c>
      <c r="M39" s="62">
        <v>300000</v>
      </c>
      <c r="N39" s="61">
        <v>0.95780442275518196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2012</v>
      </c>
      <c r="D40" s="76"/>
      <c r="E40" s="75"/>
      <c r="F40" s="75"/>
      <c r="G40" s="75"/>
      <c r="H40" s="75"/>
      <c r="I40" s="75"/>
      <c r="J40" s="75"/>
      <c r="K40" s="75"/>
      <c r="L40" s="69">
        <v>0.89032073213160046</v>
      </c>
      <c r="M40" s="79">
        <v>300000</v>
      </c>
      <c r="N40" s="61">
        <v>0.91383547859681491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0.87400841210782521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ICZdfJ9eKOBAUl4h5auB2S2T6aLewWZkwzHBNpjSsiBJFzgLOizX9PK0ZEbTX3U0dlvatQQ03qYexPG1zSIxgA==" saltValue="PjWFu4h91sKKDKMoPtoq0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C36" sqref="C36:N37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MokHyDx10n5y5+UVM3dM7kzsvk/7r9QOalKdCQ+j9lLZ8xq3LpHtEYehc1JeP2NfkGvYYYWhXaIu1AGrVBc8pQ==" saltValue="LXGoth/lhj+cb7Grycugm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abSelected="1" workbookViewId="0">
      <selection activeCell="R43" sqref="R43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pAV1pWnPh5x9GowtNMQbfoOo9U1j/cebpA6LTykp5QXETJ1tx2E6RhKFXEYfdSMMW6yp2qkRAwWVPOlFqAqNw==" saltValue="nKW19tCqflyrQ4M2fJ8zz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2016-10-10T15:10:02Z</dcterms:modified>
</cp:coreProperties>
</file>