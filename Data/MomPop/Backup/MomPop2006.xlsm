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Decisions\"/>
    </mc:Choice>
  </mc:AlternateContent>
  <bookViews>
    <workbookView xWindow="0" yWindow="45" windowWidth="15480" windowHeight="1164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6" i="5"/>
  <c r="G16" i="5"/>
</calcChain>
</file>

<file path=xl/sharedStrings.xml><?xml version="1.0" encoding="utf-8"?>
<sst xmlns="http://schemas.openxmlformats.org/spreadsheetml/2006/main" count="432" uniqueCount="166">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</sst>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2006</v>
      </c>
      <c r="E5" s="103"/>
      <c r="F5" s="104"/>
    </row>
    <row r="6" spans="2:6" x14ac:dyDescent="0.2">
      <c r="B6" s="3"/>
      <c r="C6" s="3"/>
      <c r="D6" s="3"/>
      <c r="E6" s="3"/>
      <c r="F6" s="3"/>
    </row>
  </sheetData>
  <sheetProtection algorithmName="SHA-512" hashValue="0BkUeaugNVnyMmkr1Te74zFDehT+/4Nk2lS//Ob4dl5FRUKO+8OhCYL7RGw02QKO4RwlEF9NkZesW9pqB8Ot7w==" saltValue="U3M6RcbjbJipC8qTMENJbQ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>
      <selection activeCell="C21" sqref="C21:C30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-786</v>
      </c>
      <c r="D6" s="15">
        <v>2043</v>
      </c>
      <c r="E6" s="15"/>
      <c r="F6" s="15" t="s">
        <v>6</v>
      </c>
      <c r="G6" s="15">
        <f t="shared" ref="G6:G15" si="0">$D6+$C6</f>
        <v>1257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-1541</v>
      </c>
      <c r="D10" s="15">
        <v>2454</v>
      </c>
      <c r="E10" s="15"/>
      <c r="F10" s="15" t="s">
        <v>6</v>
      </c>
      <c r="G10" s="15">
        <f t="shared" si="0"/>
        <v>913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-292</v>
      </c>
      <c r="D12" s="15">
        <v>5273</v>
      </c>
      <c r="E12" s="15"/>
      <c r="F12" s="15" t="s">
        <v>6</v>
      </c>
      <c r="G12" s="15">
        <f t="shared" si="0"/>
        <v>4981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-39</v>
      </c>
      <c r="D21" s="15">
        <v>61</v>
      </c>
      <c r="E21" s="15"/>
      <c r="F21" s="15" t="s">
        <v>6</v>
      </c>
      <c r="G21" s="15">
        <f t="shared" ref="G21:G30" si="2">$D21+$C21</f>
        <v>22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-62</v>
      </c>
      <c r="D25" s="15">
        <v>91</v>
      </c>
      <c r="E25" s="15"/>
      <c r="F25" s="15" t="s">
        <v>6</v>
      </c>
      <c r="G25" s="15">
        <f t="shared" si="2"/>
        <v>29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-43</v>
      </c>
      <c r="D27" s="15">
        <v>155</v>
      </c>
      <c r="E27" s="15"/>
      <c r="F27" s="15" t="s">
        <v>6</v>
      </c>
      <c r="G27" s="15">
        <f t="shared" si="2"/>
        <v>112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307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/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/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/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sheetProtection algorithmName="SHA-512" hashValue="LdFIRi5uUY6XyAd4b4jyESla/uJnj8Oo6dYoI1BZEF6irRfongwjMJ0k7LBgesMhdgJikihRBJvDYyjLIm0TDw==" saltValue="dJvcRed/dArzRcmEFxdQg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2001</v>
      </c>
      <c r="E28" s="49"/>
      <c r="F28" s="45">
        <f>basic_info!$D$5-4</f>
        <v>2002</v>
      </c>
      <c r="G28" s="49"/>
      <c r="H28" s="45">
        <f>basic_info!$D$5-3</f>
        <v>2003</v>
      </c>
      <c r="I28" s="49"/>
      <c r="J28" s="45">
        <f>basic_info!$D$5-2</f>
        <v>2004</v>
      </c>
      <c r="K28" s="49"/>
      <c r="L28" s="45">
        <f>basic_info!$D$5-1</f>
        <v>2005</v>
      </c>
      <c r="N28" s="45">
        <f>basic_info!$D$5</f>
        <v>2006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2006</v>
      </c>
      <c r="D30" s="44">
        <v>0.89613018209891793</v>
      </c>
      <c r="E30" s="35">
        <v>0</v>
      </c>
      <c r="F30" s="47">
        <v>0.89685664902276785</v>
      </c>
      <c r="G30" s="46">
        <v>200000</v>
      </c>
      <c r="H30" s="47">
        <v>0.92496783911573388</v>
      </c>
      <c r="I30" s="46">
        <v>0</v>
      </c>
      <c r="J30" s="47">
        <v>0.86281425781024335</v>
      </c>
      <c r="K30" s="46">
        <v>0</v>
      </c>
      <c r="L30" s="47">
        <v>0.80509725564657586</v>
      </c>
      <c r="M30" s="46">
        <v>0</v>
      </c>
      <c r="N30" s="60"/>
      <c r="O30" s="71" t="s">
        <v>162</v>
      </c>
      <c r="P30" s="41">
        <f>M30+K30+I30+E30+G30</f>
        <v>200000</v>
      </c>
      <c r="Q30" s="70"/>
    </row>
    <row r="31" spans="2:33" x14ac:dyDescent="0.2">
      <c r="B31" s="36"/>
      <c r="C31" s="47">
        <f>basic_info!$D$5+1</f>
        <v>2007</v>
      </c>
      <c r="D31" s="76"/>
      <c r="E31" s="75"/>
      <c r="F31" s="69">
        <v>0.87020508707976429</v>
      </c>
      <c r="G31" s="79">
        <v>0</v>
      </c>
      <c r="H31" s="61">
        <v>0.86299991590536052</v>
      </c>
      <c r="I31" s="62">
        <v>0</v>
      </c>
      <c r="J31" s="61">
        <v>0.79485878402772314</v>
      </c>
      <c r="K31" s="62">
        <v>0</v>
      </c>
      <c r="L31" s="61">
        <v>0.74055946737908196</v>
      </c>
      <c r="M31" s="62">
        <v>0</v>
      </c>
      <c r="N31" s="63">
        <v>0.78901217047933125</v>
      </c>
      <c r="O31" s="89"/>
      <c r="P31" s="63">
        <f>O31+M31+K31+I31+G31</f>
        <v>0</v>
      </c>
    </row>
    <row r="32" spans="2:33" x14ac:dyDescent="0.2">
      <c r="B32" s="36"/>
      <c r="C32" s="47">
        <f>basic_info!$D$5+2</f>
        <v>2008</v>
      </c>
      <c r="D32" s="76"/>
      <c r="E32" s="75"/>
      <c r="F32" s="75"/>
      <c r="G32" s="75"/>
      <c r="H32" s="69">
        <v>0.78584368908792024</v>
      </c>
      <c r="I32" s="79">
        <v>0</v>
      </c>
      <c r="J32" s="61">
        <v>0.78609720553568063</v>
      </c>
      <c r="K32" s="62">
        <v>0</v>
      </c>
      <c r="L32" s="61">
        <v>0.73078852244812054</v>
      </c>
      <c r="M32" s="62">
        <v>0</v>
      </c>
      <c r="N32" s="63">
        <v>0.79541919266908367</v>
      </c>
      <c r="O32" s="89"/>
      <c r="P32" s="63">
        <f>O32+M32+K32+I32</f>
        <v>0</v>
      </c>
    </row>
    <row r="33" spans="2:17" x14ac:dyDescent="0.2">
      <c r="B33" s="36"/>
      <c r="C33" s="47">
        <f>basic_info!$D$5+3</f>
        <v>2009</v>
      </c>
      <c r="D33" s="76"/>
      <c r="E33" s="75"/>
      <c r="F33" s="75"/>
      <c r="G33" s="75"/>
      <c r="H33" s="75"/>
      <c r="I33" s="75"/>
      <c r="J33" s="69">
        <v>0.7399849637887721</v>
      </c>
      <c r="K33" s="79">
        <v>0</v>
      </c>
      <c r="L33" s="61">
        <v>0.69782766257496576</v>
      </c>
      <c r="M33" s="62">
        <v>400000</v>
      </c>
      <c r="N33" s="63">
        <v>0.7777456783815756</v>
      </c>
      <c r="O33" s="89"/>
      <c r="P33" s="63">
        <f>O33+M33+K33</f>
        <v>400000</v>
      </c>
    </row>
    <row r="34" spans="2:17" x14ac:dyDescent="0.2">
      <c r="B34" s="36"/>
      <c r="C34" s="47">
        <f>basic_info!$D$5+4</f>
        <v>2010</v>
      </c>
      <c r="D34" s="76"/>
      <c r="E34" s="75"/>
      <c r="F34" s="75"/>
      <c r="G34" s="75"/>
      <c r="H34" s="75"/>
      <c r="I34" s="75"/>
      <c r="J34" s="75"/>
      <c r="K34" s="75"/>
      <c r="L34" s="69">
        <v>0.64606856993436812</v>
      </c>
      <c r="M34" s="79">
        <v>400000</v>
      </c>
      <c r="N34" s="63">
        <v>0.72055098531842476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0.6808876388132572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2006</v>
      </c>
      <c r="D36" s="44">
        <v>0.98237584286493185</v>
      </c>
      <c r="E36" s="35">
        <v>0</v>
      </c>
      <c r="F36" s="73">
        <v>1.1615220810181899</v>
      </c>
      <c r="G36" s="74">
        <v>200000</v>
      </c>
      <c r="H36" s="73">
        <v>1.1557062872353714</v>
      </c>
      <c r="I36" s="74">
        <v>0</v>
      </c>
      <c r="J36" s="73">
        <v>1.1782387321890069</v>
      </c>
      <c r="K36" s="74">
        <v>300000</v>
      </c>
      <c r="L36" s="66">
        <v>1.2236057377959293</v>
      </c>
      <c r="M36" s="67">
        <v>600000</v>
      </c>
      <c r="N36" s="68"/>
      <c r="O36" s="71" t="s">
        <v>162</v>
      </c>
      <c r="P36" s="41">
        <f>M36+K36+I36+E36+G36</f>
        <v>1100000</v>
      </c>
      <c r="Q36" s="70"/>
    </row>
    <row r="37" spans="2:17" x14ac:dyDescent="0.2">
      <c r="B37" s="36"/>
      <c r="C37" s="47">
        <f>basic_info!$D$5+1</f>
        <v>2007</v>
      </c>
      <c r="D37" s="76"/>
      <c r="E37" s="75"/>
      <c r="F37" s="69">
        <v>1.0710118786053693</v>
      </c>
      <c r="G37" s="79">
        <v>0</v>
      </c>
      <c r="H37" s="61">
        <v>1.0946334830229054</v>
      </c>
      <c r="I37" s="62">
        <v>0</v>
      </c>
      <c r="J37" s="61">
        <v>1.0994159571183295</v>
      </c>
      <c r="K37" s="62">
        <v>0</v>
      </c>
      <c r="L37" s="61">
        <v>1.1916827819048752</v>
      </c>
      <c r="M37" s="62">
        <v>300000</v>
      </c>
      <c r="N37" s="61">
        <v>1.1318170427930718</v>
      </c>
      <c r="O37" s="89">
        <v>600000</v>
      </c>
      <c r="P37" s="63">
        <f>O37+M37+K37+I37+G37</f>
        <v>900000</v>
      </c>
    </row>
    <row r="38" spans="2:17" x14ac:dyDescent="0.2">
      <c r="B38" s="36"/>
      <c r="C38" s="47">
        <f>basic_info!$D$5+2</f>
        <v>2008</v>
      </c>
      <c r="D38" s="76"/>
      <c r="E38" s="75"/>
      <c r="F38" s="75"/>
      <c r="G38" s="75"/>
      <c r="H38" s="69">
        <v>1.0290085296932949</v>
      </c>
      <c r="I38" s="79">
        <v>0</v>
      </c>
      <c r="J38" s="61">
        <v>1.1054417090410307</v>
      </c>
      <c r="K38" s="62">
        <v>0</v>
      </c>
      <c r="L38" s="61">
        <v>1.1101569663340529</v>
      </c>
      <c r="M38" s="62">
        <v>300000</v>
      </c>
      <c r="N38" s="61">
        <v>1.0946302598191511</v>
      </c>
      <c r="O38" s="89">
        <v>300000</v>
      </c>
      <c r="P38" s="63">
        <f>O38+M38+K38+I38</f>
        <v>600000</v>
      </c>
    </row>
    <row r="39" spans="2:17" x14ac:dyDescent="0.2">
      <c r="B39" s="36"/>
      <c r="C39" s="47">
        <f>basic_info!$D$5+3</f>
        <v>2009</v>
      </c>
      <c r="D39" s="76"/>
      <c r="E39" s="75"/>
      <c r="F39" s="75"/>
      <c r="G39" s="75"/>
      <c r="H39" s="75"/>
      <c r="I39" s="75"/>
      <c r="J39" s="69">
        <v>1.0257547201122916</v>
      </c>
      <c r="K39" s="79">
        <v>0</v>
      </c>
      <c r="L39" s="61">
        <v>1.1300023102276531</v>
      </c>
      <c r="M39" s="62">
        <v>300000</v>
      </c>
      <c r="N39" s="61">
        <v>1.0547878477209383</v>
      </c>
      <c r="O39" s="89">
        <v>300000</v>
      </c>
      <c r="P39" s="63">
        <f>O39+M39+K39</f>
        <v>600000</v>
      </c>
    </row>
    <row r="40" spans="2:17" x14ac:dyDescent="0.2">
      <c r="B40" s="36"/>
      <c r="C40" s="47">
        <f>basic_info!$D$5+4</f>
        <v>2010</v>
      </c>
      <c r="D40" s="76"/>
      <c r="E40" s="75"/>
      <c r="F40" s="75"/>
      <c r="G40" s="75"/>
      <c r="H40" s="75"/>
      <c r="I40" s="75"/>
      <c r="J40" s="75"/>
      <c r="K40" s="75"/>
      <c r="L40" s="69">
        <v>1.051191025570035</v>
      </c>
      <c r="M40" s="79">
        <v>300000</v>
      </c>
      <c r="N40" s="61">
        <v>1.0390313119782215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0.95771333889663224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5SDNxbKcDoGAl9ljd2AyFC13z6LclHbrHuHzvqfWKmYfuDvsRwW02UbhLknGuOzhvqFVkJrzZ7fRl95u/NUuw==" saltValue="NaZyTdAqoMVUVYKLr5AJD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C36" sqref="C36:N37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6.083281169442694</v>
      </c>
      <c r="D6" s="93"/>
      <c r="E6" s="93">
        <v>21.322558656143194</v>
      </c>
      <c r="F6" s="93">
        <v>43.576000000000001</v>
      </c>
      <c r="G6" s="93">
        <v>29.018160174414106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/>
      <c r="D7" s="93">
        <v>29.273302900011473</v>
      </c>
      <c r="E7" s="93"/>
      <c r="F7" s="93">
        <v>5.2536970999885284</v>
      </c>
      <c r="G7" s="93">
        <v>65.472999999999999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/>
      <c r="D8" s="93">
        <v>13.311643831050283</v>
      </c>
      <c r="E8" s="93"/>
      <c r="F8" s="93">
        <v>41.02235616894972</v>
      </c>
      <c r="G8" s="93">
        <v>45.665999999999997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3">
        <v>100</v>
      </c>
      <c r="H27" s="93"/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3"/>
      <c r="H28" s="93">
        <v>100</v>
      </c>
      <c r="I28" s="95"/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sheetProtection algorithmName="SHA-512" hashValue="G7wHMT/9kbWvALjNKYta2CtXztSLNAIUvo4pIaLeeGMwtooAdQ9+DlUV/jkYcPtPeTkbNEfFNE09jzkw6bqRHg==" saltValue="KwW6pHjhmEKO7EsqIp2AU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tabSelected="1" workbookViewId="0">
      <selection activeCell="V15" sqref="V15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j/P6nenQN9Y59TKjNxN0m62g1dS70wtEYeg20wM7QcYVLnXWFaPIcosA9fj0MRpMXHYWYnObmzGfr1Zmei2zLg==" saltValue="bfQqxHND4qubN5jqH2aSh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2016-10-10T14:48:31Z</dcterms:modified>
</cp:coreProperties>
</file>