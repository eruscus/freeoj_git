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Decisions\"/>
    </mc:Choice>
  </mc:AlternateContent>
  <bookViews>
    <workbookView xWindow="0" yWindow="45" windowWidth="15480" windowHeight="1164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6" i="5"/>
  <c r="G16" i="5"/>
</calcChain>
</file>

<file path=xl/sharedStrings.xml><?xml version="1.0" encoding="utf-8"?>
<sst xmlns="http://schemas.openxmlformats.org/spreadsheetml/2006/main" count="513" uniqueCount="167">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</sst>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2010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NnYK5W7107v3eMIxSjh22zP05xlS8pUEYIfYnk+h6Eiu6Dp5i4+U2XI+VsKyQSq5qfoeFOAe+Aoy+nSaOhRxMw==" saltValue="ZjdvX8ji5S1sRudD4D5exQ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4" workbookViewId="0">
      <selection activeCell="I17" sqref="I17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-100</v>
      </c>
      <c r="D6" s="15">
        <v>121</v>
      </c>
      <c r="E6" s="15" t="s">
        <v>166</v>
      </c>
      <c r="F6" s="15" t="s">
        <v>6</v>
      </c>
      <c r="G6" s="15">
        <f t="shared" ref="G6:G15" si="0">$D6+$C6</f>
        <v>21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-7</v>
      </c>
      <c r="D10" s="15">
        <v>13</v>
      </c>
      <c r="E10" s="15" t="s">
        <v>166</v>
      </c>
      <c r="F10" s="15" t="s">
        <v>6</v>
      </c>
      <c r="G10" s="15">
        <f t="shared" si="0"/>
        <v>6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-292</v>
      </c>
      <c r="D12" s="15">
        <v>4105</v>
      </c>
      <c r="E12" s="15" t="s">
        <v>166</v>
      </c>
      <c r="F12" s="15" t="s">
        <v>6</v>
      </c>
      <c r="G12" s="15">
        <f t="shared" si="0"/>
        <v>3813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-3</v>
      </c>
      <c r="D25" s="15">
        <v>3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-13</v>
      </c>
      <c r="D27" s="15">
        <v>13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16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Au2fr70O97OJRzT9QQtYAKcnTWiDuwQ+DFHDNB0c5hZ5o7j38JI7iSt/boPrLxCbSrDapgXBoaVHNc14s0ugJw==" saltValue="lKNk0oOpNXgALHMc/WSZq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2005</v>
      </c>
      <c r="E28" s="49"/>
      <c r="F28" s="45">
        <f>basic_info!$D$5-4</f>
        <v>2006</v>
      </c>
      <c r="G28" s="49"/>
      <c r="H28" s="45">
        <f>basic_info!$D$5-3</f>
        <v>2007</v>
      </c>
      <c r="I28" s="49"/>
      <c r="J28" s="45">
        <f>basic_info!$D$5-2</f>
        <v>2008</v>
      </c>
      <c r="K28" s="49"/>
      <c r="L28" s="45">
        <f>basic_info!$D$5-1</f>
        <v>2009</v>
      </c>
      <c r="N28" s="45">
        <f>basic_info!$D$5</f>
        <v>2010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2010</v>
      </c>
      <c r="D30" s="44">
        <v>0.64606856993436812</v>
      </c>
      <c r="E30" s="35">
        <v>400000</v>
      </c>
      <c r="F30" s="47">
        <v>0.72055098531842476</v>
      </c>
      <c r="G30" s="46">
        <v>400000</v>
      </c>
      <c r="H30" s="47">
        <v>0.71377004027579827</v>
      </c>
      <c r="I30" s="46"/>
      <c r="J30" s="47">
        <v>0.86435813324293276</v>
      </c>
      <c r="K30" s="46"/>
      <c r="L30" s="47">
        <v>0.95621221546499158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2011</v>
      </c>
      <c r="D31" s="76"/>
      <c r="E31" s="75"/>
      <c r="F31" s="69">
        <v>0.6808876388132572</v>
      </c>
      <c r="G31" s="79">
        <v>400000</v>
      </c>
      <c r="H31" s="61">
        <v>0.71201828987937288</v>
      </c>
      <c r="I31" s="62">
        <v>400000</v>
      </c>
      <c r="J31" s="61">
        <v>0.87454112416799612</v>
      </c>
      <c r="K31" s="62"/>
      <c r="L31" s="61">
        <v>0.87348276589188312</v>
      </c>
      <c r="M31" s="62"/>
      <c r="N31" s="63">
        <v>0.74769820265075293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2012</v>
      </c>
      <c r="D32" s="76"/>
      <c r="E32" s="75"/>
      <c r="F32" s="75"/>
      <c r="G32" s="75"/>
      <c r="H32" s="69">
        <v>0.66759713542461396</v>
      </c>
      <c r="I32" s="79">
        <v>400000</v>
      </c>
      <c r="J32" s="61">
        <v>0.81134172439645946</v>
      </c>
      <c r="K32" s="62">
        <v>400000</v>
      </c>
      <c r="L32" s="61">
        <v>0.81188912511999345</v>
      </c>
      <c r="M32" s="62"/>
      <c r="N32" s="63">
        <v>0.69770012734349673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2013</v>
      </c>
      <c r="D33" s="76"/>
      <c r="E33" s="75"/>
      <c r="F33" s="75"/>
      <c r="G33" s="75"/>
      <c r="H33" s="75"/>
      <c r="I33" s="75"/>
      <c r="J33" s="69">
        <v>0.77419792761206629</v>
      </c>
      <c r="K33" s="79">
        <v>400000</v>
      </c>
      <c r="L33" s="61">
        <v>0.75988620984963406</v>
      </c>
      <c r="M33" s="62">
        <v>400000</v>
      </c>
      <c r="N33" s="63">
        <v>0.70400269357188838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2014</v>
      </c>
      <c r="D34" s="76"/>
      <c r="E34" s="75"/>
      <c r="F34" s="75"/>
      <c r="G34" s="75"/>
      <c r="H34" s="75"/>
      <c r="I34" s="75"/>
      <c r="J34" s="75"/>
      <c r="K34" s="75"/>
      <c r="L34" s="69">
        <v>0.72473765751123431</v>
      </c>
      <c r="M34" s="79">
        <v>400000</v>
      </c>
      <c r="N34" s="63">
        <v>0.71441382370859263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2015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0.67398288510441784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2010</v>
      </c>
      <c r="D36" s="44">
        <v>1.051191025570035</v>
      </c>
      <c r="E36" s="35">
        <v>300000</v>
      </c>
      <c r="F36" s="73">
        <v>1.0390313119782215</v>
      </c>
      <c r="G36" s="74">
        <v>300000</v>
      </c>
      <c r="H36" s="73">
        <v>0.93822729942509209</v>
      </c>
      <c r="I36" s="74">
        <v>300000</v>
      </c>
      <c r="J36" s="73">
        <v>1.0511225064186411</v>
      </c>
      <c r="K36" s="74">
        <v>300000</v>
      </c>
      <c r="L36" s="66">
        <v>1.0950496136559948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2011</v>
      </c>
      <c r="D37" s="76"/>
      <c r="E37" s="75"/>
      <c r="F37" s="69">
        <v>0.95771333889663224</v>
      </c>
      <c r="G37" s="79">
        <v>300000</v>
      </c>
      <c r="H37" s="61">
        <v>0.89726357364389364</v>
      </c>
      <c r="I37" s="62">
        <v>300000</v>
      </c>
      <c r="J37" s="61">
        <v>0.95780442275518196</v>
      </c>
      <c r="K37" s="62">
        <v>300000</v>
      </c>
      <c r="L37" s="61">
        <v>1.0668653165767679</v>
      </c>
      <c r="M37" s="62">
        <v>300000</v>
      </c>
      <c r="N37" s="61">
        <v>1.1624333463677974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2012</v>
      </c>
      <c r="D38" s="76"/>
      <c r="E38" s="75"/>
      <c r="F38" s="75"/>
      <c r="G38" s="75"/>
      <c r="H38" s="69">
        <v>0.89032073213160046</v>
      </c>
      <c r="I38" s="79">
        <v>300000</v>
      </c>
      <c r="J38" s="61">
        <v>0.91383547859681491</v>
      </c>
      <c r="K38" s="62">
        <v>300000</v>
      </c>
      <c r="L38" s="61">
        <v>1.0175796433406761</v>
      </c>
      <c r="M38" s="62">
        <v>300000</v>
      </c>
      <c r="N38" s="61">
        <v>1.0991066984060751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2013</v>
      </c>
      <c r="D39" s="76"/>
      <c r="E39" s="75"/>
      <c r="F39" s="75"/>
      <c r="G39" s="75"/>
      <c r="H39" s="75"/>
      <c r="I39" s="75"/>
      <c r="J39" s="69">
        <v>0.87400841210782521</v>
      </c>
      <c r="K39" s="79">
        <v>300000</v>
      </c>
      <c r="L39" s="61">
        <v>0.98773074448833686</v>
      </c>
      <c r="M39" s="62">
        <v>300000</v>
      </c>
      <c r="N39" s="61">
        <v>1.0158087168858814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2014</v>
      </c>
      <c r="D40" s="76"/>
      <c r="E40" s="75"/>
      <c r="F40" s="75"/>
      <c r="G40" s="75"/>
      <c r="H40" s="75"/>
      <c r="I40" s="75"/>
      <c r="J40" s="75"/>
      <c r="K40" s="75"/>
      <c r="L40" s="69">
        <v>0.97905324764549728</v>
      </c>
      <c r="M40" s="79">
        <v>300000</v>
      </c>
      <c r="N40" s="61">
        <v>1.004390797006619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2015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0.92318454591929922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HxtdCbKeKQkLb1qhtZJ8/xxkn3f3BnLAPNbvht72Cofa+HEoDuhzxcBeDUGUfh2PQLaz+YG69GXzkQyGQq02nQ==" saltValue="FN6yV3US0C2RCUw82Dc5G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C36" sqref="C36:N37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s9KdBX05Ov0+skEgR2JqHphzkZNVDeySsQIWJNaG1ZmBQdhhy9GApTbY7AaBT1cIhAKN/wmiHjNKosIKiX+q7g==" saltValue="1kuYE14NYL6eNdUT2OH8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abSelected="1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LG4Xs2rLXRTYx9RafHZjLEkIpi4JQLmtePngRRdiRe60GBFNx3ofDI03TZx4N0Zv27V16+vP5GUUbWoIaIr0jg==" saltValue="pJFIJwR6bp6uU+C4Po7NM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2016-10-10T15:16:34Z</dcterms:modified>
</cp:coreProperties>
</file>