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<sst xmlns="http://schemas.openxmlformats.org/spreadsheetml/2006/main" count="513" uniqueCount="167">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</sst>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2012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kWurEbET0veisMWaq1cYAyYixCPpaFI/LpP0r7IJTE5OGIVzHPxCx2O71y+kwtK88QJ/U4Hcn3+q1bsdQHwl1g==" saltValue="65y8j9hKLzpCBIa6vsYey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21" sqref="C21:C30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-10</v>
      </c>
      <c r="D6" s="15">
        <v>11</v>
      </c>
      <c r="E6" s="15" t="s">
        <v>166</v>
      </c>
      <c r="F6" s="15" t="s">
        <v>6</v>
      </c>
      <c r="G6" s="15">
        <f t="shared" ref="G6:G15" si="0">$D6+$C6</f>
        <v>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5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-3</v>
      </c>
      <c r="D10" s="15">
        <v>3</v>
      </c>
      <c r="E10" s="15" t="s">
        <v>166</v>
      </c>
      <c r="F10" s="15" t="s">
        <v>6</v>
      </c>
      <c r="G10" s="15">
        <f t="shared" si="0"/>
        <v>0</v>
      </c>
      <c r="H10" s="17" t="str">
        <f t="shared" si="1"/>
        <v>sold</v>
      </c>
    </row>
    <row r="11" spans="2:8" x14ac:dyDescent="0.2">
      <c r="B11" s="14" t="s">
        <v>11</v>
      </c>
      <c r="C11" s="85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3800</v>
      </c>
      <c r="E12" s="15" t="s">
        <v>166</v>
      </c>
      <c r="F12" s="15" t="s">
        <v>6</v>
      </c>
      <c r="G12" s="15">
        <f t="shared" si="0"/>
        <v>3787</v>
      </c>
      <c r="H12" s="17" t="str">
        <f t="shared" si="1"/>
        <v/>
      </c>
    </row>
    <row r="13" spans="2:8" x14ac:dyDescent="0.2">
      <c r="B13" s="14" t="s">
        <v>13</v>
      </c>
      <c r="C13" s="85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0</v>
      </c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0</v>
      </c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hwAievATv1QXX2tuTEx/4BYL/wTcISalJz91yjM8TfKzZeWO7JH2aWzKy/wPqtu9deM4HSuhn6G5fQ8hIaefeg==" saltValue="af332OMVhPE7mfMU2SF3q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2007</v>
      </c>
      <c r="E28" s="49"/>
      <c r="F28" s="45">
        <f>basic_info!$D$5-4</f>
        <v>2008</v>
      </c>
      <c r="G28" s="49"/>
      <c r="H28" s="45">
        <f>basic_info!$D$5-3</f>
        <v>2009</v>
      </c>
      <c r="I28" s="49"/>
      <c r="J28" s="45">
        <f>basic_info!$D$5-2</f>
        <v>2010</v>
      </c>
      <c r="K28" s="49"/>
      <c r="L28" s="45">
        <f>basic_info!$D$5-1</f>
        <v>2011</v>
      </c>
      <c r="N28" s="45">
        <f>basic_info!$D$5</f>
        <v>2012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2012</v>
      </c>
      <c r="D30" s="44">
        <v>0.66759713542461396</v>
      </c>
      <c r="E30" s="35">
        <v>400000</v>
      </c>
      <c r="F30" s="47">
        <v>0.81134172439645946</v>
      </c>
      <c r="G30" s="46">
        <v>400000</v>
      </c>
      <c r="H30" s="47">
        <v>0.81188912511999345</v>
      </c>
      <c r="I30" s="46"/>
      <c r="J30" s="47">
        <v>0.69770012734349673</v>
      </c>
      <c r="K30" s="46"/>
      <c r="L30" s="47">
        <v>0.81979439563375311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2013</v>
      </c>
      <c r="D31" s="76"/>
      <c r="E31" s="75"/>
      <c r="F31" s="69">
        <v>0.77419792761206629</v>
      </c>
      <c r="G31" s="79">
        <v>400000</v>
      </c>
      <c r="H31" s="61">
        <v>0.75988620984963406</v>
      </c>
      <c r="I31" s="62">
        <v>400000</v>
      </c>
      <c r="J31" s="61">
        <v>0.70400269357188838</v>
      </c>
      <c r="K31" s="62"/>
      <c r="L31" s="61">
        <v>0.75933230319260714</v>
      </c>
      <c r="M31" s="62"/>
      <c r="N31" s="63">
        <v>0.79110236905498132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2014</v>
      </c>
      <c r="D32" s="76"/>
      <c r="E32" s="75"/>
      <c r="F32" s="75"/>
      <c r="G32" s="75"/>
      <c r="H32" s="69">
        <v>0.72473765751123431</v>
      </c>
      <c r="I32" s="79">
        <v>400000</v>
      </c>
      <c r="J32" s="61">
        <v>0.71441382370859263</v>
      </c>
      <c r="K32" s="62">
        <v>400000</v>
      </c>
      <c r="L32" s="61">
        <v>0.69091416758853352</v>
      </c>
      <c r="M32" s="62"/>
      <c r="N32" s="63">
        <v>0.75192074042674273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2015</v>
      </c>
      <c r="D33" s="76"/>
      <c r="E33" s="75"/>
      <c r="F33" s="75"/>
      <c r="G33" s="75"/>
      <c r="H33" s="75"/>
      <c r="I33" s="75"/>
      <c r="J33" s="69">
        <v>0.67398288510441784</v>
      </c>
      <c r="K33" s="79">
        <v>400000</v>
      </c>
      <c r="L33" s="61">
        <v>0.7025784495475329</v>
      </c>
      <c r="M33" s="62">
        <v>400000</v>
      </c>
      <c r="N33" s="63">
        <v>0.75974471053693216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2016</v>
      </c>
      <c r="D34" s="76"/>
      <c r="E34" s="75"/>
      <c r="F34" s="75"/>
      <c r="G34" s="75"/>
      <c r="H34" s="75"/>
      <c r="I34" s="75"/>
      <c r="J34" s="75"/>
      <c r="K34" s="75"/>
      <c r="L34" s="69">
        <v>0.71552384896278387</v>
      </c>
      <c r="M34" s="79">
        <v>400000</v>
      </c>
      <c r="N34" s="63">
        <v>0.73352858177408109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0.68859153167605403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2012</v>
      </c>
      <c r="D36" s="44">
        <v>0.89032073213160046</v>
      </c>
      <c r="E36" s="35">
        <v>300000</v>
      </c>
      <c r="F36" s="73">
        <v>0.91383547859681491</v>
      </c>
      <c r="G36" s="74">
        <v>300000</v>
      </c>
      <c r="H36" s="73">
        <v>1.0175796433406761</v>
      </c>
      <c r="I36" s="74">
        <v>300000</v>
      </c>
      <c r="J36" s="73">
        <v>1.0991066984060751</v>
      </c>
      <c r="K36" s="74">
        <v>300000</v>
      </c>
      <c r="L36" s="66">
        <v>1.1501363751654021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2013</v>
      </c>
      <c r="D37" s="76"/>
      <c r="E37" s="75"/>
      <c r="F37" s="69">
        <v>0.87400841210782521</v>
      </c>
      <c r="G37" s="79">
        <v>300000</v>
      </c>
      <c r="H37" s="61">
        <v>0.98773074448833686</v>
      </c>
      <c r="I37" s="62">
        <v>300000</v>
      </c>
      <c r="J37" s="61">
        <v>1.0158087168858814</v>
      </c>
      <c r="K37" s="62">
        <v>300000</v>
      </c>
      <c r="L37" s="61">
        <v>1.1144936542893142</v>
      </c>
      <c r="M37" s="62">
        <v>300000</v>
      </c>
      <c r="N37" s="61">
        <v>1.1730117703794187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2014</v>
      </c>
      <c r="D38" s="76"/>
      <c r="E38" s="75"/>
      <c r="F38" s="75"/>
      <c r="G38" s="75"/>
      <c r="H38" s="69">
        <v>0.97905324764549728</v>
      </c>
      <c r="I38" s="79">
        <v>300000</v>
      </c>
      <c r="J38" s="61">
        <v>1.004390797006619</v>
      </c>
      <c r="K38" s="62">
        <v>300000</v>
      </c>
      <c r="L38" s="61">
        <v>1.1358391365953338</v>
      </c>
      <c r="M38" s="62">
        <v>300000</v>
      </c>
      <c r="N38" s="61">
        <v>1.114568040022595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2015</v>
      </c>
      <c r="D39" s="76"/>
      <c r="E39" s="75"/>
      <c r="F39" s="75"/>
      <c r="G39" s="75"/>
      <c r="H39" s="75"/>
      <c r="I39" s="75"/>
      <c r="J39" s="69">
        <v>0.92318454591929922</v>
      </c>
      <c r="K39" s="79">
        <v>300000</v>
      </c>
      <c r="L39" s="61">
        <v>1.0932932166591005</v>
      </c>
      <c r="M39" s="62">
        <v>300000</v>
      </c>
      <c r="N39" s="61">
        <v>1.0797159727823964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2016</v>
      </c>
      <c r="D40" s="76"/>
      <c r="E40" s="75"/>
      <c r="F40" s="75"/>
      <c r="G40" s="75"/>
      <c r="H40" s="75"/>
      <c r="I40" s="75"/>
      <c r="J40" s="75"/>
      <c r="K40" s="75"/>
      <c r="L40" s="69">
        <v>1.023757758513093</v>
      </c>
      <c r="M40" s="79">
        <v>300000</v>
      </c>
      <c r="N40" s="61">
        <v>1.057380701748182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0.96417330466210838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GNlSUgHskg2H2NLUdjGFpFNOqHTfMCjLZr6FTiTCSRIREHmUrzRnsfdKuqWoWXTin2DZ9DEKG38cuZSCd9OD4g==" saltValue="T2FMddc0HqNsPS1Fylrfmw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jLnin5IIiXiU3WCkhbLBOLnYjINsOWTjAA5som3tWPPno4/1NDuYo3r0AfmKXz4onHsJDfd2zFVlWDjEmSzmMg==" saltValue="b/sblaQ6kKApOG6sf2+q6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cplONY2ufgHRM7Miul87gloQaEtDD1Fsf/n417K8GfwoEbKwL3CsrEqACQNpFQbpGbwnLEOo4mg9eT/V2OSGQA==" saltValue="515Z5YN7FYCpSyRIczxba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2016-10-10T15:23:34Z</dcterms:modified>
</cp:coreProperties>
</file>