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showInkAnnotation="0" autoCompressPictures="0"/>
  <bookViews>
    <workbookView xWindow="0" yWindow="0" windowWidth="23040" windowHeight="13100" tabRatio="500" activeTab="1"/>
  </bookViews>
  <sheets>
    <sheet name="basic_info" sheetId="1" r:id="rId1"/>
    <sheet name="facilities" sheetId="2" r:id="rId2"/>
    <sheet name="raw_materials" sheetId="3" r:id="rId3"/>
    <sheet name="shipping_manufacturing" sheetId="4" r:id="rId4"/>
    <sheet name="pricing" sheetId="5" r:id="rId5"/>
  </sheets>
  <externalReferences>
    <externalReference r:id="rId6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7" i="4" l="1"/>
  <c r="M37" i="4"/>
  <c r="L37" i="4"/>
  <c r="H37" i="4"/>
  <c r="G37" i="4"/>
  <c r="D37" i="4"/>
  <c r="N36" i="4"/>
  <c r="M36" i="4"/>
  <c r="G36" i="4"/>
  <c r="F36" i="4"/>
  <c r="E36" i="4"/>
  <c r="C36" i="4"/>
  <c r="E28" i="4"/>
  <c r="E27" i="4"/>
  <c r="D27" i="4" a="1"/>
  <c r="D27" i="4"/>
  <c r="D28" i="4"/>
  <c r="C19" i="4"/>
  <c r="E11" i="4"/>
  <c r="D11" i="4"/>
  <c r="E6" i="4"/>
  <c r="D6" i="4"/>
  <c r="C6" i="4"/>
  <c r="E29" i="4"/>
  <c r="D29" i="4"/>
  <c r="C29" i="4"/>
  <c r="D19" i="4"/>
  <c r="F11" i="4"/>
  <c r="F10" i="4"/>
  <c r="F9" i="4"/>
  <c r="F8" i="4"/>
  <c r="F7" i="4"/>
  <c r="F6" i="4"/>
  <c r="O48" i="3"/>
  <c r="O47" i="3"/>
  <c r="P41" i="3"/>
  <c r="C41" i="3"/>
  <c r="P40" i="3"/>
  <c r="C40" i="3"/>
  <c r="P39" i="3"/>
  <c r="C39" i="3"/>
  <c r="P38" i="3"/>
  <c r="C38" i="3"/>
  <c r="P37" i="3"/>
  <c r="C37" i="3"/>
  <c r="P36" i="3"/>
  <c r="C36" i="3"/>
  <c r="P35" i="3"/>
  <c r="C35" i="3"/>
  <c r="P34" i="3"/>
  <c r="C34" i="3"/>
  <c r="P33" i="3"/>
  <c r="C33" i="3"/>
  <c r="P32" i="3"/>
  <c r="C32" i="3"/>
  <c r="P31" i="3"/>
  <c r="C31" i="3"/>
  <c r="P30" i="3"/>
  <c r="C30" i="3"/>
  <c r="N28" i="3"/>
  <c r="L28" i="3"/>
  <c r="J28" i="3"/>
  <c r="H28" i="3"/>
  <c r="F28" i="3"/>
  <c r="D28" i="3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D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D31" i="2"/>
  <c r="G30" i="2"/>
  <c r="G29" i="2"/>
  <c r="G28" i="2"/>
  <c r="G27" i="2"/>
  <c r="G26" i="2"/>
  <c r="G25" i="2"/>
  <c r="G24" i="2"/>
  <c r="G23" i="2"/>
  <c r="G22" i="2"/>
  <c r="G21" i="2"/>
  <c r="G6" i="2"/>
  <c r="G7" i="2"/>
  <c r="G8" i="2"/>
  <c r="G9" i="2"/>
  <c r="G10" i="2"/>
  <c r="G11" i="2"/>
  <c r="G12" i="2"/>
  <c r="G13" i="2"/>
  <c r="G14" i="2"/>
  <c r="G15" i="2"/>
  <c r="G16" i="2"/>
  <c r="D16" i="2"/>
  <c r="H15" i="2"/>
  <c r="H14" i="2"/>
  <c r="H13" i="2"/>
  <c r="H12" i="2"/>
  <c r="H11" i="2"/>
  <c r="H10" i="2"/>
  <c r="H9" i="2"/>
  <c r="H8" i="2"/>
  <c r="H7" i="2"/>
  <c r="H6" i="2"/>
</calcChain>
</file>

<file path=xl/sharedStrings.xml><?xml version="1.0" encoding="utf-8"?>
<sst xmlns="http://schemas.openxmlformats.org/spreadsheetml/2006/main" count="499" uniqueCount="167">
  <si>
    <t>Basic Information</t>
  </si>
  <si>
    <t>Company Name</t>
  </si>
  <si>
    <t>MomPop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</si>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</sst>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3" borderId="10" xfId="0" applyNumberFormat="1" applyFill="1" applyBorder="1" applyAlignment="1" applyProtection="1">
      <alignment vertical="center"/>
    </xf>
    <xf numFmtId="0" fontId="0" fillId="0" borderId="11" xfId="0" applyNumberFormat="1" applyFill="1" applyBorder="1" applyAlignment="1" applyProtection="1">
      <alignment vertical="center"/>
      <protection locked="0"/>
    </xf>
    <xf numFmtId="0" fontId="0" fillId="3" borderId="7" xfId="0" applyNumberFormat="1" applyFill="1" applyBorder="1" applyAlignment="1" applyProtection="1">
      <alignment vertical="center"/>
    </xf>
    <xf numFmtId="0" fontId="0" fillId="2" borderId="0" xfId="0" applyNumberFormat="1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2" borderId="0" xfId="0" applyNumberFormat="1" applyFont="1" applyFill="1" applyAlignment="1">
      <alignment vertical="center"/>
    </xf>
    <xf numFmtId="0" fontId="0" fillId="3" borderId="7" xfId="0" applyNumberForma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0" fillId="3" borderId="11" xfId="0" applyNumberFormat="1" applyFill="1" applyBorder="1" applyAlignment="1" applyProtection="1">
      <alignment vertical="center"/>
    </xf>
    <xf numFmtId="0" fontId="0" fillId="2" borderId="0" xfId="0" applyNumberFormat="1" applyFill="1" applyAlignment="1">
      <alignment vertical="center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0" xfId="0" applyNumberFormat="1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7" xfId="0" applyFill="1" applyBorder="1" applyAlignment="1" applyProtection="1">
      <alignment vertical="center"/>
      <protection locked="0"/>
    </xf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0" borderId="7" xfId="0" applyBorder="1" applyAlignment="1" applyProtection="1">
      <alignment vertical="center"/>
      <protection locked="0"/>
    </xf>
    <xf numFmtId="0" fontId="0" fillId="2" borderId="0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0" fillId="3" borderId="13" xfId="0" applyNumberFormat="1" applyFill="1" applyBorder="1" applyAlignment="1">
      <alignment vertical="center"/>
    </xf>
    <xf numFmtId="0" fontId="0" fillId="3" borderId="14" xfId="0" applyNumberFormat="1" applyFill="1" applyBorder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0" fillId="0" borderId="5" xfId="0" applyNumberFormat="1" applyFill="1" applyBorder="1" applyAlignment="1" applyProtection="1">
      <alignment vertical="center"/>
      <protection locked="0"/>
    </xf>
    <xf numFmtId="0" fontId="0" fillId="0" borderId="15" xfId="0" applyNumberFormat="1" applyFill="1" applyBorder="1" applyAlignment="1" applyProtection="1">
      <alignment vertical="center"/>
      <protection locked="0"/>
    </xf>
    <xf numFmtId="0" fontId="0" fillId="0" borderId="14" xfId="0" applyNumberFormat="1" applyFill="1" applyBorder="1" applyAlignment="1" applyProtection="1">
      <alignment vertical="center"/>
      <protection locked="0"/>
    </xf>
    <xf numFmtId="0" fontId="0" fillId="0" borderId="7" xfId="0" applyNumberFormat="1" applyFill="1" applyBorder="1" applyAlignment="1" applyProtection="1">
      <alignment vertical="center"/>
      <protection locked="0"/>
    </xf>
    <xf numFmtId="0" fontId="0" fillId="3" borderId="15" xfId="0" applyNumberFormat="1" applyFill="1" applyBorder="1" applyAlignment="1">
      <alignment vertical="center"/>
    </xf>
    <xf numFmtId="0" fontId="0" fillId="2" borderId="4" xfId="0" applyNumberFormat="1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3" borderId="10" xfId="0" applyNumberFormat="1" applyFill="1" applyBorder="1" applyAlignment="1">
      <alignment vertical="center"/>
    </xf>
    <xf numFmtId="0" fontId="5" fillId="0" borderId="15" xfId="0" applyNumberFormat="1" applyFont="1" applyFill="1" applyBorder="1" applyAlignment="1" applyProtection="1">
      <alignment vertical="center"/>
      <protection locked="0"/>
    </xf>
    <xf numFmtId="0" fontId="5" fillId="0" borderId="7" xfId="0" applyNumberFormat="1" applyFont="1" applyFill="1" applyBorder="1" applyAlignment="1" applyProtection="1">
      <alignment vertical="center"/>
      <protection locked="0"/>
    </xf>
    <xf numFmtId="0" fontId="0" fillId="2" borderId="3" xfId="0" applyNumberFormat="1" applyFill="1" applyBorder="1" applyAlignment="1">
      <alignment vertical="center"/>
    </xf>
    <xf numFmtId="0" fontId="5" fillId="2" borderId="3" xfId="0" applyNumberFormat="1" applyFont="1" applyFill="1" applyBorder="1" applyAlignment="1">
      <alignment vertical="center"/>
    </xf>
    <xf numFmtId="0" fontId="0" fillId="3" borderId="11" xfId="0" applyNumberFormat="1" applyFill="1" applyBorder="1" applyAlignment="1">
      <alignment vertical="center"/>
    </xf>
    <xf numFmtId="0" fontId="0" fillId="3" borderId="8" xfId="0" applyNumberFormat="1" applyFill="1" applyBorder="1" applyAlignment="1">
      <alignment vertical="center"/>
    </xf>
    <xf numFmtId="0" fontId="0" fillId="3" borderId="9" xfId="0" applyNumberFormat="1" applyFill="1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9" xfId="0" applyNumberFormat="1" applyBorder="1" applyAlignment="1">
      <alignment horizontal="right" vertical="center"/>
    </xf>
    <xf numFmtId="0" fontId="0" fillId="4" borderId="8" xfId="0" applyNumberFormat="1" applyFill="1" applyBorder="1" applyAlignment="1">
      <alignment vertical="center"/>
    </xf>
    <xf numFmtId="0" fontId="0" fillId="4" borderId="0" xfId="0" applyNumberFormat="1" applyFill="1" applyBorder="1" applyAlignment="1">
      <alignment vertical="center"/>
    </xf>
    <xf numFmtId="0" fontId="0" fillId="3" borderId="16" xfId="0" applyNumberFormat="1" applyFill="1" applyBorder="1" applyAlignment="1">
      <alignment vertical="center"/>
    </xf>
    <xf numFmtId="0" fontId="0" fillId="3" borderId="17" xfId="0" applyNumberFormat="1" applyFill="1" applyBorder="1" applyAlignment="1">
      <alignment vertical="center"/>
    </xf>
    <xf numFmtId="0" fontId="0" fillId="3" borderId="18" xfId="0" applyNumberFormat="1" applyFill="1" applyBorder="1" applyAlignment="1">
      <alignment vertical="center"/>
    </xf>
    <xf numFmtId="0" fontId="0" fillId="3" borderId="19" xfId="0" applyNumberFormat="1" applyFill="1" applyBorder="1" applyAlignment="1">
      <alignment vertical="center"/>
    </xf>
    <xf numFmtId="0" fontId="0" fillId="3" borderId="20" xfId="0" applyNumberFormat="1" applyFill="1" applyBorder="1" applyAlignment="1">
      <alignment vertical="center"/>
    </xf>
    <xf numFmtId="0" fontId="0" fillId="3" borderId="4" xfId="0" applyNumberFormat="1" applyFill="1" applyBorder="1" applyAlignment="1">
      <alignment vertical="center"/>
    </xf>
    <xf numFmtId="0" fontId="0" fillId="4" borderId="4" xfId="0" applyNumberFormat="1" applyFill="1" applyBorder="1" applyAlignment="1">
      <alignment vertical="center"/>
    </xf>
    <xf numFmtId="0" fontId="0" fillId="4" borderId="6" xfId="0" applyNumberFormat="1" applyFill="1" applyBorder="1" applyAlignment="1">
      <alignment vertical="center"/>
    </xf>
    <xf numFmtId="0" fontId="0" fillId="0" borderId="6" xfId="0" applyNumberFormat="1" applyBorder="1" applyAlignment="1">
      <alignment vertical="center"/>
    </xf>
    <xf numFmtId="0" fontId="0" fillId="0" borderId="5" xfId="0" applyNumberFormat="1" applyBorder="1" applyAlignment="1">
      <alignment vertical="center"/>
    </xf>
    <xf numFmtId="0" fontId="0" fillId="3" borderId="21" xfId="0" applyNumberFormat="1" applyFill="1" applyBorder="1" applyAlignment="1">
      <alignment vertical="center"/>
    </xf>
    <xf numFmtId="0" fontId="0" fillId="3" borderId="22" xfId="0" applyNumberFormat="1" applyFill="1" applyBorder="1" applyAlignment="1">
      <alignment vertical="center"/>
    </xf>
    <xf numFmtId="0" fontId="0" fillId="3" borderId="23" xfId="0" applyNumberFormat="1" applyFill="1" applyBorder="1" applyAlignment="1">
      <alignment vertical="center"/>
    </xf>
    <xf numFmtId="0" fontId="0" fillId="3" borderId="24" xfId="0" applyNumberFormat="1" applyFill="1" applyBorder="1" applyAlignment="1">
      <alignment vertical="center"/>
    </xf>
    <xf numFmtId="0" fontId="0" fillId="3" borderId="25" xfId="0" applyNumberFormat="1" applyFill="1" applyBorder="1" applyAlignment="1">
      <alignment vertical="center"/>
    </xf>
    <xf numFmtId="0" fontId="0" fillId="3" borderId="26" xfId="0" applyNumberFormat="1" applyFill="1" applyBorder="1" applyAlignment="1">
      <alignment vertical="center"/>
    </xf>
    <xf numFmtId="0" fontId="0" fillId="0" borderId="25" xfId="0" applyNumberFormat="1" applyBorder="1" applyAlignment="1">
      <alignment vertical="center"/>
    </xf>
    <xf numFmtId="0" fontId="0" fillId="0" borderId="7" xfId="0" applyNumberFormat="1" applyBorder="1" applyAlignment="1" applyProtection="1">
      <alignment vertical="center"/>
      <protection locked="0"/>
    </xf>
    <xf numFmtId="0" fontId="1" fillId="2" borderId="0" xfId="0" applyNumberFormat="1" applyFont="1" applyFill="1" applyAlignment="1">
      <alignment vertical="center"/>
    </xf>
    <xf numFmtId="0" fontId="2" fillId="0" borderId="0" xfId="0" applyNumberFormat="1" applyFont="1" applyAlignment="1">
      <alignment horizontal="right" vertical="center"/>
    </xf>
    <xf numFmtId="0" fontId="3" fillId="3" borderId="7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mPop/Decisions/MomPop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ic_info"/>
      <sheetName val="facilities"/>
      <sheetName val="raw_materials"/>
      <sheetName val="shipping_manufacturing"/>
      <sheetName val="pricing"/>
    </sheetNames>
    <sheetDataSet>
      <sheetData sheetId="0">
        <row r="5">
          <cell r="D5">
            <v>2016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sqref="A1:XFD1048576"/>
    </sheetView>
  </sheetViews>
  <sheetFormatPr baseColWidth="10" defaultColWidth="10.83203125" defaultRowHeight="15" x14ac:dyDescent="0"/>
  <cols>
    <col min="1" max="16384" width="10.83203125" style="2"/>
  </cols>
  <sheetData>
    <row r="2" spans="2:6">
      <c r="B2" s="25" t="s">
        <v>0</v>
      </c>
    </row>
    <row r="3" spans="2:6">
      <c r="B3" s="26"/>
      <c r="C3" s="27"/>
      <c r="D3" s="27"/>
      <c r="E3" s="27"/>
      <c r="F3" s="27"/>
    </row>
    <row r="4" spans="2:6">
      <c r="B4" s="28"/>
      <c r="C4" s="29" t="s">
        <v>1</v>
      </c>
      <c r="D4" s="94" t="s">
        <v>2</v>
      </c>
      <c r="E4" s="95"/>
      <c r="F4" s="96"/>
    </row>
    <row r="5" spans="2:6">
      <c r="B5" s="30"/>
      <c r="C5" s="31" t="s">
        <v>3</v>
      </c>
      <c r="D5" s="97">
        <v>2016</v>
      </c>
      <c r="E5" s="98"/>
      <c r="F5" s="99"/>
    </row>
    <row r="6" spans="2:6">
      <c r="B6" s="27"/>
      <c r="C6" s="27"/>
      <c r="D6" s="27"/>
      <c r="E6" s="27"/>
      <c r="F6" s="2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workbookViewId="0">
      <selection activeCell="L21" sqref="L21"/>
    </sheetView>
  </sheetViews>
  <sheetFormatPr baseColWidth="10" defaultColWidth="10.83203125" defaultRowHeight="15" x14ac:dyDescent="0"/>
  <cols>
    <col min="1" max="16384" width="10.83203125" style="2"/>
  </cols>
  <sheetData>
    <row r="2" spans="2:8">
      <c r="B2" s="25" t="s">
        <v>4</v>
      </c>
    </row>
    <row r="3" spans="2:8">
      <c r="B3" s="32" t="s">
        <v>5</v>
      </c>
    </row>
    <row r="4" spans="2:8">
      <c r="B4" s="26"/>
      <c r="C4" s="27"/>
      <c r="D4" s="27"/>
      <c r="E4" s="27"/>
      <c r="F4" s="27"/>
      <c r="G4" s="27"/>
      <c r="H4" s="27"/>
    </row>
    <row r="5" spans="2:8">
      <c r="B5" s="33" t="s">
        <v>6</v>
      </c>
      <c r="C5" s="33" t="s">
        <v>7</v>
      </c>
      <c r="D5" s="33" t="s">
        <v>8</v>
      </c>
      <c r="E5" s="33"/>
      <c r="F5" s="33"/>
      <c r="G5" s="33" t="s">
        <v>9</v>
      </c>
      <c r="H5" s="33"/>
    </row>
    <row r="6" spans="2:8">
      <c r="B6" s="34" t="s">
        <v>10</v>
      </c>
      <c r="C6" s="35"/>
      <c r="D6" s="36">
        <v>0</v>
      </c>
      <c r="E6" s="36" t="s">
        <v>11</v>
      </c>
      <c r="F6" s="36" t="s">
        <v>12</v>
      </c>
      <c r="G6" s="36">
        <f t="shared" ref="G6:G15" si="0">$D6+$C6</f>
        <v>0</v>
      </c>
      <c r="H6" s="37" t="str">
        <f t="shared" ref="H6:H15" si="1">IF(AND($D6=0, $G6&gt;0),"new", IF(AND($D6&gt;0, $G6=0),"sold",""))</f>
        <v/>
      </c>
    </row>
    <row r="7" spans="2:8">
      <c r="B7" s="34" t="s">
        <v>13</v>
      </c>
      <c r="C7" s="35"/>
      <c r="D7" s="36">
        <v>0</v>
      </c>
      <c r="E7" s="36" t="s">
        <v>11</v>
      </c>
      <c r="F7" s="36" t="s">
        <v>12</v>
      </c>
      <c r="G7" s="36">
        <f t="shared" si="0"/>
        <v>0</v>
      </c>
      <c r="H7" s="38" t="str">
        <f t="shared" si="1"/>
        <v/>
      </c>
    </row>
    <row r="8" spans="2:8">
      <c r="B8" s="34" t="s">
        <v>14</v>
      </c>
      <c r="C8" s="35"/>
      <c r="D8" s="36">
        <v>0</v>
      </c>
      <c r="E8" s="36" t="s">
        <v>11</v>
      </c>
      <c r="F8" s="36" t="s">
        <v>12</v>
      </c>
      <c r="G8" s="36">
        <f t="shared" si="0"/>
        <v>0</v>
      </c>
      <c r="H8" s="38" t="str">
        <f t="shared" si="1"/>
        <v/>
      </c>
    </row>
    <row r="9" spans="2:8">
      <c r="B9" s="34" t="s">
        <v>15</v>
      </c>
      <c r="C9" s="35"/>
      <c r="D9" s="36">
        <v>0</v>
      </c>
      <c r="E9" s="36" t="s">
        <v>11</v>
      </c>
      <c r="F9" s="36" t="s">
        <v>12</v>
      </c>
      <c r="G9" s="36">
        <f t="shared" si="0"/>
        <v>0</v>
      </c>
      <c r="H9" s="38" t="str">
        <f t="shared" si="1"/>
        <v/>
      </c>
    </row>
    <row r="10" spans="2:8">
      <c r="B10" s="34" t="s">
        <v>16</v>
      </c>
      <c r="C10" s="35"/>
      <c r="D10" s="36">
        <v>0</v>
      </c>
      <c r="E10" s="36" t="s">
        <v>11</v>
      </c>
      <c r="F10" s="36" t="s">
        <v>12</v>
      </c>
      <c r="G10" s="36">
        <f t="shared" si="0"/>
        <v>0</v>
      </c>
      <c r="H10" s="38" t="str">
        <f t="shared" si="1"/>
        <v/>
      </c>
    </row>
    <row r="11" spans="2:8">
      <c r="B11" s="34" t="s">
        <v>17</v>
      </c>
      <c r="C11" s="35"/>
      <c r="D11" s="36">
        <v>0</v>
      </c>
      <c r="E11" s="36" t="s">
        <v>11</v>
      </c>
      <c r="F11" s="36" t="s">
        <v>12</v>
      </c>
      <c r="G11" s="36">
        <f t="shared" si="0"/>
        <v>0</v>
      </c>
      <c r="H11" s="38" t="str">
        <f t="shared" si="1"/>
        <v/>
      </c>
    </row>
    <row r="12" spans="2:8">
      <c r="B12" s="34" t="s">
        <v>18</v>
      </c>
      <c r="C12" s="35">
        <v>-2000</v>
      </c>
      <c r="D12" s="36">
        <v>3748</v>
      </c>
      <c r="E12" s="36" t="s">
        <v>11</v>
      </c>
      <c r="F12" s="36" t="s">
        <v>12</v>
      </c>
      <c r="G12" s="36">
        <f t="shared" si="0"/>
        <v>1748</v>
      </c>
      <c r="H12" s="38" t="str">
        <f t="shared" si="1"/>
        <v/>
      </c>
    </row>
    <row r="13" spans="2:8">
      <c r="B13" s="34" t="s">
        <v>19</v>
      </c>
      <c r="C13" s="35"/>
      <c r="D13" s="36">
        <v>0</v>
      </c>
      <c r="E13" s="36" t="s">
        <v>11</v>
      </c>
      <c r="F13" s="36" t="s">
        <v>12</v>
      </c>
      <c r="G13" s="36">
        <f t="shared" si="0"/>
        <v>0</v>
      </c>
      <c r="H13" s="38" t="str">
        <f t="shared" si="1"/>
        <v/>
      </c>
    </row>
    <row r="14" spans="2:8">
      <c r="B14" s="34" t="s">
        <v>20</v>
      </c>
      <c r="C14" s="35"/>
      <c r="D14" s="36">
        <v>0</v>
      </c>
      <c r="E14" s="36" t="s">
        <v>11</v>
      </c>
      <c r="F14" s="36" t="s">
        <v>12</v>
      </c>
      <c r="G14" s="36">
        <f t="shared" si="0"/>
        <v>0</v>
      </c>
      <c r="H14" s="38" t="str">
        <f t="shared" si="1"/>
        <v/>
      </c>
    </row>
    <row r="15" spans="2:8">
      <c r="B15" s="30" t="s">
        <v>21</v>
      </c>
      <c r="C15" s="35"/>
      <c r="D15" s="36">
        <v>0</v>
      </c>
      <c r="E15" s="36" t="s">
        <v>11</v>
      </c>
      <c r="F15" s="39" t="s">
        <v>12</v>
      </c>
      <c r="G15" s="36">
        <f t="shared" si="0"/>
        <v>0</v>
      </c>
      <c r="H15" s="40" t="str">
        <f t="shared" si="1"/>
        <v/>
      </c>
    </row>
    <row r="16" spans="2:8">
      <c r="B16" s="41"/>
      <c r="C16" s="41"/>
      <c r="D16" s="41">
        <f>COUNTIF($D$6:$D$15,"&gt;0")</f>
        <v>1</v>
      </c>
      <c r="E16" s="41" t="s">
        <v>22</v>
      </c>
      <c r="F16" s="27"/>
      <c r="G16" s="41">
        <f>COUNTIF(G6:G15,"&gt;0")</f>
        <v>1</v>
      </c>
      <c r="H16" s="42" t="s">
        <v>22</v>
      </c>
    </row>
    <row r="18" spans="2:8">
      <c r="B18" s="32" t="s">
        <v>23</v>
      </c>
    </row>
    <row r="19" spans="2:8">
      <c r="B19" s="26"/>
      <c r="C19" s="27"/>
      <c r="D19" s="27"/>
      <c r="E19" s="27"/>
      <c r="F19" s="27"/>
      <c r="G19" s="27"/>
      <c r="H19" s="27"/>
    </row>
    <row r="20" spans="2:8">
      <c r="B20" s="33" t="s">
        <v>6</v>
      </c>
      <c r="C20" s="33" t="s">
        <v>24</v>
      </c>
      <c r="D20" s="33" t="s">
        <v>8</v>
      </c>
      <c r="E20" s="33"/>
      <c r="F20" s="33"/>
      <c r="G20" s="33" t="s">
        <v>9</v>
      </c>
      <c r="H20" s="33"/>
    </row>
    <row r="21" spans="2:8">
      <c r="B21" s="34" t="s">
        <v>10</v>
      </c>
      <c r="C21" s="43"/>
      <c r="D21" s="36">
        <v>0</v>
      </c>
      <c r="E21" s="36"/>
      <c r="F21" s="36" t="s">
        <v>12</v>
      </c>
      <c r="G21" s="36">
        <f t="shared" ref="G21:G30" si="2">$D21+$C21</f>
        <v>0</v>
      </c>
      <c r="H21" s="38"/>
    </row>
    <row r="22" spans="2:8">
      <c r="B22" s="34" t="s">
        <v>13</v>
      </c>
      <c r="C22" s="43"/>
      <c r="D22" s="36">
        <v>0</v>
      </c>
      <c r="E22" s="36"/>
      <c r="F22" s="36" t="s">
        <v>12</v>
      </c>
      <c r="G22" s="36">
        <f t="shared" si="2"/>
        <v>0</v>
      </c>
      <c r="H22" s="38"/>
    </row>
    <row r="23" spans="2:8">
      <c r="B23" s="34" t="s">
        <v>14</v>
      </c>
      <c r="C23" s="43"/>
      <c r="D23" s="36">
        <v>0</v>
      </c>
      <c r="E23" s="36"/>
      <c r="F23" s="36" t="s">
        <v>12</v>
      </c>
      <c r="G23" s="36">
        <f t="shared" si="2"/>
        <v>0</v>
      </c>
      <c r="H23" s="38"/>
    </row>
    <row r="24" spans="2:8">
      <c r="B24" s="34" t="s">
        <v>15</v>
      </c>
      <c r="C24" s="43"/>
      <c r="D24" s="36">
        <v>0</v>
      </c>
      <c r="E24" s="36"/>
      <c r="F24" s="36" t="s">
        <v>12</v>
      </c>
      <c r="G24" s="36">
        <f t="shared" si="2"/>
        <v>0</v>
      </c>
      <c r="H24" s="38"/>
    </row>
    <row r="25" spans="2:8">
      <c r="B25" s="34" t="s">
        <v>16</v>
      </c>
      <c r="C25" s="43"/>
      <c r="D25" s="36">
        <v>0</v>
      </c>
      <c r="E25" s="36"/>
      <c r="F25" s="36" t="s">
        <v>12</v>
      </c>
      <c r="G25" s="36">
        <f t="shared" si="2"/>
        <v>0</v>
      </c>
      <c r="H25" s="38"/>
    </row>
    <row r="26" spans="2:8">
      <c r="B26" s="34" t="s">
        <v>17</v>
      </c>
      <c r="C26" s="43"/>
      <c r="D26" s="36">
        <v>0</v>
      </c>
      <c r="E26" s="36"/>
      <c r="F26" s="36" t="s">
        <v>12</v>
      </c>
      <c r="G26" s="36">
        <f t="shared" si="2"/>
        <v>0</v>
      </c>
      <c r="H26" s="38"/>
    </row>
    <row r="27" spans="2:8">
      <c r="B27" s="34" t="s">
        <v>18</v>
      </c>
      <c r="C27" s="43">
        <v>20</v>
      </c>
      <c r="D27" s="36">
        <v>0</v>
      </c>
      <c r="E27" s="36"/>
      <c r="F27" s="36" t="s">
        <v>12</v>
      </c>
      <c r="G27" s="36">
        <f t="shared" si="2"/>
        <v>20</v>
      </c>
      <c r="H27" s="38"/>
    </row>
    <row r="28" spans="2:8">
      <c r="B28" s="34" t="s">
        <v>19</v>
      </c>
      <c r="C28" s="43"/>
      <c r="D28" s="36">
        <v>0</v>
      </c>
      <c r="E28" s="36"/>
      <c r="F28" s="36" t="s">
        <v>12</v>
      </c>
      <c r="G28" s="36">
        <f t="shared" si="2"/>
        <v>0</v>
      </c>
      <c r="H28" s="38"/>
    </row>
    <row r="29" spans="2:8">
      <c r="B29" s="34" t="s">
        <v>20</v>
      </c>
      <c r="C29" s="43"/>
      <c r="D29" s="36">
        <v>0</v>
      </c>
      <c r="E29" s="36"/>
      <c r="F29" s="36" t="s">
        <v>12</v>
      </c>
      <c r="G29" s="36">
        <f t="shared" si="2"/>
        <v>0</v>
      </c>
      <c r="H29" s="38"/>
    </row>
    <row r="30" spans="2:8">
      <c r="B30" s="30" t="s">
        <v>21</v>
      </c>
      <c r="C30" s="43"/>
      <c r="D30" s="36">
        <v>0</v>
      </c>
      <c r="E30" s="36"/>
      <c r="F30" s="39" t="s">
        <v>12</v>
      </c>
      <c r="G30" s="36">
        <f t="shared" si="2"/>
        <v>0</v>
      </c>
      <c r="H30" s="40"/>
    </row>
    <row r="31" spans="2:8">
      <c r="B31" s="41"/>
      <c r="C31" s="41"/>
      <c r="D31" s="41">
        <f>SUM($D$21:$D$30)</f>
        <v>0</v>
      </c>
      <c r="E31" s="41" t="s">
        <v>25</v>
      </c>
      <c r="F31" s="41"/>
      <c r="G31" s="41"/>
      <c r="H31" s="44"/>
    </row>
    <row r="33" spans="2:8">
      <c r="B33" s="32" t="s">
        <v>26</v>
      </c>
    </row>
    <row r="34" spans="2:8">
      <c r="B34" s="26"/>
      <c r="C34" s="27"/>
      <c r="D34" s="27"/>
      <c r="E34" s="27"/>
      <c r="F34" s="27"/>
      <c r="G34" s="27"/>
      <c r="H34" s="27"/>
    </row>
    <row r="35" spans="2:8">
      <c r="B35" s="33" t="s">
        <v>6</v>
      </c>
      <c r="C35" s="33" t="s">
        <v>7</v>
      </c>
      <c r="D35" s="45" t="s">
        <v>8</v>
      </c>
      <c r="E35" s="45"/>
      <c r="F35" s="45"/>
      <c r="G35" s="46" t="s">
        <v>9</v>
      </c>
      <c r="H35" s="33"/>
    </row>
    <row r="36" spans="2:8">
      <c r="B36" s="28" t="s">
        <v>27</v>
      </c>
      <c r="C36" s="35"/>
      <c r="D36" s="28">
        <v>0</v>
      </c>
      <c r="E36" s="47" t="s">
        <v>11</v>
      </c>
      <c r="F36" s="47" t="s">
        <v>12</v>
      </c>
      <c r="G36" s="36">
        <f t="shared" ref="G36:G99" si="3">$D36+$C36</f>
        <v>0</v>
      </c>
      <c r="H36" s="38" t="str">
        <f t="shared" ref="H36:H99" si="4">IF(AND($D36=0, $G36&gt;0),"new", IF(AND($D36&gt;0, $G36=0),"sold",""))</f>
        <v/>
      </c>
    </row>
    <row r="37" spans="2:8">
      <c r="B37" s="34" t="s">
        <v>28</v>
      </c>
      <c r="C37" s="35"/>
      <c r="D37" s="34">
        <v>0</v>
      </c>
      <c r="E37" s="36" t="s">
        <v>11</v>
      </c>
      <c r="F37" s="36" t="s">
        <v>12</v>
      </c>
      <c r="G37" s="36">
        <f t="shared" si="3"/>
        <v>0</v>
      </c>
      <c r="H37" s="38" t="str">
        <f t="shared" si="4"/>
        <v/>
      </c>
    </row>
    <row r="38" spans="2:8">
      <c r="B38" s="34" t="s">
        <v>29</v>
      </c>
      <c r="C38" s="35"/>
      <c r="D38" s="34">
        <v>0</v>
      </c>
      <c r="E38" s="36" t="s">
        <v>11</v>
      </c>
      <c r="F38" s="36" t="s">
        <v>12</v>
      </c>
      <c r="G38" s="36">
        <f t="shared" si="3"/>
        <v>0</v>
      </c>
      <c r="H38" s="38" t="str">
        <f t="shared" si="4"/>
        <v/>
      </c>
    </row>
    <row r="39" spans="2:8">
      <c r="B39" s="34" t="s">
        <v>30</v>
      </c>
      <c r="C39" s="35">
        <v>-50000</v>
      </c>
      <c r="D39" s="34">
        <v>50000</v>
      </c>
      <c r="E39" s="36" t="s">
        <v>11</v>
      </c>
      <c r="F39" s="36" t="s">
        <v>12</v>
      </c>
      <c r="G39" s="36">
        <f t="shared" si="3"/>
        <v>0</v>
      </c>
      <c r="H39" s="38" t="str">
        <f t="shared" si="4"/>
        <v>sold</v>
      </c>
    </row>
    <row r="40" spans="2:8">
      <c r="B40" s="34" t="s">
        <v>31</v>
      </c>
      <c r="C40" s="35"/>
      <c r="D40" s="34">
        <v>0</v>
      </c>
      <c r="E40" s="36" t="s">
        <v>11</v>
      </c>
      <c r="F40" s="36" t="s">
        <v>12</v>
      </c>
      <c r="G40" s="36">
        <f t="shared" si="3"/>
        <v>0</v>
      </c>
      <c r="H40" s="38" t="str">
        <f t="shared" si="4"/>
        <v/>
      </c>
    </row>
    <row r="41" spans="2:8">
      <c r="B41" s="34" t="s">
        <v>32</v>
      </c>
      <c r="C41" s="35"/>
      <c r="D41" s="34">
        <v>0</v>
      </c>
      <c r="E41" s="36" t="s">
        <v>11</v>
      </c>
      <c r="F41" s="36" t="s">
        <v>12</v>
      </c>
      <c r="G41" s="36">
        <f t="shared" si="3"/>
        <v>0</v>
      </c>
      <c r="H41" s="38" t="str">
        <f t="shared" si="4"/>
        <v/>
      </c>
    </row>
    <row r="42" spans="2:8">
      <c r="B42" s="34" t="s">
        <v>33</v>
      </c>
      <c r="C42" s="35"/>
      <c r="D42" s="34">
        <v>0</v>
      </c>
      <c r="E42" s="36" t="s">
        <v>11</v>
      </c>
      <c r="F42" s="36" t="s">
        <v>12</v>
      </c>
      <c r="G42" s="36">
        <f t="shared" si="3"/>
        <v>0</v>
      </c>
      <c r="H42" s="38" t="str">
        <f t="shared" si="4"/>
        <v/>
      </c>
    </row>
    <row r="43" spans="2:8">
      <c r="B43" s="34" t="s">
        <v>34</v>
      </c>
      <c r="C43" s="35"/>
      <c r="D43" s="34">
        <v>0</v>
      </c>
      <c r="E43" s="36" t="s">
        <v>11</v>
      </c>
      <c r="F43" s="36" t="s">
        <v>12</v>
      </c>
      <c r="G43" s="36">
        <f t="shared" si="3"/>
        <v>0</v>
      </c>
      <c r="H43" s="38" t="str">
        <f t="shared" si="4"/>
        <v/>
      </c>
    </row>
    <row r="44" spans="2:8">
      <c r="B44" s="34" t="s">
        <v>35</v>
      </c>
      <c r="C44" s="35"/>
      <c r="D44" s="34">
        <v>0</v>
      </c>
      <c r="E44" s="36" t="s">
        <v>11</v>
      </c>
      <c r="F44" s="36" t="s">
        <v>12</v>
      </c>
      <c r="G44" s="36">
        <f t="shared" si="3"/>
        <v>0</v>
      </c>
      <c r="H44" s="38" t="str">
        <f t="shared" si="4"/>
        <v/>
      </c>
    </row>
    <row r="45" spans="2:8">
      <c r="B45" s="34" t="s">
        <v>36</v>
      </c>
      <c r="C45" s="35"/>
      <c r="D45" s="34">
        <v>0</v>
      </c>
      <c r="E45" s="36" t="s">
        <v>11</v>
      </c>
      <c r="F45" s="36" t="s">
        <v>12</v>
      </c>
      <c r="G45" s="36">
        <f t="shared" si="3"/>
        <v>0</v>
      </c>
      <c r="H45" s="38" t="str">
        <f t="shared" si="4"/>
        <v/>
      </c>
    </row>
    <row r="46" spans="2:8">
      <c r="B46" s="34" t="s">
        <v>37</v>
      </c>
      <c r="C46" s="35"/>
      <c r="D46" s="34">
        <v>0</v>
      </c>
      <c r="E46" s="36" t="s">
        <v>11</v>
      </c>
      <c r="F46" s="36" t="s">
        <v>12</v>
      </c>
      <c r="G46" s="36">
        <f t="shared" si="3"/>
        <v>0</v>
      </c>
      <c r="H46" s="38" t="str">
        <f t="shared" si="4"/>
        <v/>
      </c>
    </row>
    <row r="47" spans="2:8">
      <c r="B47" s="34" t="s">
        <v>38</v>
      </c>
      <c r="C47" s="35"/>
      <c r="D47" s="34">
        <v>0</v>
      </c>
      <c r="E47" s="36" t="s">
        <v>11</v>
      </c>
      <c r="F47" s="36" t="s">
        <v>12</v>
      </c>
      <c r="G47" s="36">
        <f t="shared" si="3"/>
        <v>0</v>
      </c>
      <c r="H47" s="38" t="str">
        <f t="shared" si="4"/>
        <v/>
      </c>
    </row>
    <row r="48" spans="2:8">
      <c r="B48" s="34" t="s">
        <v>39</v>
      </c>
      <c r="C48" s="35"/>
      <c r="D48" s="34">
        <v>0</v>
      </c>
      <c r="E48" s="36" t="s">
        <v>11</v>
      </c>
      <c r="F48" s="36" t="s">
        <v>12</v>
      </c>
      <c r="G48" s="36">
        <f t="shared" si="3"/>
        <v>0</v>
      </c>
      <c r="H48" s="38" t="str">
        <f t="shared" si="4"/>
        <v/>
      </c>
    </row>
    <row r="49" spans="2:8">
      <c r="B49" s="34" t="s">
        <v>40</v>
      </c>
      <c r="C49" s="35"/>
      <c r="D49" s="34">
        <v>0</v>
      </c>
      <c r="E49" s="36" t="s">
        <v>11</v>
      </c>
      <c r="F49" s="36" t="s">
        <v>12</v>
      </c>
      <c r="G49" s="36">
        <f t="shared" si="3"/>
        <v>0</v>
      </c>
      <c r="H49" s="38" t="str">
        <f t="shared" si="4"/>
        <v/>
      </c>
    </row>
    <row r="50" spans="2:8">
      <c r="B50" s="34" t="s">
        <v>41</v>
      </c>
      <c r="C50" s="35"/>
      <c r="D50" s="34">
        <v>0</v>
      </c>
      <c r="E50" s="36" t="s">
        <v>11</v>
      </c>
      <c r="F50" s="36" t="s">
        <v>12</v>
      </c>
      <c r="G50" s="36">
        <f t="shared" si="3"/>
        <v>0</v>
      </c>
      <c r="H50" s="38" t="str">
        <f t="shared" si="4"/>
        <v/>
      </c>
    </row>
    <row r="51" spans="2:8">
      <c r="B51" s="34" t="s">
        <v>42</v>
      </c>
      <c r="C51" s="35"/>
      <c r="D51" s="34">
        <v>0</v>
      </c>
      <c r="E51" s="36" t="s">
        <v>11</v>
      </c>
      <c r="F51" s="36" t="s">
        <v>12</v>
      </c>
      <c r="G51" s="36">
        <f t="shared" si="3"/>
        <v>0</v>
      </c>
      <c r="H51" s="38" t="str">
        <f t="shared" si="4"/>
        <v/>
      </c>
    </row>
    <row r="52" spans="2:8">
      <c r="B52" s="34" t="s">
        <v>43</v>
      </c>
      <c r="C52" s="35"/>
      <c r="D52" s="34">
        <v>0</v>
      </c>
      <c r="E52" s="36" t="s">
        <v>11</v>
      </c>
      <c r="F52" s="36" t="s">
        <v>12</v>
      </c>
      <c r="G52" s="36">
        <f t="shared" si="3"/>
        <v>0</v>
      </c>
      <c r="H52" s="38" t="str">
        <f t="shared" si="4"/>
        <v/>
      </c>
    </row>
    <row r="53" spans="2:8">
      <c r="B53" s="34" t="s">
        <v>44</v>
      </c>
      <c r="C53" s="35"/>
      <c r="D53" s="34">
        <v>0</v>
      </c>
      <c r="E53" s="36" t="s">
        <v>11</v>
      </c>
      <c r="F53" s="36" t="s">
        <v>12</v>
      </c>
      <c r="G53" s="36">
        <f t="shared" si="3"/>
        <v>0</v>
      </c>
      <c r="H53" s="38" t="str">
        <f t="shared" si="4"/>
        <v/>
      </c>
    </row>
    <row r="54" spans="2:8">
      <c r="B54" s="34" t="s">
        <v>45</v>
      </c>
      <c r="C54" s="35"/>
      <c r="D54" s="34">
        <v>0</v>
      </c>
      <c r="E54" s="36" t="s">
        <v>11</v>
      </c>
      <c r="F54" s="36" t="s">
        <v>12</v>
      </c>
      <c r="G54" s="36">
        <f t="shared" si="3"/>
        <v>0</v>
      </c>
      <c r="H54" s="38" t="str">
        <f t="shared" si="4"/>
        <v/>
      </c>
    </row>
    <row r="55" spans="2:8">
      <c r="B55" s="34" t="s">
        <v>46</v>
      </c>
      <c r="C55" s="35"/>
      <c r="D55" s="34">
        <v>0</v>
      </c>
      <c r="E55" s="36" t="s">
        <v>11</v>
      </c>
      <c r="F55" s="36" t="s">
        <v>12</v>
      </c>
      <c r="G55" s="36">
        <f t="shared" si="3"/>
        <v>0</v>
      </c>
      <c r="H55" s="38" t="str">
        <f t="shared" si="4"/>
        <v/>
      </c>
    </row>
    <row r="56" spans="2:8">
      <c r="B56" s="34" t="s">
        <v>47</v>
      </c>
      <c r="C56" s="35"/>
      <c r="D56" s="34">
        <v>0</v>
      </c>
      <c r="E56" s="36" t="s">
        <v>11</v>
      </c>
      <c r="F56" s="36" t="s">
        <v>12</v>
      </c>
      <c r="G56" s="36">
        <f t="shared" si="3"/>
        <v>0</v>
      </c>
      <c r="H56" s="38" t="str">
        <f t="shared" si="4"/>
        <v/>
      </c>
    </row>
    <row r="57" spans="2:8">
      <c r="B57" s="34" t="s">
        <v>48</v>
      </c>
      <c r="C57" s="35"/>
      <c r="D57" s="34">
        <v>0</v>
      </c>
      <c r="E57" s="36" t="s">
        <v>11</v>
      </c>
      <c r="F57" s="36" t="s">
        <v>12</v>
      </c>
      <c r="G57" s="36">
        <f t="shared" si="3"/>
        <v>0</v>
      </c>
      <c r="H57" s="38" t="str">
        <f t="shared" si="4"/>
        <v/>
      </c>
    </row>
    <row r="58" spans="2:8">
      <c r="B58" s="34" t="s">
        <v>49</v>
      </c>
      <c r="C58" s="35"/>
      <c r="D58" s="34">
        <v>0</v>
      </c>
      <c r="E58" s="36" t="s">
        <v>11</v>
      </c>
      <c r="F58" s="36" t="s">
        <v>12</v>
      </c>
      <c r="G58" s="36">
        <f t="shared" si="3"/>
        <v>0</v>
      </c>
      <c r="H58" s="38" t="str">
        <f t="shared" si="4"/>
        <v/>
      </c>
    </row>
    <row r="59" spans="2:8">
      <c r="B59" s="34" t="s">
        <v>50</v>
      </c>
      <c r="C59" s="35">
        <v>7684</v>
      </c>
      <c r="D59" s="34">
        <v>0</v>
      </c>
      <c r="E59" s="36" t="s">
        <v>11</v>
      </c>
      <c r="F59" s="36" t="s">
        <v>12</v>
      </c>
      <c r="G59" s="36">
        <f t="shared" si="3"/>
        <v>7684</v>
      </c>
      <c r="H59" s="38" t="str">
        <f t="shared" si="4"/>
        <v>new</v>
      </c>
    </row>
    <row r="60" spans="2:8">
      <c r="B60" s="34" t="s">
        <v>51</v>
      </c>
      <c r="C60" s="35"/>
      <c r="D60" s="36">
        <v>0</v>
      </c>
      <c r="E60" s="36" t="s">
        <v>11</v>
      </c>
      <c r="F60" s="36" t="s">
        <v>12</v>
      </c>
      <c r="G60" s="36">
        <f t="shared" si="3"/>
        <v>0</v>
      </c>
      <c r="H60" s="38" t="str">
        <f t="shared" si="4"/>
        <v/>
      </c>
    </row>
    <row r="61" spans="2:8">
      <c r="B61" s="34" t="s">
        <v>52</v>
      </c>
      <c r="C61" s="43"/>
      <c r="D61" s="36">
        <v>0</v>
      </c>
      <c r="E61" s="36" t="s">
        <v>11</v>
      </c>
      <c r="F61" s="36" t="s">
        <v>12</v>
      </c>
      <c r="G61" s="36">
        <f t="shared" si="3"/>
        <v>0</v>
      </c>
      <c r="H61" s="38" t="str">
        <f t="shared" si="4"/>
        <v/>
      </c>
    </row>
    <row r="62" spans="2:8">
      <c r="B62" s="34" t="s">
        <v>53</v>
      </c>
      <c r="C62" s="43"/>
      <c r="D62" s="36">
        <v>0</v>
      </c>
      <c r="E62" s="36" t="s">
        <v>11</v>
      </c>
      <c r="F62" s="36" t="s">
        <v>12</v>
      </c>
      <c r="G62" s="36">
        <f t="shared" si="3"/>
        <v>0</v>
      </c>
      <c r="H62" s="38" t="str">
        <f t="shared" si="4"/>
        <v/>
      </c>
    </row>
    <row r="63" spans="2:8">
      <c r="B63" s="34" t="s">
        <v>54</v>
      </c>
      <c r="C63" s="43"/>
      <c r="D63" s="36">
        <v>0</v>
      </c>
      <c r="E63" s="36" t="s">
        <v>11</v>
      </c>
      <c r="F63" s="36" t="s">
        <v>12</v>
      </c>
      <c r="G63" s="36">
        <f t="shared" si="3"/>
        <v>0</v>
      </c>
      <c r="H63" s="38" t="str">
        <f t="shared" si="4"/>
        <v/>
      </c>
    </row>
    <row r="64" spans="2:8">
      <c r="B64" s="34" t="s">
        <v>55</v>
      </c>
      <c r="C64" s="43"/>
      <c r="D64" s="36">
        <v>0</v>
      </c>
      <c r="E64" s="36" t="s">
        <v>11</v>
      </c>
      <c r="F64" s="36" t="s">
        <v>12</v>
      </c>
      <c r="G64" s="36">
        <f t="shared" si="3"/>
        <v>0</v>
      </c>
      <c r="H64" s="38" t="str">
        <f t="shared" si="4"/>
        <v/>
      </c>
    </row>
    <row r="65" spans="2:8">
      <c r="B65" s="34" t="s">
        <v>56</v>
      </c>
      <c r="C65" s="43"/>
      <c r="D65" s="36">
        <v>0</v>
      </c>
      <c r="E65" s="36" t="s">
        <v>11</v>
      </c>
      <c r="F65" s="36" t="s">
        <v>12</v>
      </c>
      <c r="G65" s="36">
        <f t="shared" si="3"/>
        <v>0</v>
      </c>
      <c r="H65" s="38" t="str">
        <f t="shared" si="4"/>
        <v/>
      </c>
    </row>
    <row r="66" spans="2:8">
      <c r="B66" s="34" t="s">
        <v>57</v>
      </c>
      <c r="C66" s="43">
        <v>13204</v>
      </c>
      <c r="D66" s="36">
        <v>0</v>
      </c>
      <c r="E66" s="36" t="s">
        <v>11</v>
      </c>
      <c r="F66" s="36" t="s">
        <v>12</v>
      </c>
      <c r="G66" s="36">
        <f t="shared" si="3"/>
        <v>13204</v>
      </c>
      <c r="H66" s="38" t="str">
        <f t="shared" si="4"/>
        <v>new</v>
      </c>
    </row>
    <row r="67" spans="2:8">
      <c r="B67" s="34" t="s">
        <v>58</v>
      </c>
      <c r="C67" s="43"/>
      <c r="D67" s="36">
        <v>0</v>
      </c>
      <c r="E67" s="36" t="s">
        <v>11</v>
      </c>
      <c r="F67" s="36" t="s">
        <v>12</v>
      </c>
      <c r="G67" s="36">
        <f t="shared" si="3"/>
        <v>0</v>
      </c>
      <c r="H67" s="38" t="str">
        <f t="shared" si="4"/>
        <v/>
      </c>
    </row>
    <row r="68" spans="2:8">
      <c r="B68" s="34" t="s">
        <v>59</v>
      </c>
      <c r="C68" s="43"/>
      <c r="D68" s="36">
        <v>0</v>
      </c>
      <c r="E68" s="36" t="s">
        <v>11</v>
      </c>
      <c r="F68" s="36" t="s">
        <v>12</v>
      </c>
      <c r="G68" s="36">
        <f t="shared" si="3"/>
        <v>0</v>
      </c>
      <c r="H68" s="38" t="str">
        <f t="shared" si="4"/>
        <v/>
      </c>
    </row>
    <row r="69" spans="2:8">
      <c r="B69" s="34" t="s">
        <v>60</v>
      </c>
      <c r="C69" s="43"/>
      <c r="D69" s="36">
        <v>0</v>
      </c>
      <c r="E69" s="36" t="s">
        <v>11</v>
      </c>
      <c r="F69" s="36" t="s">
        <v>12</v>
      </c>
      <c r="G69" s="36">
        <f t="shared" si="3"/>
        <v>0</v>
      </c>
      <c r="H69" s="38" t="str">
        <f t="shared" si="4"/>
        <v/>
      </c>
    </row>
    <row r="70" spans="2:8">
      <c r="B70" s="34" t="s">
        <v>61</v>
      </c>
      <c r="C70" s="43"/>
      <c r="D70" s="36">
        <v>0</v>
      </c>
      <c r="E70" s="36" t="s">
        <v>11</v>
      </c>
      <c r="F70" s="36" t="s">
        <v>12</v>
      </c>
      <c r="G70" s="36">
        <f t="shared" si="3"/>
        <v>0</v>
      </c>
      <c r="H70" s="38" t="str">
        <f t="shared" si="4"/>
        <v/>
      </c>
    </row>
    <row r="71" spans="2:8">
      <c r="B71" s="34" t="s">
        <v>62</v>
      </c>
      <c r="C71" s="43"/>
      <c r="D71" s="36">
        <v>0</v>
      </c>
      <c r="E71" s="36" t="s">
        <v>11</v>
      </c>
      <c r="F71" s="36" t="s">
        <v>12</v>
      </c>
      <c r="G71" s="36">
        <f t="shared" si="3"/>
        <v>0</v>
      </c>
      <c r="H71" s="38" t="str">
        <f t="shared" si="4"/>
        <v/>
      </c>
    </row>
    <row r="72" spans="2:8">
      <c r="B72" s="34" t="s">
        <v>63</v>
      </c>
      <c r="C72" s="43"/>
      <c r="D72" s="36">
        <v>0</v>
      </c>
      <c r="E72" s="36" t="s">
        <v>11</v>
      </c>
      <c r="F72" s="36" t="s">
        <v>12</v>
      </c>
      <c r="G72" s="36">
        <f t="shared" si="3"/>
        <v>0</v>
      </c>
      <c r="H72" s="38" t="str">
        <f t="shared" si="4"/>
        <v/>
      </c>
    </row>
    <row r="73" spans="2:8">
      <c r="B73" s="34" t="s">
        <v>64</v>
      </c>
      <c r="C73" s="43"/>
      <c r="D73" s="36">
        <v>0</v>
      </c>
      <c r="E73" s="36" t="s">
        <v>11</v>
      </c>
      <c r="F73" s="36" t="s">
        <v>12</v>
      </c>
      <c r="G73" s="36">
        <f t="shared" si="3"/>
        <v>0</v>
      </c>
      <c r="H73" s="38" t="str">
        <f t="shared" si="4"/>
        <v/>
      </c>
    </row>
    <row r="74" spans="2:8">
      <c r="B74" s="34" t="s">
        <v>65</v>
      </c>
      <c r="C74" s="43"/>
      <c r="D74" s="36">
        <v>0</v>
      </c>
      <c r="E74" s="36" t="s">
        <v>11</v>
      </c>
      <c r="F74" s="36" t="s">
        <v>12</v>
      </c>
      <c r="G74" s="36">
        <f t="shared" si="3"/>
        <v>0</v>
      </c>
      <c r="H74" s="38" t="str">
        <f t="shared" si="4"/>
        <v/>
      </c>
    </row>
    <row r="75" spans="2:8">
      <c r="B75" s="34" t="s">
        <v>66</v>
      </c>
      <c r="C75" s="43"/>
      <c r="D75" s="36">
        <v>0</v>
      </c>
      <c r="E75" s="36" t="s">
        <v>11</v>
      </c>
      <c r="F75" s="36" t="s">
        <v>12</v>
      </c>
      <c r="G75" s="36">
        <f t="shared" si="3"/>
        <v>0</v>
      </c>
      <c r="H75" s="38" t="str">
        <f t="shared" si="4"/>
        <v/>
      </c>
    </row>
    <row r="76" spans="2:8">
      <c r="B76" s="34" t="s">
        <v>67</v>
      </c>
      <c r="C76" s="43">
        <v>-51000</v>
      </c>
      <c r="D76" s="36">
        <v>51000</v>
      </c>
      <c r="E76" s="36" t="s">
        <v>11</v>
      </c>
      <c r="F76" s="36" t="s">
        <v>12</v>
      </c>
      <c r="G76" s="36">
        <f t="shared" si="3"/>
        <v>0</v>
      </c>
      <c r="H76" s="38" t="str">
        <f t="shared" si="4"/>
        <v>sold</v>
      </c>
    </row>
    <row r="77" spans="2:8">
      <c r="B77" s="34" t="s">
        <v>68</v>
      </c>
      <c r="C77" s="43"/>
      <c r="D77" s="36">
        <v>0</v>
      </c>
      <c r="E77" s="36" t="s">
        <v>11</v>
      </c>
      <c r="F77" s="36" t="s">
        <v>12</v>
      </c>
      <c r="G77" s="36">
        <f t="shared" si="3"/>
        <v>0</v>
      </c>
      <c r="H77" s="38" t="str">
        <f t="shared" si="4"/>
        <v/>
      </c>
    </row>
    <row r="78" spans="2:8">
      <c r="B78" s="34" t="s">
        <v>69</v>
      </c>
      <c r="C78" s="43"/>
      <c r="D78" s="36">
        <v>0</v>
      </c>
      <c r="E78" s="36" t="s">
        <v>11</v>
      </c>
      <c r="F78" s="36" t="s">
        <v>12</v>
      </c>
      <c r="G78" s="36">
        <f t="shared" si="3"/>
        <v>0</v>
      </c>
      <c r="H78" s="38" t="str">
        <f t="shared" si="4"/>
        <v/>
      </c>
    </row>
    <row r="79" spans="2:8">
      <c r="B79" s="34" t="s">
        <v>70</v>
      </c>
      <c r="C79" s="43"/>
      <c r="D79" s="36">
        <v>0</v>
      </c>
      <c r="E79" s="36" t="s">
        <v>11</v>
      </c>
      <c r="F79" s="36" t="s">
        <v>12</v>
      </c>
      <c r="G79" s="36">
        <f t="shared" si="3"/>
        <v>0</v>
      </c>
      <c r="H79" s="38" t="str">
        <f t="shared" si="4"/>
        <v/>
      </c>
    </row>
    <row r="80" spans="2:8">
      <c r="B80" s="34" t="s">
        <v>71</v>
      </c>
      <c r="C80" s="43"/>
      <c r="D80" s="36">
        <v>0</v>
      </c>
      <c r="E80" s="36" t="s">
        <v>11</v>
      </c>
      <c r="F80" s="36" t="s">
        <v>12</v>
      </c>
      <c r="G80" s="36">
        <f t="shared" si="3"/>
        <v>0</v>
      </c>
      <c r="H80" s="38" t="str">
        <f t="shared" si="4"/>
        <v/>
      </c>
    </row>
    <row r="81" spans="2:8">
      <c r="B81" s="34" t="s">
        <v>72</v>
      </c>
      <c r="C81" s="43"/>
      <c r="D81" s="36">
        <v>0</v>
      </c>
      <c r="E81" s="36" t="s">
        <v>11</v>
      </c>
      <c r="F81" s="36" t="s">
        <v>12</v>
      </c>
      <c r="G81" s="36">
        <f t="shared" si="3"/>
        <v>0</v>
      </c>
      <c r="H81" s="38" t="str">
        <f t="shared" si="4"/>
        <v/>
      </c>
    </row>
    <row r="82" spans="2:8">
      <c r="B82" s="34" t="s">
        <v>73</v>
      </c>
      <c r="C82" s="43"/>
      <c r="D82" s="36">
        <v>0</v>
      </c>
      <c r="E82" s="36" t="s">
        <v>11</v>
      </c>
      <c r="F82" s="36" t="s">
        <v>12</v>
      </c>
      <c r="G82" s="36">
        <f t="shared" si="3"/>
        <v>0</v>
      </c>
      <c r="H82" s="38" t="str">
        <f t="shared" si="4"/>
        <v/>
      </c>
    </row>
    <row r="83" spans="2:8">
      <c r="B83" s="48" t="s">
        <v>74</v>
      </c>
      <c r="C83" s="43">
        <v>5458</v>
      </c>
      <c r="D83" s="34">
        <v>0</v>
      </c>
      <c r="E83" s="36" t="s">
        <v>11</v>
      </c>
      <c r="F83" s="36" t="s">
        <v>12</v>
      </c>
      <c r="G83" s="36">
        <f t="shared" si="3"/>
        <v>5458</v>
      </c>
      <c r="H83" s="38" t="str">
        <f t="shared" si="4"/>
        <v>new</v>
      </c>
    </row>
    <row r="84" spans="2:8">
      <c r="B84" s="34" t="s">
        <v>75</v>
      </c>
      <c r="C84" s="43"/>
      <c r="D84" s="36">
        <v>0</v>
      </c>
      <c r="E84" s="36" t="s">
        <v>11</v>
      </c>
      <c r="F84" s="36" t="s">
        <v>12</v>
      </c>
      <c r="G84" s="36">
        <f t="shared" si="3"/>
        <v>0</v>
      </c>
      <c r="H84" s="38" t="str">
        <f t="shared" si="4"/>
        <v/>
      </c>
    </row>
    <row r="85" spans="2:8">
      <c r="B85" s="34" t="s">
        <v>76</v>
      </c>
      <c r="C85" s="43"/>
      <c r="D85" s="36">
        <v>0</v>
      </c>
      <c r="E85" s="36" t="s">
        <v>11</v>
      </c>
      <c r="F85" s="36" t="s">
        <v>12</v>
      </c>
      <c r="G85" s="36">
        <f t="shared" si="3"/>
        <v>0</v>
      </c>
      <c r="H85" s="38" t="str">
        <f t="shared" si="4"/>
        <v/>
      </c>
    </row>
    <row r="86" spans="2:8">
      <c r="B86" s="34" t="s">
        <v>77</v>
      </c>
      <c r="C86" s="43"/>
      <c r="D86" s="36">
        <v>0</v>
      </c>
      <c r="E86" s="36" t="s">
        <v>11</v>
      </c>
      <c r="F86" s="36" t="s">
        <v>12</v>
      </c>
      <c r="G86" s="36">
        <f t="shared" si="3"/>
        <v>0</v>
      </c>
      <c r="H86" s="38" t="str">
        <f t="shared" si="4"/>
        <v/>
      </c>
    </row>
    <row r="87" spans="2:8">
      <c r="B87" s="34" t="s">
        <v>78</v>
      </c>
      <c r="C87" s="43"/>
      <c r="D87" s="36">
        <v>0</v>
      </c>
      <c r="E87" s="36" t="s">
        <v>11</v>
      </c>
      <c r="F87" s="36" t="s">
        <v>12</v>
      </c>
      <c r="G87" s="36">
        <f t="shared" si="3"/>
        <v>0</v>
      </c>
      <c r="H87" s="38" t="str">
        <f t="shared" si="4"/>
        <v/>
      </c>
    </row>
    <row r="88" spans="2:8">
      <c r="B88" s="34" t="s">
        <v>79</v>
      </c>
      <c r="C88" s="43"/>
      <c r="D88" s="36">
        <v>0</v>
      </c>
      <c r="E88" s="36" t="s">
        <v>11</v>
      </c>
      <c r="F88" s="36" t="s">
        <v>12</v>
      </c>
      <c r="G88" s="36">
        <f t="shared" si="3"/>
        <v>0</v>
      </c>
      <c r="H88" s="38" t="str">
        <f t="shared" si="4"/>
        <v/>
      </c>
    </row>
    <row r="89" spans="2:8">
      <c r="B89" s="34" t="s">
        <v>80</v>
      </c>
      <c r="C89" s="43"/>
      <c r="D89" s="36">
        <v>0</v>
      </c>
      <c r="E89" s="36" t="s">
        <v>11</v>
      </c>
      <c r="F89" s="36" t="s">
        <v>12</v>
      </c>
      <c r="G89" s="36">
        <f t="shared" si="3"/>
        <v>0</v>
      </c>
      <c r="H89" s="38" t="str">
        <f t="shared" si="4"/>
        <v/>
      </c>
    </row>
    <row r="90" spans="2:8">
      <c r="B90" s="34" t="s">
        <v>81</v>
      </c>
      <c r="C90" s="43"/>
      <c r="D90" s="36">
        <v>0</v>
      </c>
      <c r="E90" s="36" t="s">
        <v>11</v>
      </c>
      <c r="F90" s="36" t="s">
        <v>12</v>
      </c>
      <c r="G90" s="36">
        <f t="shared" si="3"/>
        <v>0</v>
      </c>
      <c r="H90" s="38" t="str">
        <f t="shared" si="4"/>
        <v/>
      </c>
    </row>
    <row r="91" spans="2:8">
      <c r="B91" s="34" t="s">
        <v>82</v>
      </c>
      <c r="C91" s="43"/>
      <c r="D91" s="36">
        <v>0</v>
      </c>
      <c r="E91" s="36" t="s">
        <v>11</v>
      </c>
      <c r="F91" s="36" t="s">
        <v>12</v>
      </c>
      <c r="G91" s="36">
        <f t="shared" si="3"/>
        <v>0</v>
      </c>
      <c r="H91" s="38" t="str">
        <f t="shared" si="4"/>
        <v/>
      </c>
    </row>
    <row r="92" spans="2:8">
      <c r="B92" s="34" t="s">
        <v>83</v>
      </c>
      <c r="C92" s="43"/>
      <c r="D92" s="36">
        <v>0</v>
      </c>
      <c r="E92" s="36" t="s">
        <v>11</v>
      </c>
      <c r="F92" s="36" t="s">
        <v>12</v>
      </c>
      <c r="G92" s="36">
        <f t="shared" si="3"/>
        <v>0</v>
      </c>
      <c r="H92" s="38" t="str">
        <f t="shared" si="4"/>
        <v/>
      </c>
    </row>
    <row r="93" spans="2:8">
      <c r="B93" s="34" t="s">
        <v>84</v>
      </c>
      <c r="C93" s="43"/>
      <c r="D93" s="36">
        <v>0</v>
      </c>
      <c r="E93" s="36" t="s">
        <v>11</v>
      </c>
      <c r="F93" s="36" t="s">
        <v>12</v>
      </c>
      <c r="G93" s="36">
        <f t="shared" si="3"/>
        <v>0</v>
      </c>
      <c r="H93" s="38" t="str">
        <f t="shared" si="4"/>
        <v/>
      </c>
    </row>
    <row r="94" spans="2:8">
      <c r="B94" s="34" t="s">
        <v>85</v>
      </c>
      <c r="C94" s="43"/>
      <c r="D94" s="36">
        <v>0</v>
      </c>
      <c r="E94" s="36" t="s">
        <v>11</v>
      </c>
      <c r="F94" s="36" t="s">
        <v>12</v>
      </c>
      <c r="G94" s="36">
        <f t="shared" si="3"/>
        <v>0</v>
      </c>
      <c r="H94" s="38" t="str">
        <f t="shared" si="4"/>
        <v/>
      </c>
    </row>
    <row r="95" spans="2:8">
      <c r="B95" s="34" t="s">
        <v>86</v>
      </c>
      <c r="C95" s="43"/>
      <c r="D95" s="36">
        <v>0</v>
      </c>
      <c r="E95" s="36" t="s">
        <v>11</v>
      </c>
      <c r="F95" s="36" t="s">
        <v>12</v>
      </c>
      <c r="G95" s="36">
        <f t="shared" si="3"/>
        <v>0</v>
      </c>
      <c r="H95" s="38" t="str">
        <f t="shared" si="4"/>
        <v/>
      </c>
    </row>
    <row r="96" spans="2:8">
      <c r="B96" s="34" t="s">
        <v>87</v>
      </c>
      <c r="C96" s="43"/>
      <c r="D96" s="36">
        <v>0</v>
      </c>
      <c r="E96" s="36" t="s">
        <v>11</v>
      </c>
      <c r="F96" s="36" t="s">
        <v>12</v>
      </c>
      <c r="G96" s="36">
        <f t="shared" si="3"/>
        <v>0</v>
      </c>
      <c r="H96" s="38" t="str">
        <f t="shared" si="4"/>
        <v/>
      </c>
    </row>
    <row r="97" spans="2:8">
      <c r="B97" s="34" t="s">
        <v>88</v>
      </c>
      <c r="C97" s="43"/>
      <c r="D97" s="36">
        <v>0</v>
      </c>
      <c r="E97" s="36" t="s">
        <v>11</v>
      </c>
      <c r="F97" s="36" t="s">
        <v>12</v>
      </c>
      <c r="G97" s="36">
        <f t="shared" si="3"/>
        <v>0</v>
      </c>
      <c r="H97" s="38" t="str">
        <f t="shared" si="4"/>
        <v/>
      </c>
    </row>
    <row r="98" spans="2:8">
      <c r="B98" s="34" t="s">
        <v>89</v>
      </c>
      <c r="C98" s="43"/>
      <c r="D98" s="36">
        <v>0</v>
      </c>
      <c r="E98" s="36" t="s">
        <v>11</v>
      </c>
      <c r="F98" s="36" t="s">
        <v>12</v>
      </c>
      <c r="G98" s="36">
        <f t="shared" si="3"/>
        <v>0</v>
      </c>
      <c r="H98" s="38" t="str">
        <f t="shared" si="4"/>
        <v/>
      </c>
    </row>
    <row r="99" spans="2:8">
      <c r="B99" s="34" t="s">
        <v>90</v>
      </c>
      <c r="C99" s="43"/>
      <c r="D99" s="36">
        <v>0</v>
      </c>
      <c r="E99" s="36" t="s">
        <v>11</v>
      </c>
      <c r="F99" s="36" t="s">
        <v>12</v>
      </c>
      <c r="G99" s="36">
        <f t="shared" si="3"/>
        <v>0</v>
      </c>
      <c r="H99" s="38" t="str">
        <f t="shared" si="4"/>
        <v/>
      </c>
    </row>
    <row r="100" spans="2:8">
      <c r="B100" s="34" t="s">
        <v>91</v>
      </c>
      <c r="C100" s="43"/>
      <c r="D100" s="36">
        <v>0</v>
      </c>
      <c r="E100" s="36" t="s">
        <v>11</v>
      </c>
      <c r="F100" s="36" t="s">
        <v>12</v>
      </c>
      <c r="G100" s="36">
        <f t="shared" ref="G100:G106" si="5">$D100+$C100</f>
        <v>0</v>
      </c>
      <c r="H100" s="38" t="str">
        <f t="shared" ref="H100:H106" si="6">IF(AND($D100=0, $G100&gt;0),"new", IF(AND($D100&gt;0, $G100=0),"sold",""))</f>
        <v/>
      </c>
    </row>
    <row r="101" spans="2:8">
      <c r="B101" s="34" t="s">
        <v>92</v>
      </c>
      <c r="C101" s="43"/>
      <c r="D101" s="36">
        <v>0</v>
      </c>
      <c r="E101" s="36" t="s">
        <v>11</v>
      </c>
      <c r="F101" s="36" t="s">
        <v>12</v>
      </c>
      <c r="G101" s="36">
        <f t="shared" si="5"/>
        <v>0</v>
      </c>
      <c r="H101" s="38" t="str">
        <f t="shared" si="6"/>
        <v/>
      </c>
    </row>
    <row r="102" spans="2:8">
      <c r="B102" s="34" t="s">
        <v>93</v>
      </c>
      <c r="C102" s="43"/>
      <c r="D102" s="36">
        <v>0</v>
      </c>
      <c r="E102" s="36" t="s">
        <v>11</v>
      </c>
      <c r="F102" s="36" t="s">
        <v>12</v>
      </c>
      <c r="G102" s="36">
        <f t="shared" si="5"/>
        <v>0</v>
      </c>
      <c r="H102" s="38" t="str">
        <f t="shared" si="6"/>
        <v/>
      </c>
    </row>
    <row r="103" spans="2:8">
      <c r="B103" s="34" t="s">
        <v>94</v>
      </c>
      <c r="C103" s="43"/>
      <c r="D103" s="36">
        <v>0</v>
      </c>
      <c r="E103" s="36" t="s">
        <v>11</v>
      </c>
      <c r="F103" s="36" t="s">
        <v>12</v>
      </c>
      <c r="G103" s="36">
        <f t="shared" si="5"/>
        <v>0</v>
      </c>
      <c r="H103" s="38" t="str">
        <f t="shared" si="6"/>
        <v/>
      </c>
    </row>
    <row r="104" spans="2:8">
      <c r="B104" s="34" t="s">
        <v>95</v>
      </c>
      <c r="C104" s="43"/>
      <c r="D104" s="36">
        <v>0</v>
      </c>
      <c r="E104" s="36" t="s">
        <v>11</v>
      </c>
      <c r="F104" s="36" t="s">
        <v>12</v>
      </c>
      <c r="G104" s="36">
        <f t="shared" si="5"/>
        <v>0</v>
      </c>
      <c r="H104" s="38" t="str">
        <f t="shared" si="6"/>
        <v/>
      </c>
    </row>
    <row r="105" spans="2:8">
      <c r="B105" s="34" t="s">
        <v>96</v>
      </c>
      <c r="C105" s="43"/>
      <c r="D105" s="36">
        <v>0</v>
      </c>
      <c r="E105" s="36" t="s">
        <v>11</v>
      </c>
      <c r="F105" s="36" t="s">
        <v>12</v>
      </c>
      <c r="G105" s="36">
        <f t="shared" si="5"/>
        <v>0</v>
      </c>
      <c r="H105" s="38" t="str">
        <f t="shared" si="6"/>
        <v/>
      </c>
    </row>
    <row r="106" spans="2:8">
      <c r="B106" s="30" t="s">
        <v>97</v>
      </c>
      <c r="C106" s="43"/>
      <c r="D106" s="39">
        <v>0</v>
      </c>
      <c r="E106" s="39" t="s">
        <v>11</v>
      </c>
      <c r="F106" s="39" t="s">
        <v>12</v>
      </c>
      <c r="G106" s="39">
        <f t="shared" si="5"/>
        <v>0</v>
      </c>
      <c r="H106" s="40" t="str">
        <f t="shared" si="6"/>
        <v/>
      </c>
    </row>
    <row r="107" spans="2:8">
      <c r="B107" s="27"/>
      <c r="C107" s="27"/>
      <c r="D107" s="27">
        <f>COUNTIF($D$36:$D$106,"&gt;0")</f>
        <v>2</v>
      </c>
      <c r="E107" s="27" t="s">
        <v>98</v>
      </c>
      <c r="F107" s="27"/>
      <c r="G107" s="27">
        <f>COUNTIF(G36:G106,"&gt;0")</f>
        <v>3</v>
      </c>
      <c r="H107" s="49" t="s">
        <v>98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0"/>
  <sheetViews>
    <sheetView topLeftCell="A24" workbookViewId="0">
      <selection activeCell="J52" sqref="J52"/>
    </sheetView>
  </sheetViews>
  <sheetFormatPr baseColWidth="10" defaultColWidth="10.83203125" defaultRowHeight="15" x14ac:dyDescent="0"/>
  <cols>
    <col min="1" max="16384" width="10.83203125" style="2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>
      <c r="A2" s="1"/>
      <c r="B2" s="3" t="s">
        <v>99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4" t="s">
        <v>100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16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1"/>
      <c r="P4" s="1"/>
    </row>
    <row r="5" spans="1:16">
      <c r="A5" s="1"/>
      <c r="B5" s="17" t="s">
        <v>101</v>
      </c>
      <c r="C5" s="50" t="s">
        <v>102</v>
      </c>
      <c r="D5" s="50" t="s">
        <v>103</v>
      </c>
      <c r="E5" s="50" t="s">
        <v>104</v>
      </c>
      <c r="F5" s="50" t="s">
        <v>105</v>
      </c>
      <c r="G5" s="50" t="s">
        <v>106</v>
      </c>
      <c r="H5" s="50" t="s">
        <v>107</v>
      </c>
      <c r="I5" s="50" t="s">
        <v>108</v>
      </c>
      <c r="J5" s="50" t="s">
        <v>109</v>
      </c>
      <c r="K5" s="50" t="s">
        <v>110</v>
      </c>
      <c r="L5" s="50" t="s">
        <v>111</v>
      </c>
      <c r="M5" s="50" t="s">
        <v>112</v>
      </c>
      <c r="N5" s="51" t="s">
        <v>113</v>
      </c>
      <c r="O5" s="1"/>
      <c r="P5" s="1"/>
    </row>
    <row r="6" spans="1:16">
      <c r="A6" s="1"/>
      <c r="B6" s="52" t="s">
        <v>114</v>
      </c>
      <c r="C6" s="53">
        <v>586.26074664847897</v>
      </c>
      <c r="D6" s="54">
        <v>412.138645329133</v>
      </c>
      <c r="E6" s="54">
        <v>297.75497036335298</v>
      </c>
      <c r="F6" s="54">
        <v>3778.3869528210098</v>
      </c>
      <c r="G6" s="54">
        <v>3480.8022887972302</v>
      </c>
      <c r="H6" s="54">
        <v>2845.9036455292198</v>
      </c>
      <c r="I6" s="54">
        <v>0</v>
      </c>
      <c r="J6" s="54">
        <v>4309.6357416808396</v>
      </c>
      <c r="K6" s="54">
        <v>3758.6462004679902</v>
      </c>
      <c r="L6" s="54">
        <v>2149.99653900673</v>
      </c>
      <c r="M6" s="54">
        <v>1937.19062984366</v>
      </c>
      <c r="N6" s="54">
        <v>2273.6468695879798</v>
      </c>
      <c r="O6" s="1"/>
      <c r="P6" s="1"/>
    </row>
    <row r="7" spans="1:16">
      <c r="A7" s="1"/>
      <c r="B7" s="52" t="s">
        <v>115</v>
      </c>
      <c r="C7" s="55">
        <v>0</v>
      </c>
      <c r="D7" s="56">
        <v>0</v>
      </c>
      <c r="E7" s="56">
        <v>0</v>
      </c>
      <c r="F7" s="56">
        <v>0</v>
      </c>
      <c r="G7" s="56">
        <v>0</v>
      </c>
      <c r="H7" s="56">
        <v>0</v>
      </c>
      <c r="I7" s="56">
        <v>0</v>
      </c>
      <c r="J7" s="56">
        <v>0</v>
      </c>
      <c r="K7" s="56">
        <v>0</v>
      </c>
      <c r="L7" s="56">
        <v>0</v>
      </c>
      <c r="M7" s="56">
        <v>0</v>
      </c>
      <c r="N7" s="56">
        <v>0</v>
      </c>
      <c r="O7" s="1"/>
      <c r="P7" s="1"/>
    </row>
    <row r="8" spans="1:16">
      <c r="A8" s="1"/>
      <c r="B8" s="52" t="s">
        <v>116</v>
      </c>
      <c r="C8" s="55">
        <v>302.05924854906198</v>
      </c>
      <c r="D8" s="56">
        <v>235.684593234495</v>
      </c>
      <c r="E8" s="56">
        <v>0</v>
      </c>
      <c r="F8" s="56">
        <v>0</v>
      </c>
      <c r="G8" s="56">
        <v>0</v>
      </c>
      <c r="H8" s="56">
        <v>0</v>
      </c>
      <c r="I8" s="56">
        <v>291.699051210687</v>
      </c>
      <c r="J8" s="56">
        <v>0</v>
      </c>
      <c r="K8" s="56">
        <v>0</v>
      </c>
      <c r="L8" s="56">
        <v>0</v>
      </c>
      <c r="M8" s="56">
        <v>0</v>
      </c>
      <c r="N8" s="56">
        <v>0</v>
      </c>
      <c r="O8" s="1"/>
      <c r="P8" s="1"/>
    </row>
    <row r="9" spans="1:16">
      <c r="A9" s="1"/>
      <c r="B9" s="52" t="s">
        <v>117</v>
      </c>
      <c r="C9" s="55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1"/>
      <c r="P9" s="1"/>
    </row>
    <row r="10" spans="1:16">
      <c r="A10" s="1"/>
      <c r="B10" s="52" t="s">
        <v>118</v>
      </c>
      <c r="C10" s="55">
        <v>1611.81192825784</v>
      </c>
      <c r="D10" s="56">
        <v>621.26024573143195</v>
      </c>
      <c r="E10" s="56">
        <v>783.09284405379003</v>
      </c>
      <c r="F10" s="56">
        <v>0</v>
      </c>
      <c r="G10" s="56">
        <v>0</v>
      </c>
      <c r="H10" s="56">
        <v>0</v>
      </c>
      <c r="I10" s="56">
        <v>1790.26794602988</v>
      </c>
      <c r="J10" s="56">
        <v>0</v>
      </c>
      <c r="K10" s="56">
        <v>0</v>
      </c>
      <c r="L10" s="56">
        <v>0</v>
      </c>
      <c r="M10" s="56">
        <v>0</v>
      </c>
      <c r="N10" s="56">
        <v>0</v>
      </c>
      <c r="O10" s="1"/>
      <c r="P10" s="1"/>
    </row>
    <row r="11" spans="1:16">
      <c r="A11" s="1"/>
      <c r="B11" s="57" t="s">
        <v>119</v>
      </c>
      <c r="C11" s="55">
        <v>0</v>
      </c>
      <c r="D11" s="56">
        <v>0</v>
      </c>
      <c r="E11" s="56">
        <v>0</v>
      </c>
      <c r="F11" s="56">
        <v>0</v>
      </c>
      <c r="G11" s="56">
        <v>0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0</v>
      </c>
      <c r="N11" s="56">
        <v>0</v>
      </c>
      <c r="O11" s="1"/>
      <c r="P11" s="1"/>
    </row>
    <row r="12" spans="1:16">
      <c r="A12" s="1"/>
      <c r="B12" s="58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60"/>
      <c r="O12" s="1"/>
      <c r="P12" s="1"/>
    </row>
    <row r="13" spans="1:1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A14" s="1"/>
      <c r="B14" s="4" t="s">
        <v>120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A15" s="1"/>
      <c r="B15" s="16"/>
      <c r="C15" s="22"/>
      <c r="D15" s="22"/>
      <c r="E15" s="13"/>
      <c r="F15" s="22"/>
      <c r="G15" s="22"/>
      <c r="H15" s="22"/>
      <c r="I15" s="1"/>
      <c r="J15" s="1"/>
      <c r="K15" s="1"/>
      <c r="L15" s="1"/>
      <c r="M15" s="1"/>
      <c r="N15" s="1"/>
      <c r="O15" s="1"/>
      <c r="P15" s="1"/>
    </row>
    <row r="16" spans="1:16">
      <c r="A16" s="1"/>
      <c r="B16" s="17" t="s">
        <v>121</v>
      </c>
      <c r="C16" s="50" t="s">
        <v>122</v>
      </c>
      <c r="D16" s="50" t="s">
        <v>123</v>
      </c>
      <c r="E16" s="50" t="s">
        <v>122</v>
      </c>
      <c r="F16" s="50" t="s">
        <v>124</v>
      </c>
      <c r="G16" s="50" t="s">
        <v>122</v>
      </c>
      <c r="H16" s="50" t="s">
        <v>125</v>
      </c>
      <c r="I16" s="1"/>
      <c r="J16" s="1"/>
      <c r="K16" s="1"/>
      <c r="L16" s="1"/>
      <c r="M16" s="1"/>
      <c r="N16" s="1"/>
      <c r="O16" s="1"/>
      <c r="P16" s="1"/>
    </row>
    <row r="17" spans="1:16">
      <c r="A17" s="1"/>
      <c r="B17" s="61" t="s">
        <v>114</v>
      </c>
      <c r="C17" s="62">
        <v>1</v>
      </c>
      <c r="D17" s="62">
        <v>0</v>
      </c>
      <c r="E17" s="62">
        <v>1</v>
      </c>
      <c r="F17" s="62">
        <v>5</v>
      </c>
      <c r="G17" s="62">
        <v>1</v>
      </c>
      <c r="H17" s="62">
        <v>10</v>
      </c>
      <c r="I17" s="1" t="s">
        <v>126</v>
      </c>
      <c r="J17" s="1"/>
      <c r="K17" s="1"/>
      <c r="L17" s="1"/>
      <c r="M17" s="1"/>
      <c r="N17" s="1"/>
      <c r="O17" s="1"/>
      <c r="P17" s="1"/>
    </row>
    <row r="18" spans="1:16">
      <c r="A18" s="1"/>
      <c r="B18" s="52" t="s">
        <v>115</v>
      </c>
      <c r="C18" s="63">
        <v>1</v>
      </c>
      <c r="D18" s="63">
        <v>0</v>
      </c>
      <c r="E18" s="63">
        <v>1</v>
      </c>
      <c r="F18" s="63">
        <v>5</v>
      </c>
      <c r="G18" s="63">
        <v>1</v>
      </c>
      <c r="H18" s="63">
        <v>10</v>
      </c>
      <c r="I18" s="1" t="s">
        <v>126</v>
      </c>
      <c r="J18" s="1"/>
      <c r="K18" s="1"/>
      <c r="L18" s="1"/>
      <c r="M18" s="1"/>
      <c r="N18" s="1"/>
      <c r="O18" s="1"/>
      <c r="P18" s="1"/>
    </row>
    <row r="19" spans="1:16">
      <c r="A19" s="1"/>
      <c r="B19" s="52" t="s">
        <v>116</v>
      </c>
      <c r="C19" s="63">
        <v>1</v>
      </c>
      <c r="D19" s="63">
        <v>0</v>
      </c>
      <c r="E19" s="63">
        <v>1</v>
      </c>
      <c r="F19" s="63">
        <v>5</v>
      </c>
      <c r="G19" s="63">
        <v>1</v>
      </c>
      <c r="H19" s="63">
        <v>10</v>
      </c>
      <c r="I19" s="1" t="s">
        <v>126</v>
      </c>
      <c r="J19" s="1"/>
      <c r="K19" s="1"/>
      <c r="L19" s="1"/>
      <c r="M19" s="1"/>
      <c r="N19" s="1"/>
      <c r="O19" s="1"/>
      <c r="P19" s="1"/>
    </row>
    <row r="20" spans="1:16">
      <c r="A20" s="1"/>
      <c r="B20" s="52" t="s">
        <v>117</v>
      </c>
      <c r="C20" s="63">
        <v>1</v>
      </c>
      <c r="D20" s="63">
        <v>0</v>
      </c>
      <c r="E20" s="63">
        <v>1</v>
      </c>
      <c r="F20" s="63">
        <v>5</v>
      </c>
      <c r="G20" s="63">
        <v>1</v>
      </c>
      <c r="H20" s="63">
        <v>10</v>
      </c>
      <c r="I20" s="1"/>
      <c r="J20" s="1"/>
      <c r="K20" s="1"/>
      <c r="L20" s="1"/>
      <c r="M20" s="1"/>
      <c r="N20" s="1"/>
      <c r="O20" s="1"/>
      <c r="P20" s="1"/>
    </row>
    <row r="21" spans="1:16">
      <c r="A21" s="1"/>
      <c r="B21" s="52" t="s">
        <v>118</v>
      </c>
      <c r="C21" s="63">
        <v>1</v>
      </c>
      <c r="D21" s="63">
        <v>0</v>
      </c>
      <c r="E21" s="63">
        <v>1</v>
      </c>
      <c r="F21" s="63">
        <v>5</v>
      </c>
      <c r="G21" s="63">
        <v>1</v>
      </c>
      <c r="H21" s="63">
        <v>10</v>
      </c>
      <c r="I21" s="1"/>
      <c r="J21" s="1"/>
      <c r="K21" s="1"/>
      <c r="L21" s="1"/>
      <c r="M21" s="1"/>
      <c r="N21" s="1"/>
      <c r="O21" s="1"/>
      <c r="P21" s="1"/>
    </row>
    <row r="22" spans="1:16">
      <c r="A22" s="1"/>
      <c r="B22" s="57" t="s">
        <v>119</v>
      </c>
      <c r="C22" s="63">
        <v>1</v>
      </c>
      <c r="D22" s="63">
        <v>0</v>
      </c>
      <c r="E22" s="63">
        <v>1</v>
      </c>
      <c r="F22" s="63">
        <v>5</v>
      </c>
      <c r="G22" s="63">
        <v>1</v>
      </c>
      <c r="H22" s="63">
        <v>10</v>
      </c>
      <c r="I22" s="1"/>
      <c r="J22" s="1"/>
      <c r="K22" s="8"/>
      <c r="L22" s="6"/>
      <c r="M22" s="6"/>
      <c r="N22" s="6"/>
      <c r="O22" s="6"/>
      <c r="P22" s="6"/>
    </row>
    <row r="23" spans="1:16">
      <c r="A23" s="1"/>
      <c r="B23" s="64"/>
      <c r="C23" s="65"/>
      <c r="D23" s="65"/>
      <c r="E23" s="65"/>
      <c r="F23" s="65"/>
      <c r="G23" s="65"/>
      <c r="H23" s="22"/>
      <c r="I23" s="1"/>
      <c r="J23" s="1"/>
      <c r="K23" s="8"/>
      <c r="L23" s="6"/>
      <c r="M23" s="6"/>
      <c r="N23" s="6"/>
      <c r="O23" s="6"/>
      <c r="P23" s="6"/>
    </row>
    <row r="24" spans="1:16">
      <c r="A24" s="1"/>
      <c r="B24" s="1"/>
      <c r="C24" s="1"/>
      <c r="D24" s="1"/>
      <c r="E24" s="1"/>
      <c r="F24" s="1"/>
      <c r="G24" s="1"/>
      <c r="H24" s="1"/>
      <c r="I24" s="1"/>
      <c r="J24" s="1"/>
      <c r="K24" s="6"/>
      <c r="L24" s="8"/>
      <c r="M24" s="8"/>
      <c r="N24" s="8"/>
      <c r="O24" s="8"/>
      <c r="P24" s="8"/>
    </row>
    <row r="25" spans="1:16">
      <c r="A25" s="1"/>
      <c r="B25" s="1"/>
      <c r="C25" s="1"/>
      <c r="D25" s="1"/>
      <c r="E25" s="1"/>
      <c r="F25" s="1"/>
      <c r="G25" s="1"/>
      <c r="H25" s="1"/>
      <c r="I25" s="1"/>
      <c r="J25" s="1"/>
      <c r="K25" s="6"/>
      <c r="L25" s="8"/>
      <c r="M25" s="8"/>
      <c r="N25" s="8"/>
      <c r="O25" s="8"/>
      <c r="P25" s="8"/>
    </row>
    <row r="26" spans="1:16">
      <c r="A26" s="1"/>
      <c r="B26" s="4" t="s">
        <v>127</v>
      </c>
      <c r="C26" s="1"/>
      <c r="D26" s="1"/>
      <c r="E26" s="1"/>
      <c r="F26" s="1"/>
      <c r="G26" s="1"/>
      <c r="H26" s="1"/>
      <c r="I26" s="1"/>
      <c r="J26" s="1"/>
      <c r="K26" s="6"/>
      <c r="L26" s="8"/>
      <c r="M26" s="8"/>
      <c r="N26" s="8"/>
      <c r="O26" s="8"/>
      <c r="P26" s="8"/>
    </row>
    <row r="27" spans="1:16">
      <c r="A27" s="1"/>
      <c r="B27" s="16"/>
      <c r="C27" s="22"/>
      <c r="D27" s="22"/>
      <c r="E27" s="22"/>
      <c r="F27" s="22"/>
      <c r="G27" s="22"/>
      <c r="H27" s="22"/>
      <c r="I27" s="22"/>
      <c r="J27" s="22"/>
      <c r="K27" s="13"/>
      <c r="L27" s="22"/>
      <c r="M27" s="22"/>
      <c r="N27" s="22"/>
      <c r="O27" s="22"/>
      <c r="P27" s="22"/>
    </row>
    <row r="28" spans="1:16">
      <c r="A28" s="1"/>
      <c r="B28" s="1"/>
      <c r="C28" s="1"/>
      <c r="D28" s="7">
        <f>[1]basic_info!$D$5-5</f>
        <v>2011</v>
      </c>
      <c r="E28" s="6"/>
      <c r="F28" s="7">
        <f>[1]basic_info!$D$5-4</f>
        <v>2012</v>
      </c>
      <c r="G28" s="6"/>
      <c r="H28" s="7">
        <f>[1]basic_info!$D$5-3</f>
        <v>2013</v>
      </c>
      <c r="I28" s="6"/>
      <c r="J28" s="7">
        <f>[1]basic_info!$D$5-2</f>
        <v>2014</v>
      </c>
      <c r="K28" s="6"/>
      <c r="L28" s="7">
        <f>[1]basic_info!$D$5-1</f>
        <v>2015</v>
      </c>
      <c r="M28" s="1"/>
      <c r="N28" s="7">
        <f>[1]basic_info!$D$5</f>
        <v>2016</v>
      </c>
      <c r="O28" s="1"/>
      <c r="P28" s="8"/>
    </row>
    <row r="29" spans="1:16">
      <c r="A29" s="1"/>
      <c r="B29" s="17" t="s">
        <v>128</v>
      </c>
      <c r="C29" s="17" t="s">
        <v>129</v>
      </c>
      <c r="D29" s="66" t="s">
        <v>130</v>
      </c>
      <c r="E29" s="51" t="s">
        <v>131</v>
      </c>
      <c r="F29" s="66" t="s">
        <v>130</v>
      </c>
      <c r="G29" s="51" t="s">
        <v>131</v>
      </c>
      <c r="H29" s="66" t="s">
        <v>130</v>
      </c>
      <c r="I29" s="51" t="s">
        <v>131</v>
      </c>
      <c r="J29" s="66" t="s">
        <v>130</v>
      </c>
      <c r="K29" s="51" t="s">
        <v>131</v>
      </c>
      <c r="L29" s="66" t="s">
        <v>130</v>
      </c>
      <c r="M29" s="51" t="s">
        <v>131</v>
      </c>
      <c r="N29" s="66" t="s">
        <v>130</v>
      </c>
      <c r="O29" s="51" t="s">
        <v>131</v>
      </c>
      <c r="P29" s="17" t="s">
        <v>132</v>
      </c>
    </row>
    <row r="30" spans="1:16">
      <c r="A30" s="1"/>
      <c r="B30" s="61" t="s">
        <v>133</v>
      </c>
      <c r="C30" s="52">
        <f>[1]basic_info!$D$5</f>
        <v>2016</v>
      </c>
      <c r="D30" s="66">
        <v>0.71552384896278387</v>
      </c>
      <c r="E30" s="51">
        <v>400000</v>
      </c>
      <c r="F30" s="67">
        <v>0.73352858177408109</v>
      </c>
      <c r="G30" s="68">
        <v>400000</v>
      </c>
      <c r="H30" s="67">
        <v>0.80596927418180841</v>
      </c>
      <c r="I30" s="68"/>
      <c r="J30" s="67">
        <v>0.7928423142468306</v>
      </c>
      <c r="K30" s="68"/>
      <c r="L30" s="67">
        <v>0.71750585281449886</v>
      </c>
      <c r="M30" s="68"/>
      <c r="N30" s="69"/>
      <c r="O30" s="70" t="s">
        <v>134</v>
      </c>
      <c r="P30" s="61">
        <f>M30+K30+I30+E30+G30</f>
        <v>800000</v>
      </c>
    </row>
    <row r="31" spans="1:16">
      <c r="A31" s="1"/>
      <c r="B31" s="52"/>
      <c r="C31" s="67">
        <f>[1]basic_info!$D$5+1</f>
        <v>2017</v>
      </c>
      <c r="D31" s="71"/>
      <c r="E31" s="72"/>
      <c r="F31" s="73">
        <v>0.68859153167605403</v>
      </c>
      <c r="G31" s="74">
        <v>400000</v>
      </c>
      <c r="H31" s="75">
        <v>0.76378054147734653</v>
      </c>
      <c r="I31" s="76">
        <v>400000</v>
      </c>
      <c r="J31" s="75">
        <v>0.76345216251861092</v>
      </c>
      <c r="K31" s="76"/>
      <c r="L31" s="75">
        <v>0.71336651790549455</v>
      </c>
      <c r="M31" s="76"/>
      <c r="N31" s="77">
        <v>0.79663835323969678</v>
      </c>
      <c r="O31" s="56"/>
      <c r="P31" s="77">
        <f>O31+M31+K31+I31+G31</f>
        <v>800000</v>
      </c>
    </row>
    <row r="32" spans="1:16">
      <c r="A32" s="1"/>
      <c r="B32" s="52"/>
      <c r="C32" s="67">
        <f>[1]basic_info!$D$5+2</f>
        <v>2018</v>
      </c>
      <c r="D32" s="71"/>
      <c r="E32" s="72"/>
      <c r="F32" s="72"/>
      <c r="G32" s="72"/>
      <c r="H32" s="73">
        <v>0.71205421746969233</v>
      </c>
      <c r="I32" s="74">
        <v>400000</v>
      </c>
      <c r="J32" s="75">
        <v>0.71138841414852361</v>
      </c>
      <c r="K32" s="76">
        <v>400000</v>
      </c>
      <c r="L32" s="75">
        <v>0.70385164023753377</v>
      </c>
      <c r="M32" s="76"/>
      <c r="N32" s="77">
        <v>0.72983412091618527</v>
      </c>
      <c r="O32" s="56"/>
      <c r="P32" s="77">
        <f>O32+M32+K32+I32</f>
        <v>800000</v>
      </c>
    </row>
    <row r="33" spans="1:16">
      <c r="A33" s="1"/>
      <c r="B33" s="52"/>
      <c r="C33" s="67">
        <f>[1]basic_info!$D$5+3</f>
        <v>2019</v>
      </c>
      <c r="D33" s="71"/>
      <c r="E33" s="72"/>
      <c r="F33" s="72"/>
      <c r="G33" s="72"/>
      <c r="H33" s="72"/>
      <c r="I33" s="72"/>
      <c r="J33" s="73">
        <v>0.64779822950959209</v>
      </c>
      <c r="K33" s="74">
        <v>400000</v>
      </c>
      <c r="L33" s="75">
        <v>0.70324457323394596</v>
      </c>
      <c r="M33" s="76">
        <v>400000</v>
      </c>
      <c r="N33" s="77">
        <v>0.69096273574501099</v>
      </c>
      <c r="O33" s="56"/>
      <c r="P33" s="77">
        <f>O33+M33+K33</f>
        <v>800000</v>
      </c>
    </row>
    <row r="34" spans="1:16">
      <c r="A34" s="1"/>
      <c r="B34" s="52"/>
      <c r="C34" s="67">
        <f>[1]basic_info!$D$5+4</f>
        <v>2020</v>
      </c>
      <c r="D34" s="71"/>
      <c r="E34" s="72"/>
      <c r="F34" s="72"/>
      <c r="G34" s="72"/>
      <c r="H34" s="72"/>
      <c r="I34" s="72"/>
      <c r="J34" s="72"/>
      <c r="K34" s="72"/>
      <c r="L34" s="73">
        <v>0.68883503439426419</v>
      </c>
      <c r="M34" s="74">
        <v>400000</v>
      </c>
      <c r="N34" s="77">
        <v>0.63561347387518119</v>
      </c>
      <c r="O34" s="56"/>
      <c r="P34" s="77">
        <f>O34+M34</f>
        <v>400000</v>
      </c>
    </row>
    <row r="35" spans="1:16">
      <c r="A35" s="1"/>
      <c r="B35" s="57"/>
      <c r="C35" s="78">
        <f>[1]basic_info!$D$5+5</f>
        <v>2021</v>
      </c>
      <c r="D35" s="79"/>
      <c r="E35" s="80"/>
      <c r="F35" s="80"/>
      <c r="G35" s="80"/>
      <c r="H35" s="80"/>
      <c r="I35" s="80"/>
      <c r="J35" s="80"/>
      <c r="K35" s="80"/>
      <c r="L35" s="81"/>
      <c r="M35" s="82"/>
      <c r="N35" s="83">
        <v>0.63826440133452411</v>
      </c>
      <c r="O35" s="56"/>
      <c r="P35" s="84">
        <f>O35</f>
        <v>0</v>
      </c>
    </row>
    <row r="36" spans="1:16">
      <c r="A36" s="1"/>
      <c r="B36" s="61" t="s">
        <v>135</v>
      </c>
      <c r="C36" s="52">
        <f>[1]basic_info!$D$5</f>
        <v>2016</v>
      </c>
      <c r="D36" s="66">
        <v>1.023757758513093</v>
      </c>
      <c r="E36" s="51">
        <v>300000</v>
      </c>
      <c r="F36" s="85">
        <v>1.057380701748182</v>
      </c>
      <c r="G36" s="86">
        <v>300000</v>
      </c>
      <c r="H36" s="85">
        <v>1.0326319130993309</v>
      </c>
      <c r="I36" s="86">
        <v>300000</v>
      </c>
      <c r="J36" s="85">
        <v>0.98761410383669901</v>
      </c>
      <c r="K36" s="86">
        <v>300000</v>
      </c>
      <c r="L36" s="87">
        <v>1.220323087273776</v>
      </c>
      <c r="M36" s="88">
        <v>600000</v>
      </c>
      <c r="N36" s="89"/>
      <c r="O36" s="70" t="s">
        <v>134</v>
      </c>
      <c r="P36" s="61">
        <f>M36+K36+I36+E36+G36</f>
        <v>1800000</v>
      </c>
    </row>
    <row r="37" spans="1:16">
      <c r="A37" s="1"/>
      <c r="B37" s="52"/>
      <c r="C37" s="67">
        <f>[1]basic_info!$D$5+1</f>
        <v>2017</v>
      </c>
      <c r="D37" s="71"/>
      <c r="E37" s="72"/>
      <c r="F37" s="73">
        <v>0.96417330466210838</v>
      </c>
      <c r="G37" s="74">
        <v>300000</v>
      </c>
      <c r="H37" s="75">
        <v>1.0068793309599473</v>
      </c>
      <c r="I37" s="76">
        <v>300000</v>
      </c>
      <c r="J37" s="75">
        <v>0.92888160054944402</v>
      </c>
      <c r="K37" s="76">
        <v>300000</v>
      </c>
      <c r="L37" s="75">
        <v>1.1965873199126678</v>
      </c>
      <c r="M37" s="76">
        <v>300000</v>
      </c>
      <c r="N37" s="75">
        <v>1.0462858466047913</v>
      </c>
      <c r="O37" s="56">
        <v>14134.438171948796</v>
      </c>
      <c r="P37" s="77">
        <f>O37+M37+K37+I37+G37</f>
        <v>1214134.4381719488</v>
      </c>
    </row>
    <row r="38" spans="1:16">
      <c r="A38" s="1"/>
      <c r="B38" s="52"/>
      <c r="C38" s="67">
        <f>[1]basic_info!$D$5+2</f>
        <v>2018</v>
      </c>
      <c r="D38" s="71"/>
      <c r="E38" s="72"/>
      <c r="F38" s="72"/>
      <c r="G38" s="72"/>
      <c r="H38" s="73">
        <v>0.98247019918262957</v>
      </c>
      <c r="I38" s="74">
        <v>300000</v>
      </c>
      <c r="J38" s="75">
        <v>0.89159402523119113</v>
      </c>
      <c r="K38" s="76">
        <v>300000</v>
      </c>
      <c r="L38" s="75">
        <v>1.0960048363700774</v>
      </c>
      <c r="M38" s="76">
        <v>300000</v>
      </c>
      <c r="N38" s="75">
        <v>1.02224518434864</v>
      </c>
      <c r="O38" s="56">
        <v>12367.633400455197</v>
      </c>
      <c r="P38" s="77">
        <f>O38+M38+K38+I38</f>
        <v>912367.63340045512</v>
      </c>
    </row>
    <row r="39" spans="1:16">
      <c r="A39" s="1"/>
      <c r="B39" s="52"/>
      <c r="C39" s="67">
        <f>[1]basic_info!$D$5+3</f>
        <v>2019</v>
      </c>
      <c r="D39" s="71"/>
      <c r="E39" s="72"/>
      <c r="F39" s="72"/>
      <c r="G39" s="72"/>
      <c r="H39" s="72"/>
      <c r="I39" s="72"/>
      <c r="J39" s="73">
        <v>0.88621167258918288</v>
      </c>
      <c r="K39" s="74">
        <v>300000</v>
      </c>
      <c r="L39" s="75">
        <v>1.056931589689706</v>
      </c>
      <c r="M39" s="76">
        <v>300000</v>
      </c>
      <c r="N39" s="75">
        <v>0.93281131383436111</v>
      </c>
      <c r="O39" s="56">
        <v>8834.0238574679988</v>
      </c>
      <c r="P39" s="77">
        <f>O39+M39+K39</f>
        <v>608834.02385746804</v>
      </c>
    </row>
    <row r="40" spans="1:16">
      <c r="A40" s="1"/>
      <c r="B40" s="52"/>
      <c r="C40" s="67">
        <f>[1]basic_info!$D$5+4</f>
        <v>2020</v>
      </c>
      <c r="D40" s="71"/>
      <c r="E40" s="72"/>
      <c r="F40" s="72"/>
      <c r="G40" s="72"/>
      <c r="H40" s="72"/>
      <c r="I40" s="72"/>
      <c r="J40" s="72"/>
      <c r="K40" s="72"/>
      <c r="L40" s="73">
        <v>1.0197174708992243</v>
      </c>
      <c r="M40" s="74">
        <v>300000</v>
      </c>
      <c r="N40" s="75">
        <v>0.86130552542183847</v>
      </c>
      <c r="O40" s="56">
        <v>5300.4143144807977</v>
      </c>
      <c r="P40" s="77">
        <f>O40+M40</f>
        <v>305300.41431448079</v>
      </c>
    </row>
    <row r="41" spans="1:16">
      <c r="A41" s="1"/>
      <c r="B41" s="57"/>
      <c r="C41" s="78">
        <f>[1]basic_info!$D$5+5</f>
        <v>2021</v>
      </c>
      <c r="D41" s="79"/>
      <c r="E41" s="80"/>
      <c r="F41" s="80"/>
      <c r="G41" s="80"/>
      <c r="H41" s="80"/>
      <c r="I41" s="80"/>
      <c r="J41" s="80"/>
      <c r="K41" s="80"/>
      <c r="L41" s="81"/>
      <c r="M41" s="82"/>
      <c r="N41" s="73">
        <v>0.87688502262532708</v>
      </c>
      <c r="O41" s="56">
        <v>3533.6095429871989</v>
      </c>
      <c r="P41" s="83">
        <f>O41</f>
        <v>3533.6095429871989</v>
      </c>
    </row>
    <row r="42" spans="1:16">
      <c r="A42" s="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>
      <c r="A44" s="1"/>
      <c r="B44" s="4" t="s">
        <v>136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>
      <c r="A45" s="1"/>
      <c r="B45" s="16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1"/>
    </row>
    <row r="46" spans="1:16">
      <c r="A46" s="1"/>
      <c r="B46" s="17" t="s">
        <v>137</v>
      </c>
      <c r="C46" s="50" t="s">
        <v>102</v>
      </c>
      <c r="D46" s="50" t="s">
        <v>103</v>
      </c>
      <c r="E46" s="50" t="s">
        <v>104</v>
      </c>
      <c r="F46" s="50" t="s">
        <v>105</v>
      </c>
      <c r="G46" s="50" t="s">
        <v>106</v>
      </c>
      <c r="H46" s="50" t="s">
        <v>107</v>
      </c>
      <c r="I46" s="50" t="s">
        <v>108</v>
      </c>
      <c r="J46" s="50" t="s">
        <v>109</v>
      </c>
      <c r="K46" s="50" t="s">
        <v>110</v>
      </c>
      <c r="L46" s="50" t="s">
        <v>111</v>
      </c>
      <c r="M46" s="50" t="s">
        <v>112</v>
      </c>
      <c r="N46" s="51" t="s">
        <v>113</v>
      </c>
      <c r="O46" s="17" t="s">
        <v>132</v>
      </c>
      <c r="P46" s="1"/>
    </row>
    <row r="47" spans="1:16">
      <c r="A47" s="1"/>
      <c r="B47" s="61" t="s">
        <v>133</v>
      </c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17">
        <f>SUM(C47:N47)</f>
        <v>0</v>
      </c>
      <c r="P47" s="1"/>
    </row>
    <row r="48" spans="1:16">
      <c r="A48" s="1"/>
      <c r="B48" s="57" t="s">
        <v>135</v>
      </c>
      <c r="C48" s="90">
        <v>7.9454424678192375</v>
      </c>
      <c r="D48" s="90">
        <v>4.033159097216708</v>
      </c>
      <c r="E48" s="90">
        <v>3.434944390474616</v>
      </c>
      <c r="F48" s="90">
        <v>12.007748820432973</v>
      </c>
      <c r="G48" s="90">
        <v>11.062021994930737</v>
      </c>
      <c r="H48" s="90">
        <v>9.0443082112474755</v>
      </c>
      <c r="I48" s="90">
        <v>6.6165104494208986</v>
      </c>
      <c r="J48" s="90">
        <v>13.696062404362038</v>
      </c>
      <c r="K48" s="90">
        <v>11.945012526151507</v>
      </c>
      <c r="L48" s="90">
        <v>6.8327089648448771</v>
      </c>
      <c r="M48" s="90">
        <v>6.1564098095065996</v>
      </c>
      <c r="N48" s="90">
        <v>7.2256708635923301</v>
      </c>
      <c r="O48" s="17">
        <f>SUM(C48:N48)</f>
        <v>100</v>
      </c>
      <c r="P48" s="1"/>
    </row>
    <row r="49" spans="1:16">
      <c r="A49" s="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1"/>
    </row>
    <row r="50" spans="1:1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1:1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1:1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1:1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1:1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1:1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1:1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1:1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1:1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1:1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1:1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1:1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1:1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1:1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1:1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1:1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1:1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1:1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1:1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1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1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"/>
  <sheetViews>
    <sheetView topLeftCell="A4" workbookViewId="0">
      <selection activeCell="G16" sqref="G16"/>
    </sheetView>
  </sheetViews>
  <sheetFormatPr baseColWidth="10" defaultColWidth="10.83203125" defaultRowHeight="15" x14ac:dyDescent="0"/>
  <cols>
    <col min="1" max="16384" width="10.83203125" style="2"/>
  </cols>
  <sheetData>
    <row r="1" spans="1:1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>
      <c r="A2" s="1"/>
      <c r="B2" s="3" t="s">
        <v>138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>
      <c r="A3" s="1"/>
      <c r="B3" s="4" t="s">
        <v>139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>
      <c r="A4" s="1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1"/>
      <c r="N4" s="1"/>
      <c r="O4" s="1"/>
      <c r="P4" s="1"/>
      <c r="Q4" s="1"/>
    </row>
    <row r="5" spans="1:17">
      <c r="A5" s="1"/>
      <c r="B5" s="7" t="s">
        <v>140</v>
      </c>
      <c r="C5" s="7" t="s">
        <v>18</v>
      </c>
      <c r="D5" s="7" t="s">
        <v>30</v>
      </c>
      <c r="E5" s="7" t="s">
        <v>67</v>
      </c>
      <c r="F5" s="7" t="s">
        <v>132</v>
      </c>
      <c r="G5" s="8"/>
      <c r="H5" s="8"/>
      <c r="I5" s="8"/>
      <c r="J5" s="8"/>
      <c r="K5" s="8"/>
      <c r="L5" s="8"/>
      <c r="M5" s="8"/>
      <c r="N5" s="8"/>
      <c r="O5" s="8"/>
      <c r="P5" s="1"/>
      <c r="Q5" s="1"/>
    </row>
    <row r="6" spans="1:17">
      <c r="A6" s="1"/>
      <c r="B6" s="7" t="s">
        <v>141</v>
      </c>
      <c r="C6" s="9">
        <f>7268.5690006566/(7268.5690006566+2412.57754356543+16149.2166858536) * 100</f>
        <v>28.139631393930337</v>
      </c>
      <c r="D6" s="9">
        <f>2412.57754356543/(7268.5690006566+2412.57754356543+16149.2166858536) * 100</f>
        <v>9.3400836917242458</v>
      </c>
      <c r="E6" s="9">
        <f>16149.2166858536/(7268.5690006566+2412.57754356543+16149.2166858536) * 100</f>
        <v>62.520284914345424</v>
      </c>
      <c r="F6" s="10">
        <f>SUM($C$6:$E$6)</f>
        <v>100</v>
      </c>
      <c r="G6" s="6"/>
      <c r="H6" s="6"/>
      <c r="I6" s="6"/>
      <c r="J6" s="6"/>
      <c r="K6" s="6"/>
      <c r="L6" s="6"/>
      <c r="M6" s="8"/>
      <c r="N6" s="8"/>
      <c r="O6" s="8"/>
      <c r="P6" s="1"/>
      <c r="Q6" s="1"/>
    </row>
    <row r="7" spans="1:17">
      <c r="A7" s="1"/>
      <c r="B7" s="7" t="s">
        <v>115</v>
      </c>
      <c r="C7" s="9"/>
      <c r="D7" s="9"/>
      <c r="E7" s="9"/>
      <c r="F7" s="10">
        <f>SUM($C$7:$E$7)</f>
        <v>0</v>
      </c>
      <c r="G7" s="6"/>
      <c r="H7" s="6"/>
      <c r="I7" s="6"/>
      <c r="J7" s="6"/>
      <c r="K7" s="6"/>
      <c r="L7" s="6"/>
      <c r="M7" s="8"/>
      <c r="N7" s="8"/>
      <c r="O7" s="8"/>
      <c r="P7" s="1"/>
      <c r="Q7" s="1"/>
    </row>
    <row r="8" spans="1:17">
      <c r="A8" s="1"/>
      <c r="B8" s="7" t="s">
        <v>116</v>
      </c>
      <c r="C8" s="9"/>
      <c r="D8" s="9">
        <v>100</v>
      </c>
      <c r="E8" s="9"/>
      <c r="F8" s="10">
        <f>SUM($C$8:$E$8)</f>
        <v>100</v>
      </c>
      <c r="G8" s="6"/>
      <c r="H8" s="6"/>
      <c r="I8" s="6"/>
      <c r="J8" s="6"/>
      <c r="K8" s="6"/>
      <c r="L8" s="6"/>
      <c r="M8" s="8"/>
      <c r="N8" s="8"/>
      <c r="O8" s="8"/>
      <c r="P8" s="1"/>
      <c r="Q8" s="1"/>
    </row>
    <row r="9" spans="1:17">
      <c r="A9" s="1"/>
      <c r="B9" s="7" t="s">
        <v>117</v>
      </c>
      <c r="C9" s="9"/>
      <c r="D9" s="9"/>
      <c r="E9" s="9"/>
      <c r="F9" s="10">
        <f>SUM($C$9:$E$9)</f>
        <v>0</v>
      </c>
      <c r="G9" s="6"/>
      <c r="H9" s="6"/>
      <c r="I9" s="6"/>
      <c r="J9" s="6"/>
      <c r="K9" s="6"/>
      <c r="L9" s="6"/>
      <c r="M9" s="8"/>
      <c r="N9" s="8"/>
      <c r="O9" s="8"/>
      <c r="P9" s="1"/>
      <c r="Q9" s="1"/>
    </row>
    <row r="10" spans="1:17">
      <c r="A10" s="1"/>
      <c r="B10" s="7" t="s">
        <v>118</v>
      </c>
      <c r="C10" s="9"/>
      <c r="D10" s="9"/>
      <c r="E10" s="9"/>
      <c r="F10" s="10">
        <f>SUM($C$10:$E$10)</f>
        <v>0</v>
      </c>
      <c r="G10" s="6"/>
      <c r="H10" s="6"/>
      <c r="I10" s="6"/>
      <c r="J10" s="6"/>
      <c r="K10" s="6"/>
      <c r="L10" s="6"/>
      <c r="M10" s="8"/>
      <c r="N10" s="8"/>
      <c r="O10" s="8"/>
      <c r="P10" s="1"/>
      <c r="Q10" s="1"/>
    </row>
    <row r="11" spans="1:17">
      <c r="A11" s="1"/>
      <c r="B11" s="7" t="s">
        <v>119</v>
      </c>
      <c r="C11" s="11"/>
      <c r="D11" s="11">
        <f>307.029206834713/(307.029206834713 + 4499.40375723824) * 100</f>
        <v>6.3878807658338292</v>
      </c>
      <c r="E11" s="11">
        <f>4499.40375723824/(307.029206834713 + 4499.40375723824) * 100</f>
        <v>93.612119234166158</v>
      </c>
      <c r="F11" s="12">
        <f>SUM($C$11:$E$11)</f>
        <v>99.999999999999986</v>
      </c>
      <c r="G11" s="6"/>
      <c r="H11" s="6"/>
      <c r="I11" s="6"/>
      <c r="J11" s="6"/>
      <c r="K11" s="6"/>
      <c r="L11" s="6"/>
      <c r="M11" s="8"/>
      <c r="N11" s="8"/>
      <c r="O11" s="8"/>
      <c r="P11" s="1"/>
      <c r="Q11" s="1"/>
    </row>
    <row r="12" spans="1:17">
      <c r="A12" s="1"/>
      <c r="B12" s="13"/>
      <c r="C12" s="13"/>
      <c r="D12" s="13"/>
      <c r="E12" s="13"/>
      <c r="F12" s="13"/>
      <c r="G12" s="6"/>
      <c r="H12" s="6"/>
      <c r="I12" s="6"/>
      <c r="J12" s="6"/>
      <c r="K12" s="6"/>
      <c r="L12" s="6"/>
      <c r="M12" s="8"/>
      <c r="N12" s="8"/>
      <c r="O12" s="8"/>
      <c r="P12" s="1"/>
      <c r="Q12" s="1"/>
    </row>
    <row r="13" spans="1:17">
      <c r="A13" s="1"/>
      <c r="B13" s="1"/>
      <c r="C13" s="6"/>
      <c r="D13" s="6"/>
      <c r="E13" s="6"/>
      <c r="F13" s="6"/>
      <c r="G13" s="6"/>
      <c r="H13" s="6"/>
      <c r="I13" s="8"/>
      <c r="J13" s="8"/>
      <c r="K13" s="8"/>
      <c r="L13" s="1"/>
      <c r="M13" s="1"/>
      <c r="N13" s="1"/>
      <c r="O13" s="1"/>
      <c r="P13" s="1"/>
      <c r="Q13" s="1"/>
    </row>
    <row r="14" spans="1:17">
      <c r="A14" s="1"/>
      <c r="B14" s="14" t="s">
        <v>142</v>
      </c>
      <c r="C14" s="6"/>
      <c r="D14" s="6"/>
      <c r="E14" s="6"/>
      <c r="F14" s="6"/>
      <c r="G14" s="6"/>
      <c r="H14" s="6"/>
      <c r="I14" s="8"/>
      <c r="J14" s="8"/>
      <c r="K14" s="8"/>
      <c r="L14" s="1"/>
      <c r="M14" s="1"/>
      <c r="N14" s="1"/>
      <c r="O14" s="1"/>
      <c r="P14" s="1"/>
      <c r="Q14" s="1"/>
    </row>
    <row r="15" spans="1:17">
      <c r="A15" s="1"/>
      <c r="B15" s="15" t="s">
        <v>143</v>
      </c>
      <c r="C15" s="8"/>
      <c r="D15" s="8"/>
      <c r="E15" s="8"/>
      <c r="F15" s="8"/>
      <c r="G15" s="8"/>
      <c r="H15" s="8"/>
      <c r="I15" s="8"/>
      <c r="J15" s="8"/>
      <c r="K15" s="8"/>
      <c r="L15" s="1"/>
      <c r="M15" s="1"/>
      <c r="N15" s="1"/>
      <c r="O15" s="1"/>
      <c r="P15" s="1"/>
      <c r="Q15" s="1"/>
    </row>
    <row r="16" spans="1:17">
      <c r="A16" s="1"/>
      <c r="B16" s="16"/>
      <c r="C16" s="16"/>
      <c r="D16" s="16"/>
      <c r="E16" s="8"/>
      <c r="F16" s="8"/>
      <c r="G16" s="8"/>
      <c r="H16" s="8"/>
      <c r="I16" s="1"/>
      <c r="J16" s="1"/>
      <c r="K16" s="8"/>
      <c r="L16" s="8"/>
      <c r="M16" s="8"/>
      <c r="N16" s="1"/>
      <c r="O16" s="1"/>
      <c r="P16" s="1"/>
      <c r="Q16" s="1"/>
    </row>
    <row r="17" spans="1:17">
      <c r="A17" s="1"/>
      <c r="B17" s="7" t="s">
        <v>144</v>
      </c>
      <c r="C17" s="7" t="s">
        <v>18</v>
      </c>
      <c r="D17" s="7"/>
      <c r="E17" s="8"/>
      <c r="F17" s="8"/>
      <c r="G17" s="8"/>
      <c r="H17" s="8"/>
      <c r="I17" s="1"/>
      <c r="J17" s="1"/>
      <c r="K17" s="8"/>
      <c r="L17" s="8"/>
      <c r="M17" s="8"/>
      <c r="N17" s="1"/>
      <c r="O17" s="1"/>
      <c r="P17" s="1"/>
      <c r="Q17" s="1"/>
    </row>
    <row r="18" spans="1:17">
      <c r="A18" s="1"/>
      <c r="B18" s="7" t="s">
        <v>145</v>
      </c>
      <c r="C18" s="7" t="s">
        <v>146</v>
      </c>
      <c r="D18" s="7" t="s">
        <v>147</v>
      </c>
      <c r="E18" s="8"/>
      <c r="F18" s="8"/>
      <c r="G18" s="8"/>
      <c r="H18" s="8"/>
      <c r="I18" s="8"/>
      <c r="J18" s="1"/>
      <c r="K18" s="8"/>
      <c r="L18" s="8"/>
      <c r="M18" s="8"/>
      <c r="N18" s="1"/>
      <c r="O18" s="1"/>
      <c r="P18" s="1"/>
      <c r="Q18" s="1"/>
    </row>
    <row r="19" spans="1:17">
      <c r="A19" s="1"/>
      <c r="B19" s="7" t="s">
        <v>148</v>
      </c>
      <c r="C19" s="11">
        <f>1150.4685281434/(1150.4685281434+4549.19384041814) * 100</f>
        <v>20.184854009760425</v>
      </c>
      <c r="D19" s="17">
        <f>100-$C$19</f>
        <v>79.815145990239571</v>
      </c>
      <c r="E19" s="1"/>
      <c r="F19" s="1"/>
      <c r="G19" s="1"/>
      <c r="H19" s="1"/>
      <c r="I19" s="1"/>
      <c r="J19" s="1"/>
      <c r="K19" s="8"/>
      <c r="L19" s="8"/>
      <c r="M19" s="8"/>
      <c r="N19" s="1"/>
      <c r="O19" s="1"/>
      <c r="P19" s="1"/>
      <c r="Q19" s="1"/>
    </row>
    <row r="20" spans="1:17">
      <c r="A20" s="1"/>
      <c r="B20" s="18"/>
      <c r="C20" s="18"/>
      <c r="D20" s="18"/>
      <c r="E20" s="8"/>
      <c r="F20" s="8"/>
      <c r="G20" s="8"/>
      <c r="H20" s="8"/>
      <c r="I20" s="1"/>
      <c r="J20" s="1"/>
      <c r="K20" s="8"/>
      <c r="L20" s="8"/>
      <c r="M20" s="8"/>
      <c r="N20" s="1"/>
      <c r="O20" s="1"/>
      <c r="P20" s="1"/>
      <c r="Q20" s="1"/>
    </row>
    <row r="21" spans="1:17">
      <c r="A21" s="1"/>
      <c r="B21" s="1"/>
      <c r="C21" s="1"/>
      <c r="D21" s="1"/>
      <c r="E21" s="1"/>
      <c r="F21" s="1"/>
      <c r="G21" s="1"/>
      <c r="H21" s="1"/>
      <c r="I21" s="8"/>
      <c r="J21" s="8"/>
      <c r="K21" s="8"/>
      <c r="L21" s="1"/>
      <c r="M21" s="1"/>
      <c r="N21" s="1"/>
      <c r="O21" s="1"/>
      <c r="P21" s="1"/>
      <c r="Q21" s="1"/>
    </row>
    <row r="22" spans="1:17">
      <c r="A22" s="1"/>
      <c r="B22" s="14" t="s">
        <v>138</v>
      </c>
      <c r="C22" s="1"/>
      <c r="D22" s="1"/>
      <c r="E22" s="1"/>
      <c r="F22" s="1"/>
      <c r="G22" s="1"/>
      <c r="H22" s="1"/>
      <c r="I22" s="8"/>
      <c r="J22" s="8"/>
      <c r="K22" s="8"/>
      <c r="L22" s="1"/>
      <c r="M22" s="1"/>
      <c r="N22" s="1"/>
      <c r="O22" s="1"/>
      <c r="P22" s="1"/>
      <c r="Q22" s="1"/>
    </row>
    <row r="23" spans="1:17">
      <c r="A23" s="1"/>
      <c r="B23" s="19" t="s">
        <v>149</v>
      </c>
      <c r="C23" s="1"/>
      <c r="D23" s="1"/>
      <c r="E23" s="1"/>
      <c r="F23" s="1"/>
      <c r="G23" s="1"/>
      <c r="H23" s="1"/>
      <c r="I23" s="8"/>
      <c r="J23" s="8"/>
      <c r="K23" s="8"/>
      <c r="L23" s="1"/>
      <c r="M23" s="1"/>
      <c r="N23" s="1"/>
      <c r="O23" s="1"/>
      <c r="P23" s="1"/>
      <c r="Q23" s="1"/>
    </row>
    <row r="24" spans="1:17">
      <c r="A24" s="1"/>
      <c r="B24" s="16"/>
      <c r="C24" s="16"/>
      <c r="D24" s="16"/>
      <c r="E24" s="16"/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Q24" s="1"/>
    </row>
    <row r="25" spans="1:17">
      <c r="A25" s="1"/>
      <c r="B25" s="7" t="s">
        <v>150</v>
      </c>
      <c r="C25" s="7" t="s">
        <v>151</v>
      </c>
      <c r="D25" s="7" t="s">
        <v>18</v>
      </c>
      <c r="E25" s="7"/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Q25" s="1"/>
    </row>
    <row r="26" spans="1:17">
      <c r="A26" s="1"/>
      <c r="B26" s="7" t="s">
        <v>145</v>
      </c>
      <c r="C26" s="7" t="s">
        <v>147</v>
      </c>
      <c r="D26" s="7" t="s">
        <v>146</v>
      </c>
      <c r="E26" s="7" t="s">
        <v>147</v>
      </c>
      <c r="F26" s="1"/>
      <c r="G26" s="1"/>
      <c r="H26" s="1"/>
      <c r="I26" s="1"/>
      <c r="J26" s="1"/>
      <c r="K26" s="1"/>
      <c r="L26" s="8"/>
      <c r="M26" s="8"/>
      <c r="N26" s="8"/>
      <c r="O26" s="1"/>
      <c r="P26" s="1"/>
      <c r="Q26" s="1"/>
    </row>
    <row r="27" spans="1:17">
      <c r="A27" s="1"/>
      <c r="B27" s="7" t="s">
        <v>30</v>
      </c>
      <c r="C27" s="9"/>
      <c r="D27" s="9">
        <f t="array" ref="D27">334.158101653206/(334.158101653206+816.310426490195) * 100</f>
        <v>29.045392679490543</v>
      </c>
      <c r="E27" s="20">
        <f>681.674528377854/(681.674528377854+3867.51931204029) * 100</f>
        <v>14.984512691488153</v>
      </c>
      <c r="F27" s="1"/>
      <c r="G27" s="1"/>
      <c r="H27" s="1"/>
      <c r="I27" s="1"/>
      <c r="J27" s="1"/>
      <c r="K27" s="1"/>
      <c r="L27" s="8"/>
      <c r="M27" s="8"/>
      <c r="N27" s="8"/>
      <c r="O27" s="1"/>
      <c r="P27" s="1"/>
      <c r="Q27" s="1"/>
    </row>
    <row r="28" spans="1:17">
      <c r="A28" s="1"/>
      <c r="B28" s="7" t="s">
        <v>67</v>
      </c>
      <c r="C28" s="9"/>
      <c r="D28" s="9">
        <f>816.310426490195/(334.158101653206+816.310426490195) * 100</f>
        <v>70.954607320509453</v>
      </c>
      <c r="E28" s="20">
        <f>3867.51931204029/(681.674528377854+3867.51931204029) * 100</f>
        <v>85.015487308511851</v>
      </c>
      <c r="F28" s="1"/>
      <c r="G28" s="1"/>
      <c r="H28" s="1"/>
      <c r="I28" s="1"/>
      <c r="J28" s="1"/>
      <c r="K28" s="1"/>
      <c r="L28" s="8"/>
      <c r="M28" s="8"/>
      <c r="N28" s="8"/>
      <c r="O28" s="1"/>
      <c r="P28" s="1"/>
      <c r="Q28" s="1"/>
    </row>
    <row r="29" spans="1:17">
      <c r="A29" s="1"/>
      <c r="B29" s="7" t="s">
        <v>132</v>
      </c>
      <c r="C29" s="21">
        <f>SUM($C$27:$C$28)</f>
        <v>0</v>
      </c>
      <c r="D29" s="21">
        <f>SUM($D$27:$D$28)</f>
        <v>100</v>
      </c>
      <c r="E29" s="12">
        <f>SUM($E$27:$E$28)</f>
        <v>100</v>
      </c>
      <c r="F29" s="1"/>
      <c r="G29" s="1"/>
      <c r="H29" s="1"/>
      <c r="I29" s="1"/>
      <c r="J29" s="1"/>
      <c r="K29" s="1"/>
      <c r="L29" s="8"/>
      <c r="M29" s="8"/>
      <c r="N29" s="8"/>
      <c r="O29" s="1"/>
      <c r="P29" s="1"/>
      <c r="Q29" s="1"/>
    </row>
    <row r="30" spans="1:17">
      <c r="A30" s="1"/>
      <c r="B30" s="18"/>
      <c r="C30" s="18"/>
      <c r="D30" s="18"/>
      <c r="E30" s="18"/>
      <c r="F30" s="1"/>
      <c r="G30" s="1"/>
      <c r="H30" s="1"/>
      <c r="I30" s="1"/>
      <c r="J30" s="1"/>
      <c r="K30" s="1"/>
      <c r="L30" s="8"/>
      <c r="M30" s="8"/>
      <c r="N30" s="8"/>
      <c r="O30" s="1"/>
      <c r="P30" s="1"/>
      <c r="Q30" s="1"/>
    </row>
    <row r="31" spans="1:17">
      <c r="A31" s="1"/>
      <c r="B31" s="1"/>
      <c r="C31" s="1"/>
      <c r="D31" s="1"/>
      <c r="E31" s="1"/>
      <c r="F31" s="1"/>
      <c r="G31" s="1"/>
      <c r="H31" s="1"/>
      <c r="I31" s="8"/>
      <c r="J31" s="8"/>
      <c r="K31" s="8"/>
      <c r="L31" s="1"/>
      <c r="M31" s="1"/>
      <c r="N31" s="1"/>
      <c r="O31" s="1"/>
      <c r="P31" s="1"/>
      <c r="Q31" s="1"/>
    </row>
    <row r="32" spans="1:17">
      <c r="A32" s="1"/>
      <c r="B32" s="14" t="s">
        <v>152</v>
      </c>
      <c r="C32" s="8"/>
      <c r="D32" s="8"/>
      <c r="E32" s="8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</row>
    <row r="33" spans="1:17">
      <c r="A33" s="1"/>
      <c r="B33" s="15" t="s">
        <v>153</v>
      </c>
      <c r="C33" s="8"/>
      <c r="D33" s="8"/>
      <c r="E33" s="8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</row>
    <row r="34" spans="1:17">
      <c r="A34" s="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1"/>
      <c r="P34" s="1"/>
      <c r="Q34" s="1"/>
    </row>
    <row r="35" spans="1:17">
      <c r="A35" s="1"/>
      <c r="B35" s="7" t="s">
        <v>154</v>
      </c>
      <c r="C35" s="7" t="s">
        <v>102</v>
      </c>
      <c r="D35" s="7" t="s">
        <v>103</v>
      </c>
      <c r="E35" s="7" t="s">
        <v>104</v>
      </c>
      <c r="F35" s="7" t="s">
        <v>105</v>
      </c>
      <c r="G35" s="7" t="s">
        <v>106</v>
      </c>
      <c r="H35" s="7" t="s">
        <v>107</v>
      </c>
      <c r="I35" s="7" t="s">
        <v>108</v>
      </c>
      <c r="J35" s="7" t="s">
        <v>109</v>
      </c>
      <c r="K35" s="7" t="s">
        <v>110</v>
      </c>
      <c r="L35" s="7" t="s">
        <v>111</v>
      </c>
      <c r="M35" s="7" t="s">
        <v>112</v>
      </c>
      <c r="N35" s="7" t="s">
        <v>113</v>
      </c>
      <c r="O35" s="1"/>
      <c r="P35" s="1"/>
      <c r="Q35" s="1"/>
    </row>
    <row r="36" spans="1:17">
      <c r="A36" s="1"/>
      <c r="B36" s="7" t="s">
        <v>30</v>
      </c>
      <c r="C36" s="9">
        <f>100 * 94.1144314079784/(94.1144314079784 + 0 + 89.2003239129652 + 46.3184136167746 + 15.3633899412926 + 0 + 0 + 0 + 0 + 0 + 69.3871012075649 + 75.1693596415285)</f>
        <v>24.159594879707857</v>
      </c>
      <c r="D36" s="9">
        <v>0</v>
      </c>
      <c r="E36" s="23">
        <f>100 * 89.2003239129652/(94.1144314079784 + 0 + 89.2003239129652 + 46.3184136167746 + 15.3633899412926 + 0 + 0 + 0 + 0 + 0 + 69.3871012075649 + 75.1693596415285)</f>
        <v>22.898121538173218</v>
      </c>
      <c r="F36" s="23">
        <f>100 * 46.3184136167746/(94.1144314079784 + 0 + 89.2003239129652 + 46.3184136167746 + 15.3633899412926 + 0 + 0 + 0 + 0 + 0 + 69.3871012075649 + 75.1693596415285)</f>
        <v>11.890143644401318</v>
      </c>
      <c r="G36" s="23">
        <f>100 * 15.3633899412926/(94.1144314079784 + 0 + 89.2003239129652 + 46.3184136167746 + 15.3633899412926 + 0 + 0 + 0 + 0 + 0 + 69.3871012075649 + 75.1693596415285)</f>
        <v>3.9438508144580067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23">
        <f>100 * 69.3871012075649/(94.1144314079784 + 0 + 89.2003239129652 + 46.3184136167746 + 15.3633899412926 + 0 + 0 + 0 + 0 + 0 + 69.3871012075649 + 75.1693596415285)</f>
        <v>17.811978779164619</v>
      </c>
      <c r="N36" s="23">
        <f>100 * 75.1693596415285/(94.1144314079784 + 0 + 89.2003239129652 + 46.3184136167746 + 15.3633899412926 + 0 + 0 + 0 + 0 + 0 + 69.3871012075649 + 75.1693596415285)</f>
        <v>19.296310344094969</v>
      </c>
      <c r="O36" s="1"/>
      <c r="P36" s="1"/>
      <c r="Q36" s="1"/>
    </row>
    <row r="37" spans="1:17">
      <c r="A37" s="1"/>
      <c r="B37" s="7" t="s">
        <v>67</v>
      </c>
      <c r="C37" s="11">
        <v>0</v>
      </c>
      <c r="D37" s="1">
        <f>100*111.272318380782/1179.35361236695</f>
        <v>9.4350258661996751</v>
      </c>
      <c r="E37" s="11">
        <v>0</v>
      </c>
      <c r="F37" s="11">
        <v>0</v>
      </c>
      <c r="G37" s="1">
        <f>100*318.147332418291/1179.35361236695</f>
        <v>26.976415646853596</v>
      </c>
      <c r="H37" s="1">
        <f>100*339.689785556874/1179.35361236695</f>
        <v>28.803047872564726</v>
      </c>
      <c r="I37" s="11">
        <v>0</v>
      </c>
      <c r="J37" s="11">
        <v>0</v>
      </c>
      <c r="K37" s="11">
        <v>0</v>
      </c>
      <c r="L37" s="1">
        <f>100 * 125.352387114472/1179.35361236695</f>
        <v>10.628906021061072</v>
      </c>
      <c r="M37" s="1">
        <f>100 * 136.748058670334/1179.35361236695</f>
        <v>11.595170204793972</v>
      </c>
      <c r="N37" s="1">
        <f>100 * 148.143730226195/1179.35361236695</f>
        <v>12.56143438852679</v>
      </c>
      <c r="O37" s="1"/>
      <c r="P37" s="1"/>
      <c r="Q37" s="1"/>
    </row>
    <row r="38" spans="1:17">
      <c r="A38" s="1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1"/>
      <c r="P38" s="1"/>
      <c r="Q38" s="1"/>
    </row>
    <row r="39" spans="1:17">
      <c r="A39" s="1"/>
      <c r="B39" s="1"/>
      <c r="C39" s="1"/>
      <c r="D39" s="1"/>
      <c r="E39" s="1"/>
      <c r="F39" s="1"/>
      <c r="G39" s="1"/>
      <c r="H39" s="1"/>
      <c r="I39" s="8"/>
      <c r="J39" s="8"/>
      <c r="K39" s="8"/>
      <c r="L39" s="1"/>
      <c r="M39" s="1"/>
      <c r="N39" s="1"/>
      <c r="O39" s="1"/>
      <c r="P39" s="1"/>
      <c r="Q39" s="1"/>
    </row>
    <row r="40" spans="1:17">
      <c r="A40" s="1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1"/>
      <c r="P40" s="1"/>
      <c r="Q40" s="1"/>
    </row>
    <row r="41" spans="1:17">
      <c r="A41" s="1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1"/>
      <c r="P41" s="1"/>
      <c r="Q41" s="1"/>
    </row>
    <row r="42" spans="1:17">
      <c r="A42" s="1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1"/>
      <c r="P42" s="1"/>
      <c r="Q42" s="1"/>
    </row>
    <row r="43" spans="1:17">
      <c r="A43" s="1"/>
      <c r="B43" s="24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1"/>
      <c r="P43" s="1"/>
      <c r="Q43" s="1"/>
    </row>
    <row r="44" spans="1:17">
      <c r="A44" s="1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1"/>
      <c r="P44" s="1"/>
      <c r="Q44" s="1"/>
    </row>
    <row r="45" spans="1:17">
      <c r="A45" s="1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1"/>
      <c r="P45" s="1"/>
      <c r="Q45" s="1"/>
    </row>
    <row r="46" spans="1:17">
      <c r="A46" s="1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1"/>
      <c r="P46" s="1"/>
      <c r="Q46" s="1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27:E28 C6:E11 C19 L36 D36 E37:F37 C36:C37 H36 I36:K37">
      <formula1>0</formula1>
      <formula2>100</formula2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3"/>
  <sheetViews>
    <sheetView workbookViewId="0">
      <selection activeCell="A8" sqref="A8"/>
    </sheetView>
  </sheetViews>
  <sheetFormatPr baseColWidth="10" defaultColWidth="10.83203125" defaultRowHeight="15" x14ac:dyDescent="0"/>
  <cols>
    <col min="1" max="16384" width="10.83203125" style="2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>
      <c r="A2" s="1"/>
      <c r="B2" s="1"/>
      <c r="C2" s="3" t="s">
        <v>155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1"/>
      <c r="C3" s="4" t="s">
        <v>156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1"/>
      <c r="C4" s="9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1"/>
    </row>
    <row r="5" spans="1:16">
      <c r="A5" s="1"/>
      <c r="B5" s="92" t="s">
        <v>157</v>
      </c>
      <c r="C5" s="93" t="s">
        <v>158</v>
      </c>
      <c r="D5" s="50" t="s">
        <v>102</v>
      </c>
      <c r="E5" s="50" t="s">
        <v>103</v>
      </c>
      <c r="F5" s="50" t="s">
        <v>104</v>
      </c>
      <c r="G5" s="50" t="s">
        <v>105</v>
      </c>
      <c r="H5" s="50" t="s">
        <v>106</v>
      </c>
      <c r="I5" s="50" t="s">
        <v>107</v>
      </c>
      <c r="J5" s="50" t="s">
        <v>108</v>
      </c>
      <c r="K5" s="50" t="s">
        <v>109</v>
      </c>
      <c r="L5" s="50" t="s">
        <v>110</v>
      </c>
      <c r="M5" s="50" t="s">
        <v>111</v>
      </c>
      <c r="N5" s="50" t="s">
        <v>112</v>
      </c>
      <c r="O5" s="51" t="s">
        <v>113</v>
      </c>
      <c r="P5" s="1"/>
    </row>
    <row r="6" spans="1:16">
      <c r="A6" s="1"/>
      <c r="B6" s="1"/>
      <c r="C6" s="61" t="s">
        <v>159</v>
      </c>
      <c r="D6" s="56">
        <v>2.1514723619199998</v>
      </c>
      <c r="E6" s="56">
        <v>2.1514723619199998</v>
      </c>
      <c r="F6" s="56">
        <v>1.1775297436350001</v>
      </c>
      <c r="G6" s="56">
        <v>1.073884726992</v>
      </c>
      <c r="H6" s="56">
        <v>1.3380726369510001</v>
      </c>
      <c r="I6" s="56">
        <v>1.3545920522220001</v>
      </c>
      <c r="J6" s="56">
        <v>1.404150298035</v>
      </c>
      <c r="K6" s="56">
        <v>1.029377668352</v>
      </c>
      <c r="L6" s="56">
        <v>1.0878650358719999</v>
      </c>
      <c r="M6" s="56">
        <v>1.4782879768399999</v>
      </c>
      <c r="N6" s="56">
        <v>1.4588368192500001</v>
      </c>
      <c r="O6" s="56">
        <v>1.4782879768399999</v>
      </c>
      <c r="P6" s="1"/>
    </row>
    <row r="7" spans="1:16">
      <c r="A7" s="1"/>
      <c r="B7" s="1"/>
      <c r="C7" s="52" t="s">
        <v>160</v>
      </c>
      <c r="D7" s="56">
        <v>1.8755255057</v>
      </c>
      <c r="E7" s="56">
        <v>1.8755255057</v>
      </c>
      <c r="F7" s="56">
        <v>1.0215054983</v>
      </c>
      <c r="G7" s="56">
        <v>1.3677997206000001</v>
      </c>
      <c r="H7" s="56">
        <v>1.40427437981599</v>
      </c>
      <c r="I7" s="56">
        <v>1.4225117094239901</v>
      </c>
      <c r="J7" s="56">
        <v>1.45898636864</v>
      </c>
      <c r="K7" s="56">
        <v>1.3018275784760001</v>
      </c>
      <c r="L7" s="56">
        <v>1.372196636772</v>
      </c>
      <c r="M7" s="56">
        <v>1.0521009524310001</v>
      </c>
      <c r="N7" s="56">
        <v>1.029475125497</v>
      </c>
      <c r="O7" s="56">
        <v>1.0407880389640001</v>
      </c>
      <c r="P7" s="1"/>
    </row>
    <row r="8" spans="1:16">
      <c r="A8" s="1"/>
      <c r="B8" s="1"/>
      <c r="C8" s="52" t="s">
        <v>161</v>
      </c>
      <c r="D8" s="56">
        <v>1.4576220499999999</v>
      </c>
      <c r="E8" s="56">
        <v>4</v>
      </c>
      <c r="F8" s="56">
        <v>4</v>
      </c>
      <c r="G8" s="56">
        <v>1.45268116212</v>
      </c>
      <c r="H8" s="56">
        <v>1.48646444496</v>
      </c>
      <c r="I8" s="56">
        <v>1.0899810991000001</v>
      </c>
      <c r="J8" s="56">
        <v>1.71697737045</v>
      </c>
      <c r="K8" s="56">
        <v>1.5957789678300001</v>
      </c>
      <c r="L8" s="56">
        <v>1.6563781691399999</v>
      </c>
      <c r="M8" s="56">
        <v>1.6563781691399999</v>
      </c>
      <c r="N8" s="56">
        <v>1.1205079715999999</v>
      </c>
      <c r="O8" s="56">
        <v>1.1205079715999999</v>
      </c>
      <c r="P8" s="1"/>
    </row>
    <row r="9" spans="1:16">
      <c r="A9" s="1"/>
      <c r="B9" s="1"/>
      <c r="C9" s="52" t="s">
        <v>162</v>
      </c>
      <c r="D9" s="56">
        <v>2.0979764160799999</v>
      </c>
      <c r="E9" s="56">
        <v>2.0979764160799999</v>
      </c>
      <c r="F9" s="56">
        <v>0.90601010000000004</v>
      </c>
      <c r="G9" s="56">
        <v>1.4999395788879999</v>
      </c>
      <c r="H9" s="56">
        <v>1.3951059957900001</v>
      </c>
      <c r="I9" s="56">
        <v>2.03080548888</v>
      </c>
      <c r="J9" s="56">
        <v>2.0872167524599998</v>
      </c>
      <c r="K9" s="56">
        <v>1.9461885935100001</v>
      </c>
      <c r="L9" s="56">
        <v>1.6475973546429901</v>
      </c>
      <c r="M9" s="56">
        <v>2.0615327993300001</v>
      </c>
      <c r="N9" s="56">
        <v>1.0867627615</v>
      </c>
      <c r="O9" s="56">
        <v>1.630075132</v>
      </c>
      <c r="P9" s="1"/>
    </row>
    <row r="10" spans="1:16">
      <c r="A10" s="1"/>
      <c r="B10" s="1"/>
      <c r="C10" s="52" t="s">
        <v>163</v>
      </c>
      <c r="D10" s="56">
        <v>1.20402992317999</v>
      </c>
      <c r="E10" s="56">
        <v>1.2168387521499999</v>
      </c>
      <c r="F10" s="56">
        <v>1.30087491102</v>
      </c>
      <c r="G10" s="56">
        <v>1.35576747598</v>
      </c>
      <c r="H10" s="56">
        <v>1.09663382073599</v>
      </c>
      <c r="I10" s="56">
        <v>1.092239727975</v>
      </c>
      <c r="J10" s="56">
        <v>2.0746481440400002</v>
      </c>
      <c r="K10" s="56">
        <v>1.98311954945</v>
      </c>
      <c r="L10" s="56">
        <v>2.0441386125099998</v>
      </c>
      <c r="M10" s="56">
        <v>1.1639718208299901</v>
      </c>
      <c r="N10" s="56">
        <v>1.9301279707199901</v>
      </c>
      <c r="O10" s="56">
        <v>1.76137218616</v>
      </c>
      <c r="P10" s="1"/>
    </row>
    <row r="11" spans="1:16">
      <c r="A11" s="1"/>
      <c r="B11" s="1"/>
      <c r="C11" s="52" t="s">
        <v>164</v>
      </c>
      <c r="D11" s="56">
        <v>2.6146794330000001</v>
      </c>
      <c r="E11" s="56">
        <v>2.1203177395199999</v>
      </c>
      <c r="F11" s="56">
        <v>2.0539996398899998</v>
      </c>
      <c r="G11" s="56">
        <v>1.6711839150000001</v>
      </c>
      <c r="H11" s="56">
        <v>1.843443368</v>
      </c>
      <c r="I11" s="56">
        <v>1.6005175869999999</v>
      </c>
      <c r="J11" s="56">
        <v>2.46990810534</v>
      </c>
      <c r="K11" s="56">
        <v>1.9761988937599899</v>
      </c>
      <c r="L11" s="56">
        <v>1.61532751</v>
      </c>
      <c r="M11" s="56">
        <v>2.0332418367499998</v>
      </c>
      <c r="N11" s="56">
        <v>2.2449717251000001</v>
      </c>
      <c r="O11" s="56">
        <v>2.4499139024200001</v>
      </c>
      <c r="P11" s="1"/>
    </row>
    <row r="12" spans="1:16">
      <c r="A12" s="1"/>
      <c r="B12" s="1"/>
      <c r="C12" s="57" t="s">
        <v>165</v>
      </c>
      <c r="D12" s="56">
        <v>1.8660382499999999</v>
      </c>
      <c r="E12" s="56">
        <v>1.1583206173</v>
      </c>
      <c r="F12" s="56">
        <v>1.3454074584</v>
      </c>
      <c r="G12" s="56">
        <v>2.062102076</v>
      </c>
      <c r="H12" s="56">
        <v>2.0112677866499999</v>
      </c>
      <c r="I12" s="56">
        <v>2.4439931669999999</v>
      </c>
      <c r="J12" s="56">
        <v>2.1661951448000001</v>
      </c>
      <c r="K12" s="56">
        <v>2.0740166279999999</v>
      </c>
      <c r="L12" s="56">
        <v>2.6592267419999902</v>
      </c>
      <c r="M12" s="56">
        <v>1.9690457292000001</v>
      </c>
      <c r="N12" s="56">
        <v>2.2018740694500001</v>
      </c>
      <c r="O12" s="56">
        <v>2.03645783999999</v>
      </c>
      <c r="P12" s="1"/>
    </row>
    <row r="13" spans="1:16">
      <c r="A13" s="1"/>
      <c r="B13" s="1"/>
      <c r="C13" s="9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1"/>
    </row>
    <row r="14" spans="1:16">
      <c r="A14" s="1"/>
      <c r="B14" s="92" t="s">
        <v>146</v>
      </c>
      <c r="C14" s="93" t="s">
        <v>158</v>
      </c>
      <c r="D14" s="50" t="s">
        <v>102</v>
      </c>
      <c r="E14" s="50" t="s">
        <v>103</v>
      </c>
      <c r="F14" s="50" t="s">
        <v>104</v>
      </c>
      <c r="G14" s="50" t="s">
        <v>105</v>
      </c>
      <c r="H14" s="50" t="s">
        <v>106</v>
      </c>
      <c r="I14" s="50" t="s">
        <v>107</v>
      </c>
      <c r="J14" s="50" t="s">
        <v>108</v>
      </c>
      <c r="K14" s="50" t="s">
        <v>109</v>
      </c>
      <c r="L14" s="50" t="s">
        <v>110</v>
      </c>
      <c r="M14" s="50" t="s">
        <v>111</v>
      </c>
      <c r="N14" s="50" t="s">
        <v>112</v>
      </c>
      <c r="O14" s="51" t="s">
        <v>113</v>
      </c>
      <c r="P14" s="1"/>
    </row>
    <row r="15" spans="1:16">
      <c r="A15" s="1"/>
      <c r="B15" s="1"/>
      <c r="C15" s="61" t="s">
        <v>159</v>
      </c>
      <c r="D15" s="56">
        <v>1.1697473504</v>
      </c>
      <c r="E15" s="56">
        <v>1.9451157590000001</v>
      </c>
      <c r="F15" s="56">
        <v>1.9451157590000001</v>
      </c>
      <c r="G15" s="56">
        <v>1.9451157590000001</v>
      </c>
      <c r="H15" s="56">
        <v>2.5944225540799999</v>
      </c>
      <c r="I15" s="56">
        <v>2.5627832546399998</v>
      </c>
      <c r="J15" s="56">
        <v>1.2395049933</v>
      </c>
      <c r="K15" s="56">
        <v>1.2066120527999999</v>
      </c>
      <c r="L15" s="56">
        <v>1.6519415271</v>
      </c>
      <c r="M15" s="56">
        <v>1.6519415271</v>
      </c>
      <c r="N15" s="56">
        <v>1.6519415271</v>
      </c>
      <c r="O15" s="56">
        <v>1.1697473504</v>
      </c>
      <c r="P15" s="1"/>
    </row>
    <row r="16" spans="1:16">
      <c r="A16" s="1"/>
      <c r="B16" s="1"/>
      <c r="C16" s="52" t="s">
        <v>160</v>
      </c>
      <c r="D16" s="56">
        <v>1.7592264574000001</v>
      </c>
      <c r="E16" s="56">
        <v>1.1312913467000001</v>
      </c>
      <c r="F16" s="56">
        <v>1.1312913467000001</v>
      </c>
      <c r="G16" s="56">
        <v>1.1312913467000001</v>
      </c>
      <c r="H16" s="56">
        <v>2.4649763789199999</v>
      </c>
      <c r="I16" s="56">
        <v>2.4917696004300001</v>
      </c>
      <c r="J16" s="56">
        <v>1.0215054983</v>
      </c>
      <c r="K16" s="56">
        <v>1.8237329607999999</v>
      </c>
      <c r="L16" s="56">
        <v>1.8237329607999999</v>
      </c>
      <c r="M16" s="56">
        <v>1.8237329607999999</v>
      </c>
      <c r="N16" s="56">
        <v>1.8237329607999999</v>
      </c>
      <c r="O16" s="56">
        <v>1.7592264574000001</v>
      </c>
      <c r="P16" s="1"/>
    </row>
    <row r="17" spans="1:16">
      <c r="A17" s="1"/>
      <c r="B17" s="1"/>
      <c r="C17" s="52" t="s">
        <v>161</v>
      </c>
      <c r="D17" s="56">
        <v>2.0199733769999999</v>
      </c>
      <c r="E17" s="56">
        <v>2.0199733769999999</v>
      </c>
      <c r="F17" s="56">
        <v>1.1205079715999999</v>
      </c>
      <c r="G17" s="56">
        <v>1.1205079715999999</v>
      </c>
      <c r="H17" s="56">
        <v>1.5343389999999999</v>
      </c>
      <c r="I17" s="56">
        <v>4</v>
      </c>
      <c r="J17" s="56">
        <v>4</v>
      </c>
      <c r="K17" s="56">
        <v>1.6891641420000001</v>
      </c>
      <c r="L17" s="56">
        <v>1.6891641420000001</v>
      </c>
      <c r="M17" s="56">
        <v>1.0899810991000001</v>
      </c>
      <c r="N17" s="56">
        <v>2.0199733769999999</v>
      </c>
      <c r="O17" s="56">
        <v>2.0199733769999999</v>
      </c>
      <c r="P17" s="1"/>
    </row>
    <row r="18" spans="1:16">
      <c r="A18" s="1"/>
      <c r="B18" s="1"/>
      <c r="C18" s="52" t="s">
        <v>162</v>
      </c>
      <c r="D18" s="56">
        <v>2.0855662716999999</v>
      </c>
      <c r="E18" s="56">
        <v>2.64224626392999</v>
      </c>
      <c r="F18" s="56">
        <v>1.0867627615</v>
      </c>
      <c r="G18" s="56">
        <v>2.037593915</v>
      </c>
      <c r="H18" s="56">
        <v>2.70150387824</v>
      </c>
      <c r="I18" s="56">
        <v>2.6727644752800002</v>
      </c>
      <c r="J18" s="56">
        <v>0.90601010000000004</v>
      </c>
      <c r="K18" s="56">
        <v>1.8291946083999999</v>
      </c>
      <c r="L18" s="56">
        <v>4</v>
      </c>
      <c r="M18" s="56">
        <v>2.51030122931</v>
      </c>
      <c r="N18" s="56">
        <v>2.4820955975199999</v>
      </c>
      <c r="O18" s="56">
        <v>2.6231237564700001</v>
      </c>
      <c r="P18" s="1"/>
    </row>
    <row r="19" spans="1:16">
      <c r="A19" s="1"/>
      <c r="B19" s="1"/>
      <c r="C19" s="52" t="s">
        <v>163</v>
      </c>
      <c r="D19" s="56">
        <v>2.6238197115799999</v>
      </c>
      <c r="E19" s="56">
        <v>1.279089913</v>
      </c>
      <c r="F19" s="56">
        <v>2.5927092144000001</v>
      </c>
      <c r="G19" s="56">
        <v>2.3567656011999998</v>
      </c>
      <c r="H19" s="56">
        <v>1.2808828969999999</v>
      </c>
      <c r="I19" s="56">
        <v>1.2808828969999999</v>
      </c>
      <c r="J19" s="56">
        <v>4</v>
      </c>
      <c r="K19" s="56">
        <v>1.716161362</v>
      </c>
      <c r="L19" s="56">
        <v>1.1423268966</v>
      </c>
      <c r="M19" s="56">
        <v>1.1032724524999999</v>
      </c>
      <c r="N19" s="56">
        <v>2.68483877463999</v>
      </c>
      <c r="O19" s="56">
        <v>2.6543292431099998</v>
      </c>
      <c r="P19" s="1"/>
    </row>
    <row r="20" spans="1:16">
      <c r="A20" s="1"/>
      <c r="B20" s="1"/>
      <c r="C20" s="52" t="s">
        <v>164</v>
      </c>
      <c r="D20" s="56">
        <v>1.61532751</v>
      </c>
      <c r="E20" s="56">
        <v>2.1402545650000002</v>
      </c>
      <c r="F20" s="56">
        <v>2.6411432060000002</v>
      </c>
      <c r="G20" s="56">
        <v>2.9876998810000002</v>
      </c>
      <c r="H20" s="56">
        <v>3.2279993</v>
      </c>
      <c r="I20" s="56">
        <v>2.2086643119999998</v>
      </c>
      <c r="J20" s="56">
        <v>2.0747471110000002</v>
      </c>
      <c r="K20" s="56">
        <v>1.6711839150000001</v>
      </c>
      <c r="L20" s="56">
        <v>1.843443368</v>
      </c>
      <c r="M20" s="56">
        <v>1.6005175869999999</v>
      </c>
      <c r="N20" s="56">
        <v>2.9757928979999999</v>
      </c>
      <c r="O20" s="56">
        <v>2.1716471359999998</v>
      </c>
      <c r="P20" s="1"/>
    </row>
    <row r="21" spans="1:16">
      <c r="A21" s="1"/>
      <c r="B21" s="1"/>
      <c r="C21" s="57" t="s">
        <v>165</v>
      </c>
      <c r="D21" s="56">
        <v>3.2987876039999899</v>
      </c>
      <c r="E21" s="56">
        <v>1.9889350800000001</v>
      </c>
      <c r="F21" s="56">
        <v>2.5308897350000001</v>
      </c>
      <c r="G21" s="56">
        <v>2.1213102500000001</v>
      </c>
      <c r="H21" s="56">
        <v>1.8660382499999999</v>
      </c>
      <c r="I21" s="56">
        <v>1.1583206173</v>
      </c>
      <c r="J21" s="56">
        <v>1.3454074584</v>
      </c>
      <c r="K21" s="56">
        <v>2.2414152999999999</v>
      </c>
      <c r="L21" s="56">
        <v>2.0734719450000001</v>
      </c>
      <c r="M21" s="56">
        <v>2.9095156750000002</v>
      </c>
      <c r="N21" s="56">
        <v>2.3044629200000002</v>
      </c>
      <c r="O21" s="56">
        <v>2.3044629200000002</v>
      </c>
      <c r="P21" s="1"/>
    </row>
    <row r="22" spans="1:16">
      <c r="A22" s="1"/>
      <c r="B22" s="1"/>
      <c r="C22" s="91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1"/>
    </row>
    <row r="23" spans="1:16">
      <c r="A23" s="1"/>
      <c r="B23" s="92" t="s">
        <v>166</v>
      </c>
      <c r="C23" s="93" t="s">
        <v>158</v>
      </c>
      <c r="D23" s="50" t="s">
        <v>102</v>
      </c>
      <c r="E23" s="50" t="s">
        <v>103</v>
      </c>
      <c r="F23" s="50" t="s">
        <v>104</v>
      </c>
      <c r="G23" s="50" t="s">
        <v>105</v>
      </c>
      <c r="H23" s="50" t="s">
        <v>106</v>
      </c>
      <c r="I23" s="50" t="s">
        <v>107</v>
      </c>
      <c r="J23" s="50" t="s">
        <v>108</v>
      </c>
      <c r="K23" s="50" t="s">
        <v>109</v>
      </c>
      <c r="L23" s="50" t="s">
        <v>110</v>
      </c>
      <c r="M23" s="50" t="s">
        <v>111</v>
      </c>
      <c r="N23" s="50" t="s">
        <v>112</v>
      </c>
      <c r="O23" s="51" t="s">
        <v>113</v>
      </c>
      <c r="P23" s="1"/>
    </row>
    <row r="24" spans="1:16">
      <c r="A24" s="1"/>
      <c r="B24" s="1"/>
      <c r="C24" s="61" t="s">
        <v>159</v>
      </c>
      <c r="D24" s="56">
        <v>1.1697473504</v>
      </c>
      <c r="E24" s="56">
        <v>1.9451157590000001</v>
      </c>
      <c r="F24" s="56">
        <v>1.9451157590000001</v>
      </c>
      <c r="G24" s="56">
        <v>1.9451157590000001</v>
      </c>
      <c r="H24" s="56">
        <v>2.5944225540799999</v>
      </c>
      <c r="I24" s="56">
        <v>2.5627832546399998</v>
      </c>
      <c r="J24" s="56">
        <v>1.2395049933</v>
      </c>
      <c r="K24" s="56">
        <v>1.2066120527999999</v>
      </c>
      <c r="L24" s="56">
        <v>1.6519415271</v>
      </c>
      <c r="M24" s="56">
        <v>1.6519415271</v>
      </c>
      <c r="N24" s="56">
        <v>1.6519415271</v>
      </c>
      <c r="O24" s="56">
        <v>1.1697473504</v>
      </c>
      <c r="P24" s="1"/>
    </row>
    <row r="25" spans="1:16">
      <c r="A25" s="1"/>
      <c r="B25" s="1"/>
      <c r="C25" s="52" t="s">
        <v>160</v>
      </c>
      <c r="D25" s="56">
        <v>1.7592264574000001</v>
      </c>
      <c r="E25" s="56">
        <v>1.1312913467000001</v>
      </c>
      <c r="F25" s="56">
        <v>1.1312913467000001</v>
      </c>
      <c r="G25" s="56">
        <v>1.1312913467000001</v>
      </c>
      <c r="H25" s="56">
        <v>2.1970441638199998</v>
      </c>
      <c r="I25" s="56">
        <v>2.17025094231</v>
      </c>
      <c r="J25" s="56">
        <v>1.0215054983</v>
      </c>
      <c r="K25" s="56">
        <v>1.8237329607999999</v>
      </c>
      <c r="L25" s="56">
        <v>1.8237329607999999</v>
      </c>
      <c r="M25" s="56">
        <v>1.8237329607999999</v>
      </c>
      <c r="N25" s="56">
        <v>1.8237329607999999</v>
      </c>
      <c r="O25" s="56">
        <v>1.7592264574000001</v>
      </c>
      <c r="P25" s="1"/>
    </row>
    <row r="26" spans="1:16">
      <c r="A26" s="1"/>
      <c r="B26" s="1"/>
      <c r="C26" s="52" t="s">
        <v>161</v>
      </c>
      <c r="D26" s="56">
        <v>2.0199733769999999</v>
      </c>
      <c r="E26" s="56">
        <v>2.0199733769999999</v>
      </c>
      <c r="F26" s="56">
        <v>1.1205079715999999</v>
      </c>
      <c r="G26" s="56">
        <v>1.1205079715999999</v>
      </c>
      <c r="H26" s="56">
        <v>1.5343389999999999</v>
      </c>
      <c r="I26" s="56">
        <v>4</v>
      </c>
      <c r="J26" s="56">
        <v>4</v>
      </c>
      <c r="K26" s="56">
        <v>1.6891641420000001</v>
      </c>
      <c r="L26" s="56">
        <v>1.6891641420000001</v>
      </c>
      <c r="M26" s="56">
        <v>1.0899810991000001</v>
      </c>
      <c r="N26" s="56">
        <v>2.0199733769999999</v>
      </c>
      <c r="O26" s="56">
        <v>2.0199733769999999</v>
      </c>
      <c r="P26" s="1"/>
    </row>
    <row r="27" spans="1:16">
      <c r="A27" s="1"/>
      <c r="B27" s="1"/>
      <c r="C27" s="52" t="s">
        <v>162</v>
      </c>
      <c r="D27" s="56">
        <v>2.0855662716999999</v>
      </c>
      <c r="E27" s="56">
        <v>2.4680322245499999</v>
      </c>
      <c r="F27" s="56">
        <v>1.0867627615</v>
      </c>
      <c r="G27" s="56">
        <v>2.037593915</v>
      </c>
      <c r="H27" s="56">
        <v>2.5290674604799999</v>
      </c>
      <c r="I27" s="56">
        <v>2.5003280575199902</v>
      </c>
      <c r="J27" s="56">
        <v>0.90601010000000004</v>
      </c>
      <c r="K27" s="56">
        <v>1.8291946083999999</v>
      </c>
      <c r="L27" s="56">
        <v>4</v>
      </c>
      <c r="M27" s="56">
        <v>2.51030122931</v>
      </c>
      <c r="N27" s="56">
        <v>2.4820955975199999</v>
      </c>
      <c r="O27" s="56">
        <v>2.4538899657300002</v>
      </c>
      <c r="P27" s="1"/>
    </row>
    <row r="28" spans="1:16">
      <c r="A28" s="1"/>
      <c r="B28" s="1"/>
      <c r="C28" s="52" t="s">
        <v>163</v>
      </c>
      <c r="D28" s="56">
        <v>2.6238197115799999</v>
      </c>
      <c r="E28" s="56">
        <v>1.279089913</v>
      </c>
      <c r="F28" s="56">
        <v>2.41986193344</v>
      </c>
      <c r="G28" s="56">
        <v>2.3567656011999998</v>
      </c>
      <c r="H28" s="56">
        <v>1.2808828969999999</v>
      </c>
      <c r="I28" s="56">
        <v>1.2808828969999999</v>
      </c>
      <c r="J28" s="56">
        <v>4</v>
      </c>
      <c r="K28" s="56">
        <v>1.716161362</v>
      </c>
      <c r="L28" s="56">
        <v>1.1423268966</v>
      </c>
      <c r="M28" s="56">
        <v>1.1032724524999999</v>
      </c>
      <c r="N28" s="56">
        <v>2.68483877463999</v>
      </c>
      <c r="O28" s="56">
        <v>2.6543292431099998</v>
      </c>
      <c r="P28" s="1"/>
    </row>
    <row r="29" spans="1:16">
      <c r="A29" s="1"/>
      <c r="B29" s="1"/>
      <c r="C29" s="52" t="s">
        <v>164</v>
      </c>
      <c r="D29" s="56">
        <v>1.61532751</v>
      </c>
      <c r="E29" s="56">
        <v>2.1402545650000002</v>
      </c>
      <c r="F29" s="56">
        <v>2.6411432060000002</v>
      </c>
      <c r="G29" s="56">
        <v>2.9876998810000002</v>
      </c>
      <c r="H29" s="56">
        <v>3.0343193419999999</v>
      </c>
      <c r="I29" s="56">
        <v>2.2086643119999998</v>
      </c>
      <c r="J29" s="56">
        <v>2.0747471110000002</v>
      </c>
      <c r="K29" s="56">
        <v>1.6711839150000001</v>
      </c>
      <c r="L29" s="56">
        <v>1.843443368</v>
      </c>
      <c r="M29" s="56">
        <v>1.6005175869999999</v>
      </c>
      <c r="N29" s="56">
        <v>2.9757928979999999</v>
      </c>
      <c r="O29" s="56">
        <v>2.1716471359999998</v>
      </c>
      <c r="P29" s="1"/>
    </row>
    <row r="30" spans="1:16">
      <c r="A30" s="1"/>
      <c r="B30" s="1"/>
      <c r="C30" s="57" t="s">
        <v>165</v>
      </c>
      <c r="D30" s="56">
        <v>3.2314654079999898</v>
      </c>
      <c r="E30" s="56">
        <v>1.9889350800000001</v>
      </c>
      <c r="F30" s="56">
        <v>2.5308897350000001</v>
      </c>
      <c r="G30" s="56">
        <v>2.1213102500000001</v>
      </c>
      <c r="H30" s="56">
        <v>1.8660382499999999</v>
      </c>
      <c r="I30" s="56">
        <v>1.1583206173</v>
      </c>
      <c r="J30" s="56">
        <v>1.3454074584</v>
      </c>
      <c r="K30" s="56">
        <v>2.2414152999999999</v>
      </c>
      <c r="L30" s="56">
        <v>2.0734719450000001</v>
      </c>
      <c r="M30" s="56">
        <v>2.9095156750000002</v>
      </c>
      <c r="N30" s="56">
        <v>2.3044629200000002</v>
      </c>
      <c r="O30" s="56">
        <v>2.3044629200000002</v>
      </c>
      <c r="P30" s="1"/>
    </row>
    <row r="31" spans="1:16">
      <c r="A31" s="1"/>
      <c r="B31" s="1"/>
      <c r="C31" s="9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1"/>
    </row>
    <row r="32" spans="1:16">
      <c r="A32" s="1"/>
      <c r="B32" s="92" t="s">
        <v>147</v>
      </c>
      <c r="C32" s="93" t="s">
        <v>158</v>
      </c>
      <c r="D32" s="50" t="s">
        <v>102</v>
      </c>
      <c r="E32" s="50" t="s">
        <v>103</v>
      </c>
      <c r="F32" s="50" t="s">
        <v>104</v>
      </c>
      <c r="G32" s="50" t="s">
        <v>105</v>
      </c>
      <c r="H32" s="50" t="s">
        <v>106</v>
      </c>
      <c r="I32" s="50" t="s">
        <v>107</v>
      </c>
      <c r="J32" s="50" t="s">
        <v>108</v>
      </c>
      <c r="K32" s="50" t="s">
        <v>109</v>
      </c>
      <c r="L32" s="50" t="s">
        <v>110</v>
      </c>
      <c r="M32" s="50" t="s">
        <v>111</v>
      </c>
      <c r="N32" s="50" t="s">
        <v>112</v>
      </c>
      <c r="O32" s="51" t="s">
        <v>113</v>
      </c>
      <c r="P32" s="1"/>
    </row>
    <row r="33" spans="1:16">
      <c r="A33" s="1"/>
      <c r="B33" s="1"/>
      <c r="C33" s="61" t="s">
        <v>159</v>
      </c>
      <c r="D33" s="56">
        <v>1.1697473504</v>
      </c>
      <c r="E33" s="56">
        <v>1.8478599710500001</v>
      </c>
      <c r="F33" s="56">
        <v>1.8673111286399999</v>
      </c>
      <c r="G33" s="56">
        <v>1.8478599710500001</v>
      </c>
      <c r="H33" s="56">
        <v>2.2147509608</v>
      </c>
      <c r="I33" s="56">
        <v>2.5627832546399998</v>
      </c>
      <c r="J33" s="56">
        <v>1.2395049933</v>
      </c>
      <c r="K33" s="56">
        <v>1.2066120527999999</v>
      </c>
      <c r="L33" s="56">
        <v>1.6519415271</v>
      </c>
      <c r="M33" s="56">
        <v>1.6519415271</v>
      </c>
      <c r="N33" s="56">
        <v>1.6519415271</v>
      </c>
      <c r="O33" s="56">
        <v>1.1697473504</v>
      </c>
      <c r="P33" s="1"/>
    </row>
    <row r="34" spans="1:16">
      <c r="A34" s="1"/>
      <c r="B34" s="1"/>
      <c r="C34" s="52" t="s">
        <v>160</v>
      </c>
      <c r="D34" s="56">
        <v>1.7240419282520001</v>
      </c>
      <c r="E34" s="56">
        <v>1.1312913467000001</v>
      </c>
      <c r="F34" s="56">
        <v>1.1312913467000001</v>
      </c>
      <c r="G34" s="56">
        <v>1.1312913467000001</v>
      </c>
      <c r="H34" s="56">
        <v>2.1970441638199998</v>
      </c>
      <c r="I34" s="56">
        <v>2.17025094231</v>
      </c>
      <c r="J34" s="56">
        <v>1.0215054983</v>
      </c>
      <c r="K34" s="56">
        <v>1.659596994328</v>
      </c>
      <c r="L34" s="56">
        <v>1.64135966471999</v>
      </c>
      <c r="M34" s="56">
        <v>1.73254631276</v>
      </c>
      <c r="N34" s="56">
        <v>1.71430898315199</v>
      </c>
      <c r="O34" s="56">
        <v>1.706449663678</v>
      </c>
      <c r="P34" s="1"/>
    </row>
    <row r="35" spans="1:16">
      <c r="A35" s="1"/>
      <c r="B35" s="1"/>
      <c r="C35" s="52" t="s">
        <v>161</v>
      </c>
      <c r="D35" s="56">
        <v>1.97957390946</v>
      </c>
      <c r="E35" s="56">
        <v>1.9593741756899901</v>
      </c>
      <c r="F35" s="56">
        <v>1.1205079715999999</v>
      </c>
      <c r="G35" s="56">
        <v>1.1205079715999999</v>
      </c>
      <c r="H35" s="56">
        <v>1.5343389999999999</v>
      </c>
      <c r="I35" s="56">
        <v>4</v>
      </c>
      <c r="J35" s="56">
        <v>4</v>
      </c>
      <c r="K35" s="56">
        <v>1.6891641420000001</v>
      </c>
      <c r="L35" s="56">
        <v>1.6891641420000001</v>
      </c>
      <c r="M35" s="56">
        <v>1.0899810991000001</v>
      </c>
      <c r="N35" s="56">
        <v>1.97957390946</v>
      </c>
      <c r="O35" s="56">
        <v>1.99977364323</v>
      </c>
      <c r="P35" s="1"/>
    </row>
    <row r="36" spans="1:16">
      <c r="A36" s="1"/>
      <c r="B36" s="1"/>
      <c r="C36" s="52" t="s">
        <v>162</v>
      </c>
      <c r="D36" s="56">
        <v>2.0021436208319998</v>
      </c>
      <c r="E36" s="56">
        <v>2.4680322245499999</v>
      </c>
      <c r="F36" s="56">
        <v>1.0867627615</v>
      </c>
      <c r="G36" s="56">
        <v>1.9357142192500001</v>
      </c>
      <c r="H36" s="56">
        <v>2.3566310427199899</v>
      </c>
      <c r="I36" s="56">
        <v>2.3278916397599998</v>
      </c>
      <c r="J36" s="56">
        <v>0.90601010000000004</v>
      </c>
      <c r="K36" s="56">
        <v>1.8291946083999999</v>
      </c>
      <c r="L36" s="56">
        <v>4</v>
      </c>
      <c r="M36" s="56">
        <v>2.1718336478300002</v>
      </c>
      <c r="N36" s="56">
        <v>2.4820955975199999</v>
      </c>
      <c r="O36" s="56">
        <v>2.4538899657300002</v>
      </c>
      <c r="P36" s="1"/>
    </row>
    <row r="37" spans="1:16">
      <c r="A37" s="1"/>
      <c r="B37" s="1"/>
      <c r="C37" s="52" t="s">
        <v>163</v>
      </c>
      <c r="D37" s="56">
        <v>2.6238197115799999</v>
      </c>
      <c r="E37" s="56">
        <v>1.279089913</v>
      </c>
      <c r="F37" s="56">
        <v>2.41986193344</v>
      </c>
      <c r="G37" s="56">
        <v>2.0590688936800001</v>
      </c>
      <c r="H37" s="56">
        <v>1.2808828969999999</v>
      </c>
      <c r="I37" s="56">
        <v>1.2808828969999999</v>
      </c>
      <c r="J37" s="56">
        <v>4</v>
      </c>
      <c r="K37" s="56">
        <v>1.716161362</v>
      </c>
      <c r="L37" s="56">
        <v>1.1423268966</v>
      </c>
      <c r="M37" s="56">
        <v>1.1032724524999999</v>
      </c>
      <c r="N37" s="56">
        <v>2.3187243962799999</v>
      </c>
      <c r="O37" s="56">
        <v>2.28821486475</v>
      </c>
      <c r="P37" s="1"/>
    </row>
    <row r="38" spans="1:16">
      <c r="A38" s="1"/>
      <c r="B38" s="1"/>
      <c r="C38" s="52" t="s">
        <v>164</v>
      </c>
      <c r="D38" s="56">
        <v>1.61532751</v>
      </c>
      <c r="E38" s="56">
        <v>2.1402545650000002</v>
      </c>
      <c r="F38" s="56">
        <v>2.6411432060000002</v>
      </c>
      <c r="G38" s="56">
        <v>2.8383148869500001</v>
      </c>
      <c r="H38" s="56">
        <v>3.0343193419999999</v>
      </c>
      <c r="I38" s="56">
        <v>2.2086643119999998</v>
      </c>
      <c r="J38" s="56">
        <v>2.0747471110000002</v>
      </c>
      <c r="K38" s="56">
        <v>1.6711839150000001</v>
      </c>
      <c r="L38" s="56">
        <v>1.843443368</v>
      </c>
      <c r="M38" s="56">
        <v>1.6005175869999999</v>
      </c>
      <c r="N38" s="56">
        <v>2.9162770400400002</v>
      </c>
      <c r="O38" s="56">
        <v>2.1716471359999998</v>
      </c>
      <c r="P38" s="1"/>
    </row>
    <row r="39" spans="1:16">
      <c r="A39" s="1"/>
      <c r="B39" s="1"/>
      <c r="C39" s="57" t="s">
        <v>165</v>
      </c>
      <c r="D39" s="56">
        <v>3.0968210159999998</v>
      </c>
      <c r="E39" s="56">
        <v>1.9889350800000001</v>
      </c>
      <c r="F39" s="56">
        <v>2.5308897350000001</v>
      </c>
      <c r="G39" s="56">
        <v>2.1213102500000001</v>
      </c>
      <c r="H39" s="56">
        <v>1.8660382499999999</v>
      </c>
      <c r="I39" s="56">
        <v>1.1583206173</v>
      </c>
      <c r="J39" s="56">
        <v>1.3454074584</v>
      </c>
      <c r="K39" s="56">
        <v>2.2414152999999999</v>
      </c>
      <c r="L39" s="56">
        <v>2.0734719450000001</v>
      </c>
      <c r="M39" s="56">
        <v>2.8804205182499998</v>
      </c>
      <c r="N39" s="56">
        <v>2.3044629200000002</v>
      </c>
      <c r="O39" s="56">
        <v>2.3044629200000002</v>
      </c>
      <c r="P39" s="1"/>
    </row>
    <row r="40" spans="1:16">
      <c r="A40" s="1"/>
      <c r="B40" s="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1"/>
    </row>
    <row r="41" spans="1:16">
      <c r="A41" s="1"/>
      <c r="B41" s="1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"/>
    </row>
    <row r="42" spans="1:1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Emory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Emory Ruscus</dc:creator>
  <cp:lastModifiedBy>Emory Ruscus</cp:lastModifiedBy>
  <dcterms:created xsi:type="dcterms:W3CDTF">2016-11-22T19:12:33Z</dcterms:created>
  <dcterms:modified xsi:type="dcterms:W3CDTF">2016-11-22T21:51:55Z</dcterms:modified>
</cp:coreProperties>
</file>